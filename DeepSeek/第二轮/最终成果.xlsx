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首页·怎么读" sheetId="1" r:id="rId1"/>
    <sheet name="1_数据概览" sheetId="2" r:id="rId2"/>
    <sheet name="2_同比与增量" sheetId="3" r:id="rId3"/>
    <sheet name="3_单一地点奇点" sheetId="4" r:id="rId4"/>
    <sheet name="4_处理时效" sheetId="5" r:id="rId5"/>
    <sheet name="5_未结与积压" sheetId="6" r:id="rId6"/>
    <sheet name="6_季节性与需求" sheetId="7" r:id="rId7"/>
    <sheet name="7_渠道结构" sheetId="8" r:id="rId8"/>
    <sheet name="8_数据质量" sheetId="9" r:id="rId9"/>
    <sheet name="9_方法与复现" sheetId="10" r:id="rId10"/>
  </sheets>
  <calcPr calcId="124519" fullCalcOnLoad="1"/>
</workbook>
</file>

<file path=xl/sharedStrings.xml><?xml version="1.0" encoding="utf-8"?>
<sst xmlns="http://schemas.openxmlformats.org/spreadsheetml/2006/main" count="929" uniqueCount="534">
  <si>
    <t>NYC 311 服务请求分析看板</t>
  </si>
  <si>
    <t>数据源：D:\项目1\原始数据（只读 Parquet，25 个分片）｜分析日期：2026-09-17</t>
  </si>
  <si>
    <t>一句话结论</t>
  </si>
  <si>
    <t>两年间（2024-09-07 ~ 2026-09-05）共有 7,525,498 条 311 请求。同比（2026 年 1–8 月 vs 2025 年 1–8 月）总量上升 12.1%，但其中相当一部分来自天气与口径变化，而非等比例的需求增长；更关键的是，个别单一地址的密集重复提交会显著改变市级指标的方向——剔除 Bronx 一个邮编后，全市同比变为 +14.6%，「噪音投诉下降」反转为「上升」。因此本看板把「记录数 ≠ 现实事件数」和「关闭时间受截断与批量操作影响」两件事作为解读所有数字的前提。</t>
  </si>
  <si>
    <t>数据边界</t>
  </si>
  <si>
    <t>项目</t>
  </si>
  <si>
    <t>值</t>
  </si>
  <si>
    <t>说明</t>
  </si>
  <si>
    <t>记录数</t>
  </si>
  <si>
    <t>7,525,498</t>
  </si>
  <si>
    <t>—</t>
  </si>
  <si>
    <t>唯一请求号 unique_key</t>
  </si>
  <si>
    <t>无重复记录</t>
  </si>
  <si>
    <t>请求创建时间范围</t>
  </si>
  <si>
    <t>2024-09-07 00:00 ~ 2026-09-05 01:50</t>
  </si>
  <si>
    <t>首月 2024-09 只有 24 天</t>
  </si>
  <si>
    <t>数据截止时间</t>
  </si>
  <si>
    <t>2026-09-05 02:22</t>
  </si>
  <si>
    <t>created_date 最大值，也是 closed_date 的实际上限</t>
  </si>
  <si>
    <t>机构数</t>
  </si>
  <si>
    <t>16</t>
  </si>
  <si>
    <t>诉求类型数</t>
  </si>
  <si>
    <t>205</t>
  </si>
  <si>
    <t>borough 取值数</t>
  </si>
  <si>
    <t>6（含 Unspecified）</t>
  </si>
  <si>
    <t>Unspecified 仅 6,331 条</t>
  </si>
  <si>
    <t>ZIP 数</t>
  </si>
  <si>
    <t>445</t>
  </si>
  <si>
    <t>含缺失</t>
  </si>
  <si>
    <t>字段数</t>
  </si>
  <si>
    <t>44</t>
  </si>
  <si>
    <t>全部为文本型读入</t>
  </si>
  <si>
    <t>完整月区间（用于趋势）</t>
  </si>
  <si>
    <t>2024-10 ~ 2026-08（23 个完整月）</t>
  </si>
  <si>
    <t>2024-09 与 2026-09 不完整，已排除</t>
  </si>
  <si>
    <t>六条主要发现</t>
  </si>
  <si>
    <t>发现 1</t>
  </si>
  <si>
    <t>总量上升 12.1%，但机构之间极不均匀</t>
  </si>
  <si>
    <t>2026 年 1–8 月 2,666,078 条，2025 年同期 2,378,736 条。DOT +44.1%、DPR +30.0%、HPD +25.0%，而 NYPD 仅 +1.6%（NYPD 占全部请求的 45.2%）。</t>
  </si>
  <si>
    <t>→ 工作表「2_同比与增量」</t>
  </si>
  <si>
    <t>发现 2</t>
  </si>
  <si>
    <t>增量里混着天气与口径，不能全部读作需求增长</t>
  </si>
  <si>
    <t>Snow or Ice 增加 47,240 条（2025-11~2026-03 冬季合计 63,938 条，上一冬季同期仅 8,808 条）；DOT 路面状况类（Street Condition）增加 47,402 条，其中 2026-03 单月 28,629 条、约为此前常月的 5 倍；Water Maintenance / Sewer Maintenance 是 2026 年年中才放量的子类（2025 日历年合计仅 51 条，2026 年已达 19,093 条）。</t>
  </si>
  <si>
    <t>→ 工作表「2_同比与增量」「6_季节性与需求」</t>
  </si>
  <si>
    <t>发现 3</t>
  </si>
  <si>
    <t>记录数 ≠ 现实事件数：单一地址可以左右市级指标</t>
  </si>
  <si>
    <t>Bronx 邮编 10466 的单一地址 655 EAST 230 STREET（按两种拼写合并）贡献 171,558 条 Noise - Residential，占全市该类 881,548 条的 19.5%；仅 2025-01-05 一天该地址就有 4,978 条，占当日该邮编同类投诉的 99.8%。该邮编单月最高占全市请求量的 13.96%（2025-01）。</t>
  </si>
  <si>
    <t>→ 工作表「3_单一地点奇点」</t>
  </si>
  <si>
    <t>发现 4</t>
  </si>
  <si>
    <t>剔除该邮编后，结论方向发生反转</t>
  </si>
  <si>
    <t>Noise - Residential 同比由 −9.5% 变为 +10.8%；全市同比由 +12.1% 变为 +14.6%。同类但幅度较小的情况还有 Drug Activity（单一地址占 18.0%，同比 −71.8%，剔除后 −66.2%）。</t>
  </si>
  <si>
    <t>发现 5</t>
  </si>
  <si>
    <t>关闭时效相差三个数量级，且直接测量会被截断与批量操作误导</t>
  </si>
  <si>
    <t>已关闭记录中，NYPD 中位 1.4 小时、99.1% 在 1 天内关闭；EDC 中位 262 天、仅 47.7% 的记录有关闭时间。2026-08 队列的 90 分位「降到」7.4 天纯属右截断假象；改用固定观察期口径后，30 天内关闭率稳定在 89–93%。EDC 96.6% 的关闭集中在 10 个日期上，关闭时间反映的是批量操作时点。</t>
  </si>
  <si>
    <t>→ 工作表「4_处理时效」</t>
  </si>
  <si>
    <t>发现 6</t>
  </si>
  <si>
    <t>未结存量 240,304 条（3.19%），集中在少数机构且普遍老化</t>
  </si>
  <si>
    <t>HPD 59,701、DPR 57,629、TLC 25,309、EDC 19,226。DHS 未结 17,562 条中 88.2% 已超过一年（中位 633 天）；另有 15,495 条状态为 Closed 却没有关闭时间，属于内部不一致。</t>
  </si>
  <si>
    <t>→ 工作表「5_未结与积压」</t>
  </si>
  <si>
    <t>阅读顺序</t>
  </si>
  <si>
    <t>顺序</t>
  </si>
  <si>
    <t>工作表</t>
  </si>
  <si>
    <t>看什么</t>
  </si>
  <si>
    <t>1</t>
  </si>
  <si>
    <t>1_数据概览</t>
  </si>
  <si>
    <t>总量、时间覆盖、机构与诉求结构、字段完整度</t>
  </si>
  <si>
    <t>2</t>
  </si>
  <si>
    <t>2_同比与增量</t>
  </si>
  <si>
    <t>同比变化，以及每个大额变动背后的性质（需求/天气/口径）</t>
  </si>
  <si>
    <t>3</t>
  </si>
  <si>
    <t>3_单一地点奇点</t>
  </si>
  <si>
    <t>单一地址与单一邮编的集中度证据，以及剔除后的指标反转</t>
  </si>
  <si>
    <t>4</t>
  </si>
  <si>
    <t>4_处理时效</t>
  </si>
  <si>
    <t>各机构关闭时长分布；右截断与批量关闭两个陷阱的实证</t>
  </si>
  <si>
    <t>5</t>
  </si>
  <si>
    <t>5_未结与积压</t>
  </si>
  <si>
    <t>未结存量、账龄、两个机构级个案（EDC 直升机噪音、DHS 状态缺口）</t>
  </si>
  <si>
    <t>6</t>
  </si>
  <si>
    <t>6_季节性与需求</t>
  </si>
  <si>
    <t>HEAT/HOT WATER、Snow or Ice、坑洞、树木的月度节律与采暖季对比</t>
  </si>
  <si>
    <t>7</t>
  </si>
  <si>
    <t>7_渠道结构</t>
  </si>
  <si>
    <t>ONLINE / PHONE / MOBILE / UNKNOWN 四个渠道的结构迁移</t>
  </si>
  <si>
    <t>8</t>
  </si>
  <si>
    <t>8_数据质量</t>
  </si>
  <si>
    <t>质量核查清单、关闭日期集中度、口径风险与对结论的影响</t>
  </si>
  <si>
    <t>9</t>
  </si>
  <si>
    <t>9_方法与复现</t>
  </si>
  <si>
    <t>全部口径定义、关键假设、复现步骤与文件清单</t>
  </si>
  <si>
    <t>本页所有数字均可在后续工作表中回查；工作表「9_方法与复现」列出了每一步的计算口径与可执行脚本。</t>
  </si>
  <si>
    <t>1. 数据概览</t>
  </si>
  <si>
    <t>规模、时间覆盖、机构与诉求结构</t>
  </si>
  <si>
    <t>月度请求量（2024-10 ~ 2026-08 为完整月；首末两个月不完整，仅作参考）</t>
  </si>
  <si>
    <t>月份</t>
  </si>
  <si>
    <t>请求数</t>
  </si>
  <si>
    <t>覆盖天数</t>
  </si>
  <si>
    <t>是否完整月</t>
  </si>
  <si>
    <t>2024-09</t>
  </si>
  <si>
    <t>不完整</t>
  </si>
  <si>
    <t>2024-10</t>
  </si>
  <si>
    <t>完整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</si>
  <si>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</si>
  <si>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</si>
  <si>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</si>
  <si>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</si>
  <si>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</si>
  <si>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</si>
  <si>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</si>
  <si>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</si>
  <si>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</si>
  <si>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</si>
  <si>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</si>
  <si>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</si>
  <si>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</si>
  <si>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</si>
  <si>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</si>
  <si>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</si>
  <si>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</si>
  <si>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</si>
  <si>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</si>
  <si>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</si>
  <si>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</si>
  <si>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</si>
  <si>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</si>
  <si>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机构维度的规模与时效（按请求量降序）</t>
  </si>
  <si>
    <t>机构</t>
  </si>
  <si>
    <t>占比%</t>
  </si>
  <si>
    <t>有效关闭数</t>
  </si>
  <si>
    <t>有有效关闭时间%</t>
  </si>
  <si>
    <t>无关闭时间</t>
  </si>
  <si>
    <t>关闭早于创建</t>
  </si>
  <si>
    <t>关闭中位(天)</t>
  </si>
  <si>
    <t>关闭90分位(天)</t>
  </si>
  <si>
    <t>1天内关闭%</t>
  </si>
  <si>
    <t>30天内关闭%</t>
  </si>
  <si>
    <t>NYPD</t>
  </si>
  <si>
    <t>HPD</t>
  </si>
  <si>
    <t>DSNY</t>
  </si>
  <si>
    <t>DOT</t>
  </si>
  <si>
    <t>DEP</t>
  </si>
  <si>
    <t>DPR</t>
  </si>
  <si>
    <t>DOB</t>
  </si>
  <si>
    <t>DOHMH</t>
  </si>
  <si>
    <t>DHS</t>
  </si>
  <si>
    <t>TLC</t>
  </si>
  <si>
    <t>DCWP</t>
  </si>
  <si>
    <t>EDC</t>
  </si>
  <si>
    <t>OOS</t>
  </si>
  <si>
    <t>DOE</t>
  </si>
  <si>
    <t>OTI</t>
  </si>
  <si>
    <t>NYC311-PRD</t>
  </si>
  <si>
    <t>注：「关闭中位(天)」等时长指标只在有有效关闭时间的记录上计算（即 closed_date 非空且不早于 created_date），因此与「有有效关闭时间%」一起看才有意义——EDC 的 262 天只是其 47.7% 已关闭记录的中位数。</t>
  </si>
  <si>
    <t>请求量前 20 的诉求类型</t>
  </si>
  <si>
    <t>诉求类型</t>
  </si>
  <si>
    <t>占全市%</t>
  </si>
  <si>
    <t>Illegal Parking</t>
  </si>
  <si>
    <t>Noise - Residential</t>
  </si>
  <si>
    <t>HEAT/HOT WATER</t>
  </si>
  <si>
    <t>Blocked Driveway</t>
  </si>
  <si>
    <t>Noise - Street/Sidewalk</t>
  </si>
  <si>
    <t>UNSANITARY CONDITION</t>
  </si>
  <si>
    <t>Street Condition</t>
  </si>
  <si>
    <t>Water System</t>
  </si>
  <si>
    <t>PLUMBING</t>
  </si>
  <si>
    <t>Abandoned Vehicle</t>
  </si>
  <si>
    <t>Dirty Condition</t>
  </si>
  <si>
    <t>Noise - Commercial</t>
  </si>
  <si>
    <t>PAINT/PLASTER</t>
  </si>
  <si>
    <t>Noise</t>
  </si>
  <si>
    <t>Traffic Signal Condition</t>
  </si>
  <si>
    <t>DOOR/WINDOW</t>
  </si>
  <si>
    <t>Noise - Vehicle</t>
  </si>
  <si>
    <t>WATER LEAK</t>
  </si>
  <si>
    <t>Derelict Vehicles</t>
  </si>
  <si>
    <t>Missed Collection</t>
  </si>
  <si>
    <t>2. 同比与增量（2026 年 1–8 月 vs 2025 年 1–8 月）</t>
  </si>
  <si>
    <t>窗口说明：两年均为 1 月 1 日–8 月 31 日的 8 个完整月，季节对齐；2024 年无同期数据故不参与同比</t>
  </si>
  <si>
    <t>总量</t>
  </si>
  <si>
    <t>口径</t>
  </si>
  <si>
    <t>2025年1-8月</t>
  </si>
  <si>
    <t>2026年1-8月</t>
  </si>
  <si>
    <t>变化率%</t>
  </si>
  <si>
    <t>全市（全部记录）</t>
  </si>
  <si>
    <t>全市（剔除 ZIP 10466）</t>
  </si>
  <si>
    <t>Noise - Residential（全部）</t>
  </si>
  <si>
    <t>Noise - Residential（剔除 ZIP 10466）</t>
  </si>
  <si>
    <t>Drug Activity（全部）</t>
  </si>
  <si>
    <t>Drug Activity（剔除 82-68 164 STREET）</t>
  </si>
  <si>
    <t>剔除 ZIP 10466 后全市同比由 +12.1% 变为 +14.6%；Noise - Residential 由 −9.5% 反转为 +10.8%；Drug Activity 剔除单一地址后仍为 −66.2%。证据见「3_单一地点奇点」。</t>
  </si>
  <si>
    <t>按机构</t>
  </si>
  <si>
    <t>增减量</t>
  </si>
  <si>
    <t>OOS 与 NYC311-PRD 在 2025 年 1–8 月为 0（机构/类别新出现），变化率不适用，表中留空。</t>
  </si>
  <si>
    <t>按诉求类型（增减量绝对值 ≥ 3,000 的类型）</t>
  </si>
  <si>
    <t>「变动性质」是依据月度分布做的推断，不是原始字段；每一类都能在「6_季节性与需求」或「8_数据质量」中找到依据。</t>
  </si>
  <si>
    <t>变动性质（推断）</t>
  </si>
  <si>
    <t>天气相关（坑洞，2026-03 集中）</t>
  </si>
  <si>
    <t>Snow or Ice</t>
  </si>
  <si>
    <t>强季节性（天气相关）</t>
  </si>
  <si>
    <t>常规波动</t>
  </si>
  <si>
    <t>Drug Activity</t>
  </si>
  <si>
    <t>Damaged Tree</t>
  </si>
  <si>
    <t>天气相关（夏季集中）</t>
  </si>
  <si>
    <t>Water Maintenance</t>
  </si>
  <si>
    <t>口径/子类变化</t>
  </si>
  <si>
    <t>GENERAL</t>
  </si>
  <si>
    <t>Sewer Maintenance</t>
  </si>
  <si>
    <t>Noise - Helicopter</t>
  </si>
  <si>
    <t>Rodent</t>
  </si>
  <si>
    <t>Building/Use</t>
  </si>
  <si>
    <t>ELECTRIC</t>
  </si>
  <si>
    <t>Vendor Enforcement</t>
  </si>
  <si>
    <t>Maintenance or Facility</t>
  </si>
  <si>
    <t>General Construction/Plumbing</t>
  </si>
  <si>
    <t>FLOORING/STAIRS</t>
  </si>
  <si>
    <t>Elevator</t>
  </si>
  <si>
    <t>Overgrown Tree/Branches</t>
  </si>
  <si>
    <t>Traffic</t>
  </si>
  <si>
    <t>Street Light Condition</t>
  </si>
  <si>
    <t>Residential Disposal Complaint</t>
  </si>
  <si>
    <t>Cannabis Retailer</t>
  </si>
  <si>
    <t>新增类别</t>
  </si>
  <si>
    <t>把「Snow or Ice + Street Condition + Water/Sewer Maintenance + Cannabis Retailer」五项相加为 115,514 条，占全市 8 个月净增 287,342 条的 40.2%；它们的成因分别是天气、天气、口径、新增类别，不能与「市民需求增长」等同。表中「变动性质（推断）」一列的依据见「6_季节性与需求」的 6.1 与 6.3。</t>
  </si>
  <si>
    <t>3. 单一地点奇点：记录数不等于现实事件数</t>
  </si>
  <si>
    <t>本页是全部分析中最重要的一条风险提示：个别地址的密集重复提交足以改变市级指标方向</t>
  </si>
  <si>
    <t>3.1 单一地址集中度（各诉求类型中排名第一的地址）</t>
  </si>
  <si>
    <t>地址</t>
  </si>
  <si>
    <t>ZIP</t>
  </si>
  <si>
    <t>borough</t>
  </si>
  <si>
    <t>该地址请求数</t>
  </si>
  <si>
    <t>该类型全市总数</t>
  </si>
  <si>
    <t>占该类型%</t>
  </si>
  <si>
    <t>首次出现</t>
  </si>
  <si>
    <t>末次出现</t>
  </si>
  <si>
    <t>78-15 PARSONS BOULEVARD</t>
  </si>
  <si>
    <t>QUEENS</t>
  </si>
  <si>
    <t>2024-09-08</t>
  </si>
  <si>
    <t>2026-09-04</t>
  </si>
  <si>
    <t>655 EAST  230 STREET</t>
  </si>
  <si>
    <t>BRONX</t>
  </si>
  <si>
    <t>2024-09-07</t>
  </si>
  <si>
    <t>2025-12-31</t>
  </si>
  <si>
    <t>82-68 164 STREET</t>
  </si>
  <si>
    <t>2026-08-29</t>
  </si>
  <si>
    <t>295 ST JOHNS PLACE</t>
  </si>
  <si>
    <t>BROOKLYN</t>
  </si>
  <si>
    <t>2024-12-22</t>
  </si>
  <si>
    <t>2026-09-03</t>
  </si>
  <si>
    <t>2025-05-27</t>
  </si>
  <si>
    <t>30-70 34 STREET</t>
  </si>
  <si>
    <t>2025-10-11</t>
  </si>
  <si>
    <t>2400 2 AVENUE</t>
  </si>
  <si>
    <t>MANHATTAN</t>
  </si>
  <si>
    <t>2025-12-14</t>
  </si>
  <si>
    <t>Non-Emergency Police Matter</t>
  </si>
  <si>
    <t>365 THATFORD AVENUE</t>
  </si>
  <si>
    <t>2026-06-30</t>
  </si>
  <si>
    <t>Food Establishment</t>
  </si>
  <si>
    <t>1597 YORK AVENUE</t>
  </si>
  <si>
    <t>2024-09-11</t>
  </si>
  <si>
    <t>1000 5 AVENUE</t>
  </si>
  <si>
    <t>For Hire Vehicle Complaint</t>
  </si>
  <si>
    <t>JOHN F KENNEDY AIRPORT</t>
  </si>
  <si>
    <t>2024-09-10</t>
  </si>
  <si>
    <t>2026-09-05</t>
  </si>
  <si>
    <t>78-15 PARSONS BOULEVARD（皇后区 11366）在 Traffic 中占 24.8%，82-68 164 STREET（皇后区 11432）在 Drug Activity 中占 18.0%，655 EAST 230 STREET（布朗克斯 10466）在 Noise - Residential 中占 19.0%（该 Z 表按未经合并的地址字符串统计，把空格拼写差异合并后为 19.5%）。这些地址跨越 20+ 个月持续提交，形态更像长期固定的重复投诉源，而非一次性的异常。</t>
  </si>
  <si>
    <t>3.2 焦点地址：655 EAST 230 STREET（Bronx, ZIP 10466）</t>
  </si>
  <si>
    <t>指标</t>
  </si>
  <si>
    <t>该地址 Noise - Residential 请求总数</t>
  </si>
  <si>
    <t>171,558 条（两种拼写合并：167,077 + 4,481）</t>
  </si>
  <si>
    <t>占全市该类请求的比例</t>
  </si>
  <si>
    <t>19.5%（全市该类共 881,548 条）</t>
  </si>
  <si>
    <t>单日最高（2025-01-05）</t>
  </si>
  <si>
    <t>4,978 条（占当日该 ZIP 同类投诉的 99.8%）</t>
  </si>
  <si>
    <t>集中在 2025-01 一个月的占比</t>
  </si>
  <si>
    <t>40,029 条（占该地址全部的 23.3%）</t>
  </si>
  <si>
    <t>首次出现 / 末次出现</t>
  </si>
  <si>
    <t>2024-09-07 / 2025-12-31</t>
  </si>
  <si>
    <t>活跃月份数</t>
  </si>
  <si>
    <t>16 个月</t>
  </si>
  <si>
    <t>该地址全部诉求类型数</t>
  </si>
  <si>
    <t>15 类（噪声类占 99.6%）</t>
  </si>
  <si>
    <t>该地址 ZIP 10466 的请求总数</t>
  </si>
  <si>
    <t>247,699 条</t>
  </si>
  <si>
    <t>10466 单月占全市请求量最高</t>
  </si>
  <si>
    <t>13.96%（2025-01，48,604 / 348,180）</t>
  </si>
  <si>
    <t>3.3 ZIP 10466 与焦点地址的月度轨迹</t>
  </si>
  <si>
    <t>ZIP10466 请求数</t>
  </si>
  <si>
    <t>ZIP10466 噪音类</t>
  </si>
  <si>
    <t>焦点地址噪音类</t>
  </si>
  <si>
    <t>全市请求数</t>
  </si>
  <si>
    <t>该ZIP占全市%</t>
  </si>
  <si>
    <t>该地址在 2024-09~2025-01 与 2025-09~2025-12 两个阶段密集提交，2025-05~2025-08 几乎归零（单月最低 7 条），2026 年起基本停止（2026-06~2026-09 为 0 条）。这种「开-关」形态是判断其为重复提交源、而非真实噪声事件分布的主要依据；但数据本身不含提交者身份，无法确认动机或提交方式。</t>
  </si>
  <si>
    <t>3.4 剔除该邮编后指标的变化方向</t>
  </si>
  <si>
    <t>剔除对象</t>
  </si>
  <si>
    <t>ZIP 10466</t>
  </si>
  <si>
    <t>4. 处理时效（created_date → closed_date）</t>
  </si>
  <si>
    <t>本页同时给出两个陷阱的实证：右截断（晚关闭记录尚未入库）与批量关闭（关闭时间≠处理完成时间）</t>
  </si>
  <si>
    <t>4.1 各机构关闭时长分布（仅统计有有效关闭时间的记录）</t>
  </si>
  <si>
    <t>只统计 closed_date 非空且不早于 created_date 的记录；分母是「有效关闭数」，不是该机构全部请求。</t>
  </si>
  <si>
    <t>占该机构请求%</t>
  </si>
  <si>
    <t>中位(天)</t>
  </si>
  <si>
    <t>90分位(天)</t>
  </si>
  <si>
    <t>NYPD 中位 0.06 天≈1.4 小时、99.1% 一天内关闭；EDC 中位 262 天且只有 47.7% 的记录有关闭时间。两者相差约 4,400 倍。注意分母口径不同：机构的「中位(天)」是在已关闭记录上算的，未结记录不参与。</t>
  </si>
  <si>
    <t>4.2 陷阱一：右截断</t>
  </si>
  <si>
    <t>数据截止 2026-09-05。越靠近截止日的队列，晚关闭的记录越来不及出现在数据里，直接计算会把「变快」算成假象。</t>
  </si>
  <si>
    <t>创建月份</t>
  </si>
  <si>
    <t>已关闭数</t>
  </si>
  <si>
    <t>可观察天数</t>
  </si>
  <si>
    <t>30天内关闭%（固定观察期）</t>
  </si>
  <si>
    <t>2026-08 队列只有 5 天可观察，其 90 分位「降到」7.4 天、2026-09 队列更是只有 1.1 天，都是因为晚关闭记录不在数据里；因此「30天内关闭%」一列在可观察天数不足 30 天时留空。按固定观察期口径，全市 30 天内关闭率在 88.6%~92.6% 区间内基本平稳。</t>
  </si>
  <si>
    <t>4.3 同口径时效同比（1–7 月，两年均完整可观察）</t>
  </si>
  <si>
    <t>2025年1-7月请求数</t>
  </si>
  <si>
    <t>2025年30天内关闭%</t>
  </si>
  <si>
    <t>2026年1-7月请求数</t>
  </si>
  <si>
    <t>2026年30天内关闭%</t>
  </si>
  <si>
    <t>变化(百分点)</t>
  </si>
  <si>
    <t>4.4 陷阱二：批量关闭</t>
  </si>
  <si>
    <t>「关闭时间」可能只是行政批量处理的时点。下表统计各机构关闭日期最集中的程度（全部记录）。</t>
  </si>
  <si>
    <t>关闭总数</t>
  </si>
  <si>
    <t>单日最多关闭</t>
  </si>
  <si>
    <t>该日期</t>
  </si>
  <si>
    <t>单日占比%</t>
  </si>
  <si>
    <t>前10个日期合计占比%</t>
  </si>
  <si>
    <t>2026-02-13</t>
  </si>
  <si>
    <t>2026-01-30</t>
  </si>
  <si>
    <t>2026-06-11</t>
  </si>
  <si>
    <t>2025-01-11</t>
  </si>
  <si>
    <t>2025-06-03</t>
  </si>
  <si>
    <t>2025-10-31</t>
  </si>
  <si>
    <t>2026-02-24</t>
  </si>
  <si>
    <t>2025-06-24</t>
  </si>
  <si>
    <t>2025-06-16</t>
  </si>
  <si>
    <t>2025-12-21</t>
  </si>
  <si>
    <t>2025-11-10</t>
  </si>
  <si>
    <t>2026-02-01</t>
  </si>
  <si>
    <t>2026-01-28</t>
  </si>
  <si>
    <t>2025-01-02</t>
  </si>
  <si>
    <t>EDC 有 96.6% 的关闭落在 10 个日期上（单日最高 4,501 条），DOE 单日占 10.6%。对这些机构，把关闭时长当作「响应速度」会严重失真；而 NYPD、HPD 的关闭日期分布接近自然分布（前 10 日合计 2.7%、3.5%），其时长指标相对可信。</t>
  </si>
  <si>
    <t>5. 未结与积压</t>
  </si>
  <si>
    <t>以数据截止日 2026-09-05 为观察时点，统计没有关闭时间的记录及其账龄</t>
  </si>
  <si>
    <t>5.1 未结存量与账龄（按机构）</t>
  </si>
  <si>
    <t>未结请求数</t>
  </si>
  <si>
    <t>占未结总量%</t>
  </si>
  <si>
    <t>账龄中位(天)</t>
  </si>
  <si>
    <t>账龄90分位(天)</t>
  </si>
  <si>
    <t>超过365天</t>
  </si>
  <si>
    <t>超过365天占比%</t>
  </si>
  <si>
    <t>账龄 = 数据截止日 − 创建日期。「超过365天占比%」的分母是该机构的未结请求数。DHS 的未结请求中 88.2% 已超过一年，EDC 和 DEP 约为 28%。</t>
  </si>
  <si>
    <t>5.2 个案：EDC「Noise - Helicopter」</t>
  </si>
  <si>
    <t>请求总数</t>
  </si>
  <si>
    <t>36,776</t>
  </si>
  <si>
    <t>未结（无关闭时间）</t>
  </si>
  <si>
    <t>19,226（52.3%）</t>
  </si>
  <si>
    <t>已关闭</t>
  </si>
  <si>
    <t>17,550（47.7%）</t>
  </si>
  <si>
    <t>已关闭记录的中位关闭时长</t>
  </si>
  <si>
    <t>262 天</t>
  </si>
  <si>
    <t>关闭结果：不在管辖权内 / 联邦优先</t>
  </si>
  <si>
    <t>16,569（占已关闭的 94.4%）</t>
  </si>
  <si>
    <t>关闭结果：运营商在观光计划范围内</t>
  </si>
  <si>
    <t>680</t>
  </si>
  <si>
    <t>关闭结果：转交进一步审查</t>
  </si>
  <si>
    <t>31</t>
  </si>
  <si>
    <t>关闭结果：信息不足</t>
  </si>
  <si>
    <t>270</t>
  </si>
  <si>
    <t>关闭但无结果描述</t>
  </si>
  <si>
    <t>19,226</t>
  </si>
  <si>
    <t>EDC 全部 36,776 条请求都是直升机噪音类。已关闭记录中 94.4% 的结果是「不属于本机构管辖、由联邦法规优先」，加上 96.6% 的关闭集中在 10 个日期，说明这一类诉求在现有流程下基本无法在市层面解决；余下 52.3% 长期停留在 In Progress，其中位账龄 302 天。</t>
  </si>
  <si>
    <t>5.3 个案：DHS 的状态与关闭时间不一致</t>
  </si>
  <si>
    <t>status</t>
  </si>
  <si>
    <t>其中无关闭时间</t>
  </si>
  <si>
    <t>无关闭时间记录的账龄中位(天)</t>
  </si>
  <si>
    <t>Closed</t>
  </si>
  <si>
    <t>In Progress</t>
  </si>
  <si>
    <t>Assigned</t>
  </si>
  <si>
    <t>DHS 有 15,495 条记录状态为 Closed 却没有任何关闭时间（占其 Closed 记录的 15.6%），属于字段级不一致；本看板所有时长统计都要求 closed_date 非空，因此这些记录被计为「无有效关闭时间」，没有被当作已关闭。</t>
  </si>
  <si>
    <t>6. 季节性与需求节律</t>
  </si>
  <si>
    <t>几条对总量影响最大的诉求类型的月度分布</t>
  </si>
  <si>
    <t>6.1 关键类型的月度序列</t>
  </si>
  <si>
    <t>DOT 路面状况(Street Condition)</t>
  </si>
  <si>
    <t>其中：坑洞(Pothole)</t>
  </si>
  <si>
    <t>树木损坏类</t>
  </si>
  <si>
    <t>全市总量</t>
  </si>
  <si>
    <t>HEAT/HOT WATER 与 Snow or Ice 高度集中在冬季；DOT 路面状况在 2026-03 单月达到 28,629 条（此前常月约 4,000–7,000 条），其中坑洞类 22,790 条；树木损坏类在每年 5–8 月高位，2026 年夏季明显高于 2025 年同期。这些形态与天气一致，但数据中没有天气字段，因此「天气导致」是推断而非已验证的因果。</t>
  </si>
  <si>
    <t>6.2 采暖季对比（10 月–次年 3 月）</t>
  </si>
  <si>
    <t>采暖季</t>
  </si>
  <si>
    <t>HEAT/HOT WATER 请求数</t>
  </si>
  <si>
    <t>起始月</t>
  </si>
  <si>
    <t>结束月</t>
  </si>
  <si>
    <t>2024-25 采暖季</t>
  </si>
  <si>
    <t>2025-26 采暖季</t>
  </si>
  <si>
    <t>2025-26 采暖季比 2024-25 多 56,308 条（+22.0%）。结合 Snow or Ice 从 2024-11~2025-03 的 8,808 条升至 2025-11~2026-03 的 63,938 条，两个独立类别指向同一个方向，支持「2025-26 冬季更严酷」这一解释。</t>
  </si>
  <si>
    <t>6.3 口径变化证据：三个非需求性变动</t>
  </si>
  <si>
    <t>Water Maintenance 与 Sewer Maintenance 在 2025 日历年合计仅 51 条，2026 年已达 19,093 条，其中 2026-06 起才放量（2026-08 分别为 8,925 与 5,060 条），属于新出现的子类口径，不能把 2026 年的增量直接读作需求增长；Cannabis Retailer 于 2025-09 首次出现，对应新机构 OOS 的启用。Snow or Ice 则完全是冬季现象，2026 年 1–8 月多出的 47,240 条全部落在 1–3 月。</t>
  </si>
  <si>
    <t>7. 渠道结构迁移</t>
  </si>
  <si>
    <t>open_data_channel_type 的时间结构变化</t>
  </si>
  <si>
    <t>时段</t>
  </si>
  <si>
    <t>ONLINE%</t>
  </si>
  <si>
    <t>PHONE%</t>
  </si>
  <si>
    <t>MOBILE%</t>
  </si>
  <si>
    <t>UNKNOWN%</t>
  </si>
  <si>
    <t>2024-09~2025-02</t>
  </si>
  <si>
    <t>2025-03~2025-08</t>
  </si>
  <si>
    <t>2025-09~2026-02</t>
  </si>
  <si>
    <t>2026-03~2026-09</t>
  </si>
  <si>
    <t>ONLINE 从 40.1% 升到 46.9%，PHONE 从 28.5% 降到 23.1%，MOBILE 从 24.6% 降到 20.0%。UNKNOWN 在最后一段升到 9.9%，与 2026 年新出现的类别（OOS Cannabis Retailer、DEP 新子类等）同步，属于口径覆盖问题，不宜单独解读为渠道行为变化。</t>
  </si>
  <si>
    <t>8. 数据质量核查</t>
  </si>
  <si>
    <t>哪些问题会真正影响结论，哪些只是需要记录</t>
  </si>
  <si>
    <t>8.1 核查清单</t>
  </si>
  <si>
    <t>核查项</t>
  </si>
  <si>
    <t>基数</t>
  </si>
  <si>
    <t>缺少 closed_date（未结）</t>
  </si>
  <si>
    <t>closed_date 落在 00:00:00（仅日期精度）</t>
  </si>
  <si>
    <t>经纬度缺失</t>
  </si>
  <si>
    <t>resolution_description 缺失</t>
  </si>
  <si>
    <t>incident_zip 缺失</t>
  </si>
  <si>
    <t>状态=Closed 但无 closed_date</t>
  </si>
  <si>
    <t>处理时长超过 365 天</t>
  </si>
  <si>
    <t>borough 缺失或 Unspecified</t>
  </si>
  <si>
    <t>closed_date 早于 created_date</t>
  </si>
  <si>
    <t>closed_date 晚于数据截止日</t>
  </si>
  <si>
    <t>按影响程度排序，真正会改变结论的是三类：①240,304 条未结记录（占 3.19%）会使任何时长指标的分母不完整——已在「4_处理时效」中明确区分；②15,543 条状态为 Closed 却没有关闭时间（99.7% 来自 DHS）会让「已关闭比例」被高估；③关闭日期落在 00:00:00 的 218,233 条（占 2.90%）只有日期精度，会把小时级时长抹平。另有 1,877 条关闭早于创建（DOT 占 1,330 条，多为「创建日期比关闭日期晚 3 天」的系统性偏移），已在所有时长计算中剔除；本条清单以外的最大风险——单一地址重复提交——不属于字段质量问题，单列在「3_单一地点奇点」。</t>
  </si>
  <si>
    <t>8.2 对结论的影响与处理方式</t>
  </si>
  <si>
    <t>问题</t>
  </si>
  <si>
    <t>规模</t>
  </si>
  <si>
    <t>对结论的影响</t>
  </si>
  <si>
    <t>本看板的处理</t>
  </si>
  <si>
    <t>单一地址/邮编的密集重复提交</t>
  </si>
  <si>
    <t>单一地址 171,558 条（合并两种拼写）；单一 ZIP 单月占全市 13.96%</t>
  </si>
  <si>
    <t>会让市级同比方向反转，影响最大</t>
  </si>
  <si>
    <t>单列「3_单一地点奇点」，并给出剔除后的口径对比</t>
  </si>
  <si>
    <t>右截断（数据截止）</t>
  </si>
  <si>
    <t>最近 1–2 个月队列</t>
  </si>
  <si>
    <t>会让最近月份显得异常快</t>
  </si>
  <si>
    <t>只对可观察天数≥30 天的队列计算固定观察期指标</t>
  </si>
  <si>
    <t>批量关闭</t>
  </si>
  <si>
    <t>EDC 96.6% 的关闭集中在 10 天</t>
  </si>
  <si>
    <t>会让关闭时长失去「响应速度」含义</t>
  </si>
  <si>
    <t>单列关闭日期集中度，并在解读时长时说明</t>
  </si>
  <si>
    <t>1,877 条（占 0.025%）</t>
  </si>
  <si>
    <t>轻微，但会污染均值</t>
  </si>
  <si>
    <t>所有时长计算中剔除</t>
  </si>
  <si>
    <t>状态与关闭时间不一致</t>
  </si>
  <si>
    <t>15,543 条（其中 DHS 15,495 条）</t>
  </si>
  <si>
    <t>影响未结口径</t>
  </si>
  <si>
    <t>计入「无有效关闭时间」，不计为已关闭</t>
  </si>
  <si>
    <t>关闭时间只有日期精度</t>
  </si>
  <si>
    <t>218,233 条（占 2.90%）</t>
  </si>
  <si>
    <t>影响小时级精度指标</t>
  </si>
  <si>
    <t>不用于小时级结论；涉及时段的问题已在注释中说明</t>
  </si>
  <si>
    <t>新出现/更名的诉求子类</t>
  </si>
  <si>
    <t>Water/Sewer Maintenance 2026 年 19,093 条</t>
  </si>
  <si>
    <t>会让同比虚增</t>
  </si>
  <si>
    <t>在「6_季节性与需求」中单列，不并入需求解释</t>
  </si>
  <si>
    <t>缺失值</t>
  </si>
  <si>
    <t>borough 0.08%、ZIP 0.87%、经纬度 1.72%</t>
  </si>
  <si>
    <t>borough/ZIP 分析基本不受影响</t>
  </si>
  <si>
    <t>在完整性表中披露，不做插补</t>
  </si>
  <si>
    <t>9. 口径、假设与复现</t>
  </si>
  <si>
    <t>所有数字的计算定义与回溯路径</t>
  </si>
  <si>
    <t>9.1 口径定义</t>
  </si>
  <si>
    <t>术语</t>
  </si>
  <si>
    <t>定义</t>
  </si>
  <si>
    <t>分析全窗口</t>
  </si>
  <si>
    <t>created_date 2024-09-07 00:00:00 ~ 2026-09-05 02:22:25，共 7,525,498 条</t>
  </si>
  <si>
    <t>完整月窗口</t>
  </si>
  <si>
    <t>2024-10-01 ~ 2026-08-31，共 23 个月；2024-09（24 天）与 2026-09（5 天）不完整，不用于趋势比较</t>
  </si>
  <si>
    <t>同比窗口</t>
  </si>
  <si>
    <t>1 月 1 日 ~ 8 月 31 日的 2025 与 2026，两年同为 8 个完整月；2024 年无 1–8 月数据，不参与同比</t>
  </si>
  <si>
    <t>记录粒度</t>
  </si>
  <si>
    <t>一行 = 一条服务请求，unique_key 为唯一键，7,525,498 条无重复</t>
  </si>
  <si>
    <t>处理时长（dur_days）</t>
  </si>
  <si>
    <t>(closed_date − created_date) / 86400，秒级计算；仅统计 closed_date 非空且 ≥ created_date 的记录</t>
  </si>
  <si>
    <t>有效关闭时间</t>
  </si>
  <si>
    <t>closed_date 非空 且 closed_date ≥ created_date；其余（含 240,304 条空值与 1,877 条倒挂）不参与时长统计</t>
  </si>
  <si>
    <t>未结</t>
  </si>
  <si>
    <t>closed_date 为空；截至 2026-09-05 共 240,304 条，占 3.19%</t>
  </si>
  <si>
    <t>固定观察期口径</t>
  </si>
  <si>
    <t>「30 天内关闭占比」的分母为队列请求数，只在队列可观察天数 ≥30 天时计算；用于规避右截断</t>
  </si>
  <si>
    <t>账龄</t>
  </si>
  <si>
    <t>数据截止日 − created_date，按天计</t>
  </si>
  <si>
    <t>数据截止日</t>
  </si>
  <si>
    <t>2026-09-05 02:22:25，即 created_date 的最大值；closed_date 的有效上界也在此附近（仅 1 条超出）</t>
  </si>
  <si>
    <t>9.2 关键假设与判断（最少且已记录）</t>
  </si>
  <si>
    <t>#</t>
  </si>
  <si>
    <t>假设/判断</t>
  </si>
  <si>
    <t>A1</t>
  </si>
  <si>
    <t>未做任何记录级删除或改写；所有清洗都体现为查询条件，原始 Parquet 只读。</t>
  </si>
  <si>
    <t>A2</t>
  </si>
  <si>
    <t>24 小时内关闭的时长按秒计算，不因 218,233 条只有日期精度的关闭时间而整体降级。</t>
  </si>
  <si>
    <t>A3</t>
  </si>
  <si>
    <t>把 ZIP 10466 / 655 EAST 230 STREET 等判为「重复提交源」是描述性推断：依据是单日单地址 4,978 条、开关式时间形态与占全市该类 19.0% 的集中度；数据不含提交者身份，未对其动机或方式下结论。</t>
  </si>
  <si>
    <t>A4</t>
  </si>
  <si>
    <t>「天气导致」仅作为与季节形态一致的推断，数据中无天气字段，未做因果检验。</t>
  </si>
  <si>
    <t>A5</t>
  </si>
  <si>
    <t>Water Maintenance / Sewer Maintenance 判为新口径子类，依据是其 2025 全年仅 19 条、2026-06 起放量至月均数千条，属于形态判断。</t>
  </si>
  <si>
    <t>A6</t>
  </si>
  <si>
    <t>「关闭时长」不等于实际处理完成时间，尤其对 EDC/DOE 等批量关闭机构；本看板始终同时给出关闭日期集中度。</t>
  </si>
  <si>
    <t>9.3 复现步骤</t>
  </si>
  <si>
    <t>步骤</t>
  </si>
  <si>
    <t>命令</t>
  </si>
  <si>
    <t>产物</t>
  </si>
  <si>
    <t>python scripts/01_extract.py</t>
  </si>
  <si>
    <t>out/*.csv（23 张中间汇总表）</t>
  </si>
  <si>
    <t>只读 D:\项目1\原始数据\*.parquet，用 DuckDB 直接查询，不落原始数据副本</t>
  </si>
  <si>
    <t>python scripts/02_build_workbook.py</t>
  </si>
  <si>
    <t>最终成果.xlsx（本文件）</t>
  </si>
  <si>
    <t>仅做排版，不重算任何口径</t>
  </si>
  <si>
    <t>python scripts/03_verify.py</t>
  </si>
  <si>
    <t>自检报告（34 项交叉核对）</t>
  </si>
  <si>
    <t>从原始 Parquet 重算关键数字，与中间表及本工作簿交叉核对</t>
  </si>
  <si>
    <t>分析说明.md（结论、限制、假设）</t>
  </si>
  <si>
    <t>与本工作簿配套阅读</t>
  </si>
  <si>
    <t>9.5 正文引用的关键数字回查表</t>
  </si>
  <si>
    <t>本看板正文与说明中出现的每个数字都对应下表的一行，均可由 scripts/01_extract.py 重新生成。</t>
  </si>
  <si>
    <t>关键数字</t>
  </si>
  <si>
    <t>数值</t>
  </si>
  <si>
    <t>DHS 状态=Closed 但无关闭时间</t>
  </si>
  <si>
    <t>DOT 路面坑洞 2026-03 单月</t>
  </si>
  <si>
    <t>DOT 路面坑洞 2026-08 单月</t>
  </si>
  <si>
    <t>EDC 关闭日期最集中的 10 天占比（×100）</t>
  </si>
  <si>
    <t>Snow or Ice 冬季合计 2024-11~2025-03</t>
  </si>
  <si>
    <t>Snow or Ice 冬季合计 2025-11~2026-03</t>
  </si>
  <si>
    <t>Water/Sewer Maintenance 2025 日历年合计</t>
  </si>
  <si>
    <t>Water/Sewer Maintenance 2026 日历年合计</t>
  </si>
  <si>
    <t>全市同比净增（2026-01~08 vs 2025-01~08）</t>
  </si>
  <si>
    <t>全市未结总数</t>
  </si>
  <si>
    <t>单项增量前三合计（Snow or Ice + Street Condition + Water/Sewer Maintenance）</t>
  </si>
  <si>
    <t>天气/口径类五项增量合计（Snow or Ice + Street Condition + Water/Sewer Maintenance + Cannabis Retailer）</t>
  </si>
  <si>
    <t>焦点地址 2025-01-05 单日提交量</t>
  </si>
  <si>
    <t>焦点地址 Noise - Residential 累计</t>
  </si>
  <si>
    <t>9.6 本看板未做的事</t>
  </si>
  <si>
    <t>未使用外部数据（人口、天气、预算等），因此不做人均、单位面积等标准化比较，也不对天气做因果归因；未使用机器学习或预测模型，因为现有问题都能用分组对比与固定观察期口径回答；未对缺失值做插补，因为缺失比例低且不改变主要结论；未对同一地址的重复提交做去重，而是保留并单独披露其影响——去重规则本身需要业务口径，数据不足以支撑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</si>
</sst>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&quot;%&quot;"/>
    <numFmt numFmtId="166" formatCode="#,##0.0"/>
  </numFmts>
  <fonts count="8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9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166" fontId="0" fillId="0" borderId="4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月度请求量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请求数</c:v>
          </c:tx>
          <c:spPr>
            <a:ln w="25400">
              <a:solidFill>
                <a:srgbClr val="1F3864"/>
              </a:solidFill>
            </a:ln>
          </c:spPr>
          <c:marker>
            <c:symbol val="circle"/>
            <c:size val="4"/>
          </c:marker>
          <c:cat>
            <c:strRef>
              <c:f>'1_数据概览'!$A$6:$A$30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'1_数据概览'!$B$6:$B$30</c:f>
              <c:numCache>
                <c:formatCode>General</c:formatCode>
                <c:ptCount val="25"/>
                <c:pt idx="0">
                  <c:v>248139</c:v>
                </c:pt>
                <c:pt idx="1">
                  <c:v>306803</c:v>
                </c:pt>
                <c:pt idx="2">
                  <c:v>293515</c:v>
                </c:pt>
                <c:pt idx="3">
                  <c:v>313949</c:v>
                </c:pt>
                <c:pt idx="4">
                  <c:v>348180</c:v>
                </c:pt>
                <c:pt idx="5">
                  <c:v>255364</c:v>
                </c:pt>
                <c:pt idx="6">
                  <c:v>281221</c:v>
                </c:pt>
                <c:pt idx="7">
                  <c:v>272549</c:v>
                </c:pt>
                <c:pt idx="8">
                  <c:v>295058</c:v>
                </c:pt>
                <c:pt idx="9">
                  <c:v>306442</c:v>
                </c:pt>
                <c:pt idx="10">
                  <c:v>315883</c:v>
                </c:pt>
                <c:pt idx="11">
                  <c:v>304039</c:v>
                </c:pt>
                <c:pt idx="12">
                  <c:v>302684</c:v>
                </c:pt>
                <c:pt idx="13">
                  <c:v>336612</c:v>
                </c:pt>
                <c:pt idx="14">
                  <c:v>304905</c:v>
                </c:pt>
                <c:pt idx="15">
                  <c:v>332103</c:v>
                </c:pt>
                <c:pt idx="16">
                  <c:v>348511</c:v>
                </c:pt>
                <c:pt idx="17">
                  <c:v>334690</c:v>
                </c:pt>
                <c:pt idx="18">
                  <c:v>342387</c:v>
                </c:pt>
                <c:pt idx="19">
                  <c:v>302190</c:v>
                </c:pt>
                <c:pt idx="20">
                  <c:v>331978</c:v>
                </c:pt>
                <c:pt idx="21">
                  <c:v>334833</c:v>
                </c:pt>
                <c:pt idx="22">
                  <c:v>343043</c:v>
                </c:pt>
                <c:pt idx="23">
                  <c:v>328446</c:v>
                </c:pt>
                <c:pt idx="24">
                  <c:v>41974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请求数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剔除单一邮编/地址前后的同比对比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2025年1-8月</c:v>
          </c:tx>
          <c:spPr>
            <a:solidFill>
              <a:srgbClr val="8EA9DB"/>
            </a:solidFill>
          </c:spPr>
          <c:cat>
            <c:strRef>
              <c:f>'2_同比与增量'!$A$6:$A$11</c:f>
              <c:strCache>
                <c:ptCount val="6"/>
                <c:pt idx="0">
                  <c:v>全市（全部记录）</c:v>
                </c:pt>
                <c:pt idx="1">
                  <c:v>全市（剔除 ZIP 10466）</c:v>
                </c:pt>
                <c:pt idx="2">
                  <c:v>Noise - Residential（全部）</c:v>
                </c:pt>
                <c:pt idx="3">
                  <c:v>Noise - Residential（剔除 ZIP 10466）</c:v>
                </c:pt>
                <c:pt idx="4">
                  <c:v>Drug Activity（全部）</c:v>
                </c:pt>
                <c:pt idx="5">
                  <c:v>Drug Activity（剔除 82-68 164 STREET）</c:v>
                </c:pt>
              </c:strCache>
            </c:strRef>
          </c:cat>
          <c:val>
            <c:numRef>
              <c:f>'2_同比与增量'!$B$6:$B$11</c:f>
              <c:numCache>
                <c:formatCode>General</c:formatCode>
                <c:ptCount val="6"/>
                <c:pt idx="0">
                  <c:v>2378736</c:v>
                </c:pt>
                <c:pt idx="1">
                  <c:v>2303848</c:v>
                </c:pt>
                <c:pt idx="2">
                  <c:v>276711</c:v>
                </c:pt>
                <c:pt idx="3">
                  <c:v>220171</c:v>
                </c:pt>
                <c:pt idx="4">
                  <c:v>22840</c:v>
                </c:pt>
                <c:pt idx="5">
                  <c:v>17857</c:v>
                </c:pt>
              </c:numCache>
            </c:numRef>
          </c:val>
        </c:ser>
        <c:ser>
          <c:idx val="1"/>
          <c:order val="1"/>
          <c:tx>
            <c:v>2026年1-8月</c:v>
          </c:tx>
          <c:spPr>
            <a:solidFill>
              <a:srgbClr val="1F3864"/>
            </a:solidFill>
          </c:spPr>
          <c:cat>
            <c:strRef>
              <c:f>'2_同比与增量'!$A$6:$A$11</c:f>
              <c:strCache>
                <c:ptCount val="6"/>
                <c:pt idx="0">
                  <c:v>全市（全部记录）</c:v>
                </c:pt>
                <c:pt idx="1">
                  <c:v>全市（剔除 ZIP 10466）</c:v>
                </c:pt>
                <c:pt idx="2">
                  <c:v>Noise - Residential（全部）</c:v>
                </c:pt>
                <c:pt idx="3">
                  <c:v>Noise - Residential（剔除 ZIP 10466）</c:v>
                </c:pt>
                <c:pt idx="4">
                  <c:v>Drug Activity（全部）</c:v>
                </c:pt>
                <c:pt idx="5">
                  <c:v>Drug Activity（剔除 82-68 164 STREET）</c:v>
                </c:pt>
              </c:strCache>
            </c:strRef>
          </c:cat>
          <c:val>
            <c:numRef>
              <c:f>'2_同比与增量'!$C$6:$C$11</c:f>
              <c:numCache>
                <c:formatCode>General</c:formatCode>
                <c:ptCount val="6"/>
                <c:pt idx="0">
                  <c:v>2666078</c:v>
                </c:pt>
                <c:pt idx="1">
                  <c:v>2639796</c:v>
                </c:pt>
                <c:pt idx="2">
                  <c:v>250333</c:v>
                </c:pt>
                <c:pt idx="3">
                  <c:v>243966</c:v>
                </c:pt>
                <c:pt idx="4">
                  <c:v>6439</c:v>
                </c:pt>
                <c:pt idx="5">
                  <c:v>6034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请求数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各机构同比增减量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增减量</c:v>
          </c:tx>
          <c:spPr>
            <a:solidFill>
              <a:srgbClr val="2E75B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'2_同比与增量'!$A$17:$A$32</c:f>
              <c:strCache>
                <c:ptCount val="16"/>
                <c:pt idx="0">
                  <c:v>HPD</c:v>
                </c:pt>
                <c:pt idx="1">
                  <c:v>DOT</c:v>
                </c:pt>
                <c:pt idx="2">
                  <c:v>DSNY</c:v>
                </c:pt>
                <c:pt idx="3">
                  <c:v>DPR</c:v>
                </c:pt>
                <c:pt idx="4">
                  <c:v>DEP</c:v>
                </c:pt>
                <c:pt idx="5">
                  <c:v>NYPD</c:v>
                </c:pt>
                <c:pt idx="6">
                  <c:v>DOB</c:v>
                </c:pt>
                <c:pt idx="7">
                  <c:v>OOS</c:v>
                </c:pt>
                <c:pt idx="8">
                  <c:v>TLC</c:v>
                </c:pt>
                <c:pt idx="9">
                  <c:v>DCWP</c:v>
                </c:pt>
                <c:pt idx="10">
                  <c:v>NYC311-PRD</c:v>
                </c:pt>
                <c:pt idx="11">
                  <c:v>OTI</c:v>
                </c:pt>
                <c:pt idx="12">
                  <c:v>DOE</c:v>
                </c:pt>
                <c:pt idx="13">
                  <c:v>DOHMH</c:v>
                </c:pt>
                <c:pt idx="14">
                  <c:v>DHS</c:v>
                </c:pt>
                <c:pt idx="15">
                  <c:v>EDC</c:v>
                </c:pt>
              </c:strCache>
            </c:strRef>
          </c:cat>
          <c:val>
            <c:numRef>
              <c:f>'2_同比与增量'!$D$17:$D$32</c:f>
              <c:numCache>
                <c:formatCode>General</c:formatCode>
                <c:ptCount val="16"/>
                <c:pt idx="0">
                  <c:v>116115</c:v>
                </c:pt>
                <c:pt idx="1">
                  <c:v>64561</c:v>
                </c:pt>
                <c:pt idx="2">
                  <c:v>33516</c:v>
                </c:pt>
                <c:pt idx="3">
                  <c:v>22951</c:v>
                </c:pt>
                <c:pt idx="4">
                  <c:v>20373</c:v>
                </c:pt>
                <c:pt idx="5">
                  <c:v>17449</c:v>
                </c:pt>
                <c:pt idx="6">
                  <c:v>14852</c:v>
                </c:pt>
                <c:pt idx="7">
                  <c:v>3015</c:v>
                </c:pt>
                <c:pt idx="8">
                  <c:v>2730</c:v>
                </c:pt>
                <c:pt idx="9">
                  <c:v>2010</c:v>
                </c:pt>
                <c:pt idx="10">
                  <c:v>371</c:v>
                </c:pt>
                <c:pt idx="11">
                  <c:v>43</c:v>
                </c:pt>
                <c:pt idx="12">
                  <c:v>-566</c:v>
                </c:pt>
                <c:pt idx="13">
                  <c:v>-1152</c:v>
                </c:pt>
                <c:pt idx="14">
                  <c:v>-2663</c:v>
                </c:pt>
                <c:pt idx="15">
                  <c:v>-6263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ZIP 10466 与单一地址的月度轨迹 vs 全市总量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ZIP10466 请求数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'3_单一地点奇点'!$A$35:$A$59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'3_单一地点奇点'!$B$35:$B$59</c:f>
              <c:numCache>
                <c:formatCode>General</c:formatCode>
                <c:ptCount val="25"/>
                <c:pt idx="0">
                  <c:v>17450</c:v>
                </c:pt>
                <c:pt idx="1">
                  <c:v>10662</c:v>
                </c:pt>
                <c:pt idx="2">
                  <c:v>14986</c:v>
                </c:pt>
                <c:pt idx="3">
                  <c:v>23532</c:v>
                </c:pt>
                <c:pt idx="4">
                  <c:v>48604</c:v>
                </c:pt>
                <c:pt idx="5">
                  <c:v>6921</c:v>
                </c:pt>
                <c:pt idx="6">
                  <c:v>5022</c:v>
                </c:pt>
                <c:pt idx="7">
                  <c:v>3527</c:v>
                </c:pt>
                <c:pt idx="8">
                  <c:v>2330</c:v>
                </c:pt>
                <c:pt idx="9">
                  <c:v>2493</c:v>
                </c:pt>
                <c:pt idx="10">
                  <c:v>2843</c:v>
                </c:pt>
                <c:pt idx="11">
                  <c:v>3148</c:v>
                </c:pt>
                <c:pt idx="12">
                  <c:v>8714</c:v>
                </c:pt>
                <c:pt idx="13">
                  <c:v>20927</c:v>
                </c:pt>
                <c:pt idx="14">
                  <c:v>17245</c:v>
                </c:pt>
                <c:pt idx="15">
                  <c:v>32703</c:v>
                </c:pt>
                <c:pt idx="16">
                  <c:v>4068</c:v>
                </c:pt>
                <c:pt idx="17">
                  <c:v>3604</c:v>
                </c:pt>
                <c:pt idx="18">
                  <c:v>4310</c:v>
                </c:pt>
                <c:pt idx="19">
                  <c:v>3664</c:v>
                </c:pt>
                <c:pt idx="20">
                  <c:v>2447</c:v>
                </c:pt>
                <c:pt idx="21">
                  <c:v>2421</c:v>
                </c:pt>
                <c:pt idx="22">
                  <c:v>2983</c:v>
                </c:pt>
                <c:pt idx="23">
                  <c:v>2785</c:v>
                </c:pt>
                <c:pt idx="24">
                  <c:v>310</c:v>
                </c:pt>
              </c:numCache>
            </c:numRef>
          </c:val>
        </c:ser>
        <c:ser>
          <c:idx val="1"/>
          <c:order val="1"/>
          <c:tx>
            <c:v>焦点地址噪音类</c:v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'3_单一地点奇点'!$A$35:$A$59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'3_单一地点奇点'!$D$35:$D$59</c:f>
              <c:numCache>
                <c:formatCode>General</c:formatCode>
                <c:ptCount val="25"/>
                <c:pt idx="0">
                  <c:v>13827</c:v>
                </c:pt>
                <c:pt idx="1">
                  <c:v>6934</c:v>
                </c:pt>
                <c:pt idx="2">
                  <c:v>11299</c:v>
                </c:pt>
                <c:pt idx="3">
                  <c:v>19654</c:v>
                </c:pt>
                <c:pt idx="4">
                  <c:v>39989</c:v>
                </c:pt>
                <c:pt idx="5">
                  <c:v>4536</c:v>
                </c:pt>
                <c:pt idx="6">
                  <c:v>2334</c:v>
                </c:pt>
                <c:pt idx="7">
                  <c:v>1324</c:v>
                </c:pt>
                <c:pt idx="8">
                  <c:v>7</c:v>
                </c:pt>
                <c:pt idx="9">
                  <c:v>11</c:v>
                </c:pt>
                <c:pt idx="10">
                  <c:v>107</c:v>
                </c:pt>
                <c:pt idx="11">
                  <c:v>664</c:v>
                </c:pt>
                <c:pt idx="12">
                  <c:v>5198</c:v>
                </c:pt>
                <c:pt idx="13">
                  <c:v>18676</c:v>
                </c:pt>
                <c:pt idx="14">
                  <c:v>14361</c:v>
                </c:pt>
                <c:pt idx="15">
                  <c:v>28156</c:v>
                </c:pt>
                <c:pt idx="16">
                  <c:v>977</c:v>
                </c:pt>
                <c:pt idx="17">
                  <c:v>641</c:v>
                </c:pt>
                <c:pt idx="18">
                  <c:v>1591</c:v>
                </c:pt>
                <c:pt idx="19">
                  <c:v>1222</c:v>
                </c:pt>
                <c:pt idx="20">
                  <c:v>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v>全市请求数</c:v>
          </c:tx>
          <c:spPr>
            <a:ln w="15875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'3_单一地点奇点'!$A$35:$A$59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'3_单一地点奇点'!$E$35:$E$59</c:f>
              <c:numCache>
                <c:formatCode>General</c:formatCode>
                <c:ptCount val="25"/>
                <c:pt idx="0">
                  <c:v>248139</c:v>
                </c:pt>
                <c:pt idx="1">
                  <c:v>306803</c:v>
                </c:pt>
                <c:pt idx="2">
                  <c:v>293515</c:v>
                </c:pt>
                <c:pt idx="3">
                  <c:v>313949</c:v>
                </c:pt>
                <c:pt idx="4">
                  <c:v>348180</c:v>
                </c:pt>
                <c:pt idx="5">
                  <c:v>255364</c:v>
                </c:pt>
                <c:pt idx="6">
                  <c:v>281221</c:v>
                </c:pt>
                <c:pt idx="7">
                  <c:v>272549</c:v>
                </c:pt>
                <c:pt idx="8">
                  <c:v>295058</c:v>
                </c:pt>
                <c:pt idx="9">
                  <c:v>306442</c:v>
                </c:pt>
                <c:pt idx="10">
                  <c:v>315883</c:v>
                </c:pt>
                <c:pt idx="11">
                  <c:v>304039</c:v>
                </c:pt>
                <c:pt idx="12">
                  <c:v>302684</c:v>
                </c:pt>
                <c:pt idx="13">
                  <c:v>336612</c:v>
                </c:pt>
                <c:pt idx="14">
                  <c:v>304905</c:v>
                </c:pt>
                <c:pt idx="15">
                  <c:v>332103</c:v>
                </c:pt>
                <c:pt idx="16">
                  <c:v>348511</c:v>
                </c:pt>
                <c:pt idx="17">
                  <c:v>334690</c:v>
                </c:pt>
                <c:pt idx="18">
                  <c:v>342387</c:v>
                </c:pt>
                <c:pt idx="19">
                  <c:v>302190</c:v>
                </c:pt>
                <c:pt idx="20">
                  <c:v>331978</c:v>
                </c:pt>
                <c:pt idx="21">
                  <c:v>334833</c:v>
                </c:pt>
                <c:pt idx="22">
                  <c:v>343043</c:v>
                </c:pt>
                <c:pt idx="23">
                  <c:v>328446</c:v>
                </c:pt>
                <c:pt idx="24">
                  <c:v>41974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请求数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各机构关闭时长中位数（天）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中位(天)</c:v>
          </c:tx>
          <c:spPr>
            <a:solidFill>
              <a:srgbClr val="C00000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'4_处理时效'!$A$8:$A$23</c:f>
              <c:strCache>
                <c:ptCount val="16"/>
                <c:pt idx="0">
                  <c:v>NYPD</c:v>
                </c:pt>
                <c:pt idx="1">
                  <c:v>HPD</c:v>
                </c:pt>
                <c:pt idx="2">
                  <c:v>DSNY</c:v>
                </c:pt>
                <c:pt idx="3">
                  <c:v>DOT</c:v>
                </c:pt>
                <c:pt idx="4">
                  <c:v>DEP</c:v>
                </c:pt>
                <c:pt idx="5">
                  <c:v>DPR</c:v>
                </c:pt>
                <c:pt idx="6">
                  <c:v>DOB</c:v>
                </c:pt>
                <c:pt idx="7">
                  <c:v>DOHMH</c:v>
                </c:pt>
                <c:pt idx="8">
                  <c:v>DHS</c:v>
                </c:pt>
                <c:pt idx="9">
                  <c:v>TLC</c:v>
                </c:pt>
                <c:pt idx="10">
                  <c:v>DCWP</c:v>
                </c:pt>
                <c:pt idx="11">
                  <c:v>EDC</c:v>
                </c:pt>
                <c:pt idx="12">
                  <c:v>OOS</c:v>
                </c:pt>
                <c:pt idx="13">
                  <c:v>DOE</c:v>
                </c:pt>
                <c:pt idx="14">
                  <c:v>OTI</c:v>
                </c:pt>
                <c:pt idx="15">
                  <c:v>NYC311-PRD</c:v>
                </c:pt>
              </c:strCache>
            </c:strRef>
          </c:cat>
          <c:val>
            <c:numRef>
              <c:f>'4_处理时效'!$D$8:$D$23</c:f>
              <c:numCache>
                <c:formatCode>General</c:formatCode>
                <c:ptCount val="16"/>
                <c:pt idx="0">
                  <c:v>0.06</c:v>
                </c:pt>
                <c:pt idx="1">
                  <c:v>3.65</c:v>
                </c:pt>
                <c:pt idx="2">
                  <c:v>1.41</c:v>
                </c:pt>
                <c:pt idx="3">
                  <c:v>1.92</c:v>
                </c:pt>
                <c:pt idx="4">
                  <c:v>0.93</c:v>
                </c:pt>
                <c:pt idx="5">
                  <c:v>6.89</c:v>
                </c:pt>
                <c:pt idx="6">
                  <c:v>6.62</c:v>
                </c:pt>
                <c:pt idx="7">
                  <c:v>2.61</c:v>
                </c:pt>
                <c:pt idx="8">
                  <c:v>0.31</c:v>
                </c:pt>
                <c:pt idx="9">
                  <c:v>40.45</c:v>
                </c:pt>
                <c:pt idx="10">
                  <c:v>5.16</c:v>
                </c:pt>
                <c:pt idx="11">
                  <c:v>262.35</c:v>
                </c:pt>
                <c:pt idx="12">
                  <c:v>42.96</c:v>
                </c:pt>
                <c:pt idx="13">
                  <c:v>18.74</c:v>
                </c:pt>
                <c:pt idx="14">
                  <c:v>14.1</c:v>
                </c:pt>
                <c:pt idx="15">
                  <c:v>1.77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logBase val="10"/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天（对数刻度）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队列视角：90 分位「下降」是截断假象，固定观察期口径保持稳定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90分位(天)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'4_处理时效'!$A$31:$A$55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'4_处理时效'!$F$31:$F$55</c:f>
              <c:numCache>
                <c:formatCode>General</c:formatCode>
                <c:ptCount val="25"/>
                <c:pt idx="0">
                  <c:v>14.4</c:v>
                </c:pt>
                <c:pt idx="1">
                  <c:v>16.5</c:v>
                </c:pt>
                <c:pt idx="2">
                  <c:v>21.2</c:v>
                </c:pt>
                <c:pt idx="3">
                  <c:v>22.3</c:v>
                </c:pt>
                <c:pt idx="4">
                  <c:v>16.4</c:v>
                </c:pt>
                <c:pt idx="5">
                  <c:v>18.6</c:v>
                </c:pt>
                <c:pt idx="6">
                  <c:v>19.9</c:v>
                </c:pt>
                <c:pt idx="7">
                  <c:v>18.8</c:v>
                </c:pt>
                <c:pt idx="8">
                  <c:v>16.7</c:v>
                </c:pt>
                <c:pt idx="9">
                  <c:v>20.7</c:v>
                </c:pt>
                <c:pt idx="10">
                  <c:v>21.8</c:v>
                </c:pt>
                <c:pt idx="11">
                  <c:v>16.6</c:v>
                </c:pt>
                <c:pt idx="12">
                  <c:v>13.4</c:v>
                </c:pt>
                <c:pt idx="13">
                  <c:v>14.7</c:v>
                </c:pt>
                <c:pt idx="14">
                  <c:v>14.5</c:v>
                </c:pt>
                <c:pt idx="15">
                  <c:v>15.3</c:v>
                </c:pt>
                <c:pt idx="16">
                  <c:v>19.1</c:v>
                </c:pt>
                <c:pt idx="17">
                  <c:v>18.7</c:v>
                </c:pt>
                <c:pt idx="18">
                  <c:v>19.3</c:v>
                </c:pt>
                <c:pt idx="19">
                  <c:v>17.2</c:v>
                </c:pt>
                <c:pt idx="20">
                  <c:v>14</c:v>
                </c:pt>
                <c:pt idx="21">
                  <c:v>13.1</c:v>
                </c:pt>
                <c:pt idx="22">
                  <c:v>14.1</c:v>
                </c:pt>
                <c:pt idx="23">
                  <c:v>7.4</c:v>
                </c:pt>
                <c:pt idx="24">
                  <c:v>1.1</c:v>
                </c:pt>
              </c:numCache>
            </c:numRef>
          </c:val>
        </c:ser>
        <c:marker val="1"/>
        <c:axId val="50060001"/>
        <c:axId val="50060002"/>
      </c:lineChart>
      <c:lineChart>
        <c:grouping val="standard"/>
        <c:ser>
          <c:idx val="1"/>
          <c:order val="1"/>
          <c:tx>
            <c:v>30天内关闭%（固定观察期，右轴）</c:v>
          </c:tx>
          <c:spPr>
            <a:ln w="25400">
              <a:solidFill>
                <a:srgbClr val="2E75B6"/>
              </a:solidFill>
            </a:ln>
          </c:spPr>
          <c:marker>
            <c:symbol val="none"/>
          </c:marker>
          <c:cat>
            <c:strRef>
              <c:f>'4_处理时效'!$A$31:$A$55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'4_处理时效'!$G$31:$G$55</c:f>
              <c:numCache>
                <c:formatCode>General</c:formatCode>
                <c:ptCount val="25"/>
                <c:pt idx="0">
                  <c:v>92</c:v>
                </c:pt>
                <c:pt idx="1">
                  <c:v>90.59999999999999</c:v>
                </c:pt>
                <c:pt idx="2">
                  <c:v>89.90000000000001</c:v>
                </c:pt>
                <c:pt idx="3">
                  <c:v>90.09999999999999</c:v>
                </c:pt>
                <c:pt idx="4">
                  <c:v>91.40000000000001</c:v>
                </c:pt>
                <c:pt idx="5">
                  <c:v>91</c:v>
                </c:pt>
                <c:pt idx="6">
                  <c:v>90.59999999999999</c:v>
                </c:pt>
                <c:pt idx="7">
                  <c:v>90.7</c:v>
                </c:pt>
                <c:pt idx="8">
                  <c:v>91.3</c:v>
                </c:pt>
                <c:pt idx="9">
                  <c:v>90.7</c:v>
                </c:pt>
                <c:pt idx="10">
                  <c:v>90.8</c:v>
                </c:pt>
                <c:pt idx="11">
                  <c:v>92.2</c:v>
                </c:pt>
                <c:pt idx="12">
                  <c:v>92.59999999999999</c:v>
                </c:pt>
                <c:pt idx="13">
                  <c:v>91.5</c:v>
                </c:pt>
                <c:pt idx="14">
                  <c:v>91.7</c:v>
                </c:pt>
                <c:pt idx="15">
                  <c:v>91.2</c:v>
                </c:pt>
                <c:pt idx="16">
                  <c:v>89.7</c:v>
                </c:pt>
                <c:pt idx="17">
                  <c:v>89.5</c:v>
                </c:pt>
                <c:pt idx="18">
                  <c:v>89.7</c:v>
                </c:pt>
                <c:pt idx="19">
                  <c:v>90.40000000000001</c:v>
                </c:pt>
                <c:pt idx="20">
                  <c:v>91</c:v>
                </c:pt>
                <c:pt idx="21">
                  <c:v>91.09999999999999</c:v>
                </c:pt>
                <c:pt idx="22">
                  <c:v>88.59999999999999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60003"/>
        <c:axId val="50060004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90 分位（天）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  <c:valAx>
        <c:axId val="5006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30 天内关闭 %</a:t>
                </a:r>
              </a:p>
            </c:rich>
          </c:tx>
          <c:layout/>
        </c:title>
        <c:numFmt formatCode="0.0" sourceLinked="0"/>
        <c:tickLblPos val="nextTo"/>
        <c:crossAx val="50060003"/>
        <c:crosses val="max"/>
        <c:crossBetween val="between"/>
      </c:valAx>
      <c:catAx>
        <c:axId val="50060003"/>
        <c:scaling>
          <c:orientation val="minMax"/>
        </c:scaling>
        <c:delete val="1"/>
        <c:axPos val="b"/>
        <c:tickLblPos val="none"/>
        <c:crossAx val="5006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各机构未结请求数（共 240,304 条，占全部 3.19%）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未结请求数</c:v>
          </c:tx>
          <c:spPr>
            <a:solidFill>
              <a:srgbClr val="2E75B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'5_未结与积压'!$A$6:$A$18</c:f>
              <c:strCache>
                <c:ptCount val="13"/>
                <c:pt idx="0">
                  <c:v>HPD</c:v>
                </c:pt>
                <c:pt idx="1">
                  <c:v>DPR</c:v>
                </c:pt>
                <c:pt idx="2">
                  <c:v>TLC</c:v>
                </c:pt>
                <c:pt idx="3">
                  <c:v>DOT</c:v>
                </c:pt>
                <c:pt idx="4">
                  <c:v>EDC</c:v>
                </c:pt>
                <c:pt idx="5">
                  <c:v>DHS</c:v>
                </c:pt>
                <c:pt idx="6">
                  <c:v>DOHMH</c:v>
                </c:pt>
                <c:pt idx="7">
                  <c:v>DSNY</c:v>
                </c:pt>
                <c:pt idx="8">
                  <c:v>DEP</c:v>
                </c:pt>
                <c:pt idx="9">
                  <c:v>DCWP</c:v>
                </c:pt>
                <c:pt idx="10">
                  <c:v>NYPD</c:v>
                </c:pt>
                <c:pt idx="11">
                  <c:v>OOS</c:v>
                </c:pt>
                <c:pt idx="12">
                  <c:v>OTI</c:v>
                </c:pt>
              </c:strCache>
            </c:strRef>
          </c:cat>
          <c:val>
            <c:numRef>
              <c:f>'5_未结与积压'!$B$6:$B$18</c:f>
              <c:numCache>
                <c:formatCode>General</c:formatCode>
                <c:ptCount val="13"/>
                <c:pt idx="0">
                  <c:v>59701</c:v>
                </c:pt>
                <c:pt idx="1">
                  <c:v>57629</c:v>
                </c:pt>
                <c:pt idx="2">
                  <c:v>25309</c:v>
                </c:pt>
                <c:pt idx="3">
                  <c:v>23644</c:v>
                </c:pt>
                <c:pt idx="4">
                  <c:v>19226</c:v>
                </c:pt>
                <c:pt idx="5">
                  <c:v>17562</c:v>
                </c:pt>
                <c:pt idx="6">
                  <c:v>15021</c:v>
                </c:pt>
                <c:pt idx="7">
                  <c:v>9892</c:v>
                </c:pt>
                <c:pt idx="8">
                  <c:v>9153</c:v>
                </c:pt>
                <c:pt idx="9">
                  <c:v>1525</c:v>
                </c:pt>
                <c:pt idx="10">
                  <c:v>908</c:v>
                </c:pt>
                <c:pt idx="11">
                  <c:v>708</c:v>
                </c:pt>
                <c:pt idx="12">
                  <c:v>26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关键诉求类型月度序列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HEAT/HOT WATER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'6_季节性与需求'!$A$6:$A$30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'6_季节性与需求'!$B$6:$B$30</c:f>
              <c:numCache>
                <c:formatCode>General</c:formatCode>
                <c:ptCount val="25"/>
                <c:pt idx="0">
                  <c:v>2696</c:v>
                </c:pt>
                <c:pt idx="1">
                  <c:v>19650</c:v>
                </c:pt>
                <c:pt idx="2">
                  <c:v>39368</c:v>
                </c:pt>
                <c:pt idx="3">
                  <c:v>62918</c:v>
                </c:pt>
                <c:pt idx="4">
                  <c:v>67229</c:v>
                </c:pt>
                <c:pt idx="5">
                  <c:v>40699</c:v>
                </c:pt>
                <c:pt idx="6">
                  <c:v>26276</c:v>
                </c:pt>
                <c:pt idx="7">
                  <c:v>16824</c:v>
                </c:pt>
                <c:pt idx="8">
                  <c:v>7463</c:v>
                </c:pt>
                <c:pt idx="9">
                  <c:v>4217</c:v>
                </c:pt>
                <c:pt idx="10">
                  <c:v>3008</c:v>
                </c:pt>
                <c:pt idx="11">
                  <c:v>2929</c:v>
                </c:pt>
                <c:pt idx="12">
                  <c:v>3595</c:v>
                </c:pt>
                <c:pt idx="13">
                  <c:v>31858</c:v>
                </c:pt>
                <c:pt idx="14">
                  <c:v>47946</c:v>
                </c:pt>
                <c:pt idx="15">
                  <c:v>63902</c:v>
                </c:pt>
                <c:pt idx="16">
                  <c:v>79928</c:v>
                </c:pt>
                <c:pt idx="17">
                  <c:v>59031</c:v>
                </c:pt>
                <c:pt idx="18">
                  <c:v>29783</c:v>
                </c:pt>
                <c:pt idx="19">
                  <c:v>19553</c:v>
                </c:pt>
                <c:pt idx="20">
                  <c:v>9823</c:v>
                </c:pt>
                <c:pt idx="21">
                  <c:v>4388</c:v>
                </c:pt>
                <c:pt idx="22">
                  <c:v>4331</c:v>
                </c:pt>
                <c:pt idx="23">
                  <c:v>3682</c:v>
                </c:pt>
                <c:pt idx="24">
                  <c:v>497</c:v>
                </c:pt>
              </c:numCache>
            </c:numRef>
          </c:val>
        </c:ser>
        <c:ser>
          <c:idx val="1"/>
          <c:order val="1"/>
          <c:tx>
            <c:v>Snow or Ice</c:v>
          </c:tx>
          <c:spPr>
            <a:ln w="25400">
              <a:solidFill>
                <a:srgbClr val="2E75B6"/>
              </a:solidFill>
            </a:ln>
          </c:spPr>
          <c:marker>
            <c:symbol val="none"/>
          </c:marker>
          <c:cat>
            <c:strRef>
              <c:f>'6_季节性与需求'!$A$6:$A$30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'6_季节性与需求'!$C$6:$C$30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816</c:v>
                </c:pt>
                <c:pt idx="4">
                  <c:v>5161</c:v>
                </c:pt>
                <c:pt idx="5">
                  <c:v>2817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8700</c:v>
                </c:pt>
                <c:pt idx="16">
                  <c:v>24079</c:v>
                </c:pt>
                <c:pt idx="17">
                  <c:v>30943</c:v>
                </c:pt>
                <c:pt idx="18">
                  <c:v>208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v>DOT 路面状况(Street Condition)</c:v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'6_季节性与需求'!$A$6:$A$30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'6_季节性与需求'!$D$6:$D$30</c:f>
              <c:numCache>
                <c:formatCode>General</c:formatCode>
                <c:ptCount val="25"/>
                <c:pt idx="0">
                  <c:v>4036</c:v>
                </c:pt>
                <c:pt idx="1">
                  <c:v>4260</c:v>
                </c:pt>
                <c:pt idx="2">
                  <c:v>3630</c:v>
                </c:pt>
                <c:pt idx="3">
                  <c:v>5225</c:v>
                </c:pt>
                <c:pt idx="4">
                  <c:v>5474</c:v>
                </c:pt>
                <c:pt idx="5">
                  <c:v>5623</c:v>
                </c:pt>
                <c:pt idx="6">
                  <c:v>7035</c:v>
                </c:pt>
                <c:pt idx="7">
                  <c:v>6659</c:v>
                </c:pt>
                <c:pt idx="8">
                  <c:v>7449</c:v>
                </c:pt>
                <c:pt idx="9">
                  <c:v>7243</c:v>
                </c:pt>
                <c:pt idx="10">
                  <c:v>6138</c:v>
                </c:pt>
                <c:pt idx="11">
                  <c:v>5590</c:v>
                </c:pt>
                <c:pt idx="12">
                  <c:v>5411</c:v>
                </c:pt>
                <c:pt idx="13">
                  <c:v>4829</c:v>
                </c:pt>
                <c:pt idx="14">
                  <c:v>4049</c:v>
                </c:pt>
                <c:pt idx="15">
                  <c:v>4830</c:v>
                </c:pt>
                <c:pt idx="16">
                  <c:v>5141</c:v>
                </c:pt>
                <c:pt idx="17">
                  <c:v>6913</c:v>
                </c:pt>
                <c:pt idx="18">
                  <c:v>28629</c:v>
                </c:pt>
                <c:pt idx="19">
                  <c:v>15604</c:v>
                </c:pt>
                <c:pt idx="20">
                  <c:v>11777</c:v>
                </c:pt>
                <c:pt idx="21">
                  <c:v>10852</c:v>
                </c:pt>
                <c:pt idx="22">
                  <c:v>10145</c:v>
                </c:pt>
                <c:pt idx="23">
                  <c:v>9552</c:v>
                </c:pt>
                <c:pt idx="24">
                  <c:v>1267</c:v>
                </c:pt>
              </c:numCache>
            </c:numRef>
          </c:val>
        </c:ser>
        <c:ser>
          <c:idx val="3"/>
          <c:order val="3"/>
          <c:tx>
            <c:v>树木损坏类</c:v>
          </c:tx>
          <c:spPr>
            <a:ln w="25400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'6_季节性与需求'!$A$6:$A$30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'6_季节性与需求'!$E$6:$E$30</c:f>
              <c:numCache>
                <c:formatCode>General</c:formatCode>
                <c:ptCount val="25"/>
                <c:pt idx="0">
                  <c:v>1672</c:v>
                </c:pt>
                <c:pt idx="1">
                  <c:v>1796</c:v>
                </c:pt>
                <c:pt idx="2">
                  <c:v>1823</c:v>
                </c:pt>
                <c:pt idx="3">
                  <c:v>3476</c:v>
                </c:pt>
                <c:pt idx="4">
                  <c:v>3693</c:v>
                </c:pt>
                <c:pt idx="5">
                  <c:v>3560</c:v>
                </c:pt>
                <c:pt idx="6">
                  <c:v>4313</c:v>
                </c:pt>
                <c:pt idx="7">
                  <c:v>3881</c:v>
                </c:pt>
                <c:pt idx="8">
                  <c:v>4163</c:v>
                </c:pt>
                <c:pt idx="9">
                  <c:v>4063</c:v>
                </c:pt>
                <c:pt idx="10">
                  <c:v>2724</c:v>
                </c:pt>
                <c:pt idx="11">
                  <c:v>2521</c:v>
                </c:pt>
                <c:pt idx="12">
                  <c:v>2398</c:v>
                </c:pt>
                <c:pt idx="13">
                  <c:v>2321</c:v>
                </c:pt>
                <c:pt idx="14">
                  <c:v>1891</c:v>
                </c:pt>
                <c:pt idx="15">
                  <c:v>2910</c:v>
                </c:pt>
                <c:pt idx="16">
                  <c:v>3218</c:v>
                </c:pt>
                <c:pt idx="17">
                  <c:v>4618</c:v>
                </c:pt>
                <c:pt idx="18">
                  <c:v>22790</c:v>
                </c:pt>
                <c:pt idx="19">
                  <c:v>11421</c:v>
                </c:pt>
                <c:pt idx="20">
                  <c:v>7150</c:v>
                </c:pt>
                <c:pt idx="21">
                  <c:v>6077</c:v>
                </c:pt>
                <c:pt idx="22">
                  <c:v>4661</c:v>
                </c:pt>
                <c:pt idx="23">
                  <c:v>4293</c:v>
                </c:pt>
                <c:pt idx="24">
                  <c:v>596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请求数</a:t>
                </a:r>
              </a:p>
            </c:rich>
          </c:tx>
          <c:layout/>
        </c:title>
        <c:numFmt formatCode="#,##0" sourceLinked="0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各渠道占比（按时段堆叠）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ONLINE%</c:v>
          </c:tx>
          <c:spPr>
            <a:solidFill>
              <a:srgbClr val="1F3864"/>
            </a:solidFill>
          </c:spPr>
          <c:cat>
            <c:strRef>
              <c:f>'7_渠道结构'!$A$5:$A$8</c:f>
              <c:strCache>
                <c:ptCount val="4"/>
                <c:pt idx="0">
                  <c:v>2024-09~2025-02</c:v>
                </c:pt>
                <c:pt idx="1">
                  <c:v>2025-03~2025-08</c:v>
                </c:pt>
                <c:pt idx="2">
                  <c:v>2025-09~2026-02</c:v>
                </c:pt>
                <c:pt idx="3">
                  <c:v>2026-03~2026-09</c:v>
                </c:pt>
              </c:strCache>
            </c:strRef>
          </c:cat>
          <c:val>
            <c:numRef>
              <c:f>'7_渠道结构'!$C$5:$C$8</c:f>
              <c:numCache>
                <c:formatCode>General</c:formatCode>
                <c:ptCount val="4"/>
                <c:pt idx="0">
                  <c:v>40.1</c:v>
                </c:pt>
                <c:pt idx="1">
                  <c:v>43.1</c:v>
                </c:pt>
                <c:pt idx="2">
                  <c:v>46.3</c:v>
                </c:pt>
                <c:pt idx="3">
                  <c:v>46.9</c:v>
                </c:pt>
              </c:numCache>
            </c:numRef>
          </c:val>
        </c:ser>
        <c:ser>
          <c:idx val="1"/>
          <c:order val="1"/>
          <c:tx>
            <c:v>PHONE%</c:v>
          </c:tx>
          <c:spPr>
            <a:solidFill>
              <a:srgbClr val="2E75B6"/>
            </a:solidFill>
          </c:spPr>
          <c:cat>
            <c:strRef>
              <c:f>'7_渠道结构'!$A$5:$A$8</c:f>
              <c:strCache>
                <c:ptCount val="4"/>
                <c:pt idx="0">
                  <c:v>2024-09~2025-02</c:v>
                </c:pt>
                <c:pt idx="1">
                  <c:v>2025-03~2025-08</c:v>
                </c:pt>
                <c:pt idx="2">
                  <c:v>2025-09~2026-02</c:v>
                </c:pt>
                <c:pt idx="3">
                  <c:v>2026-03~2026-09</c:v>
                </c:pt>
              </c:strCache>
            </c:strRef>
          </c:cat>
          <c:val>
            <c:numRef>
              <c:f>'7_渠道结构'!$D$5:$D$8</c:f>
              <c:numCache>
                <c:formatCode>General</c:formatCode>
                <c:ptCount val="4"/>
                <c:pt idx="0">
                  <c:v>28.5</c:v>
                </c:pt>
                <c:pt idx="1">
                  <c:v>27.7</c:v>
                </c:pt>
                <c:pt idx="2">
                  <c:v>24</c:v>
                </c:pt>
                <c:pt idx="3">
                  <c:v>23.1</c:v>
                </c:pt>
              </c:numCache>
            </c:numRef>
          </c:val>
        </c:ser>
        <c:ser>
          <c:idx val="2"/>
          <c:order val="2"/>
          <c:tx>
            <c:v>MOBILE%</c:v>
          </c:tx>
          <c:spPr>
            <a:solidFill>
              <a:srgbClr val="8EA9DB"/>
            </a:solidFill>
          </c:spPr>
          <c:cat>
            <c:strRef>
              <c:f>'7_渠道结构'!$A$5:$A$8</c:f>
              <c:strCache>
                <c:ptCount val="4"/>
                <c:pt idx="0">
                  <c:v>2024-09~2025-02</c:v>
                </c:pt>
                <c:pt idx="1">
                  <c:v>2025-03~2025-08</c:v>
                </c:pt>
                <c:pt idx="2">
                  <c:v>2025-09~2026-02</c:v>
                </c:pt>
                <c:pt idx="3">
                  <c:v>2026-03~2026-09</c:v>
                </c:pt>
              </c:strCache>
            </c:strRef>
          </c:cat>
          <c:val>
            <c:numRef>
              <c:f>'7_渠道结构'!$E$5:$E$8</c:f>
              <c:numCache>
                <c:formatCode>General</c:formatCode>
                <c:ptCount val="4"/>
                <c:pt idx="0">
                  <c:v>24.6</c:v>
                </c:pt>
                <c:pt idx="1">
                  <c:v>21.4</c:v>
                </c:pt>
                <c:pt idx="2">
                  <c:v>22.8</c:v>
                </c:pt>
                <c:pt idx="3">
                  <c:v>20</c:v>
                </c:pt>
              </c:numCache>
            </c:numRef>
          </c:val>
        </c:ser>
        <c:ser>
          <c:idx val="3"/>
          <c:order val="3"/>
          <c:tx>
            <c:v>UNKNOWN%</c:v>
          </c:tx>
          <c:spPr>
            <a:solidFill>
              <a:srgbClr val="D9D9D9"/>
            </a:solidFill>
          </c:spPr>
          <c:cat>
            <c:strRef>
              <c:f>'7_渠道结构'!$A$5:$A$8</c:f>
              <c:strCache>
                <c:ptCount val="4"/>
                <c:pt idx="0">
                  <c:v>2024-09~2025-02</c:v>
                </c:pt>
                <c:pt idx="1">
                  <c:v>2025-03~2025-08</c:v>
                </c:pt>
                <c:pt idx="2">
                  <c:v>2025-09~2026-02</c:v>
                </c:pt>
                <c:pt idx="3">
                  <c:v>2026-03~2026-09</c:v>
                </c:pt>
              </c:strCache>
            </c:strRef>
          </c:cat>
          <c:val>
            <c:numRef>
              <c:f>'7_渠道结构'!$F$5:$F$8</c:f>
              <c:numCache>
                <c:formatCode>General</c:formatCode>
                <c:ptCount val="4"/>
                <c:pt idx="0">
                  <c:v>6.8</c:v>
                </c:pt>
                <c:pt idx="1">
                  <c:v>7.7</c:v>
                </c:pt>
                <c:pt idx="2">
                  <c:v>6.8</c:v>
                </c:pt>
                <c:pt idx="3">
                  <c:v>9.9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占比 %</a:t>
                </a:r>
              </a:p>
            </c:rich>
          </c:tx>
          <c:layout/>
        </c:title>
        <c:numFmt formatCode="0" sourceLinked="0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571500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95250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95250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16</xdr:col>
      <xdr:colOff>495300</xdr:colOff>
      <xdr:row>49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419100</xdr:colOff>
      <xdr:row>24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12</xdr:col>
      <xdr:colOff>381000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123825</xdr:colOff>
      <xdr:row>22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20</xdr:col>
      <xdr:colOff>495300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18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showGridLines="0" tabSelected="1" workbookViewId="0"/>
  </sheetViews>
  <sheetFormatPr defaultRowHeight="15"/>
  <cols>
    <col min="1" max="1" width="2.7109375" customWidth="1"/>
    <col min="2" max="2" width="8.7109375" customWidth="1"/>
    <col min="3" max="3" width="20.7109375" customWidth="1"/>
    <col min="4" max="4" width="96.7109375" customWidth="1"/>
    <col min="5" max="6" width="16.7109375" customWidth="1"/>
    <col min="7" max="10" width="14.7109375" customWidth="1"/>
  </cols>
  <sheetData>
    <row r="1" spans="1:10" ht="24" customHeight="1">
      <c r="A1" s="1" t="s">
        <v>0</v>
      </c>
    </row>
    <row r="2" spans="1:10" ht="16" customHeight="1">
      <c r="A2" s="2" t="s">
        <v>1</v>
      </c>
    </row>
    <row r="4" spans="1:10">
      <c r="B4" s="3" t="s">
        <v>2</v>
      </c>
    </row>
    <row r="5" spans="1:10" ht="22" customHeight="1">
      <c r="B5" s="4" t="s">
        <v>3</v>
      </c>
      <c r="C5" s="4"/>
      <c r="D5" s="4"/>
      <c r="E5" s="4"/>
      <c r="F5" s="4"/>
      <c r="G5" s="4"/>
      <c r="H5" s="4"/>
      <c r="I5" s="4"/>
      <c r="J5" s="4"/>
    </row>
    <row r="6" spans="1:10" ht="22" customHeight="1">
      <c r="B6" s="4"/>
      <c r="C6" s="4"/>
      <c r="D6" s="4"/>
      <c r="E6" s="4"/>
      <c r="F6" s="4"/>
      <c r="G6" s="4"/>
      <c r="H6" s="4"/>
      <c r="I6" s="4"/>
      <c r="J6" s="4"/>
    </row>
    <row r="7" spans="1:10" ht="22" customHeight="1">
      <c r="B7" s="4"/>
      <c r="C7" s="4"/>
      <c r="D7" s="4"/>
      <c r="E7" s="4"/>
      <c r="F7" s="4"/>
      <c r="G7" s="4"/>
      <c r="H7" s="4"/>
      <c r="I7" s="4"/>
      <c r="J7" s="4"/>
    </row>
    <row r="9" spans="1:10">
      <c r="B9" s="3" t="s">
        <v>4</v>
      </c>
    </row>
    <row r="10" spans="1:10" ht="30" customHeight="1">
      <c r="B10" s="5" t="s">
        <v>5</v>
      </c>
      <c r="C10" s="5" t="s">
        <v>6</v>
      </c>
      <c r="D10" s="5" t="s">
        <v>7</v>
      </c>
    </row>
    <row r="11" spans="1:10">
      <c r="B11" s="6" t="s">
        <v>8</v>
      </c>
      <c r="C11" s="6" t="s">
        <v>9</v>
      </c>
      <c r="D11" s="7" t="s">
        <v>10</v>
      </c>
    </row>
    <row r="12" spans="1:10">
      <c r="B12" s="6" t="s">
        <v>11</v>
      </c>
      <c r="C12" s="6" t="s">
        <v>9</v>
      </c>
      <c r="D12" s="7" t="s">
        <v>12</v>
      </c>
    </row>
    <row r="13" spans="1:10">
      <c r="B13" s="6" t="s">
        <v>13</v>
      </c>
      <c r="C13" s="6" t="s">
        <v>14</v>
      </c>
      <c r="D13" s="7" t="s">
        <v>15</v>
      </c>
    </row>
    <row r="14" spans="1:10">
      <c r="B14" s="6" t="s">
        <v>16</v>
      </c>
      <c r="C14" s="6" t="s">
        <v>17</v>
      </c>
      <c r="D14" s="7" t="s">
        <v>18</v>
      </c>
    </row>
    <row r="15" spans="1:10">
      <c r="B15" s="6" t="s">
        <v>19</v>
      </c>
      <c r="C15" s="6" t="s">
        <v>20</v>
      </c>
      <c r="D15" s="7" t="s">
        <v>10</v>
      </c>
    </row>
    <row r="16" spans="1:10">
      <c r="B16" s="6" t="s">
        <v>21</v>
      </c>
      <c r="C16" s="6" t="s">
        <v>22</v>
      </c>
      <c r="D16" s="7" t="s">
        <v>10</v>
      </c>
    </row>
    <row r="17" spans="2:10">
      <c r="B17" s="6" t="s">
        <v>23</v>
      </c>
      <c r="C17" s="6" t="s">
        <v>24</v>
      </c>
      <c r="D17" s="7" t="s">
        <v>25</v>
      </c>
    </row>
    <row r="18" spans="2:10">
      <c r="B18" s="6" t="s">
        <v>26</v>
      </c>
      <c r="C18" s="6" t="s">
        <v>27</v>
      </c>
      <c r="D18" s="7" t="s">
        <v>28</v>
      </c>
    </row>
    <row r="19" spans="2:10">
      <c r="B19" s="6" t="s">
        <v>29</v>
      </c>
      <c r="C19" s="6" t="s">
        <v>30</v>
      </c>
      <c r="D19" s="7" t="s">
        <v>31</v>
      </c>
    </row>
    <row r="20" spans="2:10">
      <c r="B20" s="6" t="s">
        <v>32</v>
      </c>
      <c r="C20" s="6" t="s">
        <v>33</v>
      </c>
      <c r="D20" s="7" t="s">
        <v>34</v>
      </c>
    </row>
    <row r="22" spans="2:10">
      <c r="B22" s="3" t="s">
        <v>35</v>
      </c>
    </row>
    <row r="23" spans="2:10" ht="42" customHeight="1">
      <c r="B23" s="8" t="s">
        <v>36</v>
      </c>
      <c r="C23" s="8" t="s">
        <v>37</v>
      </c>
      <c r="D23" s="7" t="s">
        <v>38</v>
      </c>
      <c r="E23" s="7"/>
      <c r="F23" s="7"/>
      <c r="G23" s="7"/>
      <c r="H23" s="7"/>
      <c r="I23" s="7"/>
      <c r="J23" s="7"/>
    </row>
    <row r="24" spans="2:10" ht="14" customHeight="1">
      <c r="C24" s="9" t="s">
        <v>39</v>
      </c>
    </row>
    <row r="25" spans="2:10" ht="42" customHeight="1">
      <c r="B25" s="8" t="s">
        <v>40</v>
      </c>
      <c r="C25" s="8" t="s">
        <v>41</v>
      </c>
      <c r="D25" s="7" t="s">
        <v>42</v>
      </c>
      <c r="E25" s="7"/>
      <c r="F25" s="7"/>
      <c r="G25" s="7"/>
      <c r="H25" s="7"/>
      <c r="I25" s="7"/>
      <c r="J25" s="7"/>
    </row>
    <row r="26" spans="2:10" ht="14" customHeight="1">
      <c r="C26" s="9" t="s">
        <v>43</v>
      </c>
    </row>
    <row r="27" spans="2:10" ht="42" customHeight="1">
      <c r="B27" s="8" t="s">
        <v>44</v>
      </c>
      <c r="C27" s="8" t="s">
        <v>45</v>
      </c>
      <c r="D27" s="7" t="s">
        <v>46</v>
      </c>
      <c r="E27" s="7"/>
      <c r="F27" s="7"/>
      <c r="G27" s="7"/>
      <c r="H27" s="7"/>
      <c r="I27" s="7"/>
      <c r="J27" s="7"/>
    </row>
    <row r="28" spans="2:10" ht="14" customHeight="1">
      <c r="C28" s="9" t="s">
        <v>47</v>
      </c>
    </row>
    <row r="29" spans="2:10" ht="42" customHeight="1">
      <c r="B29" s="8" t="s">
        <v>48</v>
      </c>
      <c r="C29" s="8" t="s">
        <v>49</v>
      </c>
      <c r="D29" s="7" t="s">
        <v>50</v>
      </c>
      <c r="E29" s="7"/>
      <c r="F29" s="7"/>
      <c r="G29" s="7"/>
      <c r="H29" s="7"/>
      <c r="I29" s="7"/>
      <c r="J29" s="7"/>
    </row>
    <row r="30" spans="2:10" ht="14" customHeight="1">
      <c r="C30" s="9" t="s">
        <v>47</v>
      </c>
    </row>
    <row r="31" spans="2:10" ht="42" customHeight="1">
      <c r="B31" s="8" t="s">
        <v>51</v>
      </c>
      <c r="C31" s="8" t="s">
        <v>52</v>
      </c>
      <c r="D31" s="7" t="s">
        <v>53</v>
      </c>
      <c r="E31" s="7"/>
      <c r="F31" s="7"/>
      <c r="G31" s="7"/>
      <c r="H31" s="7"/>
      <c r="I31" s="7"/>
      <c r="J31" s="7"/>
    </row>
    <row r="32" spans="2:10" ht="14" customHeight="1">
      <c r="C32" s="9" t="s">
        <v>54</v>
      </c>
    </row>
    <row r="33" spans="1:10" ht="42" customHeight="1">
      <c r="B33" s="8" t="s">
        <v>55</v>
      </c>
      <c r="C33" s="8" t="s">
        <v>56</v>
      </c>
      <c r="D33" s="7" t="s">
        <v>57</v>
      </c>
      <c r="E33" s="7"/>
      <c r="F33" s="7"/>
      <c r="G33" s="7"/>
      <c r="H33" s="7"/>
      <c r="I33" s="7"/>
      <c r="J33" s="7"/>
    </row>
    <row r="34" spans="1:10" ht="14" customHeight="1">
      <c r="C34" s="9" t="s">
        <v>58</v>
      </c>
    </row>
    <row r="36" spans="1:10">
      <c r="B36" s="3" t="s">
        <v>59</v>
      </c>
    </row>
    <row r="37" spans="1:10" ht="30" customHeight="1">
      <c r="B37" s="5" t="s">
        <v>60</v>
      </c>
      <c r="C37" s="5" t="s">
        <v>61</v>
      </c>
      <c r="D37" s="5" t="s">
        <v>62</v>
      </c>
    </row>
    <row r="38" spans="1:10">
      <c r="B38" s="6" t="s">
        <v>63</v>
      </c>
      <c r="C38" s="6" t="s">
        <v>64</v>
      </c>
      <c r="D38" s="7" t="s">
        <v>65</v>
      </c>
    </row>
    <row r="39" spans="1:10">
      <c r="B39" s="6" t="s">
        <v>66</v>
      </c>
      <c r="C39" s="6" t="s">
        <v>67</v>
      </c>
      <c r="D39" s="7" t="s">
        <v>68</v>
      </c>
    </row>
    <row r="40" spans="1:10">
      <c r="B40" s="6" t="s">
        <v>69</v>
      </c>
      <c r="C40" s="6" t="s">
        <v>70</v>
      </c>
      <c r="D40" s="7" t="s">
        <v>71</v>
      </c>
    </row>
    <row r="41" spans="1:10">
      <c r="B41" s="6" t="s">
        <v>72</v>
      </c>
      <c r="C41" s="6" t="s">
        <v>73</v>
      </c>
      <c r="D41" s="7" t="s">
        <v>74</v>
      </c>
    </row>
    <row r="42" spans="1:10">
      <c r="B42" s="6" t="s">
        <v>75</v>
      </c>
      <c r="C42" s="6" t="s">
        <v>76</v>
      </c>
      <c r="D42" s="7" t="s">
        <v>77</v>
      </c>
    </row>
    <row r="43" spans="1:10">
      <c r="B43" s="6" t="s">
        <v>78</v>
      </c>
      <c r="C43" s="6" t="s">
        <v>79</v>
      </c>
      <c r="D43" s="7" t="s">
        <v>80</v>
      </c>
    </row>
    <row r="44" spans="1:10">
      <c r="B44" s="6" t="s">
        <v>81</v>
      </c>
      <c r="C44" s="6" t="s">
        <v>82</v>
      </c>
      <c r="D44" s="7" t="s">
        <v>83</v>
      </c>
    </row>
    <row r="45" spans="1:10">
      <c r="B45" s="6" t="s">
        <v>84</v>
      </c>
      <c r="C45" s="6" t="s">
        <v>85</v>
      </c>
      <c r="D45" s="7" t="s">
        <v>86</v>
      </c>
    </row>
    <row r="46" spans="1:10">
      <c r="B46" s="6" t="s">
        <v>87</v>
      </c>
      <c r="C46" s="6" t="s">
        <v>88</v>
      </c>
      <c r="D46" s="7" t="s">
        <v>89</v>
      </c>
    </row>
    <row r="48" spans="1:10" ht="14" customHeight="1">
      <c r="A48" s="9" t="s">
        <v>90</v>
      </c>
      <c r="B48" s="9"/>
      <c r="C48" s="9"/>
      <c r="D48" s="9"/>
      <c r="E48" s="9"/>
      <c r="F48" s="9"/>
      <c r="G48" s="9"/>
      <c r="H48" s="9"/>
    </row>
  </sheetData>
  <mergeCells count="8">
    <mergeCell ref="B5:J7"/>
    <mergeCell ref="D23:J23"/>
    <mergeCell ref="D25:J25"/>
    <mergeCell ref="D27:J27"/>
    <mergeCell ref="D29:J29"/>
    <mergeCell ref="D31:J31"/>
    <mergeCell ref="D33:J33"/>
    <mergeCell ref="A48:H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cols>
    <col min="1" max="1" width="32.7109375" customWidth="1"/>
    <col min="2" max="2" width="12.7109375" customWidth="1"/>
    <col min="3" max="3" width="14.7109375" customWidth="1"/>
    <col min="4" max="4" width="10.7109375" customWidth="1"/>
    <col min="5" max="5" width="16.7109375" customWidth="1"/>
    <col min="6" max="6" width="12.7109375" customWidth="1"/>
    <col min="7" max="7" width="14.7109375" customWidth="1"/>
    <col min="8" max="8" width="13.7109375" customWidth="1"/>
    <col min="9" max="9" width="15.7109375" customWidth="1"/>
    <col min="10" max="10" width="12.7109375" customWidth="1"/>
    <col min="11" max="11" width="13.7109375" customWidth="1"/>
  </cols>
  <sheetData>
    <row r="1" spans="1:4" ht="24" customHeight="1">
      <c r="A1" s="1" t="s">
        <v>91</v>
      </c>
    </row>
    <row r="2" spans="1:4" ht="16" customHeight="1">
      <c r="A2" s="2" t="s">
        <v>92</v>
      </c>
    </row>
    <row r="4" spans="1:4">
      <c r="A4" s="8" t="s">
        <v>93</v>
      </c>
    </row>
    <row r="5" spans="1:4" ht="30" customHeight="1">
      <c r="A5" s="5" t="s">
        <v>94</v>
      </c>
      <c r="B5" s="5" t="s">
        <v>95</v>
      </c>
      <c r="C5" s="5" t="s">
        <v>96</v>
      </c>
      <c r="D5" s="5" t="s">
        <v>97</v>
      </c>
    </row>
    <row r="6" spans="1:4">
      <c r="A6" s="6" t="s">
        <v>98</v>
      </c>
      <c r="B6" s="10">
        <v>248139</v>
      </c>
      <c r="C6" s="10">
        <v>24</v>
      </c>
      <c r="D6" s="6" t="s">
        <v>99</v>
      </c>
    </row>
    <row r="7" spans="1:4">
      <c r="A7" s="6" t="s">
        <v>100</v>
      </c>
      <c r="B7" s="10">
        <v>306803</v>
      </c>
      <c r="C7" s="10">
        <v>31</v>
      </c>
      <c r="D7" s="6" t="s">
        <v>101</v>
      </c>
    </row>
    <row r="8" spans="1:4">
      <c r="A8" s="6" t="s">
        <v>102</v>
      </c>
      <c r="B8" s="10">
        <v>293515</v>
      </c>
      <c r="C8" s="10">
        <v>30</v>
      </c>
      <c r="D8" s="6" t="s">
        <v>101</v>
      </c>
    </row>
    <row r="9" spans="1:4">
      <c r="A9" s="6" t="s">
        <v>103</v>
      </c>
      <c r="B9" s="10">
        <v>313949</v>
      </c>
      <c r="C9" s="10">
        <v>31</v>
      </c>
      <c r="D9" s="6" t="s">
        <v>101</v>
      </c>
    </row>
    <row r="10" spans="1:4">
      <c r="A10" s="6" t="s">
        <v>104</v>
      </c>
      <c r="B10" s="10">
        <v>348180</v>
      </c>
      <c r="C10" s="10">
        <v>31</v>
      </c>
      <c r="D10" s="6" t="s">
        <v>101</v>
      </c>
    </row>
    <row r="11" spans="1:4">
      <c r="A11" s="6" t="s">
        <v>105</v>
      </c>
      <c r="B11" s="10">
        <v>255364</v>
      </c>
      <c r="C11" s="10">
        <v>28</v>
      </c>
      <c r="D11" s="6" t="s">
        <v>101</v>
      </c>
    </row>
    <row r="12" spans="1:4">
      <c r="A12" s="6" t="s">
        <v>106</v>
      </c>
      <c r="B12" s="10">
        <v>281221</v>
      </c>
      <c r="C12" s="10">
        <v>31</v>
      </c>
      <c r="D12" s="6" t="s">
        <v>101</v>
      </c>
    </row>
    <row r="13" spans="1:4">
      <c r="A13" s="6" t="s">
        <v>107</v>
      </c>
      <c r="B13" s="10">
        <v>272549</v>
      </c>
      <c r="C13" s="10">
        <v>30</v>
      </c>
      <c r="D13" s="6" t="s">
        <v>101</v>
      </c>
    </row>
    <row r="14" spans="1:4">
      <c r="A14" s="6" t="s">
        <v>108</v>
      </c>
      <c r="B14" s="10">
        <v>295058</v>
      </c>
      <c r="C14" s="10">
        <v>31</v>
      </c>
      <c r="D14" s="6" t="s">
        <v>101</v>
      </c>
    </row>
    <row r="15" spans="1:4">
      <c r="A15" s="6" t="s">
        <v>109</v>
      </c>
      <c r="B15" s="10">
        <v>306442</v>
      </c>
      <c r="C15" s="10">
        <v>30</v>
      </c>
      <c r="D15" s="6" t="s">
        <v>101</v>
      </c>
    </row>
    <row r="16" spans="1:4">
      <c r="A16" s="6" t="s">
        <v>110</v>
      </c>
      <c r="B16" s="10">
        <v>315883</v>
      </c>
      <c r="C16" s="10">
        <v>31</v>
      </c>
      <c r="D16" s="6" t="s">
        <v>101</v>
      </c>
    </row>
    <row r="17" spans="1:4">
      <c r="A17" s="6" t="s">
        <v>111</v>
      </c>
      <c r="B17" s="10">
        <v>304039</v>
      </c>
      <c r="C17" s="10">
        <v>31</v>
      </c>
      <c r="D17" s="6" t="s">
        <v>101</v>
      </c>
    </row>
    <row r="18" spans="1:4">
      <c r="A18" s="6" t="s">
        <v>112</v>
      </c>
      <c r="B18" s="10">
        <v>302684</v>
      </c>
      <c r="C18" s="10">
        <v>30</v>
      </c>
      <c r="D18" s="6" t="s">
        <v>101</v>
      </c>
    </row>
    <row r="19" spans="1:4">
      <c r="A19" s="6" t="s">
        <v>113</v>
      </c>
      <c r="B19" s="10">
        <v>336612</v>
      </c>
      <c r="C19" s="10">
        <v>31</v>
      </c>
      <c r="D19" s="6" t="s">
        <v>101</v>
      </c>
    </row>
    <row r="20" spans="1:4">
      <c r="A20" s="6" t="s">
        <v>114</v>
      </c>
      <c r="B20" s="10">
        <v>304905</v>
      </c>
      <c r="C20" s="10">
        <v>30</v>
      </c>
      <c r="D20" s="6" t="s">
        <v>101</v>
      </c>
    </row>
    <row r="21" spans="1:4">
      <c r="A21" s="6" t="s">
        <v>115</v>
      </c>
      <c r="B21" s="10">
        <v>332103</v>
      </c>
      <c r="C21" s="10">
        <v>31</v>
      </c>
      <c r="D21" s="6" t="s">
        <v>101</v>
      </c>
    </row>
    <row r="22" spans="1:4">
      <c r="A22" s="6" t="s">
        <v>116</v>
      </c>
      <c r="B22" s="10">
        <v>348511</v>
      </c>
      <c r="C22" s="10">
        <v>31</v>
      </c>
      <c r="D22" s="6" t="s">
        <v>101</v>
      </c>
    </row>
    <row r="23" spans="1:4">
      <c r="A23" s="6" t="s">
        <v>117</v>
      </c>
      <c r="B23" s="10">
        <v>334690</v>
      </c>
      <c r="C23" s="10">
        <v>28</v>
      </c>
      <c r="D23" s="6" t="s">
        <v>101</v>
      </c>
    </row>
    <row r="24" spans="1:4">
      <c r="A24" s="6" t="s">
        <v>118</v>
      </c>
      <c r="B24" s="10">
        <v>342387</v>
      </c>
      <c r="C24" s="10">
        <v>31</v>
      </c>
      <c r="D24" s="6" t="s">
        <v>101</v>
      </c>
    </row>
    <row r="25" spans="1:4">
      <c r="A25" s="6" t="s">
        <v>119</v>
      </c>
      <c r="B25" s="10">
        <v>302190</v>
      </c>
      <c r="C25" s="10">
        <v>30</v>
      </c>
      <c r="D25" s="6" t="s">
        <v>101</v>
      </c>
    </row>
    <row r="26" spans="1:4">
      <c r="A26" s="6" t="s">
        <v>120</v>
      </c>
      <c r="B26" s="10">
        <v>331978</v>
      </c>
      <c r="C26" s="10">
        <v>31</v>
      </c>
      <c r="D26" s="6" t="s">
        <v>101</v>
      </c>
    </row>
    <row r="27" spans="1:4">
      <c r="A27" s="6" t="s">
        <v>121</v>
      </c>
      <c r="B27" s="10">
        <v>334833</v>
      </c>
      <c r="C27" s="10">
        <v>30</v>
      </c>
      <c r="D27" s="6" t="s">
        <v>101</v>
      </c>
    </row>
    <row r="28" spans="1:4">
      <c r="A28" s="6" t="s">
        <v>122</v>
      </c>
      <c r="B28" s="10">
        <v>343043</v>
      </c>
      <c r="C28" s="10">
        <v>31</v>
      </c>
      <c r="D28" s="6" t="s">
        <v>101</v>
      </c>
    </row>
    <row r="29" spans="1:4">
      <c r="A29" s="6" t="s">
        <v>123</v>
      </c>
      <c r="B29" s="10">
        <v>328446</v>
      </c>
      <c r="C29" s="10">
        <v>31</v>
      </c>
      <c r="D29" s="6" t="s">
        <v>101</v>
      </c>
    </row>
    <row r="30" spans="1:4">
      <c r="A30" s="6" t="s">
        <v>124</v>
      </c>
      <c r="B30" s="10">
        <v>41974</v>
      </c>
      <c r="C30" s="10">
        <v>5</v>
      </c>
      <c r="D30" s="6" t="s">
        <v>99</v>
      </c>
    </row>
    <row r="32" spans="1:4">
      <c r="A32" s="8" t="s">
        <v>125</v>
      </c>
    </row>
    <row r="33" spans="1:11" ht="30" customHeight="1">
      <c r="A33" s="5" t="s">
        <v>126</v>
      </c>
      <c r="B33" s="5" t="s">
        <v>95</v>
      </c>
      <c r="C33" s="5" t="s">
        <v>127</v>
      </c>
      <c r="D33" s="5" t="s">
        <v>128</v>
      </c>
      <c r="E33" s="5" t="s">
        <v>129</v>
      </c>
      <c r="F33" s="5" t="s">
        <v>130</v>
      </c>
      <c r="G33" s="5" t="s">
        <v>131</v>
      </c>
      <c r="H33" s="5" t="s">
        <v>132</v>
      </c>
      <c r="I33" s="5" t="s">
        <v>133</v>
      </c>
      <c r="J33" s="5" t="s">
        <v>134</v>
      </c>
      <c r="K33" s="5" t="s">
        <v>135</v>
      </c>
    </row>
    <row r="34" spans="1:11">
      <c r="A34" s="6" t="s">
        <v>136</v>
      </c>
      <c r="B34" s="10">
        <v>3403951</v>
      </c>
      <c r="C34" s="11">
        <v>45.23</v>
      </c>
      <c r="D34" s="10">
        <v>3402909</v>
      </c>
      <c r="E34" s="11">
        <v>100</v>
      </c>
      <c r="F34" s="10">
        <v>908</v>
      </c>
      <c r="G34" s="10">
        <v>134</v>
      </c>
      <c r="H34" s="12">
        <v>0.06</v>
      </c>
      <c r="I34" s="12">
        <v>0.3</v>
      </c>
      <c r="J34" s="11">
        <v>99.09999999999999</v>
      </c>
      <c r="K34" s="11">
        <v>100</v>
      </c>
    </row>
    <row r="35" spans="1:11">
      <c r="A35" s="6" t="s">
        <v>137</v>
      </c>
      <c r="B35" s="10">
        <v>1633583</v>
      </c>
      <c r="C35" s="11">
        <v>21.71</v>
      </c>
      <c r="D35" s="10">
        <v>1573882</v>
      </c>
      <c r="E35" s="11">
        <v>96.3</v>
      </c>
      <c r="F35" s="10">
        <v>59701</v>
      </c>
      <c r="G35" s="10">
        <v>0</v>
      </c>
      <c r="H35" s="12">
        <v>3.65</v>
      </c>
      <c r="I35" s="12">
        <v>37.1</v>
      </c>
      <c r="J35" s="11">
        <v>12.7</v>
      </c>
      <c r="K35" s="11">
        <v>87.8</v>
      </c>
    </row>
    <row r="36" spans="1:11">
      <c r="A36" s="6" t="s">
        <v>138</v>
      </c>
      <c r="B36" s="10">
        <v>686438</v>
      </c>
      <c r="C36" s="11">
        <v>9.119999999999999</v>
      </c>
      <c r="D36" s="10">
        <v>676539</v>
      </c>
      <c r="E36" s="11">
        <v>98.59999999999999</v>
      </c>
      <c r="F36" s="10">
        <v>9892</v>
      </c>
      <c r="G36" s="10">
        <v>7</v>
      </c>
      <c r="H36" s="12">
        <v>1.41</v>
      </c>
      <c r="I36" s="12">
        <v>7.1</v>
      </c>
      <c r="J36" s="11">
        <v>38.4</v>
      </c>
      <c r="K36" s="11">
        <v>97.7</v>
      </c>
    </row>
    <row r="37" spans="1:11">
      <c r="A37" s="6" t="s">
        <v>139</v>
      </c>
      <c r="B37" s="10">
        <v>485140</v>
      </c>
      <c r="C37" s="11">
        <v>6.45</v>
      </c>
      <c r="D37" s="10">
        <v>460166</v>
      </c>
      <c r="E37" s="11">
        <v>94.90000000000001</v>
      </c>
      <c r="F37" s="10">
        <v>23644</v>
      </c>
      <c r="G37" s="10">
        <v>1330</v>
      </c>
      <c r="H37" s="12">
        <v>1.92</v>
      </c>
      <c r="I37" s="12">
        <v>16.6</v>
      </c>
      <c r="J37" s="11">
        <v>40.2</v>
      </c>
      <c r="K37" s="11">
        <v>94.59999999999999</v>
      </c>
    </row>
    <row r="38" spans="1:11">
      <c r="A38" s="6" t="s">
        <v>140</v>
      </c>
      <c r="B38" s="10">
        <v>424101</v>
      </c>
      <c r="C38" s="11">
        <v>5.64</v>
      </c>
      <c r="D38" s="10">
        <v>414542</v>
      </c>
      <c r="E38" s="11">
        <v>97.7</v>
      </c>
      <c r="F38" s="10">
        <v>9153</v>
      </c>
      <c r="G38" s="10">
        <v>406</v>
      </c>
      <c r="H38" s="12">
        <v>0.93</v>
      </c>
      <c r="I38" s="12">
        <v>9.5</v>
      </c>
      <c r="J38" s="11">
        <v>52.2</v>
      </c>
      <c r="K38" s="11">
        <v>97.90000000000001</v>
      </c>
    </row>
    <row r="39" spans="1:11">
      <c r="A39" s="6" t="s">
        <v>141</v>
      </c>
      <c r="B39" s="10">
        <v>244023</v>
      </c>
      <c r="C39" s="11">
        <v>3.24</v>
      </c>
      <c r="D39" s="10">
        <v>186394</v>
      </c>
      <c r="E39" s="11">
        <v>76.40000000000001</v>
      </c>
      <c r="F39" s="10">
        <v>57629</v>
      </c>
      <c r="G39" s="10">
        <v>0</v>
      </c>
      <c r="H39" s="12">
        <v>6.89</v>
      </c>
      <c r="I39" s="12">
        <v>142.9</v>
      </c>
      <c r="J39" s="11">
        <v>24.1</v>
      </c>
      <c r="K39" s="11">
        <v>71.59999999999999</v>
      </c>
    </row>
    <row r="40" spans="1:11">
      <c r="A40" s="6" t="s">
        <v>142</v>
      </c>
      <c r="B40" s="10">
        <v>218945</v>
      </c>
      <c r="C40" s="11">
        <v>2.91</v>
      </c>
      <c r="D40" s="10">
        <v>218945</v>
      </c>
      <c r="E40" s="11">
        <v>100</v>
      </c>
      <c r="F40" s="10">
        <v>0</v>
      </c>
      <c r="G40" s="10">
        <v>0</v>
      </c>
      <c r="H40" s="12">
        <v>6.62</v>
      </c>
      <c r="I40" s="12">
        <v>145.5</v>
      </c>
      <c r="J40" s="11">
        <v>28.2</v>
      </c>
      <c r="K40" s="11">
        <v>66.59999999999999</v>
      </c>
    </row>
    <row r="41" spans="1:11">
      <c r="A41" s="6" t="s">
        <v>143</v>
      </c>
      <c r="B41" s="10">
        <v>169118</v>
      </c>
      <c r="C41" s="11">
        <v>2.25</v>
      </c>
      <c r="D41" s="10">
        <v>154097</v>
      </c>
      <c r="E41" s="11">
        <v>91.09999999999999</v>
      </c>
      <c r="F41" s="10">
        <v>15021</v>
      </c>
      <c r="G41" s="10">
        <v>0</v>
      </c>
      <c r="H41" s="12">
        <v>2.61</v>
      </c>
      <c r="I41" s="12">
        <v>60</v>
      </c>
      <c r="J41" s="11">
        <v>39.1</v>
      </c>
      <c r="K41" s="11">
        <v>68.40000000000001</v>
      </c>
    </row>
    <row r="42" spans="1:11">
      <c r="A42" s="6" t="s">
        <v>144</v>
      </c>
      <c r="B42" s="10">
        <v>101425</v>
      </c>
      <c r="C42" s="11">
        <v>1.35</v>
      </c>
      <c r="D42" s="10">
        <v>83863</v>
      </c>
      <c r="E42" s="11">
        <v>82.7</v>
      </c>
      <c r="F42" s="10">
        <v>17562</v>
      </c>
      <c r="G42" s="10">
        <v>0</v>
      </c>
      <c r="H42" s="12">
        <v>0.31</v>
      </c>
      <c r="I42" s="12">
        <v>9.199999999999999</v>
      </c>
      <c r="J42" s="11">
        <v>74.2</v>
      </c>
      <c r="K42" s="11">
        <v>95.7</v>
      </c>
    </row>
    <row r="43" spans="1:11">
      <c r="A43" s="6" t="s">
        <v>145</v>
      </c>
      <c r="B43" s="10">
        <v>75453</v>
      </c>
      <c r="C43" s="11">
        <v>1</v>
      </c>
      <c r="D43" s="10">
        <v>50144</v>
      </c>
      <c r="E43" s="11">
        <v>66.5</v>
      </c>
      <c r="F43" s="10">
        <v>25309</v>
      </c>
      <c r="G43" s="10">
        <v>0</v>
      </c>
      <c r="H43" s="12">
        <v>40.45</v>
      </c>
      <c r="I43" s="12">
        <v>201.5</v>
      </c>
      <c r="J43" s="11">
        <v>9.9</v>
      </c>
      <c r="K43" s="11">
        <v>43.5</v>
      </c>
    </row>
    <row r="44" spans="1:11">
      <c r="A44" s="6" t="s">
        <v>146</v>
      </c>
      <c r="B44" s="10">
        <v>38580</v>
      </c>
      <c r="C44" s="11">
        <v>0.51</v>
      </c>
      <c r="D44" s="10">
        <v>37055</v>
      </c>
      <c r="E44" s="11">
        <v>96</v>
      </c>
      <c r="F44" s="10">
        <v>1525</v>
      </c>
      <c r="G44" s="10">
        <v>0</v>
      </c>
      <c r="H44" s="12">
        <v>5.16</v>
      </c>
      <c r="I44" s="12">
        <v>32.7</v>
      </c>
      <c r="J44" s="11">
        <v>21</v>
      </c>
      <c r="K44" s="11">
        <v>62.8</v>
      </c>
    </row>
    <row r="45" spans="1:11">
      <c r="A45" s="6" t="s">
        <v>147</v>
      </c>
      <c r="B45" s="10">
        <v>36776</v>
      </c>
      <c r="C45" s="11">
        <v>0.49</v>
      </c>
      <c r="D45" s="10">
        <v>17550</v>
      </c>
      <c r="E45" s="11">
        <v>47.7</v>
      </c>
      <c r="F45" s="10">
        <v>19226</v>
      </c>
      <c r="G45" s="10">
        <v>0</v>
      </c>
      <c r="H45" s="12">
        <v>262.35</v>
      </c>
      <c r="I45" s="12">
        <v>360</v>
      </c>
      <c r="J45" s="11">
        <v>0</v>
      </c>
      <c r="K45" s="11">
        <v>3.5</v>
      </c>
    </row>
    <row r="46" spans="1:11">
      <c r="A46" s="6" t="s">
        <v>148</v>
      </c>
      <c r="B46" s="10">
        <v>4196</v>
      </c>
      <c r="C46" s="11">
        <v>0.06</v>
      </c>
      <c r="D46" s="10">
        <v>3488</v>
      </c>
      <c r="E46" s="11">
        <v>83.09999999999999</v>
      </c>
      <c r="F46" s="10">
        <v>708</v>
      </c>
      <c r="G46" s="10">
        <v>0</v>
      </c>
      <c r="H46" s="12">
        <v>42.96</v>
      </c>
      <c r="I46" s="12">
        <v>78.2</v>
      </c>
      <c r="J46" s="11">
        <v>1.5</v>
      </c>
      <c r="K46" s="11">
        <v>17.7</v>
      </c>
    </row>
    <row r="47" spans="1:11">
      <c r="A47" s="6" t="s">
        <v>149</v>
      </c>
      <c r="B47" s="10">
        <v>2962</v>
      </c>
      <c r="C47" s="11">
        <v>0.04</v>
      </c>
      <c r="D47" s="10">
        <v>2962</v>
      </c>
      <c r="E47" s="11">
        <v>100</v>
      </c>
      <c r="F47" s="10">
        <v>0</v>
      </c>
      <c r="G47" s="10">
        <v>0</v>
      </c>
      <c r="H47" s="12">
        <v>18.74</v>
      </c>
      <c r="I47" s="12">
        <v>236.6</v>
      </c>
      <c r="J47" s="11">
        <v>20.7</v>
      </c>
      <c r="K47" s="11">
        <v>55</v>
      </c>
    </row>
    <row r="48" spans="1:11">
      <c r="A48" s="6" t="s">
        <v>150</v>
      </c>
      <c r="B48" s="10">
        <v>436</v>
      </c>
      <c r="C48" s="11">
        <v>0.01</v>
      </c>
      <c r="D48" s="10">
        <v>410</v>
      </c>
      <c r="E48" s="11">
        <v>94</v>
      </c>
      <c r="F48" s="10">
        <v>26</v>
      </c>
      <c r="G48" s="10">
        <v>0</v>
      </c>
      <c r="H48" s="12">
        <v>14.1</v>
      </c>
      <c r="I48" s="12">
        <v>31.4</v>
      </c>
      <c r="J48" s="11">
        <v>6.1</v>
      </c>
      <c r="K48" s="11">
        <v>88.5</v>
      </c>
    </row>
    <row r="49" spans="1:11">
      <c r="A49" s="6" t="s">
        <v>151</v>
      </c>
      <c r="B49" s="10">
        <v>371</v>
      </c>
      <c r="C49" s="11">
        <v>0</v>
      </c>
      <c r="D49" s="10">
        <v>371</v>
      </c>
      <c r="E49" s="11">
        <v>100</v>
      </c>
      <c r="F49" s="10">
        <v>0</v>
      </c>
      <c r="G49" s="10">
        <v>0</v>
      </c>
      <c r="H49" s="12">
        <v>1.77</v>
      </c>
      <c r="I49" s="12">
        <v>22.6</v>
      </c>
      <c r="J49" s="11">
        <v>32.6</v>
      </c>
      <c r="K49" s="11">
        <v>97</v>
      </c>
    </row>
    <row r="51" spans="1:11" ht="26" customHeight="1">
      <c r="A51" s="9" t="s">
        <v>152</v>
      </c>
      <c r="B51" s="9"/>
      <c r="C51" s="9"/>
      <c r="D51" s="9"/>
      <c r="E51" s="9"/>
      <c r="F51" s="9"/>
      <c r="G51" s="9"/>
      <c r="H51" s="9"/>
      <c r="I51" s="9"/>
      <c r="J51" s="9"/>
      <c r="K51" s="9"/>
    </row>
    <row r="53" spans="1:11">
      <c r="A53" s="8" t="s">
        <v>153</v>
      </c>
    </row>
    <row r="54" spans="1:11" ht="30" customHeight="1">
      <c r="A54" s="5" t="s">
        <v>154</v>
      </c>
      <c r="B54" s="5" t="s">
        <v>126</v>
      </c>
      <c r="C54" s="5" t="s">
        <v>95</v>
      </c>
      <c r="D54" s="5" t="s">
        <v>155</v>
      </c>
    </row>
    <row r="55" spans="1:11">
      <c r="A55" s="6" t="s">
        <v>156</v>
      </c>
      <c r="B55" s="6" t="s">
        <v>136</v>
      </c>
      <c r="C55" s="10">
        <v>1159053</v>
      </c>
      <c r="D55" s="11">
        <v>15.4</v>
      </c>
    </row>
    <row r="56" spans="1:11">
      <c r="A56" s="6" t="s">
        <v>157</v>
      </c>
      <c r="B56" s="6" t="s">
        <v>136</v>
      </c>
      <c r="C56" s="10">
        <v>881548</v>
      </c>
      <c r="D56" s="11">
        <v>11.71</v>
      </c>
    </row>
    <row r="57" spans="1:11">
      <c r="A57" s="6" t="s">
        <v>158</v>
      </c>
      <c r="B57" s="6" t="s">
        <v>137</v>
      </c>
      <c r="C57" s="10">
        <v>651594</v>
      </c>
      <c r="D57" s="11">
        <v>8.66</v>
      </c>
    </row>
    <row r="58" spans="1:11">
      <c r="A58" s="6" t="s">
        <v>159</v>
      </c>
      <c r="B58" s="6" t="s">
        <v>136</v>
      </c>
      <c r="C58" s="10">
        <v>362642</v>
      </c>
      <c r="D58" s="11">
        <v>4.82</v>
      </c>
    </row>
    <row r="59" spans="1:11">
      <c r="A59" s="6" t="s">
        <v>160</v>
      </c>
      <c r="B59" s="6" t="s">
        <v>136</v>
      </c>
      <c r="C59" s="10">
        <v>349299</v>
      </c>
      <c r="D59" s="11">
        <v>4.64</v>
      </c>
    </row>
    <row r="60" spans="1:11">
      <c r="A60" s="6" t="s">
        <v>161</v>
      </c>
      <c r="B60" s="6" t="s">
        <v>137</v>
      </c>
      <c r="C60" s="10">
        <v>249446</v>
      </c>
      <c r="D60" s="11">
        <v>3.31</v>
      </c>
    </row>
    <row r="61" spans="1:11">
      <c r="A61" s="6" t="s">
        <v>162</v>
      </c>
      <c r="B61" s="6" t="s">
        <v>139</v>
      </c>
      <c r="C61" s="10">
        <v>187361</v>
      </c>
      <c r="D61" s="11">
        <v>2.49</v>
      </c>
    </row>
    <row r="62" spans="1:11">
      <c r="A62" s="6" t="s">
        <v>163</v>
      </c>
      <c r="B62" s="6" t="s">
        <v>140</v>
      </c>
      <c r="C62" s="10">
        <v>152736</v>
      </c>
      <c r="D62" s="11">
        <v>2.03</v>
      </c>
    </row>
    <row r="63" spans="1:11">
      <c r="A63" s="6" t="s">
        <v>164</v>
      </c>
      <c r="B63" s="6" t="s">
        <v>137</v>
      </c>
      <c r="C63" s="10">
        <v>150696</v>
      </c>
      <c r="D63" s="11">
        <v>2</v>
      </c>
    </row>
    <row r="64" spans="1:11">
      <c r="A64" s="6" t="s">
        <v>165</v>
      </c>
      <c r="B64" s="6" t="s">
        <v>136</v>
      </c>
      <c r="C64" s="10">
        <v>139896</v>
      </c>
      <c r="D64" s="11">
        <v>1.86</v>
      </c>
    </row>
    <row r="65" spans="1:4">
      <c r="A65" s="6" t="s">
        <v>166</v>
      </c>
      <c r="B65" s="6" t="s">
        <v>138</v>
      </c>
      <c r="C65" s="10">
        <v>129570</v>
      </c>
      <c r="D65" s="11">
        <v>1.72</v>
      </c>
    </row>
    <row r="66" spans="1:4">
      <c r="A66" s="6" t="s">
        <v>167</v>
      </c>
      <c r="B66" s="6" t="s">
        <v>136</v>
      </c>
      <c r="C66" s="10">
        <v>126247</v>
      </c>
      <c r="D66" s="11">
        <v>1.68</v>
      </c>
    </row>
    <row r="67" spans="1:4">
      <c r="A67" s="6" t="s">
        <v>168</v>
      </c>
      <c r="B67" s="6" t="s">
        <v>137</v>
      </c>
      <c r="C67" s="10">
        <v>125565</v>
      </c>
      <c r="D67" s="11">
        <v>1.67</v>
      </c>
    </row>
    <row r="68" spans="1:4">
      <c r="A68" s="6" t="s">
        <v>169</v>
      </c>
      <c r="B68" s="6" t="s">
        <v>140</v>
      </c>
      <c r="C68" s="10">
        <v>114654</v>
      </c>
      <c r="D68" s="11">
        <v>1.52</v>
      </c>
    </row>
    <row r="69" spans="1:4">
      <c r="A69" s="6" t="s">
        <v>170</v>
      </c>
      <c r="B69" s="6" t="s">
        <v>139</v>
      </c>
      <c r="C69" s="10">
        <v>104791</v>
      </c>
      <c r="D69" s="11">
        <v>1.39</v>
      </c>
    </row>
    <row r="70" spans="1:4">
      <c r="A70" s="6" t="s">
        <v>171</v>
      </c>
      <c r="B70" s="6" t="s">
        <v>137</v>
      </c>
      <c r="C70" s="10">
        <v>96879</v>
      </c>
      <c r="D70" s="11">
        <v>1.29</v>
      </c>
    </row>
    <row r="71" spans="1:4">
      <c r="A71" s="6" t="s">
        <v>172</v>
      </c>
      <c r="B71" s="6" t="s">
        <v>136</v>
      </c>
      <c r="C71" s="10">
        <v>92971</v>
      </c>
      <c r="D71" s="11">
        <v>1.24</v>
      </c>
    </row>
    <row r="72" spans="1:4">
      <c r="A72" s="6" t="s">
        <v>173</v>
      </c>
      <c r="B72" s="6" t="s">
        <v>137</v>
      </c>
      <c r="C72" s="10">
        <v>83895</v>
      </c>
      <c r="D72" s="11">
        <v>1.11</v>
      </c>
    </row>
    <row r="73" spans="1:4">
      <c r="A73" s="6" t="s">
        <v>174</v>
      </c>
      <c r="B73" s="6" t="s">
        <v>138</v>
      </c>
      <c r="C73" s="10">
        <v>82540</v>
      </c>
      <c r="D73" s="11">
        <v>1.1</v>
      </c>
    </row>
    <row r="74" spans="1:4">
      <c r="A74" s="6" t="s">
        <v>175</v>
      </c>
      <c r="B74" s="6" t="s">
        <v>138</v>
      </c>
      <c r="C74" s="10">
        <v>79134</v>
      </c>
      <c r="D74" s="11">
        <v>1.05</v>
      </c>
    </row>
  </sheetData>
  <mergeCells count="1">
    <mergeCell ref="A51:K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cols>
    <col min="1" max="1" width="10.7109375" customWidth="1"/>
    <col min="2" max="2" width="30.7109375" customWidth="1"/>
    <col min="3" max="4" width="13.7109375" customWidth="1"/>
    <col min="5" max="5" width="12.7109375" customWidth="1"/>
    <col min="6" max="6" width="24.7109375" customWidth="1"/>
  </cols>
  <sheetData>
    <row r="1" spans="1:5" ht="24" customHeight="1">
      <c r="A1" s="1" t="s">
        <v>176</v>
      </c>
    </row>
    <row r="2" spans="1:5" ht="16" customHeight="1">
      <c r="A2" s="2" t="s">
        <v>177</v>
      </c>
    </row>
    <row r="4" spans="1:5">
      <c r="A4" s="8" t="s">
        <v>178</v>
      </c>
    </row>
    <row r="5" spans="1:5" ht="30" customHeight="1">
      <c r="A5" s="5" t="s">
        <v>179</v>
      </c>
      <c r="B5" s="5" t="s">
        <v>180</v>
      </c>
      <c r="C5" s="5" t="s">
        <v>181</v>
      </c>
      <c r="D5" s="5" t="s">
        <v>182</v>
      </c>
    </row>
    <row r="6" spans="1:5">
      <c r="A6" s="6" t="s">
        <v>183</v>
      </c>
      <c r="B6" s="10">
        <v>2378736</v>
      </c>
      <c r="C6" s="10">
        <v>2666078</v>
      </c>
      <c r="D6" s="11">
        <v>12.1</v>
      </c>
    </row>
    <row r="7" spans="1:5">
      <c r="A7" s="6" t="s">
        <v>184</v>
      </c>
      <c r="B7" s="10">
        <v>2303848</v>
      </c>
      <c r="C7" s="10">
        <v>2639796</v>
      </c>
      <c r="D7" s="11">
        <v>14.6</v>
      </c>
    </row>
    <row r="8" spans="1:5">
      <c r="A8" s="6" t="s">
        <v>185</v>
      </c>
      <c r="B8" s="10">
        <v>276711</v>
      </c>
      <c r="C8" s="10">
        <v>250333</v>
      </c>
      <c r="D8" s="11">
        <v>-9.5</v>
      </c>
    </row>
    <row r="9" spans="1:5">
      <c r="A9" s="6" t="s">
        <v>186</v>
      </c>
      <c r="B9" s="10">
        <v>220171</v>
      </c>
      <c r="C9" s="10">
        <v>243966</v>
      </c>
      <c r="D9" s="11">
        <v>10.8</v>
      </c>
    </row>
    <row r="10" spans="1:5">
      <c r="A10" s="6" t="s">
        <v>187</v>
      </c>
      <c r="B10" s="10">
        <v>22840</v>
      </c>
      <c r="C10" s="10">
        <v>6439</v>
      </c>
      <c r="D10" s="11">
        <v>-71.8</v>
      </c>
    </row>
    <row r="11" spans="1:5">
      <c r="A11" s="6" t="s">
        <v>188</v>
      </c>
      <c r="B11" s="10">
        <v>17857</v>
      </c>
      <c r="C11" s="10">
        <v>6034</v>
      </c>
      <c r="D11" s="11">
        <v>-66.2</v>
      </c>
    </row>
    <row r="13" spans="1:5" ht="26" customHeight="1">
      <c r="A13" s="9" t="s">
        <v>189</v>
      </c>
      <c r="B13" s="9"/>
      <c r="C13" s="9"/>
      <c r="D13" s="9"/>
    </row>
    <row r="15" spans="1:5">
      <c r="A15" s="8" t="s">
        <v>190</v>
      </c>
    </row>
    <row r="16" spans="1:5" ht="30" customHeight="1">
      <c r="A16" s="5" t="s">
        <v>126</v>
      </c>
      <c r="B16" s="5" t="s">
        <v>180</v>
      </c>
      <c r="C16" s="5" t="s">
        <v>181</v>
      </c>
      <c r="D16" s="5" t="s">
        <v>191</v>
      </c>
      <c r="E16" s="5" t="s">
        <v>182</v>
      </c>
    </row>
    <row r="17" spans="1:5">
      <c r="A17" s="6" t="s">
        <v>137</v>
      </c>
      <c r="B17" s="10">
        <v>465237</v>
      </c>
      <c r="C17" s="10">
        <v>581352</v>
      </c>
      <c r="D17" s="10">
        <v>116115</v>
      </c>
      <c r="E17" s="11">
        <v>25</v>
      </c>
    </row>
    <row r="18" spans="1:5">
      <c r="A18" s="6" t="s">
        <v>139</v>
      </c>
      <c r="B18" s="10">
        <v>146384</v>
      </c>
      <c r="C18" s="10">
        <v>210945</v>
      </c>
      <c r="D18" s="10">
        <v>64561</v>
      </c>
      <c r="E18" s="11">
        <v>44.1</v>
      </c>
    </row>
    <row r="19" spans="1:5">
      <c r="A19" s="6" t="s">
        <v>138</v>
      </c>
      <c r="B19" s="10">
        <v>224037</v>
      </c>
      <c r="C19" s="10">
        <v>257553</v>
      </c>
      <c r="D19" s="10">
        <v>33516</v>
      </c>
      <c r="E19" s="11">
        <v>15</v>
      </c>
    </row>
    <row r="20" spans="1:5">
      <c r="A20" s="6" t="s">
        <v>141</v>
      </c>
      <c r="B20" s="10">
        <v>76607</v>
      </c>
      <c r="C20" s="10">
        <v>99558</v>
      </c>
      <c r="D20" s="10">
        <v>22951</v>
      </c>
      <c r="E20" s="11">
        <v>30</v>
      </c>
    </row>
    <row r="21" spans="1:5">
      <c r="A21" s="6" t="s">
        <v>140</v>
      </c>
      <c r="B21" s="10">
        <v>137483</v>
      </c>
      <c r="C21" s="10">
        <v>157856</v>
      </c>
      <c r="D21" s="10">
        <v>20373</v>
      </c>
      <c r="E21" s="11">
        <v>14.8</v>
      </c>
    </row>
    <row r="22" spans="1:5">
      <c r="A22" s="6" t="s">
        <v>136</v>
      </c>
      <c r="B22" s="10">
        <v>1119122</v>
      </c>
      <c r="C22" s="10">
        <v>1136571</v>
      </c>
      <c r="D22" s="10">
        <v>17449</v>
      </c>
      <c r="E22" s="11">
        <v>1.6</v>
      </c>
    </row>
    <row r="23" spans="1:5">
      <c r="A23" s="6" t="s">
        <v>142</v>
      </c>
      <c r="B23" s="10">
        <v>66971</v>
      </c>
      <c r="C23" s="10">
        <v>81823</v>
      </c>
      <c r="D23" s="10">
        <v>14852</v>
      </c>
      <c r="E23" s="11">
        <v>22.2</v>
      </c>
    </row>
    <row r="24" spans="1:5">
      <c r="A24" s="6" t="s">
        <v>148</v>
      </c>
      <c r="B24" s="10">
        <v>0</v>
      </c>
      <c r="C24" s="10">
        <v>3015</v>
      </c>
      <c r="D24" s="10">
        <v>3015</v>
      </c>
      <c r="E24" s="6"/>
    </row>
    <row r="25" spans="1:5">
      <c r="A25" s="6" t="s">
        <v>145</v>
      </c>
      <c r="B25" s="10">
        <v>22949</v>
      </c>
      <c r="C25" s="10">
        <v>25679</v>
      </c>
      <c r="D25" s="10">
        <v>2730</v>
      </c>
      <c r="E25" s="11">
        <v>11.9</v>
      </c>
    </row>
    <row r="26" spans="1:5">
      <c r="A26" s="6" t="s">
        <v>146</v>
      </c>
      <c r="B26" s="10">
        <v>12313</v>
      </c>
      <c r="C26" s="10">
        <v>14323</v>
      </c>
      <c r="D26" s="10">
        <v>2010</v>
      </c>
      <c r="E26" s="11">
        <v>16.3</v>
      </c>
    </row>
    <row r="27" spans="1:5">
      <c r="A27" s="6" t="s">
        <v>151</v>
      </c>
      <c r="B27" s="10">
        <v>0</v>
      </c>
      <c r="C27" s="10">
        <v>371</v>
      </c>
      <c r="D27" s="10">
        <v>371</v>
      </c>
      <c r="E27" s="6"/>
    </row>
    <row r="28" spans="1:5">
      <c r="A28" s="6" t="s">
        <v>150</v>
      </c>
      <c r="B28" s="10">
        <v>152</v>
      </c>
      <c r="C28" s="10">
        <v>195</v>
      </c>
      <c r="D28" s="10">
        <v>43</v>
      </c>
      <c r="E28" s="11">
        <v>28.3</v>
      </c>
    </row>
    <row r="29" spans="1:5">
      <c r="A29" s="6" t="s">
        <v>149</v>
      </c>
      <c r="B29" s="10">
        <v>1232</v>
      </c>
      <c r="C29" s="10">
        <v>666</v>
      </c>
      <c r="D29" s="10">
        <v>-566</v>
      </c>
      <c r="E29" s="11">
        <v>-45.9</v>
      </c>
    </row>
    <row r="30" spans="1:5">
      <c r="A30" s="6" t="s">
        <v>143</v>
      </c>
      <c r="B30" s="10">
        <v>59231</v>
      </c>
      <c r="C30" s="10">
        <v>58079</v>
      </c>
      <c r="D30" s="10">
        <v>-1152</v>
      </c>
      <c r="E30" s="11">
        <v>-1.9</v>
      </c>
    </row>
    <row r="31" spans="1:5">
      <c r="A31" s="6" t="s">
        <v>144</v>
      </c>
      <c r="B31" s="10">
        <v>33761</v>
      </c>
      <c r="C31" s="10">
        <v>31098</v>
      </c>
      <c r="D31" s="10">
        <v>-2663</v>
      </c>
      <c r="E31" s="11">
        <v>-7.9</v>
      </c>
    </row>
    <row r="32" spans="1:5">
      <c r="A32" s="6" t="s">
        <v>147</v>
      </c>
      <c r="B32" s="10">
        <v>13257</v>
      </c>
      <c r="C32" s="10">
        <v>6994</v>
      </c>
      <c r="D32" s="10">
        <v>-6263</v>
      </c>
      <c r="E32" s="11">
        <v>-47.2</v>
      </c>
    </row>
    <row r="34" spans="1:6" ht="14" customHeight="1">
      <c r="A34" s="9" t="s">
        <v>192</v>
      </c>
      <c r="B34" s="9"/>
      <c r="C34" s="9"/>
      <c r="D34" s="9"/>
      <c r="E34" s="9"/>
    </row>
    <row r="36" spans="1:6">
      <c r="A36" s="8" t="s">
        <v>193</v>
      </c>
    </row>
    <row r="37" spans="1:6" ht="14" customHeight="1">
      <c r="A37" s="9" t="s">
        <v>194</v>
      </c>
      <c r="B37" s="9"/>
      <c r="C37" s="9"/>
      <c r="D37" s="9"/>
      <c r="E37" s="9"/>
      <c r="F37" s="9"/>
    </row>
    <row r="39" spans="1:6" ht="30" customHeight="1">
      <c r="A39" s="5" t="s">
        <v>126</v>
      </c>
      <c r="B39" s="5" t="s">
        <v>154</v>
      </c>
      <c r="C39" s="5" t="s">
        <v>180</v>
      </c>
      <c r="D39" s="5" t="s">
        <v>181</v>
      </c>
      <c r="E39" s="5" t="s">
        <v>191</v>
      </c>
      <c r="F39" s="5" t="s">
        <v>195</v>
      </c>
    </row>
    <row r="40" spans="1:6">
      <c r="A40" s="6" t="s">
        <v>139</v>
      </c>
      <c r="B40" s="6" t="s">
        <v>162</v>
      </c>
      <c r="C40" s="10">
        <v>51211</v>
      </c>
      <c r="D40" s="10">
        <v>98613</v>
      </c>
      <c r="E40" s="10">
        <v>47402</v>
      </c>
      <c r="F40" s="7" t="s">
        <v>196</v>
      </c>
    </row>
    <row r="41" spans="1:6">
      <c r="A41" s="6" t="s">
        <v>138</v>
      </c>
      <c r="B41" s="6" t="s">
        <v>197</v>
      </c>
      <c r="C41" s="10">
        <v>7990</v>
      </c>
      <c r="D41" s="10">
        <v>55230</v>
      </c>
      <c r="E41" s="10">
        <v>47240</v>
      </c>
      <c r="F41" s="7" t="s">
        <v>198</v>
      </c>
    </row>
    <row r="42" spans="1:6">
      <c r="A42" s="6" t="s">
        <v>137</v>
      </c>
      <c r="B42" s="6" t="s">
        <v>158</v>
      </c>
      <c r="C42" s="10">
        <v>168645</v>
      </c>
      <c r="D42" s="10">
        <v>210519</v>
      </c>
      <c r="E42" s="10">
        <v>41874</v>
      </c>
      <c r="F42" s="7" t="s">
        <v>198</v>
      </c>
    </row>
    <row r="43" spans="1:6">
      <c r="A43" s="6" t="s">
        <v>136</v>
      </c>
      <c r="B43" s="6" t="s">
        <v>156</v>
      </c>
      <c r="C43" s="10">
        <v>380337</v>
      </c>
      <c r="D43" s="10">
        <v>415399</v>
      </c>
      <c r="E43" s="10">
        <v>35062</v>
      </c>
      <c r="F43" s="7" t="s">
        <v>199</v>
      </c>
    </row>
    <row r="44" spans="1:6">
      <c r="A44" s="6" t="s">
        <v>136</v>
      </c>
      <c r="B44" s="6" t="s">
        <v>157</v>
      </c>
      <c r="C44" s="10">
        <v>276711</v>
      </c>
      <c r="D44" s="10">
        <v>250333</v>
      </c>
      <c r="E44" s="10">
        <v>-26378</v>
      </c>
      <c r="F44" s="7" t="s">
        <v>199</v>
      </c>
    </row>
    <row r="45" spans="1:6">
      <c r="A45" s="6" t="s">
        <v>136</v>
      </c>
      <c r="B45" s="6" t="s">
        <v>159</v>
      </c>
      <c r="C45" s="10">
        <v>109480</v>
      </c>
      <c r="D45" s="10">
        <v>130461</v>
      </c>
      <c r="E45" s="10">
        <v>20981</v>
      </c>
      <c r="F45" s="7" t="s">
        <v>199</v>
      </c>
    </row>
    <row r="46" spans="1:6">
      <c r="A46" s="6" t="s">
        <v>136</v>
      </c>
      <c r="B46" s="6" t="s">
        <v>200</v>
      </c>
      <c r="C46" s="10">
        <v>22840</v>
      </c>
      <c r="D46" s="10">
        <v>6439</v>
      </c>
      <c r="E46" s="10">
        <v>-16401</v>
      </c>
      <c r="F46" s="7" t="s">
        <v>199</v>
      </c>
    </row>
    <row r="47" spans="1:6">
      <c r="A47" s="6" t="s">
        <v>137</v>
      </c>
      <c r="B47" s="6" t="s">
        <v>161</v>
      </c>
      <c r="C47" s="10">
        <v>75585</v>
      </c>
      <c r="D47" s="10">
        <v>91605</v>
      </c>
      <c r="E47" s="10">
        <v>16020</v>
      </c>
      <c r="F47" s="7" t="s">
        <v>199</v>
      </c>
    </row>
    <row r="48" spans="1:6">
      <c r="A48" s="6" t="s">
        <v>137</v>
      </c>
      <c r="B48" s="6" t="s">
        <v>164</v>
      </c>
      <c r="C48" s="10">
        <v>45429</v>
      </c>
      <c r="D48" s="10">
        <v>58930</v>
      </c>
      <c r="E48" s="10">
        <v>13501</v>
      </c>
      <c r="F48" s="7" t="s">
        <v>199</v>
      </c>
    </row>
    <row r="49" spans="1:6">
      <c r="A49" s="6" t="s">
        <v>141</v>
      </c>
      <c r="B49" s="6" t="s">
        <v>201</v>
      </c>
      <c r="C49" s="10">
        <v>19794</v>
      </c>
      <c r="D49" s="10">
        <v>32265</v>
      </c>
      <c r="E49" s="10">
        <v>12471</v>
      </c>
      <c r="F49" s="7" t="s">
        <v>202</v>
      </c>
    </row>
    <row r="50" spans="1:6">
      <c r="A50" s="6" t="s">
        <v>140</v>
      </c>
      <c r="B50" s="6" t="s">
        <v>203</v>
      </c>
      <c r="C50" s="10">
        <v>7</v>
      </c>
      <c r="D50" s="10">
        <v>11284</v>
      </c>
      <c r="E50" s="10">
        <v>11277</v>
      </c>
      <c r="F50" s="7" t="s">
        <v>204</v>
      </c>
    </row>
    <row r="51" spans="1:6">
      <c r="A51" s="6" t="s">
        <v>139</v>
      </c>
      <c r="B51" s="6" t="s">
        <v>170</v>
      </c>
      <c r="C51" s="10">
        <v>34208</v>
      </c>
      <c r="D51" s="10">
        <v>43417</v>
      </c>
      <c r="E51" s="10">
        <v>9209</v>
      </c>
      <c r="F51" s="7" t="s">
        <v>199</v>
      </c>
    </row>
    <row r="52" spans="1:6">
      <c r="A52" s="6" t="s">
        <v>137</v>
      </c>
      <c r="B52" s="6" t="s">
        <v>205</v>
      </c>
      <c r="C52" s="10">
        <v>21191</v>
      </c>
      <c r="D52" s="10">
        <v>29848</v>
      </c>
      <c r="E52" s="10">
        <v>8657</v>
      </c>
      <c r="F52" s="7" t="s">
        <v>199</v>
      </c>
    </row>
    <row r="53" spans="1:6">
      <c r="A53" s="6" t="s">
        <v>137</v>
      </c>
      <c r="B53" s="6" t="s">
        <v>173</v>
      </c>
      <c r="C53" s="10">
        <v>24817</v>
      </c>
      <c r="D53" s="10">
        <v>32874</v>
      </c>
      <c r="E53" s="10">
        <v>8057</v>
      </c>
      <c r="F53" s="7" t="s">
        <v>199</v>
      </c>
    </row>
    <row r="54" spans="1:6">
      <c r="A54" s="6" t="s">
        <v>137</v>
      </c>
      <c r="B54" s="6" t="s">
        <v>168</v>
      </c>
      <c r="C54" s="10">
        <v>38716</v>
      </c>
      <c r="D54" s="10">
        <v>46328</v>
      </c>
      <c r="E54" s="10">
        <v>7612</v>
      </c>
      <c r="F54" s="7" t="s">
        <v>199</v>
      </c>
    </row>
    <row r="55" spans="1:6">
      <c r="A55" s="6" t="s">
        <v>138</v>
      </c>
      <c r="B55" s="6" t="s">
        <v>175</v>
      </c>
      <c r="C55" s="10">
        <v>31150</v>
      </c>
      <c r="D55" s="10">
        <v>23827</v>
      </c>
      <c r="E55" s="10">
        <v>-7323</v>
      </c>
      <c r="F55" s="7" t="s">
        <v>199</v>
      </c>
    </row>
    <row r="56" spans="1:6">
      <c r="A56" s="6" t="s">
        <v>138</v>
      </c>
      <c r="B56" s="6" t="s">
        <v>166</v>
      </c>
      <c r="C56" s="10">
        <v>41746</v>
      </c>
      <c r="D56" s="10">
        <v>48806</v>
      </c>
      <c r="E56" s="10">
        <v>7060</v>
      </c>
      <c r="F56" s="7" t="s">
        <v>199</v>
      </c>
    </row>
    <row r="57" spans="1:6">
      <c r="A57" s="6" t="s">
        <v>136</v>
      </c>
      <c r="B57" s="6" t="s">
        <v>172</v>
      </c>
      <c r="C57" s="10">
        <v>28749</v>
      </c>
      <c r="D57" s="10">
        <v>35732</v>
      </c>
      <c r="E57" s="10">
        <v>6983</v>
      </c>
      <c r="F57" s="7" t="s">
        <v>199</v>
      </c>
    </row>
    <row r="58" spans="1:6">
      <c r="A58" s="6" t="s">
        <v>137</v>
      </c>
      <c r="B58" s="6" t="s">
        <v>171</v>
      </c>
      <c r="C58" s="10">
        <v>29113</v>
      </c>
      <c r="D58" s="10">
        <v>35969</v>
      </c>
      <c r="E58" s="10">
        <v>6856</v>
      </c>
      <c r="F58" s="7" t="s">
        <v>199</v>
      </c>
    </row>
    <row r="59" spans="1:6">
      <c r="A59" s="6" t="s">
        <v>140</v>
      </c>
      <c r="B59" s="6" t="s">
        <v>206</v>
      </c>
      <c r="C59" s="10">
        <v>8</v>
      </c>
      <c r="D59" s="10">
        <v>6588</v>
      </c>
      <c r="E59" s="10">
        <v>6580</v>
      </c>
      <c r="F59" s="7" t="s">
        <v>204</v>
      </c>
    </row>
    <row r="60" spans="1:6">
      <c r="A60" s="6" t="s">
        <v>147</v>
      </c>
      <c r="B60" s="6" t="s">
        <v>207</v>
      </c>
      <c r="C60" s="10">
        <v>13257</v>
      </c>
      <c r="D60" s="10">
        <v>6994</v>
      </c>
      <c r="E60" s="10">
        <v>-6263</v>
      </c>
      <c r="F60" s="7" t="s">
        <v>199</v>
      </c>
    </row>
    <row r="61" spans="1:6">
      <c r="A61" s="6" t="s">
        <v>138</v>
      </c>
      <c r="B61" s="6" t="s">
        <v>174</v>
      </c>
      <c r="C61" s="10">
        <v>30470</v>
      </c>
      <c r="D61" s="10">
        <v>24531</v>
      </c>
      <c r="E61" s="10">
        <v>-5939</v>
      </c>
      <c r="F61" s="7" t="s">
        <v>199</v>
      </c>
    </row>
    <row r="62" spans="1:6">
      <c r="A62" s="6" t="s">
        <v>143</v>
      </c>
      <c r="B62" s="6" t="s">
        <v>208</v>
      </c>
      <c r="C62" s="10">
        <v>24105</v>
      </c>
      <c r="D62" s="10">
        <v>18174</v>
      </c>
      <c r="E62" s="10">
        <v>-5931</v>
      </c>
      <c r="F62" s="7" t="s">
        <v>199</v>
      </c>
    </row>
    <row r="63" spans="1:6">
      <c r="A63" s="6" t="s">
        <v>142</v>
      </c>
      <c r="B63" s="6" t="s">
        <v>209</v>
      </c>
      <c r="C63" s="10">
        <v>13789</v>
      </c>
      <c r="D63" s="10">
        <v>18673</v>
      </c>
      <c r="E63" s="10">
        <v>4884</v>
      </c>
      <c r="F63" s="7" t="s">
        <v>199</v>
      </c>
    </row>
    <row r="64" spans="1:6">
      <c r="A64" s="6" t="s">
        <v>137</v>
      </c>
      <c r="B64" s="6" t="s">
        <v>210</v>
      </c>
      <c r="C64" s="10">
        <v>20087</v>
      </c>
      <c r="D64" s="10">
        <v>24520</v>
      </c>
      <c r="E64" s="10">
        <v>4433</v>
      </c>
      <c r="F64" s="7" t="s">
        <v>199</v>
      </c>
    </row>
    <row r="65" spans="1:6">
      <c r="A65" s="6" t="s">
        <v>138</v>
      </c>
      <c r="B65" s="6" t="s">
        <v>211</v>
      </c>
      <c r="C65" s="10">
        <v>20106</v>
      </c>
      <c r="D65" s="10">
        <v>15990</v>
      </c>
      <c r="E65" s="10">
        <v>-4116</v>
      </c>
      <c r="F65" s="7" t="s">
        <v>199</v>
      </c>
    </row>
    <row r="66" spans="1:6">
      <c r="A66" s="6" t="s">
        <v>141</v>
      </c>
      <c r="B66" s="6" t="s">
        <v>212</v>
      </c>
      <c r="C66" s="10">
        <v>16999</v>
      </c>
      <c r="D66" s="10">
        <v>21081</v>
      </c>
      <c r="E66" s="10">
        <v>4082</v>
      </c>
      <c r="F66" s="7" t="s">
        <v>199</v>
      </c>
    </row>
    <row r="67" spans="1:6">
      <c r="A67" s="6" t="s">
        <v>142</v>
      </c>
      <c r="B67" s="6" t="s">
        <v>213</v>
      </c>
      <c r="C67" s="10">
        <v>23581</v>
      </c>
      <c r="D67" s="10">
        <v>27525</v>
      </c>
      <c r="E67" s="10">
        <v>3944</v>
      </c>
      <c r="F67" s="7" t="s">
        <v>199</v>
      </c>
    </row>
    <row r="68" spans="1:6">
      <c r="A68" s="6" t="s">
        <v>137</v>
      </c>
      <c r="B68" s="6" t="s">
        <v>214</v>
      </c>
      <c r="C68" s="10">
        <v>17261</v>
      </c>
      <c r="D68" s="10">
        <v>21102</v>
      </c>
      <c r="E68" s="10">
        <v>3841</v>
      </c>
      <c r="F68" s="7" t="s">
        <v>199</v>
      </c>
    </row>
    <row r="69" spans="1:6">
      <c r="A69" s="6" t="s">
        <v>142</v>
      </c>
      <c r="B69" s="6" t="s">
        <v>215</v>
      </c>
      <c r="C69" s="10">
        <v>14590</v>
      </c>
      <c r="D69" s="10">
        <v>18398</v>
      </c>
      <c r="E69" s="10">
        <v>3808</v>
      </c>
      <c r="F69" s="7" t="s">
        <v>199</v>
      </c>
    </row>
    <row r="70" spans="1:6">
      <c r="A70" s="6" t="s">
        <v>140</v>
      </c>
      <c r="B70" s="6" t="s">
        <v>169</v>
      </c>
      <c r="C70" s="10">
        <v>36082</v>
      </c>
      <c r="D70" s="10">
        <v>39588</v>
      </c>
      <c r="E70" s="10">
        <v>3506</v>
      </c>
      <c r="F70" s="7" t="s">
        <v>199</v>
      </c>
    </row>
    <row r="71" spans="1:6">
      <c r="A71" s="6" t="s">
        <v>140</v>
      </c>
      <c r="B71" s="6" t="s">
        <v>163</v>
      </c>
      <c r="C71" s="10">
        <v>60401</v>
      </c>
      <c r="D71" s="10">
        <v>56938</v>
      </c>
      <c r="E71" s="10">
        <v>-3463</v>
      </c>
      <c r="F71" s="7" t="s">
        <v>199</v>
      </c>
    </row>
    <row r="72" spans="1:6">
      <c r="A72" s="6" t="s">
        <v>141</v>
      </c>
      <c r="B72" s="6" t="s">
        <v>216</v>
      </c>
      <c r="C72" s="10">
        <v>13405</v>
      </c>
      <c r="D72" s="10">
        <v>16794</v>
      </c>
      <c r="E72" s="10">
        <v>3389</v>
      </c>
      <c r="F72" s="7" t="s">
        <v>202</v>
      </c>
    </row>
    <row r="73" spans="1:6">
      <c r="A73" s="6" t="s">
        <v>136</v>
      </c>
      <c r="B73" s="6" t="s">
        <v>167</v>
      </c>
      <c r="C73" s="10">
        <v>42802</v>
      </c>
      <c r="D73" s="10">
        <v>39441</v>
      </c>
      <c r="E73" s="10">
        <v>-3361</v>
      </c>
      <c r="F73" s="7" t="s">
        <v>199</v>
      </c>
    </row>
    <row r="74" spans="1:6">
      <c r="A74" s="6" t="s">
        <v>136</v>
      </c>
      <c r="B74" s="6" t="s">
        <v>217</v>
      </c>
      <c r="C74" s="10">
        <v>8982</v>
      </c>
      <c r="D74" s="10">
        <v>5707</v>
      </c>
      <c r="E74" s="10">
        <v>-3275</v>
      </c>
      <c r="F74" s="7" t="s">
        <v>199</v>
      </c>
    </row>
    <row r="75" spans="1:6">
      <c r="A75" s="6" t="s">
        <v>139</v>
      </c>
      <c r="B75" s="6" t="s">
        <v>218</v>
      </c>
      <c r="C75" s="10">
        <v>20685</v>
      </c>
      <c r="D75" s="10">
        <v>23886</v>
      </c>
      <c r="E75" s="10">
        <v>3201</v>
      </c>
      <c r="F75" s="7" t="s">
        <v>199</v>
      </c>
    </row>
    <row r="76" spans="1:6">
      <c r="A76" s="6" t="s">
        <v>138</v>
      </c>
      <c r="B76" s="6" t="s">
        <v>219</v>
      </c>
      <c r="C76" s="10">
        <v>12377</v>
      </c>
      <c r="D76" s="10">
        <v>9293</v>
      </c>
      <c r="E76" s="10">
        <v>-3084</v>
      </c>
      <c r="F76" s="7" t="s">
        <v>199</v>
      </c>
    </row>
    <row r="77" spans="1:6">
      <c r="A77" s="6" t="s">
        <v>148</v>
      </c>
      <c r="B77" s="6" t="s">
        <v>220</v>
      </c>
      <c r="C77" s="10">
        <v>0</v>
      </c>
      <c r="D77" s="10">
        <v>3015</v>
      </c>
      <c r="E77" s="10">
        <v>3015</v>
      </c>
      <c r="F77" s="7" t="s">
        <v>221</v>
      </c>
    </row>
    <row r="79" spans="1:6" ht="39" customHeight="1">
      <c r="A79" s="9" t="s">
        <v>222</v>
      </c>
      <c r="B79" s="9"/>
      <c r="C79" s="9"/>
      <c r="D79" s="9"/>
      <c r="E79" s="9"/>
      <c r="F79" s="9"/>
    </row>
  </sheetData>
  <mergeCells count="4">
    <mergeCell ref="A13:D13"/>
    <mergeCell ref="A34:E34"/>
    <mergeCell ref="A37:F37"/>
    <mergeCell ref="A79:F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cols>
    <col min="1" max="1" width="36.7109375" customWidth="1"/>
    <col min="2" max="2" width="18.7109375" customWidth="1"/>
    <col min="3" max="4" width="14.7109375" customWidth="1"/>
    <col min="5" max="5" width="11.7109375" customWidth="1"/>
    <col min="6" max="6" width="15.7109375" customWidth="1"/>
    <col min="7" max="7" width="11.7109375" customWidth="1"/>
    <col min="8" max="9" width="12.7109375" customWidth="1"/>
  </cols>
  <sheetData>
    <row r="1" spans="1:9" ht="24" customHeight="1">
      <c r="A1" s="1" t="s">
        <v>223</v>
      </c>
    </row>
    <row r="2" spans="1:9" ht="16" customHeight="1">
      <c r="A2" s="2" t="s">
        <v>224</v>
      </c>
    </row>
    <row r="4" spans="1:9">
      <c r="A4" s="8" t="s">
        <v>225</v>
      </c>
    </row>
    <row r="5" spans="1:9" ht="30" customHeight="1">
      <c r="A5" s="5" t="s">
        <v>154</v>
      </c>
      <c r="B5" s="5" t="s">
        <v>226</v>
      </c>
      <c r="C5" s="5" t="s">
        <v>227</v>
      </c>
      <c r="D5" s="5" t="s">
        <v>228</v>
      </c>
      <c r="E5" s="5" t="s">
        <v>229</v>
      </c>
      <c r="F5" s="5" t="s">
        <v>230</v>
      </c>
      <c r="G5" s="5" t="s">
        <v>231</v>
      </c>
      <c r="H5" s="5" t="s">
        <v>232</v>
      </c>
      <c r="I5" s="5" t="s">
        <v>233</v>
      </c>
    </row>
    <row r="6" spans="1:9">
      <c r="A6" s="6" t="s">
        <v>217</v>
      </c>
      <c r="B6" s="6" t="s">
        <v>234</v>
      </c>
      <c r="C6" s="10">
        <v>11366</v>
      </c>
      <c r="D6" s="6" t="s">
        <v>235</v>
      </c>
      <c r="E6" s="10">
        <v>5136</v>
      </c>
      <c r="F6" s="10">
        <v>20732</v>
      </c>
      <c r="G6" s="11">
        <v>24.8</v>
      </c>
      <c r="H6" s="6" t="s">
        <v>236</v>
      </c>
      <c r="I6" s="6" t="s">
        <v>237</v>
      </c>
    </row>
    <row r="7" spans="1:9">
      <c r="A7" s="6" t="s">
        <v>157</v>
      </c>
      <c r="B7" s="6" t="s">
        <v>238</v>
      </c>
      <c r="C7" s="10">
        <v>10466</v>
      </c>
      <c r="D7" s="6" t="s">
        <v>239</v>
      </c>
      <c r="E7" s="10">
        <v>167077</v>
      </c>
      <c r="F7" s="10">
        <v>881531</v>
      </c>
      <c r="G7" s="11">
        <v>19</v>
      </c>
      <c r="H7" s="6" t="s">
        <v>240</v>
      </c>
      <c r="I7" s="6" t="s">
        <v>241</v>
      </c>
    </row>
    <row r="8" spans="1:9">
      <c r="A8" s="6" t="s">
        <v>200</v>
      </c>
      <c r="B8" s="6" t="s">
        <v>242</v>
      </c>
      <c r="C8" s="10">
        <v>11432</v>
      </c>
      <c r="D8" s="6" t="s">
        <v>235</v>
      </c>
      <c r="E8" s="10">
        <v>7429</v>
      </c>
      <c r="F8" s="10">
        <v>41194</v>
      </c>
      <c r="G8" s="11">
        <v>18</v>
      </c>
      <c r="H8" s="6" t="s">
        <v>240</v>
      </c>
      <c r="I8" s="6" t="s">
        <v>243</v>
      </c>
    </row>
    <row r="9" spans="1:9">
      <c r="A9" s="6" t="s">
        <v>207</v>
      </c>
      <c r="B9" s="6" t="s">
        <v>244</v>
      </c>
      <c r="C9" s="10">
        <v>11238</v>
      </c>
      <c r="D9" s="6" t="s">
        <v>245</v>
      </c>
      <c r="E9" s="10">
        <v>2058</v>
      </c>
      <c r="F9" s="10">
        <v>36776</v>
      </c>
      <c r="G9" s="11">
        <v>5.6</v>
      </c>
      <c r="H9" s="6" t="s">
        <v>246</v>
      </c>
      <c r="I9" s="6" t="s">
        <v>247</v>
      </c>
    </row>
    <row r="10" spans="1:9">
      <c r="A10" s="6" t="s">
        <v>169</v>
      </c>
      <c r="B10" s="6" t="s">
        <v>234</v>
      </c>
      <c r="C10" s="10">
        <v>11366</v>
      </c>
      <c r="D10" s="6" t="s">
        <v>235</v>
      </c>
      <c r="E10" s="10">
        <v>3332</v>
      </c>
      <c r="F10" s="10">
        <v>105613</v>
      </c>
      <c r="G10" s="11">
        <v>3.2</v>
      </c>
      <c r="H10" s="6" t="s">
        <v>236</v>
      </c>
      <c r="I10" s="6" t="s">
        <v>237</v>
      </c>
    </row>
    <row r="11" spans="1:9">
      <c r="A11" s="6" t="s">
        <v>172</v>
      </c>
      <c r="B11" s="6" t="s">
        <v>242</v>
      </c>
      <c r="C11" s="10">
        <v>11432</v>
      </c>
      <c r="D11" s="6" t="s">
        <v>235</v>
      </c>
      <c r="E11" s="10">
        <v>2878</v>
      </c>
      <c r="F11" s="10">
        <v>92971</v>
      </c>
      <c r="G11" s="11">
        <v>3.1</v>
      </c>
      <c r="H11" s="6" t="s">
        <v>248</v>
      </c>
      <c r="I11" s="6" t="s">
        <v>237</v>
      </c>
    </row>
    <row r="12" spans="1:9">
      <c r="A12" s="6" t="s">
        <v>205</v>
      </c>
      <c r="B12" s="6" t="s">
        <v>249</v>
      </c>
      <c r="C12" s="10">
        <v>11103</v>
      </c>
      <c r="D12" s="6" t="s">
        <v>235</v>
      </c>
      <c r="E12" s="10">
        <v>2236</v>
      </c>
      <c r="F12" s="10">
        <v>73738</v>
      </c>
      <c r="G12" s="11">
        <v>3</v>
      </c>
      <c r="H12" s="6" t="s">
        <v>250</v>
      </c>
      <c r="I12" s="6" t="s">
        <v>237</v>
      </c>
    </row>
    <row r="13" spans="1:9">
      <c r="A13" s="6" t="s">
        <v>208</v>
      </c>
      <c r="B13" s="6" t="s">
        <v>251</v>
      </c>
      <c r="C13" s="10">
        <v>10035</v>
      </c>
      <c r="D13" s="6" t="s">
        <v>252</v>
      </c>
      <c r="E13" s="10">
        <v>1744</v>
      </c>
      <c r="F13" s="10">
        <v>60442</v>
      </c>
      <c r="G13" s="11">
        <v>2.9</v>
      </c>
      <c r="H13" s="6" t="s">
        <v>240</v>
      </c>
      <c r="I13" s="6" t="s">
        <v>253</v>
      </c>
    </row>
    <row r="14" spans="1:9">
      <c r="A14" s="6" t="s">
        <v>254</v>
      </c>
      <c r="B14" s="6" t="s">
        <v>255</v>
      </c>
      <c r="C14" s="10">
        <v>11212</v>
      </c>
      <c r="D14" s="6" t="s">
        <v>245</v>
      </c>
      <c r="E14" s="10">
        <v>1108</v>
      </c>
      <c r="F14" s="10">
        <v>49008</v>
      </c>
      <c r="G14" s="11">
        <v>2.3</v>
      </c>
      <c r="H14" s="6" t="s">
        <v>240</v>
      </c>
      <c r="I14" s="6" t="s">
        <v>256</v>
      </c>
    </row>
    <row r="15" spans="1:9">
      <c r="A15" s="6" t="s">
        <v>257</v>
      </c>
      <c r="B15" s="6" t="s">
        <v>258</v>
      </c>
      <c r="C15" s="10">
        <v>10028</v>
      </c>
      <c r="D15" s="6" t="s">
        <v>252</v>
      </c>
      <c r="E15" s="10">
        <v>552</v>
      </c>
      <c r="F15" s="10">
        <v>26418</v>
      </c>
      <c r="G15" s="11">
        <v>2.1</v>
      </c>
      <c r="H15" s="6" t="s">
        <v>259</v>
      </c>
      <c r="I15" s="6" t="s">
        <v>243</v>
      </c>
    </row>
    <row r="16" spans="1:9">
      <c r="A16" s="6" t="s">
        <v>212</v>
      </c>
      <c r="B16" s="6" t="s">
        <v>260</v>
      </c>
      <c r="C16" s="10">
        <v>10028</v>
      </c>
      <c r="D16" s="6" t="s">
        <v>252</v>
      </c>
      <c r="E16" s="10">
        <v>1037</v>
      </c>
      <c r="F16" s="10">
        <v>52471</v>
      </c>
      <c r="G16" s="11">
        <v>2</v>
      </c>
      <c r="H16" s="6" t="s">
        <v>236</v>
      </c>
      <c r="I16" s="6" t="s">
        <v>237</v>
      </c>
    </row>
    <row r="17" spans="1:9">
      <c r="A17" s="6" t="s">
        <v>261</v>
      </c>
      <c r="B17" s="6" t="s">
        <v>262</v>
      </c>
      <c r="C17" s="10">
        <v>11430</v>
      </c>
      <c r="D17" s="6" t="s">
        <v>235</v>
      </c>
      <c r="E17" s="10">
        <v>746</v>
      </c>
      <c r="F17" s="10">
        <v>38644</v>
      </c>
      <c r="G17" s="11">
        <v>1.9</v>
      </c>
      <c r="H17" s="6" t="s">
        <v>263</v>
      </c>
      <c r="I17" s="6" t="s">
        <v>264</v>
      </c>
    </row>
    <row r="19" spans="1:9" ht="39" customHeight="1">
      <c r="A19" s="9" t="s">
        <v>265</v>
      </c>
      <c r="B19" s="9"/>
      <c r="C19" s="9"/>
      <c r="D19" s="9"/>
      <c r="E19" s="9"/>
      <c r="F19" s="9"/>
      <c r="G19" s="9"/>
      <c r="H19" s="9"/>
      <c r="I19" s="9"/>
    </row>
    <row r="21" spans="1:9">
      <c r="A21" s="8" t="s">
        <v>266</v>
      </c>
    </row>
    <row r="22" spans="1:9" ht="30" customHeight="1">
      <c r="A22" s="5" t="s">
        <v>267</v>
      </c>
      <c r="B22" s="5" t="s">
        <v>6</v>
      </c>
    </row>
    <row r="23" spans="1:9">
      <c r="A23" s="6" t="s">
        <v>268</v>
      </c>
      <c r="B23" s="7" t="s">
        <v>269</v>
      </c>
    </row>
    <row r="24" spans="1:9">
      <c r="A24" s="6" t="s">
        <v>270</v>
      </c>
      <c r="B24" s="7" t="s">
        <v>271</v>
      </c>
    </row>
    <row r="25" spans="1:9">
      <c r="A25" s="6" t="s">
        <v>272</v>
      </c>
      <c r="B25" s="7" t="s">
        <v>273</v>
      </c>
    </row>
    <row r="26" spans="1:9">
      <c r="A26" s="6" t="s">
        <v>274</v>
      </c>
      <c r="B26" s="7" t="s">
        <v>275</v>
      </c>
    </row>
    <row r="27" spans="1:9">
      <c r="A27" s="6" t="s">
        <v>276</v>
      </c>
      <c r="B27" s="7" t="s">
        <v>277</v>
      </c>
    </row>
    <row r="28" spans="1:9">
      <c r="A28" s="6" t="s">
        <v>278</v>
      </c>
      <c r="B28" s="7" t="s">
        <v>279</v>
      </c>
    </row>
    <row r="29" spans="1:9">
      <c r="A29" s="6" t="s">
        <v>280</v>
      </c>
      <c r="B29" s="7" t="s">
        <v>281</v>
      </c>
    </row>
    <row r="30" spans="1:9">
      <c r="A30" s="6" t="s">
        <v>282</v>
      </c>
      <c r="B30" s="7" t="s">
        <v>283</v>
      </c>
    </row>
    <row r="31" spans="1:9">
      <c r="A31" s="6" t="s">
        <v>284</v>
      </c>
      <c r="B31" s="7" t="s">
        <v>285</v>
      </c>
    </row>
    <row r="33" spans="1:6">
      <c r="A33" s="8" t="s">
        <v>286</v>
      </c>
    </row>
    <row r="34" spans="1:6" ht="30" customHeight="1">
      <c r="A34" s="5" t="s">
        <v>94</v>
      </c>
      <c r="B34" s="5" t="s">
        <v>287</v>
      </c>
      <c r="C34" s="5" t="s">
        <v>288</v>
      </c>
      <c r="D34" s="5" t="s">
        <v>289</v>
      </c>
      <c r="E34" s="5" t="s">
        <v>290</v>
      </c>
      <c r="F34" s="5" t="s">
        <v>291</v>
      </c>
    </row>
    <row r="35" spans="1:6">
      <c r="A35" s="6" t="s">
        <v>98</v>
      </c>
      <c r="B35" s="10">
        <v>17450</v>
      </c>
      <c r="C35" s="10">
        <v>15834</v>
      </c>
      <c r="D35" s="10">
        <v>13827</v>
      </c>
      <c r="E35" s="10">
        <v>248139</v>
      </c>
      <c r="F35" s="11">
        <v>7.03</v>
      </c>
    </row>
    <row r="36" spans="1:6">
      <c r="A36" s="6" t="s">
        <v>100</v>
      </c>
      <c r="B36" s="10">
        <v>10662</v>
      </c>
      <c r="C36" s="10">
        <v>8778</v>
      </c>
      <c r="D36" s="10">
        <v>6934</v>
      </c>
      <c r="E36" s="10">
        <v>306803</v>
      </c>
      <c r="F36" s="11">
        <v>3.48</v>
      </c>
    </row>
    <row r="37" spans="1:6">
      <c r="A37" s="6" t="s">
        <v>102</v>
      </c>
      <c r="B37" s="10">
        <v>14986</v>
      </c>
      <c r="C37" s="10">
        <v>12757</v>
      </c>
      <c r="D37" s="10">
        <v>11299</v>
      </c>
      <c r="E37" s="10">
        <v>293515</v>
      </c>
      <c r="F37" s="11">
        <v>5.11</v>
      </c>
    </row>
    <row r="38" spans="1:6">
      <c r="A38" s="6" t="s">
        <v>103</v>
      </c>
      <c r="B38" s="10">
        <v>23532</v>
      </c>
      <c r="C38" s="10">
        <v>20877</v>
      </c>
      <c r="D38" s="10">
        <v>19654</v>
      </c>
      <c r="E38" s="10">
        <v>313949</v>
      </c>
      <c r="F38" s="11">
        <v>7.5</v>
      </c>
    </row>
    <row r="39" spans="1:6">
      <c r="A39" s="6" t="s">
        <v>104</v>
      </c>
      <c r="B39" s="10">
        <v>48604</v>
      </c>
      <c r="C39" s="10">
        <v>45606</v>
      </c>
      <c r="D39" s="10">
        <v>39989</v>
      </c>
      <c r="E39" s="10">
        <v>348180</v>
      </c>
      <c r="F39" s="11">
        <v>13.96</v>
      </c>
    </row>
    <row r="40" spans="1:6">
      <c r="A40" s="6" t="s">
        <v>105</v>
      </c>
      <c r="B40" s="10">
        <v>6921</v>
      </c>
      <c r="C40" s="10">
        <v>4703</v>
      </c>
      <c r="D40" s="10">
        <v>4536</v>
      </c>
      <c r="E40" s="10">
        <v>255364</v>
      </c>
      <c r="F40" s="11">
        <v>2.71</v>
      </c>
    </row>
    <row r="41" spans="1:6">
      <c r="A41" s="6" t="s">
        <v>106</v>
      </c>
      <c r="B41" s="10">
        <v>5022</v>
      </c>
      <c r="C41" s="10">
        <v>2781</v>
      </c>
      <c r="D41" s="10">
        <v>2334</v>
      </c>
      <c r="E41" s="10">
        <v>281221</v>
      </c>
      <c r="F41" s="11">
        <v>1.79</v>
      </c>
    </row>
    <row r="42" spans="1:6">
      <c r="A42" s="6" t="s">
        <v>107</v>
      </c>
      <c r="B42" s="10">
        <v>3527</v>
      </c>
      <c r="C42" s="10">
        <v>1588</v>
      </c>
      <c r="D42" s="10">
        <v>1324</v>
      </c>
      <c r="E42" s="10">
        <v>272549</v>
      </c>
      <c r="F42" s="11">
        <v>1.29</v>
      </c>
    </row>
    <row r="43" spans="1:6">
      <c r="A43" s="6" t="s">
        <v>108</v>
      </c>
      <c r="B43" s="10">
        <v>2330</v>
      </c>
      <c r="C43" s="10">
        <v>293</v>
      </c>
      <c r="D43" s="10">
        <v>7</v>
      </c>
      <c r="E43" s="10">
        <v>295058</v>
      </c>
      <c r="F43" s="11">
        <v>0.79</v>
      </c>
    </row>
    <row r="44" spans="1:6">
      <c r="A44" s="6" t="s">
        <v>109</v>
      </c>
      <c r="B44" s="10">
        <v>2493</v>
      </c>
      <c r="C44" s="10">
        <v>273</v>
      </c>
      <c r="D44" s="10">
        <v>11</v>
      </c>
      <c r="E44" s="10">
        <v>306442</v>
      </c>
      <c r="F44" s="11">
        <v>0.8100000000000001</v>
      </c>
    </row>
    <row r="45" spans="1:6">
      <c r="A45" s="6" t="s">
        <v>110</v>
      </c>
      <c r="B45" s="10">
        <v>2843</v>
      </c>
      <c r="C45" s="10">
        <v>326</v>
      </c>
      <c r="D45" s="10">
        <v>107</v>
      </c>
      <c r="E45" s="10">
        <v>315883</v>
      </c>
      <c r="F45" s="11">
        <v>0.9</v>
      </c>
    </row>
    <row r="46" spans="1:6">
      <c r="A46" s="6" t="s">
        <v>111</v>
      </c>
      <c r="B46" s="10">
        <v>3148</v>
      </c>
      <c r="C46" s="10">
        <v>970</v>
      </c>
      <c r="D46" s="10">
        <v>664</v>
      </c>
      <c r="E46" s="10">
        <v>304039</v>
      </c>
      <c r="F46" s="11">
        <v>1.04</v>
      </c>
    </row>
    <row r="47" spans="1:6">
      <c r="A47" s="6" t="s">
        <v>112</v>
      </c>
      <c r="B47" s="10">
        <v>8714</v>
      </c>
      <c r="C47" s="10">
        <v>6681</v>
      </c>
      <c r="D47" s="10">
        <v>5198</v>
      </c>
      <c r="E47" s="10">
        <v>302684</v>
      </c>
      <c r="F47" s="11">
        <v>2.88</v>
      </c>
    </row>
    <row r="48" spans="1:6">
      <c r="A48" s="6" t="s">
        <v>113</v>
      </c>
      <c r="B48" s="10">
        <v>20927</v>
      </c>
      <c r="C48" s="10">
        <v>18900</v>
      </c>
      <c r="D48" s="10">
        <v>18676</v>
      </c>
      <c r="E48" s="10">
        <v>336612</v>
      </c>
      <c r="F48" s="11">
        <v>6.22</v>
      </c>
    </row>
    <row r="49" spans="1:6">
      <c r="A49" s="6" t="s">
        <v>114</v>
      </c>
      <c r="B49" s="10">
        <v>17245</v>
      </c>
      <c r="C49" s="10">
        <v>14952</v>
      </c>
      <c r="D49" s="10">
        <v>14361</v>
      </c>
      <c r="E49" s="10">
        <v>304905</v>
      </c>
      <c r="F49" s="11">
        <v>5.66</v>
      </c>
    </row>
    <row r="50" spans="1:6">
      <c r="A50" s="6" t="s">
        <v>115</v>
      </c>
      <c r="B50" s="10">
        <v>32703</v>
      </c>
      <c r="C50" s="10">
        <v>30155</v>
      </c>
      <c r="D50" s="10">
        <v>28156</v>
      </c>
      <c r="E50" s="10">
        <v>332103</v>
      </c>
      <c r="F50" s="11">
        <v>9.85</v>
      </c>
    </row>
    <row r="51" spans="1:6">
      <c r="A51" s="6" t="s">
        <v>116</v>
      </c>
      <c r="B51" s="10">
        <v>4068</v>
      </c>
      <c r="C51" s="10">
        <v>1228</v>
      </c>
      <c r="D51" s="10">
        <v>977</v>
      </c>
      <c r="E51" s="10">
        <v>348511</v>
      </c>
      <c r="F51" s="11">
        <v>1.17</v>
      </c>
    </row>
    <row r="52" spans="1:6">
      <c r="A52" s="6" t="s">
        <v>117</v>
      </c>
      <c r="B52" s="10">
        <v>3604</v>
      </c>
      <c r="C52" s="10">
        <v>809</v>
      </c>
      <c r="D52" s="10">
        <v>641</v>
      </c>
      <c r="E52" s="10">
        <v>334690</v>
      </c>
      <c r="F52" s="11">
        <v>1.08</v>
      </c>
    </row>
    <row r="53" spans="1:6">
      <c r="A53" s="6" t="s">
        <v>118</v>
      </c>
      <c r="B53" s="10">
        <v>4310</v>
      </c>
      <c r="C53" s="10">
        <v>1777</v>
      </c>
      <c r="D53" s="10">
        <v>1591</v>
      </c>
      <c r="E53" s="10">
        <v>342387</v>
      </c>
      <c r="F53" s="11">
        <v>1.26</v>
      </c>
    </row>
    <row r="54" spans="1:6">
      <c r="A54" s="6" t="s">
        <v>119</v>
      </c>
      <c r="B54" s="10">
        <v>3664</v>
      </c>
      <c r="C54" s="10">
        <v>1413</v>
      </c>
      <c r="D54" s="10">
        <v>1222</v>
      </c>
      <c r="E54" s="10">
        <v>302190</v>
      </c>
      <c r="F54" s="11">
        <v>1.21</v>
      </c>
    </row>
    <row r="55" spans="1:6">
      <c r="A55" s="6" t="s">
        <v>120</v>
      </c>
      <c r="B55" s="10">
        <v>2447</v>
      </c>
      <c r="C55" s="10">
        <v>355</v>
      </c>
      <c r="D55" s="10">
        <v>50</v>
      </c>
      <c r="E55" s="10">
        <v>331978</v>
      </c>
      <c r="F55" s="11">
        <v>0.74</v>
      </c>
    </row>
    <row r="56" spans="1:6">
      <c r="A56" s="6" t="s">
        <v>121</v>
      </c>
      <c r="B56" s="10">
        <v>2421</v>
      </c>
      <c r="C56" s="10">
        <v>286</v>
      </c>
      <c r="D56" s="10">
        <v>0</v>
      </c>
      <c r="E56" s="10">
        <v>334833</v>
      </c>
      <c r="F56" s="11">
        <v>0.72</v>
      </c>
    </row>
    <row r="57" spans="1:6">
      <c r="A57" s="6" t="s">
        <v>122</v>
      </c>
      <c r="B57" s="10">
        <v>2983</v>
      </c>
      <c r="C57" s="10">
        <v>259</v>
      </c>
      <c r="D57" s="10">
        <v>0</v>
      </c>
      <c r="E57" s="10">
        <v>343043</v>
      </c>
      <c r="F57" s="11">
        <v>0.87</v>
      </c>
    </row>
    <row r="58" spans="1:6">
      <c r="A58" s="6" t="s">
        <v>123</v>
      </c>
      <c r="B58" s="10">
        <v>2785</v>
      </c>
      <c r="C58" s="10">
        <v>240</v>
      </c>
      <c r="D58" s="10">
        <v>0</v>
      </c>
      <c r="E58" s="10">
        <v>328446</v>
      </c>
      <c r="F58" s="11">
        <v>0.85</v>
      </c>
    </row>
    <row r="59" spans="1:6">
      <c r="A59" s="6" t="s">
        <v>124</v>
      </c>
      <c r="B59" s="10">
        <v>310</v>
      </c>
      <c r="C59" s="10">
        <v>21</v>
      </c>
      <c r="D59" s="10">
        <v>0</v>
      </c>
      <c r="E59" s="10">
        <v>41974</v>
      </c>
      <c r="F59" s="11">
        <v>0.74</v>
      </c>
    </row>
    <row r="61" spans="1:6" ht="26" customHeight="1">
      <c r="A61" s="9" t="s">
        <v>292</v>
      </c>
      <c r="B61" s="9"/>
      <c r="C61" s="9"/>
      <c r="D61" s="9"/>
      <c r="E61" s="9"/>
      <c r="F61" s="9"/>
    </row>
    <row r="63" spans="1:6">
      <c r="A63" s="8" t="s">
        <v>293</v>
      </c>
    </row>
    <row r="64" spans="1:6" ht="30" customHeight="1">
      <c r="A64" s="5" t="s">
        <v>179</v>
      </c>
      <c r="B64" s="5" t="s">
        <v>294</v>
      </c>
      <c r="C64" s="5" t="s">
        <v>180</v>
      </c>
      <c r="D64" s="5" t="s">
        <v>181</v>
      </c>
      <c r="E64" s="5" t="s">
        <v>182</v>
      </c>
    </row>
    <row r="65" spans="1:5">
      <c r="A65" s="6" t="s">
        <v>187</v>
      </c>
      <c r="B65" s="6"/>
      <c r="C65" s="10">
        <v>22840</v>
      </c>
      <c r="D65" s="10">
        <v>6439</v>
      </c>
      <c r="E65" s="11">
        <v>-71.8</v>
      </c>
    </row>
    <row r="66" spans="1:5">
      <c r="A66" s="6" t="s">
        <v>188</v>
      </c>
      <c r="B66" s="6" t="s">
        <v>242</v>
      </c>
      <c r="C66" s="10">
        <v>17857</v>
      </c>
      <c r="D66" s="10">
        <v>6034</v>
      </c>
      <c r="E66" s="11">
        <v>-66.2</v>
      </c>
    </row>
    <row r="67" spans="1:5">
      <c r="A67" s="6" t="s">
        <v>185</v>
      </c>
      <c r="B67" s="6"/>
      <c r="C67" s="10">
        <v>276711</v>
      </c>
      <c r="D67" s="10">
        <v>250333</v>
      </c>
      <c r="E67" s="11">
        <v>-9.5</v>
      </c>
    </row>
    <row r="68" spans="1:5">
      <c r="A68" s="6" t="s">
        <v>186</v>
      </c>
      <c r="B68" s="6" t="s">
        <v>295</v>
      </c>
      <c r="C68" s="10">
        <v>220171</v>
      </c>
      <c r="D68" s="10">
        <v>243966</v>
      </c>
      <c r="E68" s="11">
        <v>10.8</v>
      </c>
    </row>
    <row r="69" spans="1:5">
      <c r="A69" s="6" t="s">
        <v>183</v>
      </c>
      <c r="B69" s="6"/>
      <c r="C69" s="10">
        <v>2378736</v>
      </c>
      <c r="D69" s="10">
        <v>2666078</v>
      </c>
      <c r="E69" s="11">
        <v>12.1</v>
      </c>
    </row>
    <row r="70" spans="1:5">
      <c r="A70" s="6" t="s">
        <v>184</v>
      </c>
      <c r="B70" s="6" t="s">
        <v>295</v>
      </c>
      <c r="C70" s="10">
        <v>2303848</v>
      </c>
      <c r="D70" s="10">
        <v>2639796</v>
      </c>
      <c r="E70" s="11">
        <v>14.6</v>
      </c>
    </row>
  </sheetData>
  <mergeCells count="2">
    <mergeCell ref="A19:I19"/>
    <mergeCell ref="A61:F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11.7109375" customWidth="1"/>
    <col min="6" max="6" width="20.7109375" customWidth="1"/>
    <col min="7" max="7" width="24.7109375" customWidth="1"/>
  </cols>
  <sheetData>
    <row r="1" spans="1:11" ht="24" customHeight="1">
      <c r="A1" s="1" t="s">
        <v>296</v>
      </c>
    </row>
    <row r="2" spans="1:11" ht="16" customHeight="1">
      <c r="A2" s="2" t="s">
        <v>297</v>
      </c>
    </row>
    <row r="4" spans="1:11">
      <c r="A4" s="8" t="s">
        <v>298</v>
      </c>
    </row>
    <row r="5" spans="1:11" ht="14" customHeight="1">
      <c r="A5" s="9" t="s">
        <v>299</v>
      </c>
      <c r="B5" s="9"/>
      <c r="C5" s="9"/>
      <c r="D5" s="9"/>
      <c r="E5" s="9"/>
      <c r="F5" s="9"/>
      <c r="G5" s="9"/>
      <c r="H5" s="9"/>
      <c r="I5" s="9"/>
      <c r="J5" s="9"/>
      <c r="K5" s="9"/>
    </row>
    <row r="7" spans="1:11" ht="30" customHeight="1">
      <c r="A7" s="5" t="s">
        <v>126</v>
      </c>
      <c r="B7" s="5" t="s">
        <v>128</v>
      </c>
      <c r="C7" s="5" t="s">
        <v>300</v>
      </c>
      <c r="D7" s="5" t="s">
        <v>301</v>
      </c>
      <c r="E7" s="5" t="s">
        <v>302</v>
      </c>
      <c r="F7" s="5" t="s">
        <v>134</v>
      </c>
      <c r="G7" s="5" t="s">
        <v>135</v>
      </c>
    </row>
    <row r="8" spans="1:11">
      <c r="A8" s="6" t="s">
        <v>136</v>
      </c>
      <c r="B8" s="10">
        <v>3402909</v>
      </c>
      <c r="C8" s="11">
        <v>100</v>
      </c>
      <c r="D8" s="12">
        <v>0.06</v>
      </c>
      <c r="E8" s="12">
        <v>0.3</v>
      </c>
      <c r="F8" s="11">
        <v>99.09999999999999</v>
      </c>
      <c r="G8" s="11">
        <v>100</v>
      </c>
    </row>
    <row r="9" spans="1:11">
      <c r="A9" s="6" t="s">
        <v>137</v>
      </c>
      <c r="B9" s="10">
        <v>1573882</v>
      </c>
      <c r="C9" s="11">
        <v>96.3</v>
      </c>
      <c r="D9" s="12">
        <v>3.65</v>
      </c>
      <c r="E9" s="12">
        <v>37.1</v>
      </c>
      <c r="F9" s="11">
        <v>12.7</v>
      </c>
      <c r="G9" s="11">
        <v>87.8</v>
      </c>
    </row>
    <row r="10" spans="1:11">
      <c r="A10" s="6" t="s">
        <v>138</v>
      </c>
      <c r="B10" s="10">
        <v>676539</v>
      </c>
      <c r="C10" s="11">
        <v>98.59999999999999</v>
      </c>
      <c r="D10" s="12">
        <v>1.41</v>
      </c>
      <c r="E10" s="12">
        <v>7.1</v>
      </c>
      <c r="F10" s="11">
        <v>38.4</v>
      </c>
      <c r="G10" s="11">
        <v>97.7</v>
      </c>
    </row>
    <row r="11" spans="1:11">
      <c r="A11" s="6" t="s">
        <v>139</v>
      </c>
      <c r="B11" s="10">
        <v>460166</v>
      </c>
      <c r="C11" s="11">
        <v>94.90000000000001</v>
      </c>
      <c r="D11" s="12">
        <v>1.92</v>
      </c>
      <c r="E11" s="12">
        <v>16.6</v>
      </c>
      <c r="F11" s="11">
        <v>40.2</v>
      </c>
      <c r="G11" s="11">
        <v>94.59999999999999</v>
      </c>
    </row>
    <row r="12" spans="1:11">
      <c r="A12" s="6" t="s">
        <v>140</v>
      </c>
      <c r="B12" s="10">
        <v>414542</v>
      </c>
      <c r="C12" s="11">
        <v>97.7</v>
      </c>
      <c r="D12" s="12">
        <v>0.93</v>
      </c>
      <c r="E12" s="12">
        <v>9.5</v>
      </c>
      <c r="F12" s="11">
        <v>52.2</v>
      </c>
      <c r="G12" s="11">
        <v>97.90000000000001</v>
      </c>
    </row>
    <row r="13" spans="1:11">
      <c r="A13" s="6" t="s">
        <v>141</v>
      </c>
      <c r="B13" s="10">
        <v>186394</v>
      </c>
      <c r="C13" s="11">
        <v>76.40000000000001</v>
      </c>
      <c r="D13" s="12">
        <v>6.89</v>
      </c>
      <c r="E13" s="12">
        <v>142.9</v>
      </c>
      <c r="F13" s="11">
        <v>24.1</v>
      </c>
      <c r="G13" s="11">
        <v>71.59999999999999</v>
      </c>
    </row>
    <row r="14" spans="1:11">
      <c r="A14" s="6" t="s">
        <v>142</v>
      </c>
      <c r="B14" s="10">
        <v>218945</v>
      </c>
      <c r="C14" s="11">
        <v>100</v>
      </c>
      <c r="D14" s="12">
        <v>6.62</v>
      </c>
      <c r="E14" s="12">
        <v>145.5</v>
      </c>
      <c r="F14" s="11">
        <v>28.2</v>
      </c>
      <c r="G14" s="11">
        <v>66.59999999999999</v>
      </c>
    </row>
    <row r="15" spans="1:11">
      <c r="A15" s="6" t="s">
        <v>143</v>
      </c>
      <c r="B15" s="10">
        <v>154097</v>
      </c>
      <c r="C15" s="11">
        <v>91.09999999999999</v>
      </c>
      <c r="D15" s="12">
        <v>2.61</v>
      </c>
      <c r="E15" s="12">
        <v>60</v>
      </c>
      <c r="F15" s="11">
        <v>39.1</v>
      </c>
      <c r="G15" s="11">
        <v>68.40000000000001</v>
      </c>
    </row>
    <row r="16" spans="1:11">
      <c r="A16" s="6" t="s">
        <v>144</v>
      </c>
      <c r="B16" s="10">
        <v>83863</v>
      </c>
      <c r="C16" s="11">
        <v>82.7</v>
      </c>
      <c r="D16" s="12">
        <v>0.31</v>
      </c>
      <c r="E16" s="12">
        <v>9.199999999999999</v>
      </c>
      <c r="F16" s="11">
        <v>74.2</v>
      </c>
      <c r="G16" s="11">
        <v>95.7</v>
      </c>
    </row>
    <row r="17" spans="1:11">
      <c r="A17" s="6" t="s">
        <v>145</v>
      </c>
      <c r="B17" s="10">
        <v>50144</v>
      </c>
      <c r="C17" s="11">
        <v>66.5</v>
      </c>
      <c r="D17" s="12">
        <v>40.45</v>
      </c>
      <c r="E17" s="12">
        <v>201.5</v>
      </c>
      <c r="F17" s="11">
        <v>9.9</v>
      </c>
      <c r="G17" s="11">
        <v>43.5</v>
      </c>
    </row>
    <row r="18" spans="1:11">
      <c r="A18" s="6" t="s">
        <v>146</v>
      </c>
      <c r="B18" s="10">
        <v>37055</v>
      </c>
      <c r="C18" s="11">
        <v>96</v>
      </c>
      <c r="D18" s="12">
        <v>5.16</v>
      </c>
      <c r="E18" s="12">
        <v>32.7</v>
      </c>
      <c r="F18" s="11">
        <v>21</v>
      </c>
      <c r="G18" s="11">
        <v>62.8</v>
      </c>
    </row>
    <row r="19" spans="1:11">
      <c r="A19" s="6" t="s">
        <v>147</v>
      </c>
      <c r="B19" s="10">
        <v>17550</v>
      </c>
      <c r="C19" s="11">
        <v>47.7</v>
      </c>
      <c r="D19" s="12">
        <v>262.35</v>
      </c>
      <c r="E19" s="12">
        <v>360</v>
      </c>
      <c r="F19" s="11">
        <v>0</v>
      </c>
      <c r="G19" s="11">
        <v>3.5</v>
      </c>
    </row>
    <row r="20" spans="1:11">
      <c r="A20" s="6" t="s">
        <v>148</v>
      </c>
      <c r="B20" s="10">
        <v>3488</v>
      </c>
      <c r="C20" s="11">
        <v>83.09999999999999</v>
      </c>
      <c r="D20" s="12">
        <v>42.96</v>
      </c>
      <c r="E20" s="12">
        <v>78.2</v>
      </c>
      <c r="F20" s="11">
        <v>1.5</v>
      </c>
      <c r="G20" s="11">
        <v>17.7</v>
      </c>
    </row>
    <row r="21" spans="1:11">
      <c r="A21" s="6" t="s">
        <v>149</v>
      </c>
      <c r="B21" s="10">
        <v>2962</v>
      </c>
      <c r="C21" s="11">
        <v>100</v>
      </c>
      <c r="D21" s="12">
        <v>18.74</v>
      </c>
      <c r="E21" s="12">
        <v>236.6</v>
      </c>
      <c r="F21" s="11">
        <v>20.7</v>
      </c>
      <c r="G21" s="11">
        <v>55</v>
      </c>
    </row>
    <row r="22" spans="1:11">
      <c r="A22" s="6" t="s">
        <v>150</v>
      </c>
      <c r="B22" s="10">
        <v>410</v>
      </c>
      <c r="C22" s="11">
        <v>94</v>
      </c>
      <c r="D22" s="12">
        <v>14.1</v>
      </c>
      <c r="E22" s="12">
        <v>31.4</v>
      </c>
      <c r="F22" s="11">
        <v>6.1</v>
      </c>
      <c r="G22" s="11">
        <v>88.5</v>
      </c>
    </row>
    <row r="23" spans="1:11">
      <c r="A23" s="6" t="s">
        <v>151</v>
      </c>
      <c r="B23" s="10">
        <v>371</v>
      </c>
      <c r="C23" s="11">
        <v>100</v>
      </c>
      <c r="D23" s="12">
        <v>1.77</v>
      </c>
      <c r="E23" s="12">
        <v>22.6</v>
      </c>
      <c r="F23" s="11">
        <v>32.6</v>
      </c>
      <c r="G23" s="11">
        <v>97</v>
      </c>
    </row>
    <row r="25" spans="1:11" ht="26" customHeight="1">
      <c r="A25" s="9" t="s">
        <v>303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7" spans="1:11">
      <c r="A27" s="8" t="s">
        <v>304</v>
      </c>
    </row>
    <row r="28" spans="1:11" ht="14" customHeight="1">
      <c r="A28" s="9" t="s">
        <v>305</v>
      </c>
      <c r="B28" s="9"/>
      <c r="C28" s="9"/>
      <c r="D28" s="9"/>
      <c r="E28" s="9"/>
      <c r="F28" s="9"/>
      <c r="G28" s="9"/>
      <c r="H28" s="9"/>
      <c r="I28" s="9"/>
      <c r="J28" s="9"/>
    </row>
    <row r="30" spans="1:11" ht="30" customHeight="1">
      <c r="A30" s="5" t="s">
        <v>306</v>
      </c>
      <c r="B30" s="5" t="s">
        <v>95</v>
      </c>
      <c r="C30" s="5" t="s">
        <v>307</v>
      </c>
      <c r="D30" s="5" t="s">
        <v>308</v>
      </c>
      <c r="E30" s="5" t="s">
        <v>301</v>
      </c>
      <c r="F30" s="5" t="s">
        <v>302</v>
      </c>
      <c r="G30" s="5" t="s">
        <v>309</v>
      </c>
    </row>
    <row r="31" spans="1:11">
      <c r="A31" s="6" t="s">
        <v>98</v>
      </c>
      <c r="B31" s="10">
        <v>248139</v>
      </c>
      <c r="C31" s="10">
        <v>243500</v>
      </c>
      <c r="D31" s="10">
        <v>705</v>
      </c>
      <c r="E31" s="12">
        <v>0.2</v>
      </c>
      <c r="F31" s="12">
        <v>14.4</v>
      </c>
      <c r="G31" s="11">
        <v>92</v>
      </c>
    </row>
    <row r="32" spans="1:11">
      <c r="A32" s="6" t="s">
        <v>100</v>
      </c>
      <c r="B32" s="10">
        <v>306803</v>
      </c>
      <c r="C32" s="10">
        <v>299094</v>
      </c>
      <c r="D32" s="10">
        <v>674</v>
      </c>
      <c r="E32" s="12">
        <v>0.31</v>
      </c>
      <c r="F32" s="12">
        <v>16.5</v>
      </c>
      <c r="G32" s="11">
        <v>90.59999999999999</v>
      </c>
    </row>
    <row r="33" spans="1:7">
      <c r="A33" s="6" t="s">
        <v>102</v>
      </c>
      <c r="B33" s="10">
        <v>293515</v>
      </c>
      <c r="C33" s="10">
        <v>287144</v>
      </c>
      <c r="D33" s="10">
        <v>644</v>
      </c>
      <c r="E33" s="12">
        <v>0.53</v>
      </c>
      <c r="F33" s="12">
        <v>21.2</v>
      </c>
      <c r="G33" s="11">
        <v>89.90000000000001</v>
      </c>
    </row>
    <row r="34" spans="1:7">
      <c r="A34" s="6" t="s">
        <v>103</v>
      </c>
      <c r="B34" s="10">
        <v>313949</v>
      </c>
      <c r="C34" s="10">
        <v>310147</v>
      </c>
      <c r="D34" s="10">
        <v>613</v>
      </c>
      <c r="E34" s="12">
        <v>0.76</v>
      </c>
      <c r="F34" s="12">
        <v>22.3</v>
      </c>
      <c r="G34" s="11">
        <v>90.09999999999999</v>
      </c>
    </row>
    <row r="35" spans="1:7">
      <c r="A35" s="6" t="s">
        <v>104</v>
      </c>
      <c r="B35" s="10">
        <v>348180</v>
      </c>
      <c r="C35" s="10">
        <v>345474</v>
      </c>
      <c r="D35" s="10">
        <v>582</v>
      </c>
      <c r="E35" s="12">
        <v>0.63</v>
      </c>
      <c r="F35" s="12">
        <v>16.4</v>
      </c>
      <c r="G35" s="11">
        <v>91.40000000000001</v>
      </c>
    </row>
    <row r="36" spans="1:7">
      <c r="A36" s="6" t="s">
        <v>105</v>
      </c>
      <c r="B36" s="10">
        <v>255364</v>
      </c>
      <c r="C36" s="10">
        <v>251673</v>
      </c>
      <c r="D36" s="10">
        <v>554</v>
      </c>
      <c r="E36" s="12">
        <v>0.57</v>
      </c>
      <c r="F36" s="12">
        <v>18.6</v>
      </c>
      <c r="G36" s="11">
        <v>91</v>
      </c>
    </row>
    <row r="37" spans="1:7">
      <c r="A37" s="6" t="s">
        <v>106</v>
      </c>
      <c r="B37" s="10">
        <v>281221</v>
      </c>
      <c r="C37" s="10">
        <v>277106</v>
      </c>
      <c r="D37" s="10">
        <v>523</v>
      </c>
      <c r="E37" s="12">
        <v>0.35</v>
      </c>
      <c r="F37" s="12">
        <v>19.9</v>
      </c>
      <c r="G37" s="11">
        <v>90.59999999999999</v>
      </c>
    </row>
    <row r="38" spans="1:7">
      <c r="A38" s="6" t="s">
        <v>107</v>
      </c>
      <c r="B38" s="10">
        <v>272549</v>
      </c>
      <c r="C38" s="10">
        <v>267515</v>
      </c>
      <c r="D38" s="10">
        <v>493</v>
      </c>
      <c r="E38" s="12">
        <v>0.29</v>
      </c>
      <c r="F38" s="12">
        <v>18.8</v>
      </c>
      <c r="G38" s="11">
        <v>90.7</v>
      </c>
    </row>
    <row r="39" spans="1:7">
      <c r="A39" s="6" t="s">
        <v>108</v>
      </c>
      <c r="B39" s="10">
        <v>295058</v>
      </c>
      <c r="C39" s="10">
        <v>290550</v>
      </c>
      <c r="D39" s="10">
        <v>462</v>
      </c>
      <c r="E39" s="12">
        <v>0.17</v>
      </c>
      <c r="F39" s="12">
        <v>16.7</v>
      </c>
      <c r="G39" s="11">
        <v>91.3</v>
      </c>
    </row>
    <row r="40" spans="1:7">
      <c r="A40" s="6" t="s">
        <v>109</v>
      </c>
      <c r="B40" s="10">
        <v>306442</v>
      </c>
      <c r="C40" s="10">
        <v>302733</v>
      </c>
      <c r="D40" s="10">
        <v>432</v>
      </c>
      <c r="E40" s="12">
        <v>0.15</v>
      </c>
      <c r="F40" s="12">
        <v>20.7</v>
      </c>
      <c r="G40" s="11">
        <v>90.7</v>
      </c>
    </row>
    <row r="41" spans="1:7">
      <c r="A41" s="6" t="s">
        <v>110</v>
      </c>
      <c r="B41" s="10">
        <v>315883</v>
      </c>
      <c r="C41" s="10">
        <v>311699</v>
      </c>
      <c r="D41" s="10">
        <v>401</v>
      </c>
      <c r="E41" s="12">
        <v>0.19</v>
      </c>
      <c r="F41" s="12">
        <v>21.8</v>
      </c>
      <c r="G41" s="11">
        <v>90.8</v>
      </c>
    </row>
    <row r="42" spans="1:7">
      <c r="A42" s="6" t="s">
        <v>111</v>
      </c>
      <c r="B42" s="10">
        <v>304039</v>
      </c>
      <c r="C42" s="10">
        <v>298493</v>
      </c>
      <c r="D42" s="10">
        <v>370</v>
      </c>
      <c r="E42" s="12">
        <v>0.16</v>
      </c>
      <c r="F42" s="12">
        <v>16.6</v>
      </c>
      <c r="G42" s="11">
        <v>92.2</v>
      </c>
    </row>
    <row r="43" spans="1:7">
      <c r="A43" s="6" t="s">
        <v>112</v>
      </c>
      <c r="B43" s="10">
        <v>302684</v>
      </c>
      <c r="C43" s="10">
        <v>295929</v>
      </c>
      <c r="D43" s="10">
        <v>340</v>
      </c>
      <c r="E43" s="12">
        <v>0.15</v>
      </c>
      <c r="F43" s="12">
        <v>13.4</v>
      </c>
      <c r="G43" s="11">
        <v>92.59999999999999</v>
      </c>
    </row>
    <row r="44" spans="1:7">
      <c r="A44" s="6" t="s">
        <v>113</v>
      </c>
      <c r="B44" s="10">
        <v>336612</v>
      </c>
      <c r="C44" s="10">
        <v>329478</v>
      </c>
      <c r="D44" s="10">
        <v>309</v>
      </c>
      <c r="E44" s="12">
        <v>0.2</v>
      </c>
      <c r="F44" s="12">
        <v>14.7</v>
      </c>
      <c r="G44" s="11">
        <v>91.5</v>
      </c>
    </row>
    <row r="45" spans="1:7">
      <c r="A45" s="6" t="s">
        <v>114</v>
      </c>
      <c r="B45" s="10">
        <v>304905</v>
      </c>
      <c r="C45" s="10">
        <v>300250</v>
      </c>
      <c r="D45" s="10">
        <v>279</v>
      </c>
      <c r="E45" s="12">
        <v>0.32</v>
      </c>
      <c r="F45" s="12">
        <v>14.5</v>
      </c>
      <c r="G45" s="11">
        <v>91.7</v>
      </c>
    </row>
    <row r="46" spans="1:7">
      <c r="A46" s="6" t="s">
        <v>115</v>
      </c>
      <c r="B46" s="10">
        <v>332103</v>
      </c>
      <c r="C46" s="10">
        <v>327139</v>
      </c>
      <c r="D46" s="10">
        <v>248</v>
      </c>
      <c r="E46" s="12">
        <v>0.52</v>
      </c>
      <c r="F46" s="12">
        <v>15.3</v>
      </c>
      <c r="G46" s="11">
        <v>91.2</v>
      </c>
    </row>
    <row r="47" spans="1:7">
      <c r="A47" s="6" t="s">
        <v>116</v>
      </c>
      <c r="B47" s="10">
        <v>348511</v>
      </c>
      <c r="C47" s="10">
        <v>339966</v>
      </c>
      <c r="D47" s="10">
        <v>217</v>
      </c>
      <c r="E47" s="12">
        <v>1.08</v>
      </c>
      <c r="F47" s="12">
        <v>19.1</v>
      </c>
      <c r="G47" s="11">
        <v>89.7</v>
      </c>
    </row>
    <row r="48" spans="1:7">
      <c r="A48" s="6" t="s">
        <v>117</v>
      </c>
      <c r="B48" s="10">
        <v>334690</v>
      </c>
      <c r="C48" s="10">
        <v>323799</v>
      </c>
      <c r="D48" s="10">
        <v>189</v>
      </c>
      <c r="E48" s="12">
        <v>0.6899999999999999</v>
      </c>
      <c r="F48" s="12">
        <v>18.7</v>
      </c>
      <c r="G48" s="11">
        <v>89.5</v>
      </c>
    </row>
    <row r="49" spans="1:10">
      <c r="A49" s="6" t="s">
        <v>118</v>
      </c>
      <c r="B49" s="10">
        <v>342387</v>
      </c>
      <c r="C49" s="10">
        <v>330713</v>
      </c>
      <c r="D49" s="10">
        <v>158</v>
      </c>
      <c r="E49" s="12">
        <v>0.34</v>
      </c>
      <c r="F49" s="12">
        <v>19.3</v>
      </c>
      <c r="G49" s="11">
        <v>89.7</v>
      </c>
    </row>
    <row r="50" spans="1:10">
      <c r="A50" s="6" t="s">
        <v>119</v>
      </c>
      <c r="B50" s="10">
        <v>302190</v>
      </c>
      <c r="C50" s="10">
        <v>291367</v>
      </c>
      <c r="D50" s="10">
        <v>128</v>
      </c>
      <c r="E50" s="12">
        <v>0.27</v>
      </c>
      <c r="F50" s="12">
        <v>17.2</v>
      </c>
      <c r="G50" s="11">
        <v>90.40000000000001</v>
      </c>
    </row>
    <row r="51" spans="1:10">
      <c r="A51" s="6" t="s">
        <v>120</v>
      </c>
      <c r="B51" s="10">
        <v>331978</v>
      </c>
      <c r="C51" s="10">
        <v>318054</v>
      </c>
      <c r="D51" s="10">
        <v>97</v>
      </c>
      <c r="E51" s="12">
        <v>0.21</v>
      </c>
      <c r="F51" s="12">
        <v>14</v>
      </c>
      <c r="G51" s="11">
        <v>91</v>
      </c>
    </row>
    <row r="52" spans="1:10">
      <c r="A52" s="6" t="s">
        <v>121</v>
      </c>
      <c r="B52" s="10">
        <v>334833</v>
      </c>
      <c r="C52" s="10">
        <v>318044</v>
      </c>
      <c r="D52" s="10">
        <v>67</v>
      </c>
      <c r="E52" s="12">
        <v>0.23</v>
      </c>
      <c r="F52" s="12">
        <v>13.1</v>
      </c>
      <c r="G52" s="11">
        <v>91.09999999999999</v>
      </c>
    </row>
    <row r="53" spans="1:10">
      <c r="A53" s="6" t="s">
        <v>122</v>
      </c>
      <c r="B53" s="10">
        <v>343043</v>
      </c>
      <c r="C53" s="10">
        <v>316407</v>
      </c>
      <c r="D53" s="10">
        <v>36</v>
      </c>
      <c r="E53" s="12">
        <v>0.2</v>
      </c>
      <c r="F53" s="12">
        <v>14.1</v>
      </c>
      <c r="G53" s="11">
        <v>88.59999999999999</v>
      </c>
    </row>
    <row r="54" spans="1:10">
      <c r="A54" s="6" t="s">
        <v>123</v>
      </c>
      <c r="B54" s="10">
        <v>328446</v>
      </c>
      <c r="C54" s="10">
        <v>281249</v>
      </c>
      <c r="D54" s="10">
        <v>5</v>
      </c>
      <c r="E54" s="12">
        <v>0.16</v>
      </c>
      <c r="F54" s="12">
        <v>7.4</v>
      </c>
      <c r="G54" s="6"/>
    </row>
    <row r="55" spans="1:10">
      <c r="A55" s="6" t="s">
        <v>124</v>
      </c>
      <c r="B55" s="10">
        <v>41974</v>
      </c>
      <c r="C55" s="10">
        <v>25794</v>
      </c>
      <c r="D55" s="10">
        <v>0</v>
      </c>
      <c r="E55" s="12">
        <v>0.07000000000000001</v>
      </c>
      <c r="F55" s="12">
        <v>1.1</v>
      </c>
      <c r="G55" s="6"/>
    </row>
    <row r="57" spans="1:10" ht="26" customHeight="1">
      <c r="A57" s="9" t="s">
        <v>310</v>
      </c>
      <c r="B57" s="9"/>
      <c r="C57" s="9"/>
      <c r="D57" s="9"/>
      <c r="E57" s="9"/>
      <c r="F57" s="9"/>
      <c r="G57" s="9"/>
      <c r="H57" s="9"/>
      <c r="I57" s="9"/>
      <c r="J57" s="9"/>
    </row>
    <row r="59" spans="1:10">
      <c r="A59" s="8" t="s">
        <v>311</v>
      </c>
    </row>
    <row r="60" spans="1:10" ht="30" customHeight="1">
      <c r="A60" s="5" t="s">
        <v>126</v>
      </c>
      <c r="B60" s="5" t="s">
        <v>312</v>
      </c>
      <c r="C60" s="5" t="s">
        <v>313</v>
      </c>
      <c r="D60" s="5" t="s">
        <v>314</v>
      </c>
      <c r="E60" s="5" t="s">
        <v>315</v>
      </c>
      <c r="F60" s="5" t="s">
        <v>316</v>
      </c>
    </row>
    <row r="61" spans="1:10">
      <c r="A61" s="6" t="s">
        <v>136</v>
      </c>
      <c r="B61" s="10">
        <v>964885</v>
      </c>
      <c r="C61" s="11">
        <v>100</v>
      </c>
      <c r="D61" s="10">
        <v>986670</v>
      </c>
      <c r="E61" s="11">
        <v>100</v>
      </c>
      <c r="F61" s="12">
        <v>0</v>
      </c>
    </row>
    <row r="62" spans="1:10">
      <c r="A62" s="6" t="s">
        <v>137</v>
      </c>
      <c r="B62" s="10">
        <v>425159</v>
      </c>
      <c r="C62" s="11">
        <v>85.2</v>
      </c>
      <c r="D62" s="10">
        <v>525600</v>
      </c>
      <c r="E62" s="11">
        <v>82.3</v>
      </c>
      <c r="F62" s="12">
        <v>-2.9</v>
      </c>
    </row>
    <row r="63" spans="1:10">
      <c r="A63" s="6" t="s">
        <v>138</v>
      </c>
      <c r="B63" s="10">
        <v>193704</v>
      </c>
      <c r="C63" s="11">
        <v>96.2</v>
      </c>
      <c r="D63" s="10">
        <v>227336</v>
      </c>
      <c r="E63" s="11">
        <v>97.09999999999999</v>
      </c>
      <c r="F63" s="12">
        <v>0.9</v>
      </c>
    </row>
    <row r="64" spans="1:10">
      <c r="A64" s="6" t="s">
        <v>139</v>
      </c>
      <c r="B64" s="10">
        <v>129063</v>
      </c>
      <c r="C64" s="11">
        <v>91.59999999999999</v>
      </c>
      <c r="D64" s="10">
        <v>187551</v>
      </c>
      <c r="E64" s="11">
        <v>89.5</v>
      </c>
      <c r="F64" s="12">
        <v>-2.1</v>
      </c>
    </row>
    <row r="65" spans="1:8">
      <c r="A65" s="6" t="s">
        <v>140</v>
      </c>
      <c r="B65" s="10">
        <v>118216</v>
      </c>
      <c r="C65" s="11">
        <v>96.7</v>
      </c>
      <c r="D65" s="10">
        <v>135623</v>
      </c>
      <c r="E65" s="11">
        <v>95.59999999999999</v>
      </c>
      <c r="F65" s="12">
        <v>-1.1</v>
      </c>
    </row>
    <row r="66" spans="1:8">
      <c r="A66" s="6" t="s">
        <v>141</v>
      </c>
      <c r="B66" s="10">
        <v>63699</v>
      </c>
      <c r="C66" s="11">
        <v>58.7</v>
      </c>
      <c r="D66" s="10">
        <v>83853</v>
      </c>
      <c r="E66" s="11">
        <v>56.5</v>
      </c>
      <c r="F66" s="12">
        <v>-2.2</v>
      </c>
    </row>
    <row r="67" spans="1:8">
      <c r="A67" s="6" t="s">
        <v>142</v>
      </c>
      <c r="B67" s="10">
        <v>57963</v>
      </c>
      <c r="C67" s="11">
        <v>61</v>
      </c>
      <c r="D67" s="10">
        <v>69584</v>
      </c>
      <c r="E67" s="11">
        <v>72.5</v>
      </c>
      <c r="F67" s="12">
        <v>11.5</v>
      </c>
    </row>
    <row r="68" spans="1:8">
      <c r="A68" s="6" t="s">
        <v>143</v>
      </c>
      <c r="B68" s="10">
        <v>51081</v>
      </c>
      <c r="C68" s="11">
        <v>67.09999999999999</v>
      </c>
      <c r="D68" s="10">
        <v>49178</v>
      </c>
      <c r="E68" s="11">
        <v>60.2</v>
      </c>
      <c r="F68" s="12">
        <v>-6.9</v>
      </c>
    </row>
    <row r="69" spans="1:8">
      <c r="A69" s="6" t="s">
        <v>144</v>
      </c>
      <c r="B69" s="10">
        <v>27678</v>
      </c>
      <c r="C69" s="11">
        <v>73.59999999999999</v>
      </c>
      <c r="D69" s="10">
        <v>26910</v>
      </c>
      <c r="E69" s="11">
        <v>91.2</v>
      </c>
      <c r="F69" s="12">
        <v>17.6</v>
      </c>
    </row>
    <row r="70" spans="1:8">
      <c r="A70" s="6" t="s">
        <v>145</v>
      </c>
      <c r="B70" s="10">
        <v>19942</v>
      </c>
      <c r="C70" s="11">
        <v>26.8</v>
      </c>
      <c r="D70" s="10">
        <v>22446</v>
      </c>
      <c r="E70" s="11">
        <v>29.7</v>
      </c>
      <c r="F70" s="12">
        <v>2.9</v>
      </c>
    </row>
    <row r="71" spans="1:8">
      <c r="A71" s="6" t="s">
        <v>146</v>
      </c>
      <c r="B71" s="10">
        <v>10560</v>
      </c>
      <c r="C71" s="11">
        <v>70</v>
      </c>
      <c r="D71" s="10">
        <v>12279</v>
      </c>
      <c r="E71" s="11">
        <v>51.7</v>
      </c>
      <c r="F71" s="12">
        <v>-18.3</v>
      </c>
    </row>
    <row r="72" spans="1:8">
      <c r="A72" s="6" t="s">
        <v>147</v>
      </c>
      <c r="B72" s="10">
        <v>11415</v>
      </c>
      <c r="C72" s="11">
        <v>0</v>
      </c>
      <c r="D72" s="10">
        <v>6765</v>
      </c>
      <c r="E72" s="11">
        <v>0</v>
      </c>
      <c r="F72" s="12">
        <v>0</v>
      </c>
    </row>
    <row r="74" spans="1:8">
      <c r="A74" s="8" t="s">
        <v>317</v>
      </c>
    </row>
    <row r="75" spans="1:8" ht="14" customHeight="1">
      <c r="A75" s="9" t="s">
        <v>318</v>
      </c>
      <c r="B75" s="9"/>
      <c r="C75" s="9"/>
      <c r="D75" s="9"/>
      <c r="E75" s="9"/>
      <c r="F75" s="9"/>
      <c r="G75" s="9"/>
      <c r="H75" s="9"/>
    </row>
    <row r="77" spans="1:8" ht="30" customHeight="1">
      <c r="A77" s="5" t="s">
        <v>126</v>
      </c>
      <c r="B77" s="5" t="s">
        <v>319</v>
      </c>
      <c r="C77" s="5" t="s">
        <v>320</v>
      </c>
      <c r="D77" s="5" t="s">
        <v>321</v>
      </c>
      <c r="E77" s="5" t="s">
        <v>322</v>
      </c>
      <c r="F77" s="5" t="s">
        <v>323</v>
      </c>
    </row>
    <row r="78" spans="1:8">
      <c r="A78" s="6" t="s">
        <v>147</v>
      </c>
      <c r="B78" s="10">
        <v>17550</v>
      </c>
      <c r="C78" s="10">
        <v>4501</v>
      </c>
      <c r="D78" s="6" t="s">
        <v>324</v>
      </c>
      <c r="E78" s="11">
        <v>25.65</v>
      </c>
      <c r="F78" s="11">
        <v>96.64</v>
      </c>
    </row>
    <row r="79" spans="1:8">
      <c r="A79" s="6" t="s">
        <v>149</v>
      </c>
      <c r="B79" s="10">
        <v>2962</v>
      </c>
      <c r="C79" s="10">
        <v>315</v>
      </c>
      <c r="D79" s="6" t="s">
        <v>325</v>
      </c>
      <c r="E79" s="11">
        <v>10.63</v>
      </c>
      <c r="F79" s="11">
        <v>41.93</v>
      </c>
    </row>
    <row r="80" spans="1:8">
      <c r="A80" s="6" t="s">
        <v>148</v>
      </c>
      <c r="B80" s="10">
        <v>3488</v>
      </c>
      <c r="C80" s="10">
        <v>145</v>
      </c>
      <c r="D80" s="6" t="s">
        <v>326</v>
      </c>
      <c r="E80" s="11">
        <v>4.16</v>
      </c>
      <c r="F80" s="11">
        <v>21.85</v>
      </c>
    </row>
    <row r="81" spans="1:8">
      <c r="A81" s="6" t="s">
        <v>143</v>
      </c>
      <c r="B81" s="10">
        <v>154097</v>
      </c>
      <c r="C81" s="10">
        <v>4718</v>
      </c>
      <c r="D81" s="6" t="s">
        <v>327</v>
      </c>
      <c r="E81" s="11">
        <v>3.06</v>
      </c>
      <c r="F81" s="11">
        <v>6.77</v>
      </c>
    </row>
    <row r="82" spans="1:8">
      <c r="A82" s="6" t="s">
        <v>141</v>
      </c>
      <c r="B82" s="10">
        <v>186394</v>
      </c>
      <c r="C82" s="10">
        <v>3884</v>
      </c>
      <c r="D82" s="6" t="s">
        <v>328</v>
      </c>
      <c r="E82" s="11">
        <v>2.08</v>
      </c>
      <c r="F82" s="11">
        <v>6.79</v>
      </c>
    </row>
    <row r="83" spans="1:8">
      <c r="A83" s="6" t="s">
        <v>142</v>
      </c>
      <c r="B83" s="10">
        <v>218945</v>
      </c>
      <c r="C83" s="10">
        <v>2467</v>
      </c>
      <c r="D83" s="6" t="s">
        <v>329</v>
      </c>
      <c r="E83" s="11">
        <v>1.13</v>
      </c>
      <c r="F83" s="11">
        <v>5.02</v>
      </c>
    </row>
    <row r="84" spans="1:8">
      <c r="A84" s="6" t="s">
        <v>138</v>
      </c>
      <c r="B84" s="10">
        <v>676546</v>
      </c>
      <c r="C84" s="10">
        <v>6298</v>
      </c>
      <c r="D84" s="6" t="s">
        <v>330</v>
      </c>
      <c r="E84" s="11">
        <v>0.93</v>
      </c>
      <c r="F84" s="11">
        <v>5.76</v>
      </c>
    </row>
    <row r="85" spans="1:8">
      <c r="A85" s="6" t="s">
        <v>140</v>
      </c>
      <c r="B85" s="10">
        <v>414948</v>
      </c>
      <c r="C85" s="10">
        <v>3873</v>
      </c>
      <c r="D85" s="6" t="s">
        <v>331</v>
      </c>
      <c r="E85" s="11">
        <v>0.93</v>
      </c>
      <c r="F85" s="11">
        <v>5.5</v>
      </c>
    </row>
    <row r="86" spans="1:8">
      <c r="A86" s="6" t="s">
        <v>145</v>
      </c>
      <c r="B86" s="10">
        <v>50144</v>
      </c>
      <c r="C86" s="10">
        <v>400</v>
      </c>
      <c r="D86" s="6" t="s">
        <v>332</v>
      </c>
      <c r="E86" s="11">
        <v>0.8</v>
      </c>
      <c r="F86" s="11">
        <v>6.24</v>
      </c>
    </row>
    <row r="87" spans="1:8">
      <c r="A87" s="6" t="s">
        <v>146</v>
      </c>
      <c r="B87" s="10">
        <v>37055</v>
      </c>
      <c r="C87" s="10">
        <v>284</v>
      </c>
      <c r="D87" s="6" t="s">
        <v>333</v>
      </c>
      <c r="E87" s="11">
        <v>0.77</v>
      </c>
      <c r="F87" s="11">
        <v>4.08</v>
      </c>
    </row>
    <row r="88" spans="1:8">
      <c r="A88" s="6" t="s">
        <v>144</v>
      </c>
      <c r="B88" s="10">
        <v>83863</v>
      </c>
      <c r="C88" s="10">
        <v>454</v>
      </c>
      <c r="D88" s="6" t="s">
        <v>334</v>
      </c>
      <c r="E88" s="11">
        <v>0.54</v>
      </c>
      <c r="F88" s="11">
        <v>4.09</v>
      </c>
    </row>
    <row r="89" spans="1:8">
      <c r="A89" s="6" t="s">
        <v>139</v>
      </c>
      <c r="B89" s="10">
        <v>461496</v>
      </c>
      <c r="C89" s="10">
        <v>1942</v>
      </c>
      <c r="D89" s="6" t="s">
        <v>335</v>
      </c>
      <c r="E89" s="11">
        <v>0.42</v>
      </c>
      <c r="F89" s="11">
        <v>3.71</v>
      </c>
    </row>
    <row r="90" spans="1:8">
      <c r="A90" s="6" t="s">
        <v>137</v>
      </c>
      <c r="B90" s="10">
        <v>1573882</v>
      </c>
      <c r="C90" s="10">
        <v>6516</v>
      </c>
      <c r="D90" s="6" t="s">
        <v>336</v>
      </c>
      <c r="E90" s="11">
        <v>0.41</v>
      </c>
      <c r="F90" s="11">
        <v>3.53</v>
      </c>
    </row>
    <row r="91" spans="1:8">
      <c r="A91" s="6" t="s">
        <v>136</v>
      </c>
      <c r="B91" s="10">
        <v>3403043</v>
      </c>
      <c r="C91" s="10">
        <v>11693</v>
      </c>
      <c r="D91" s="6" t="s">
        <v>337</v>
      </c>
      <c r="E91" s="11">
        <v>0.34</v>
      </c>
      <c r="F91" s="11">
        <v>2.66</v>
      </c>
    </row>
    <row r="92" spans="1:8" ht="26" customHeight="1">
      <c r="A92" s="9" t="s">
        <v>338</v>
      </c>
      <c r="B92" s="9"/>
      <c r="C92" s="9"/>
      <c r="D92" s="9"/>
      <c r="E92" s="9"/>
      <c r="F92" s="9"/>
      <c r="G92" s="9"/>
      <c r="H92" s="9"/>
    </row>
  </sheetData>
  <mergeCells count="6">
    <mergeCell ref="A5:K5"/>
    <mergeCell ref="A25:K25"/>
    <mergeCell ref="A28:J28"/>
    <mergeCell ref="A57:J57"/>
    <mergeCell ref="A75:H75"/>
    <mergeCell ref="A92:H9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1" width="14.7109375" customWidth="1"/>
    <col min="2" max="2" width="12.7109375" customWidth="1"/>
    <col min="3" max="3" width="18.7109375" customWidth="1"/>
    <col min="4" max="4" width="30.7109375" customWidth="1"/>
    <col min="5" max="5" width="15.7109375" customWidth="1"/>
    <col min="6" max="6" width="13.7109375" customWidth="1"/>
    <col min="7" max="7" width="16.7109375" customWidth="1"/>
  </cols>
  <sheetData>
    <row r="1" spans="1:7" ht="24" customHeight="1">
      <c r="A1" s="1" t="s">
        <v>339</v>
      </c>
    </row>
    <row r="2" spans="1:7" ht="16" customHeight="1">
      <c r="A2" s="2" t="s">
        <v>340</v>
      </c>
    </row>
    <row r="4" spans="1:7">
      <c r="A4" s="8" t="s">
        <v>341</v>
      </c>
    </row>
    <row r="5" spans="1:7" ht="30" customHeight="1">
      <c r="A5" s="5" t="s">
        <v>126</v>
      </c>
      <c r="B5" s="5" t="s">
        <v>342</v>
      </c>
      <c r="C5" s="5" t="s">
        <v>343</v>
      </c>
      <c r="D5" s="5" t="s">
        <v>344</v>
      </c>
      <c r="E5" s="5" t="s">
        <v>345</v>
      </c>
      <c r="F5" s="5" t="s">
        <v>346</v>
      </c>
      <c r="G5" s="5" t="s">
        <v>347</v>
      </c>
    </row>
    <row r="6" spans="1:7">
      <c r="A6" s="6" t="s">
        <v>137</v>
      </c>
      <c r="B6" s="10">
        <v>59701</v>
      </c>
      <c r="C6" s="11">
        <v>24.8</v>
      </c>
      <c r="D6" s="10">
        <v>45</v>
      </c>
      <c r="E6" s="10">
        <v>261</v>
      </c>
      <c r="F6" s="10">
        <v>5016</v>
      </c>
      <c r="G6" s="11">
        <v>8.4</v>
      </c>
    </row>
    <row r="7" spans="1:7">
      <c r="A7" s="6" t="s">
        <v>141</v>
      </c>
      <c r="B7" s="10">
        <v>57629</v>
      </c>
      <c r="C7" s="11">
        <v>24</v>
      </c>
      <c r="D7" s="10">
        <v>101</v>
      </c>
      <c r="E7" s="10">
        <v>484</v>
      </c>
      <c r="F7" s="10">
        <v>13341</v>
      </c>
      <c r="G7" s="11">
        <v>23.1</v>
      </c>
    </row>
    <row r="8" spans="1:7">
      <c r="A8" s="6" t="s">
        <v>145</v>
      </c>
      <c r="B8" s="10">
        <v>25309</v>
      </c>
      <c r="C8" s="11">
        <v>10.5</v>
      </c>
      <c r="D8" s="10">
        <v>160</v>
      </c>
      <c r="E8" s="10">
        <v>411</v>
      </c>
      <c r="F8" s="10">
        <v>3583</v>
      </c>
      <c r="G8" s="11">
        <v>14.2</v>
      </c>
    </row>
    <row r="9" spans="1:7">
      <c r="A9" s="6" t="s">
        <v>139</v>
      </c>
      <c r="B9" s="10">
        <v>23644</v>
      </c>
      <c r="C9" s="11">
        <v>9.800000000000001</v>
      </c>
      <c r="D9" s="10">
        <v>124</v>
      </c>
      <c r="E9" s="10">
        <v>478</v>
      </c>
      <c r="F9" s="10">
        <v>4190</v>
      </c>
      <c r="G9" s="11">
        <v>17.7</v>
      </c>
    </row>
    <row r="10" spans="1:7">
      <c r="A10" s="6" t="s">
        <v>147</v>
      </c>
      <c r="B10" s="10">
        <v>19226</v>
      </c>
      <c r="C10" s="11">
        <v>8</v>
      </c>
      <c r="D10" s="10">
        <v>302</v>
      </c>
      <c r="E10" s="10">
        <v>621</v>
      </c>
      <c r="F10" s="10">
        <v>5382</v>
      </c>
      <c r="G10" s="11">
        <v>28</v>
      </c>
    </row>
    <row r="11" spans="1:7">
      <c r="A11" s="6" t="s">
        <v>144</v>
      </c>
      <c r="B11" s="10">
        <v>17562</v>
      </c>
      <c r="C11" s="11">
        <v>7.3</v>
      </c>
      <c r="D11" s="10">
        <v>633</v>
      </c>
      <c r="E11" s="10">
        <v>712</v>
      </c>
      <c r="F11" s="10">
        <v>15498</v>
      </c>
      <c r="G11" s="11">
        <v>88.2</v>
      </c>
    </row>
    <row r="12" spans="1:7">
      <c r="A12" s="6" t="s">
        <v>143</v>
      </c>
      <c r="B12" s="10">
        <v>15021</v>
      </c>
      <c r="C12" s="11">
        <v>6.3</v>
      </c>
      <c r="D12" s="10">
        <v>55</v>
      </c>
      <c r="E12" s="10">
        <v>565</v>
      </c>
      <c r="F12" s="10">
        <v>3690</v>
      </c>
      <c r="G12" s="11">
        <v>24.6</v>
      </c>
    </row>
    <row r="13" spans="1:7">
      <c r="A13" s="6" t="s">
        <v>138</v>
      </c>
      <c r="B13" s="10">
        <v>9892</v>
      </c>
      <c r="C13" s="11">
        <v>4.1</v>
      </c>
      <c r="D13" s="10">
        <v>124</v>
      </c>
      <c r="E13" s="10">
        <v>482</v>
      </c>
      <c r="F13" s="10">
        <v>2624</v>
      </c>
      <c r="G13" s="11">
        <v>26.5</v>
      </c>
    </row>
    <row r="14" spans="1:7">
      <c r="A14" s="6" t="s">
        <v>140</v>
      </c>
      <c r="B14" s="10">
        <v>9153</v>
      </c>
      <c r="C14" s="11">
        <v>3.8</v>
      </c>
      <c r="D14" s="10">
        <v>115</v>
      </c>
      <c r="E14" s="10">
        <v>607</v>
      </c>
      <c r="F14" s="10">
        <v>2626</v>
      </c>
      <c r="G14" s="11">
        <v>28.7</v>
      </c>
    </row>
    <row r="15" spans="1:7">
      <c r="A15" s="6" t="s">
        <v>146</v>
      </c>
      <c r="B15" s="10">
        <v>1525</v>
      </c>
      <c r="C15" s="11">
        <v>0.6</v>
      </c>
      <c r="D15" s="10">
        <v>18</v>
      </c>
      <c r="E15" s="10">
        <v>37</v>
      </c>
      <c r="F15" s="10">
        <v>7</v>
      </c>
      <c r="G15" s="11">
        <v>0.5</v>
      </c>
    </row>
    <row r="16" spans="1:7">
      <c r="A16" s="6" t="s">
        <v>136</v>
      </c>
      <c r="B16" s="10">
        <v>908</v>
      </c>
      <c r="C16" s="11">
        <v>0.4</v>
      </c>
      <c r="D16" s="10">
        <v>56</v>
      </c>
      <c r="E16" s="10">
        <v>56</v>
      </c>
      <c r="F16" s="10">
        <v>0</v>
      </c>
      <c r="G16" s="11">
        <v>0</v>
      </c>
    </row>
    <row r="17" spans="1:8">
      <c r="A17" s="6" t="s">
        <v>148</v>
      </c>
      <c r="B17" s="10">
        <v>708</v>
      </c>
      <c r="C17" s="11">
        <v>0.3</v>
      </c>
      <c r="D17" s="10">
        <v>39</v>
      </c>
      <c r="E17" s="10">
        <v>88</v>
      </c>
      <c r="F17" s="10">
        <v>0</v>
      </c>
      <c r="G17" s="11">
        <v>0</v>
      </c>
    </row>
    <row r="18" spans="1:8">
      <c r="A18" s="6" t="s">
        <v>150</v>
      </c>
      <c r="B18" s="10">
        <v>26</v>
      </c>
      <c r="C18" s="11">
        <v>0</v>
      </c>
      <c r="D18" s="10">
        <v>164</v>
      </c>
      <c r="E18" s="10">
        <v>551</v>
      </c>
      <c r="F18" s="10">
        <v>11</v>
      </c>
      <c r="G18" s="11">
        <v>42.3</v>
      </c>
    </row>
    <row r="20" spans="1:8" ht="14" customHeight="1">
      <c r="A20" s="9" t="s">
        <v>348</v>
      </c>
      <c r="B20" s="9"/>
      <c r="C20" s="9"/>
      <c r="D20" s="9"/>
      <c r="E20" s="9"/>
      <c r="F20" s="9"/>
      <c r="G20" s="9"/>
      <c r="H20" s="9"/>
    </row>
    <row r="22" spans="1:8">
      <c r="A22" s="8" t="s">
        <v>349</v>
      </c>
    </row>
    <row r="23" spans="1:8" ht="30" customHeight="1">
      <c r="A23" s="5" t="s">
        <v>267</v>
      </c>
      <c r="B23" s="5" t="s">
        <v>6</v>
      </c>
    </row>
    <row r="24" spans="1:8">
      <c r="A24" s="6" t="s">
        <v>350</v>
      </c>
      <c r="B24" s="7" t="s">
        <v>351</v>
      </c>
    </row>
    <row r="25" spans="1:8">
      <c r="A25" s="6" t="s">
        <v>352</v>
      </c>
      <c r="B25" s="7" t="s">
        <v>353</v>
      </c>
    </row>
    <row r="26" spans="1:8">
      <c r="A26" s="6" t="s">
        <v>354</v>
      </c>
      <c r="B26" s="7" t="s">
        <v>355</v>
      </c>
    </row>
    <row r="27" spans="1:8">
      <c r="A27" s="6" t="s">
        <v>356</v>
      </c>
      <c r="B27" s="7" t="s">
        <v>357</v>
      </c>
    </row>
    <row r="28" spans="1:8">
      <c r="A28" s="6" t="s">
        <v>358</v>
      </c>
      <c r="B28" s="7" t="s">
        <v>359</v>
      </c>
    </row>
    <row r="29" spans="1:8">
      <c r="A29" s="6" t="s">
        <v>360</v>
      </c>
      <c r="B29" s="7" t="s">
        <v>361</v>
      </c>
    </row>
    <row r="30" spans="1:8">
      <c r="A30" s="6" t="s">
        <v>362</v>
      </c>
      <c r="B30" s="7" t="s">
        <v>363</v>
      </c>
    </row>
    <row r="31" spans="1:8">
      <c r="A31" s="6" t="s">
        <v>364</v>
      </c>
      <c r="B31" s="7" t="s">
        <v>365</v>
      </c>
    </row>
    <row r="32" spans="1:8">
      <c r="A32" s="6" t="s">
        <v>366</v>
      </c>
      <c r="B32" s="7" t="s">
        <v>367</v>
      </c>
    </row>
    <row r="34" spans="1:4" ht="26" customHeight="1">
      <c r="A34" s="9" t="s">
        <v>368</v>
      </c>
      <c r="B34" s="9"/>
      <c r="C34" s="9"/>
      <c r="D34" s="9"/>
    </row>
    <row r="36" spans="1:4">
      <c r="A36" s="8" t="s">
        <v>369</v>
      </c>
    </row>
    <row r="37" spans="1:4" ht="30" customHeight="1">
      <c r="A37" s="5" t="s">
        <v>370</v>
      </c>
      <c r="B37" s="5" t="s">
        <v>8</v>
      </c>
      <c r="C37" s="5" t="s">
        <v>371</v>
      </c>
      <c r="D37" s="5" t="s">
        <v>372</v>
      </c>
    </row>
    <row r="38" spans="1:4">
      <c r="A38" s="6" t="s">
        <v>373</v>
      </c>
      <c r="B38" s="10">
        <v>99338</v>
      </c>
      <c r="C38" s="10">
        <v>15495</v>
      </c>
      <c r="D38" s="10">
        <v>653</v>
      </c>
    </row>
    <row r="39" spans="1:4">
      <c r="A39" s="6" t="s">
        <v>374</v>
      </c>
      <c r="B39" s="10">
        <v>2067</v>
      </c>
      <c r="C39" s="10">
        <v>2067</v>
      </c>
      <c r="D39" s="10">
        <v>59</v>
      </c>
    </row>
    <row r="40" spans="1:4">
      <c r="A40" s="6" t="s">
        <v>375</v>
      </c>
      <c r="B40" s="10">
        <v>20</v>
      </c>
      <c r="C40" s="10">
        <v>0</v>
      </c>
      <c r="D40" s="6"/>
    </row>
    <row r="41" spans="1:4" ht="26" customHeight="1">
      <c r="A41" s="9" t="s">
        <v>376</v>
      </c>
      <c r="B41" s="9"/>
      <c r="C41" s="9"/>
      <c r="D41" s="9"/>
    </row>
  </sheetData>
  <mergeCells count="3">
    <mergeCell ref="A20:H20"/>
    <mergeCell ref="A34:D34"/>
    <mergeCell ref="A41:D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cols>
    <col min="1" max="1" width="10.7109375" customWidth="1"/>
    <col min="2" max="4" width="18.7109375" customWidth="1"/>
    <col min="5" max="7" width="13.7109375" customWidth="1"/>
  </cols>
  <sheetData>
    <row r="1" spans="1:7" ht="24" customHeight="1">
      <c r="A1" s="1" t="s">
        <v>377</v>
      </c>
    </row>
    <row r="2" spans="1:7" ht="16" customHeight="1">
      <c r="A2" s="2" t="s">
        <v>378</v>
      </c>
    </row>
    <row r="4" spans="1:7">
      <c r="A4" s="8" t="s">
        <v>379</v>
      </c>
    </row>
    <row r="5" spans="1:7" ht="30" customHeight="1">
      <c r="A5" s="5" t="s">
        <v>94</v>
      </c>
      <c r="B5" s="5" t="s">
        <v>158</v>
      </c>
      <c r="C5" s="5" t="s">
        <v>197</v>
      </c>
      <c r="D5" s="5" t="s">
        <v>380</v>
      </c>
      <c r="E5" s="5" t="s">
        <v>381</v>
      </c>
      <c r="F5" s="5" t="s">
        <v>382</v>
      </c>
      <c r="G5" s="5" t="s">
        <v>383</v>
      </c>
    </row>
    <row r="6" spans="1:7">
      <c r="A6" s="6" t="s">
        <v>98</v>
      </c>
      <c r="B6" s="10">
        <v>2696</v>
      </c>
      <c r="C6" s="10">
        <v>0</v>
      </c>
      <c r="D6" s="10">
        <v>4036</v>
      </c>
      <c r="E6" s="10">
        <v>1672</v>
      </c>
      <c r="F6" s="10">
        <v>3545</v>
      </c>
      <c r="G6" s="10">
        <v>248139</v>
      </c>
    </row>
    <row r="7" spans="1:7">
      <c r="A7" s="6" t="s">
        <v>100</v>
      </c>
      <c r="B7" s="10">
        <v>19650</v>
      </c>
      <c r="C7" s="10">
        <v>0</v>
      </c>
      <c r="D7" s="10">
        <v>4260</v>
      </c>
      <c r="E7" s="10">
        <v>1796</v>
      </c>
      <c r="F7" s="10">
        <v>3707</v>
      </c>
      <c r="G7" s="10">
        <v>306803</v>
      </c>
    </row>
    <row r="8" spans="1:7">
      <c r="A8" s="6" t="s">
        <v>102</v>
      </c>
      <c r="B8" s="10">
        <v>39368</v>
      </c>
      <c r="C8" s="10">
        <v>2</v>
      </c>
      <c r="D8" s="10">
        <v>3630</v>
      </c>
      <c r="E8" s="10">
        <v>1823</v>
      </c>
      <c r="F8" s="10">
        <v>2473</v>
      </c>
      <c r="G8" s="10">
        <v>293515</v>
      </c>
    </row>
    <row r="9" spans="1:7">
      <c r="A9" s="6" t="s">
        <v>103</v>
      </c>
      <c r="B9" s="10">
        <v>62918</v>
      </c>
      <c r="C9" s="10">
        <v>816</v>
      </c>
      <c r="D9" s="10">
        <v>5225</v>
      </c>
      <c r="E9" s="10">
        <v>3476</v>
      </c>
      <c r="F9" s="10">
        <v>1522</v>
      </c>
      <c r="G9" s="10">
        <v>313949</v>
      </c>
    </row>
    <row r="10" spans="1:7">
      <c r="A10" s="6" t="s">
        <v>104</v>
      </c>
      <c r="B10" s="10">
        <v>67229</v>
      </c>
      <c r="C10" s="10">
        <v>5161</v>
      </c>
      <c r="D10" s="10">
        <v>5474</v>
      </c>
      <c r="E10" s="10">
        <v>3693</v>
      </c>
      <c r="F10" s="10">
        <v>1476</v>
      </c>
      <c r="G10" s="10">
        <v>348180</v>
      </c>
    </row>
    <row r="11" spans="1:7">
      <c r="A11" s="6" t="s">
        <v>105</v>
      </c>
      <c r="B11" s="10">
        <v>40699</v>
      </c>
      <c r="C11" s="10">
        <v>2817</v>
      </c>
      <c r="D11" s="10">
        <v>5623</v>
      </c>
      <c r="E11" s="10">
        <v>3560</v>
      </c>
      <c r="F11" s="10">
        <v>1795</v>
      </c>
      <c r="G11" s="10">
        <v>255364</v>
      </c>
    </row>
    <row r="12" spans="1:7">
      <c r="A12" s="6" t="s">
        <v>106</v>
      </c>
      <c r="B12" s="10">
        <v>26276</v>
      </c>
      <c r="C12" s="10">
        <v>12</v>
      </c>
      <c r="D12" s="10">
        <v>7035</v>
      </c>
      <c r="E12" s="10">
        <v>4313</v>
      </c>
      <c r="F12" s="10">
        <v>2432</v>
      </c>
      <c r="G12" s="10">
        <v>281221</v>
      </c>
    </row>
    <row r="13" spans="1:7">
      <c r="A13" s="6" t="s">
        <v>107</v>
      </c>
      <c r="B13" s="10">
        <v>16824</v>
      </c>
      <c r="C13" s="10">
        <v>0</v>
      </c>
      <c r="D13" s="10">
        <v>6659</v>
      </c>
      <c r="E13" s="10">
        <v>3881</v>
      </c>
      <c r="F13" s="10">
        <v>2902</v>
      </c>
      <c r="G13" s="10">
        <v>272549</v>
      </c>
    </row>
    <row r="14" spans="1:7">
      <c r="A14" s="6" t="s">
        <v>108</v>
      </c>
      <c r="B14" s="10">
        <v>7463</v>
      </c>
      <c r="C14" s="10">
        <v>0</v>
      </c>
      <c r="D14" s="10">
        <v>7449</v>
      </c>
      <c r="E14" s="10">
        <v>4163</v>
      </c>
      <c r="F14" s="10">
        <v>5389</v>
      </c>
      <c r="G14" s="10">
        <v>295058</v>
      </c>
    </row>
    <row r="15" spans="1:7">
      <c r="A15" s="6" t="s">
        <v>109</v>
      </c>
      <c r="B15" s="10">
        <v>4217</v>
      </c>
      <c r="C15" s="10">
        <v>0</v>
      </c>
      <c r="D15" s="10">
        <v>7243</v>
      </c>
      <c r="E15" s="10">
        <v>4063</v>
      </c>
      <c r="F15" s="10">
        <v>6376</v>
      </c>
      <c r="G15" s="10">
        <v>306442</v>
      </c>
    </row>
    <row r="16" spans="1:7">
      <c r="A16" s="6" t="s">
        <v>110</v>
      </c>
      <c r="B16" s="10">
        <v>3008</v>
      </c>
      <c r="C16" s="10">
        <v>0</v>
      </c>
      <c r="D16" s="10">
        <v>6138</v>
      </c>
      <c r="E16" s="10">
        <v>2724</v>
      </c>
      <c r="F16" s="10">
        <v>7053</v>
      </c>
      <c r="G16" s="10">
        <v>315883</v>
      </c>
    </row>
    <row r="17" spans="1:8">
      <c r="A17" s="6" t="s">
        <v>111</v>
      </c>
      <c r="B17" s="10">
        <v>2929</v>
      </c>
      <c r="C17" s="10">
        <v>0</v>
      </c>
      <c r="D17" s="10">
        <v>5590</v>
      </c>
      <c r="E17" s="10">
        <v>2521</v>
      </c>
      <c r="F17" s="10">
        <v>5776</v>
      </c>
      <c r="G17" s="10">
        <v>304039</v>
      </c>
    </row>
    <row r="18" spans="1:8">
      <c r="A18" s="6" t="s">
        <v>112</v>
      </c>
      <c r="B18" s="10">
        <v>3595</v>
      </c>
      <c r="C18" s="10">
        <v>0</v>
      </c>
      <c r="D18" s="10">
        <v>5411</v>
      </c>
      <c r="E18" s="10">
        <v>2398</v>
      </c>
      <c r="F18" s="10">
        <v>4893</v>
      </c>
      <c r="G18" s="10">
        <v>302684</v>
      </c>
    </row>
    <row r="19" spans="1:8">
      <c r="A19" s="6" t="s">
        <v>113</v>
      </c>
      <c r="B19" s="10">
        <v>31858</v>
      </c>
      <c r="C19" s="10">
        <v>0</v>
      </c>
      <c r="D19" s="10">
        <v>4829</v>
      </c>
      <c r="E19" s="10">
        <v>2321</v>
      </c>
      <c r="F19" s="10">
        <v>5797</v>
      </c>
      <c r="G19" s="10">
        <v>336612</v>
      </c>
    </row>
    <row r="20" spans="1:8">
      <c r="A20" s="6" t="s">
        <v>114</v>
      </c>
      <c r="B20" s="10">
        <v>47946</v>
      </c>
      <c r="C20" s="10">
        <v>8</v>
      </c>
      <c r="D20" s="10">
        <v>4049</v>
      </c>
      <c r="E20" s="10">
        <v>1891</v>
      </c>
      <c r="F20" s="10">
        <v>2961</v>
      </c>
      <c r="G20" s="10">
        <v>304905</v>
      </c>
    </row>
    <row r="21" spans="1:8">
      <c r="A21" s="6" t="s">
        <v>115</v>
      </c>
      <c r="B21" s="10">
        <v>63902</v>
      </c>
      <c r="C21" s="10">
        <v>8700</v>
      </c>
      <c r="D21" s="10">
        <v>4830</v>
      </c>
      <c r="E21" s="10">
        <v>2910</v>
      </c>
      <c r="F21" s="10">
        <v>2329</v>
      </c>
      <c r="G21" s="10">
        <v>332103</v>
      </c>
    </row>
    <row r="22" spans="1:8">
      <c r="A22" s="6" t="s">
        <v>116</v>
      </c>
      <c r="B22" s="10">
        <v>79928</v>
      </c>
      <c r="C22" s="10">
        <v>24079</v>
      </c>
      <c r="D22" s="10">
        <v>5141</v>
      </c>
      <c r="E22" s="10">
        <v>3218</v>
      </c>
      <c r="F22" s="10">
        <v>1066</v>
      </c>
      <c r="G22" s="10">
        <v>348511</v>
      </c>
    </row>
    <row r="23" spans="1:8">
      <c r="A23" s="6" t="s">
        <v>117</v>
      </c>
      <c r="B23" s="10">
        <v>59031</v>
      </c>
      <c r="C23" s="10">
        <v>30943</v>
      </c>
      <c r="D23" s="10">
        <v>6913</v>
      </c>
      <c r="E23" s="10">
        <v>4618</v>
      </c>
      <c r="F23" s="10">
        <v>3276</v>
      </c>
      <c r="G23" s="10">
        <v>334690</v>
      </c>
    </row>
    <row r="24" spans="1:8">
      <c r="A24" s="6" t="s">
        <v>118</v>
      </c>
      <c r="B24" s="10">
        <v>29783</v>
      </c>
      <c r="C24" s="10">
        <v>208</v>
      </c>
      <c r="D24" s="10">
        <v>28629</v>
      </c>
      <c r="E24" s="10">
        <v>22790</v>
      </c>
      <c r="F24" s="10">
        <v>3117</v>
      </c>
      <c r="G24" s="10">
        <v>342387</v>
      </c>
    </row>
    <row r="25" spans="1:8">
      <c r="A25" s="6" t="s">
        <v>119</v>
      </c>
      <c r="B25" s="10">
        <v>19553</v>
      </c>
      <c r="C25" s="10">
        <v>0</v>
      </c>
      <c r="D25" s="10">
        <v>15604</v>
      </c>
      <c r="E25" s="10">
        <v>11421</v>
      </c>
      <c r="F25" s="10">
        <v>2756</v>
      </c>
      <c r="G25" s="10">
        <v>302190</v>
      </c>
    </row>
    <row r="26" spans="1:8">
      <c r="A26" s="6" t="s">
        <v>120</v>
      </c>
      <c r="B26" s="10">
        <v>9823</v>
      </c>
      <c r="C26" s="10">
        <v>0</v>
      </c>
      <c r="D26" s="10">
        <v>11777</v>
      </c>
      <c r="E26" s="10">
        <v>7150</v>
      </c>
      <c r="F26" s="10">
        <v>7747</v>
      </c>
      <c r="G26" s="10">
        <v>331978</v>
      </c>
    </row>
    <row r="27" spans="1:8">
      <c r="A27" s="6" t="s">
        <v>121</v>
      </c>
      <c r="B27" s="10">
        <v>4388</v>
      </c>
      <c r="C27" s="10">
        <v>0</v>
      </c>
      <c r="D27" s="10">
        <v>10852</v>
      </c>
      <c r="E27" s="10">
        <v>6077</v>
      </c>
      <c r="F27" s="10">
        <v>11720</v>
      </c>
      <c r="G27" s="10">
        <v>334833</v>
      </c>
    </row>
    <row r="28" spans="1:8">
      <c r="A28" s="6" t="s">
        <v>122</v>
      </c>
      <c r="B28" s="10">
        <v>4331</v>
      </c>
      <c r="C28" s="10">
        <v>0</v>
      </c>
      <c r="D28" s="10">
        <v>10145</v>
      </c>
      <c r="E28" s="10">
        <v>4661</v>
      </c>
      <c r="F28" s="10">
        <v>11559</v>
      </c>
      <c r="G28" s="10">
        <v>343043</v>
      </c>
    </row>
    <row r="29" spans="1:8">
      <c r="A29" s="6" t="s">
        <v>123</v>
      </c>
      <c r="B29" s="10">
        <v>3682</v>
      </c>
      <c r="C29" s="10">
        <v>0</v>
      </c>
      <c r="D29" s="10">
        <v>9552</v>
      </c>
      <c r="E29" s="10">
        <v>4293</v>
      </c>
      <c r="F29" s="10">
        <v>7818</v>
      </c>
      <c r="G29" s="10">
        <v>328446</v>
      </c>
    </row>
    <row r="30" spans="1:8">
      <c r="A30" s="6" t="s">
        <v>124</v>
      </c>
      <c r="B30" s="10">
        <v>497</v>
      </c>
      <c r="C30" s="10">
        <v>0</v>
      </c>
      <c r="D30" s="10">
        <v>1267</v>
      </c>
      <c r="E30" s="10">
        <v>596</v>
      </c>
      <c r="F30" s="10">
        <v>1028</v>
      </c>
      <c r="G30" s="10">
        <v>41974</v>
      </c>
    </row>
    <row r="32" spans="1:8" ht="26" customHeight="1">
      <c r="A32" s="9" t="s">
        <v>384</v>
      </c>
      <c r="B32" s="9"/>
      <c r="C32" s="9"/>
      <c r="D32" s="9"/>
      <c r="E32" s="9"/>
      <c r="F32" s="9"/>
      <c r="G32" s="9"/>
      <c r="H32" s="9"/>
    </row>
    <row r="34" spans="1:5">
      <c r="A34" s="8" t="s">
        <v>385</v>
      </c>
    </row>
    <row r="35" spans="1:5" ht="30" customHeight="1">
      <c r="A35" s="5" t="s">
        <v>386</v>
      </c>
      <c r="B35" s="5" t="s">
        <v>387</v>
      </c>
      <c r="C35" s="5" t="s">
        <v>388</v>
      </c>
      <c r="D35" s="5" t="s">
        <v>389</v>
      </c>
    </row>
    <row r="36" spans="1:5">
      <c r="A36" s="6" t="s">
        <v>390</v>
      </c>
      <c r="B36" s="10">
        <v>256140</v>
      </c>
      <c r="C36" s="6" t="s">
        <v>100</v>
      </c>
      <c r="D36" s="6" t="s">
        <v>106</v>
      </c>
    </row>
    <row r="37" spans="1:5">
      <c r="A37" s="6" t="s">
        <v>391</v>
      </c>
      <c r="B37" s="10">
        <v>312448</v>
      </c>
      <c r="C37" s="6" t="s">
        <v>113</v>
      </c>
      <c r="D37" s="6" t="s">
        <v>118</v>
      </c>
    </row>
    <row r="38" spans="1:5" ht="26" customHeight="1">
      <c r="A38" s="9" t="s">
        <v>392</v>
      </c>
      <c r="B38" s="9"/>
      <c r="C38" s="9"/>
      <c r="D38" s="9"/>
    </row>
    <row r="40" spans="1:5">
      <c r="A40" s="8" t="s">
        <v>393</v>
      </c>
    </row>
    <row r="41" spans="1:5" ht="30" customHeight="1">
      <c r="A41" s="5" t="s">
        <v>94</v>
      </c>
      <c r="B41" s="5" t="s">
        <v>203</v>
      </c>
      <c r="C41" s="5" t="s">
        <v>206</v>
      </c>
      <c r="D41" s="5" t="s">
        <v>220</v>
      </c>
      <c r="E41" s="5" t="s">
        <v>197</v>
      </c>
    </row>
    <row r="42" spans="1:5">
      <c r="A42" s="6" t="s">
        <v>100</v>
      </c>
      <c r="B42" s="10">
        <v>1</v>
      </c>
      <c r="C42" s="10">
        <v>0</v>
      </c>
      <c r="D42" s="10">
        <v>0</v>
      </c>
      <c r="E42" s="10">
        <v>0</v>
      </c>
    </row>
    <row r="43" spans="1:5">
      <c r="A43" s="6" t="s">
        <v>102</v>
      </c>
      <c r="B43" s="10">
        <v>0</v>
      </c>
      <c r="C43" s="10">
        <v>0</v>
      </c>
      <c r="D43" s="10">
        <v>0</v>
      </c>
      <c r="E43" s="10">
        <v>2</v>
      </c>
    </row>
    <row r="44" spans="1:5">
      <c r="A44" s="6" t="s">
        <v>103</v>
      </c>
      <c r="B44" s="10">
        <v>1</v>
      </c>
      <c r="C44" s="10">
        <v>1</v>
      </c>
      <c r="D44" s="10">
        <v>0</v>
      </c>
      <c r="E44" s="10">
        <v>816</v>
      </c>
    </row>
    <row r="45" spans="1:5">
      <c r="A45" s="6" t="s">
        <v>104</v>
      </c>
      <c r="B45" s="10">
        <v>1</v>
      </c>
      <c r="C45" s="10">
        <v>0</v>
      </c>
      <c r="D45" s="10">
        <v>0</v>
      </c>
      <c r="E45" s="10">
        <v>5161</v>
      </c>
    </row>
    <row r="46" spans="1:5">
      <c r="A46" s="6" t="s">
        <v>105</v>
      </c>
      <c r="B46" s="10">
        <v>2</v>
      </c>
      <c r="C46" s="10">
        <v>0</v>
      </c>
      <c r="D46" s="10">
        <v>0</v>
      </c>
      <c r="E46" s="10">
        <v>2817</v>
      </c>
    </row>
    <row r="47" spans="1:5">
      <c r="A47" s="6" t="s">
        <v>106</v>
      </c>
      <c r="B47" s="10">
        <v>0</v>
      </c>
      <c r="C47" s="10">
        <v>0</v>
      </c>
      <c r="D47" s="10">
        <v>0</v>
      </c>
      <c r="E47" s="10">
        <v>12</v>
      </c>
    </row>
    <row r="48" spans="1:5">
      <c r="A48" s="6" t="s">
        <v>108</v>
      </c>
      <c r="B48" s="10">
        <v>0</v>
      </c>
      <c r="C48" s="10">
        <v>1</v>
      </c>
      <c r="D48" s="10">
        <v>0</v>
      </c>
      <c r="E48" s="10">
        <v>0</v>
      </c>
    </row>
    <row r="49" spans="1:5">
      <c r="A49" s="6" t="s">
        <v>109</v>
      </c>
      <c r="B49" s="10">
        <v>3</v>
      </c>
      <c r="C49" s="10">
        <v>3</v>
      </c>
      <c r="D49" s="10">
        <v>0</v>
      </c>
      <c r="E49" s="10">
        <v>0</v>
      </c>
    </row>
    <row r="50" spans="1:5">
      <c r="A50" s="6" t="s">
        <v>110</v>
      </c>
      <c r="B50" s="10">
        <v>1</v>
      </c>
      <c r="C50" s="10">
        <v>2</v>
      </c>
      <c r="D50" s="10">
        <v>0</v>
      </c>
      <c r="E50" s="10">
        <v>0</v>
      </c>
    </row>
    <row r="51" spans="1:5">
      <c r="A51" s="6" t="s">
        <v>111</v>
      </c>
      <c r="B51" s="10">
        <v>0</v>
      </c>
      <c r="C51" s="10">
        <v>2</v>
      </c>
      <c r="D51" s="10">
        <v>0</v>
      </c>
      <c r="E51" s="10">
        <v>0</v>
      </c>
    </row>
    <row r="52" spans="1:5">
      <c r="A52" s="6" t="s">
        <v>112</v>
      </c>
      <c r="B52" s="10">
        <v>6</v>
      </c>
      <c r="C52" s="10">
        <v>5</v>
      </c>
      <c r="D52" s="10">
        <v>168</v>
      </c>
      <c r="E52" s="10">
        <v>0</v>
      </c>
    </row>
    <row r="53" spans="1:5">
      <c r="A53" s="6" t="s">
        <v>113</v>
      </c>
      <c r="B53" s="10">
        <v>3</v>
      </c>
      <c r="C53" s="10">
        <v>6</v>
      </c>
      <c r="D53" s="10">
        <v>356</v>
      </c>
      <c r="E53" s="10">
        <v>0</v>
      </c>
    </row>
    <row r="54" spans="1:5">
      <c r="A54" s="6" t="s">
        <v>114</v>
      </c>
      <c r="B54" s="10">
        <v>5</v>
      </c>
      <c r="C54" s="10">
        <v>1</v>
      </c>
      <c r="D54" s="10">
        <v>314</v>
      </c>
      <c r="E54" s="10">
        <v>8</v>
      </c>
    </row>
    <row r="55" spans="1:5">
      <c r="A55" s="6" t="s">
        <v>115</v>
      </c>
      <c r="B55" s="10">
        <v>5</v>
      </c>
      <c r="C55" s="10">
        <v>5</v>
      </c>
      <c r="D55" s="10">
        <v>273</v>
      </c>
      <c r="E55" s="10">
        <v>8700</v>
      </c>
    </row>
    <row r="56" spans="1:5">
      <c r="A56" s="6" t="s">
        <v>116</v>
      </c>
      <c r="B56" s="10">
        <v>9</v>
      </c>
      <c r="C56" s="10">
        <v>4</v>
      </c>
      <c r="D56" s="10">
        <v>364</v>
      </c>
      <c r="E56" s="10">
        <v>24079</v>
      </c>
    </row>
    <row r="57" spans="1:5">
      <c r="A57" s="6" t="s">
        <v>117</v>
      </c>
      <c r="B57" s="10">
        <v>18</v>
      </c>
      <c r="C57" s="10">
        <v>7</v>
      </c>
      <c r="D57" s="10">
        <v>314</v>
      </c>
      <c r="E57" s="10">
        <v>30943</v>
      </c>
    </row>
    <row r="58" spans="1:5">
      <c r="A58" s="6" t="s">
        <v>118</v>
      </c>
      <c r="B58" s="10">
        <v>40</v>
      </c>
      <c r="C58" s="10">
        <v>20</v>
      </c>
      <c r="D58" s="10">
        <v>341</v>
      </c>
      <c r="E58" s="10">
        <v>208</v>
      </c>
    </row>
    <row r="59" spans="1:5">
      <c r="A59" s="6" t="s">
        <v>119</v>
      </c>
      <c r="B59" s="10">
        <v>44</v>
      </c>
      <c r="C59" s="10">
        <v>15</v>
      </c>
      <c r="D59" s="10">
        <v>379</v>
      </c>
      <c r="E59" s="10">
        <v>0</v>
      </c>
    </row>
    <row r="60" spans="1:5">
      <c r="A60" s="6" t="s">
        <v>120</v>
      </c>
      <c r="B60" s="10">
        <v>114</v>
      </c>
      <c r="C60" s="10">
        <v>62</v>
      </c>
      <c r="D60" s="10">
        <v>439</v>
      </c>
      <c r="E60" s="10">
        <v>0</v>
      </c>
    </row>
    <row r="61" spans="1:5">
      <c r="A61" s="6" t="s">
        <v>121</v>
      </c>
      <c r="B61" s="10">
        <v>242</v>
      </c>
      <c r="C61" s="10">
        <v>110</v>
      </c>
      <c r="D61" s="10">
        <v>356</v>
      </c>
      <c r="E61" s="10">
        <v>0</v>
      </c>
    </row>
    <row r="62" spans="1:5">
      <c r="A62" s="6" t="s">
        <v>122</v>
      </c>
      <c r="B62" s="10">
        <v>1892</v>
      </c>
      <c r="C62" s="10">
        <v>1310</v>
      </c>
      <c r="D62" s="10">
        <v>432</v>
      </c>
      <c r="E62" s="10">
        <v>0</v>
      </c>
    </row>
    <row r="63" spans="1:5">
      <c r="A63" s="6" t="s">
        <v>123</v>
      </c>
      <c r="B63" s="10">
        <v>8925</v>
      </c>
      <c r="C63" s="10">
        <v>5060</v>
      </c>
      <c r="D63" s="10">
        <v>390</v>
      </c>
      <c r="E63" s="10">
        <v>0</v>
      </c>
    </row>
    <row r="64" spans="1:5">
      <c r="A64" s="6" t="s">
        <v>124</v>
      </c>
      <c r="B64" s="10">
        <v>740</v>
      </c>
      <c r="C64" s="10">
        <v>481</v>
      </c>
      <c r="D64" s="10">
        <v>70</v>
      </c>
      <c r="E64" s="10">
        <v>0</v>
      </c>
    </row>
    <row r="65" spans="1:5" ht="39" customHeight="1">
      <c r="A65" s="9" t="s">
        <v>394</v>
      </c>
      <c r="B65" s="9"/>
      <c r="C65" s="9"/>
      <c r="D65" s="9"/>
      <c r="E65" s="9"/>
    </row>
  </sheetData>
  <mergeCells count="3">
    <mergeCell ref="A32:H32"/>
    <mergeCell ref="A38:D38"/>
    <mergeCell ref="A65:E6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8.7109375" customWidth="1"/>
    <col min="2" max="2" width="14.7109375" customWidth="1"/>
    <col min="3" max="5" width="11.7109375" customWidth="1"/>
    <col min="6" max="6" width="12.7109375" customWidth="1"/>
  </cols>
  <sheetData>
    <row r="1" spans="1:6" ht="24" customHeight="1">
      <c r="A1" s="1" t="s">
        <v>395</v>
      </c>
    </row>
    <row r="2" spans="1:6" ht="16" customHeight="1">
      <c r="A2" s="2" t="s">
        <v>396</v>
      </c>
    </row>
    <row r="4" spans="1:6" ht="30" customHeight="1">
      <c r="A4" s="5" t="s">
        <v>397</v>
      </c>
      <c r="B4" s="5" t="s">
        <v>95</v>
      </c>
      <c r="C4" s="5" t="s">
        <v>398</v>
      </c>
      <c r="D4" s="5" t="s">
        <v>399</v>
      </c>
      <c r="E4" s="5" t="s">
        <v>400</v>
      </c>
      <c r="F4" s="5" t="s">
        <v>401</v>
      </c>
    </row>
    <row r="5" spans="1:6">
      <c r="A5" s="6" t="s">
        <v>402</v>
      </c>
      <c r="B5" s="10">
        <v>1765950</v>
      </c>
      <c r="C5" s="11">
        <v>40.1</v>
      </c>
      <c r="D5" s="11">
        <v>28.5</v>
      </c>
      <c r="E5" s="11">
        <v>24.6</v>
      </c>
      <c r="F5" s="11">
        <v>6.8</v>
      </c>
    </row>
    <row r="6" spans="1:6">
      <c r="A6" s="6" t="s">
        <v>403</v>
      </c>
      <c r="B6" s="10">
        <v>1775192</v>
      </c>
      <c r="C6" s="11">
        <v>43.1</v>
      </c>
      <c r="D6" s="11">
        <v>27.7</v>
      </c>
      <c r="E6" s="11">
        <v>21.4</v>
      </c>
      <c r="F6" s="11">
        <v>7.7</v>
      </c>
    </row>
    <row r="7" spans="1:6">
      <c r="A7" s="6" t="s">
        <v>404</v>
      </c>
      <c r="B7" s="10">
        <v>1959505</v>
      </c>
      <c r="C7" s="11">
        <v>46.3</v>
      </c>
      <c r="D7" s="11">
        <v>24</v>
      </c>
      <c r="E7" s="11">
        <v>22.8</v>
      </c>
      <c r="F7" s="11">
        <v>6.8</v>
      </c>
    </row>
    <row r="8" spans="1:6">
      <c r="A8" s="6" t="s">
        <v>405</v>
      </c>
      <c r="B8" s="10">
        <v>2024851</v>
      </c>
      <c r="C8" s="11">
        <v>46.9</v>
      </c>
      <c r="D8" s="11">
        <v>23.1</v>
      </c>
      <c r="E8" s="11">
        <v>20</v>
      </c>
      <c r="F8" s="11">
        <v>9.9</v>
      </c>
    </row>
    <row r="10" spans="1:6" ht="26" customHeight="1">
      <c r="A10" s="9" t="s">
        <v>406</v>
      </c>
      <c r="B10" s="9"/>
      <c r="C10" s="9"/>
      <c r="D10" s="9"/>
      <c r="E10" s="9"/>
      <c r="F10" s="9"/>
    </row>
  </sheetData>
  <mergeCells count="1">
    <mergeCell ref="A10:F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26.7109375" customWidth="1"/>
    <col min="2" max="2" width="34.7109375" customWidth="1"/>
    <col min="3" max="3" width="30.7109375" customWidth="1"/>
    <col min="4" max="4" width="40.7109375" customWidth="1"/>
  </cols>
  <sheetData>
    <row r="1" spans="1:4" ht="24" customHeight="1">
      <c r="A1" s="1" t="s">
        <v>407</v>
      </c>
    </row>
    <row r="2" spans="1:4" ht="16" customHeight="1">
      <c r="A2" s="2" t="s">
        <v>408</v>
      </c>
    </row>
    <row r="4" spans="1:4">
      <c r="A4" s="8" t="s">
        <v>409</v>
      </c>
    </row>
    <row r="5" spans="1:4" ht="30" customHeight="1">
      <c r="A5" s="5" t="s">
        <v>410</v>
      </c>
      <c r="B5" s="5" t="s">
        <v>8</v>
      </c>
      <c r="C5" s="5" t="s">
        <v>411</v>
      </c>
      <c r="D5" s="5" t="s">
        <v>127</v>
      </c>
    </row>
    <row r="6" spans="1:4">
      <c r="A6" s="6" t="s">
        <v>412</v>
      </c>
      <c r="B6" s="10">
        <v>240304</v>
      </c>
      <c r="C6" s="10">
        <v>7525498</v>
      </c>
      <c r="D6" s="11">
        <v>3.193</v>
      </c>
    </row>
    <row r="7" spans="1:4">
      <c r="A7" s="6" t="s">
        <v>413</v>
      </c>
      <c r="B7" s="10">
        <v>218233</v>
      </c>
      <c r="C7" s="10">
        <v>7525498</v>
      </c>
      <c r="D7" s="11">
        <v>2.9</v>
      </c>
    </row>
    <row r="8" spans="1:4">
      <c r="A8" s="6" t="s">
        <v>414</v>
      </c>
      <c r="B8" s="10">
        <v>129696</v>
      </c>
      <c r="C8" s="10">
        <v>7525498</v>
      </c>
      <c r="D8" s="11">
        <v>1.723</v>
      </c>
    </row>
    <row r="9" spans="1:4">
      <c r="A9" s="6" t="s">
        <v>415</v>
      </c>
      <c r="B9" s="10">
        <v>111987</v>
      </c>
      <c r="C9" s="10">
        <v>7525498</v>
      </c>
      <c r="D9" s="11">
        <v>1.488</v>
      </c>
    </row>
    <row r="10" spans="1:4">
      <c r="A10" s="6" t="s">
        <v>416</v>
      </c>
      <c r="B10" s="10">
        <v>65559</v>
      </c>
      <c r="C10" s="10">
        <v>7525498</v>
      </c>
      <c r="D10" s="11">
        <v>0.871</v>
      </c>
    </row>
    <row r="11" spans="1:4">
      <c r="A11" s="6" t="s">
        <v>417</v>
      </c>
      <c r="B11" s="10">
        <v>15543</v>
      </c>
      <c r="C11" s="10">
        <v>7525498</v>
      </c>
      <c r="D11" s="11">
        <v>0.207</v>
      </c>
    </row>
    <row r="12" spans="1:4">
      <c r="A12" s="6" t="s">
        <v>418</v>
      </c>
      <c r="B12" s="10">
        <v>7820</v>
      </c>
      <c r="C12" s="10">
        <v>7525498</v>
      </c>
      <c r="D12" s="11">
        <v>0.104</v>
      </c>
    </row>
    <row r="13" spans="1:4">
      <c r="A13" s="6" t="s">
        <v>419</v>
      </c>
      <c r="B13" s="10">
        <v>6331</v>
      </c>
      <c r="C13" s="10">
        <v>7525498</v>
      </c>
      <c r="D13" s="11">
        <v>0.08400000000000001</v>
      </c>
    </row>
    <row r="14" spans="1:4">
      <c r="A14" s="6" t="s">
        <v>420</v>
      </c>
      <c r="B14" s="10">
        <v>1877</v>
      </c>
      <c r="C14" s="10">
        <v>7525498</v>
      </c>
      <c r="D14" s="11">
        <v>0.025</v>
      </c>
    </row>
    <row r="15" spans="1:4">
      <c r="A15" s="6" t="s">
        <v>421</v>
      </c>
      <c r="B15" s="10">
        <v>1</v>
      </c>
      <c r="C15" s="10">
        <v>7525498</v>
      </c>
      <c r="D15" s="11">
        <v>0</v>
      </c>
    </row>
    <row r="17" spans="1:4" ht="52" customHeight="1">
      <c r="A17" s="9" t="s">
        <v>422</v>
      </c>
      <c r="B17" s="9"/>
      <c r="C17" s="9"/>
      <c r="D17" s="9"/>
    </row>
    <row r="19" spans="1:4">
      <c r="A19" s="8" t="s">
        <v>423</v>
      </c>
    </row>
    <row r="20" spans="1:4" ht="30" customHeight="1">
      <c r="A20" s="5" t="s">
        <v>424</v>
      </c>
      <c r="B20" s="5" t="s">
        <v>425</v>
      </c>
      <c r="C20" s="5" t="s">
        <v>426</v>
      </c>
      <c r="D20" s="5" t="s">
        <v>427</v>
      </c>
    </row>
    <row r="21" spans="1:4">
      <c r="A21" s="6" t="s">
        <v>428</v>
      </c>
      <c r="B21" s="7" t="s">
        <v>429</v>
      </c>
      <c r="C21" s="7" t="s">
        <v>430</v>
      </c>
      <c r="D21" s="7" t="s">
        <v>431</v>
      </c>
    </row>
    <row r="22" spans="1:4">
      <c r="A22" s="6" t="s">
        <v>432</v>
      </c>
      <c r="B22" s="7" t="s">
        <v>433</v>
      </c>
      <c r="C22" s="7" t="s">
        <v>434</v>
      </c>
      <c r="D22" s="7" t="s">
        <v>435</v>
      </c>
    </row>
    <row r="23" spans="1:4">
      <c r="A23" s="6" t="s">
        <v>436</v>
      </c>
      <c r="B23" s="7" t="s">
        <v>437</v>
      </c>
      <c r="C23" s="7" t="s">
        <v>438</v>
      </c>
      <c r="D23" s="7" t="s">
        <v>439</v>
      </c>
    </row>
    <row r="24" spans="1:4">
      <c r="A24" s="6" t="s">
        <v>131</v>
      </c>
      <c r="B24" s="7" t="s">
        <v>440</v>
      </c>
      <c r="C24" s="7" t="s">
        <v>441</v>
      </c>
      <c r="D24" s="7" t="s">
        <v>442</v>
      </c>
    </row>
    <row r="25" spans="1:4">
      <c r="A25" s="6" t="s">
        <v>443</v>
      </c>
      <c r="B25" s="7" t="s">
        <v>444</v>
      </c>
      <c r="C25" s="7" t="s">
        <v>445</v>
      </c>
      <c r="D25" s="7" t="s">
        <v>446</v>
      </c>
    </row>
    <row r="26" spans="1:4">
      <c r="A26" s="6" t="s">
        <v>447</v>
      </c>
      <c r="B26" s="7" t="s">
        <v>448</v>
      </c>
      <c r="C26" s="7" t="s">
        <v>449</v>
      </c>
      <c r="D26" s="7" t="s">
        <v>450</v>
      </c>
    </row>
    <row r="27" spans="1:4">
      <c r="A27" s="6" t="s">
        <v>451</v>
      </c>
      <c r="B27" s="7" t="s">
        <v>452</v>
      </c>
      <c r="C27" s="7" t="s">
        <v>453</v>
      </c>
      <c r="D27" s="7" t="s">
        <v>454</v>
      </c>
    </row>
    <row r="28" spans="1:4">
      <c r="A28" s="6" t="s">
        <v>455</v>
      </c>
      <c r="B28" s="7" t="s">
        <v>456</v>
      </c>
      <c r="C28" s="7" t="s">
        <v>457</v>
      </c>
      <c r="D28" s="7" t="s">
        <v>458</v>
      </c>
    </row>
  </sheetData>
  <mergeCells count="1">
    <mergeCell ref="A17:D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1" max="1" width="62.7109375" customWidth="1"/>
    <col min="2" max="2" width="16.7109375" customWidth="1"/>
    <col min="3" max="3" width="40.7109375" customWidth="1"/>
    <col min="4" max="4" width="46.7109375" customWidth="1"/>
  </cols>
  <sheetData>
    <row r="1" spans="1:2" ht="24" customHeight="1">
      <c r="A1" s="1" t="s">
        <v>459</v>
      </c>
    </row>
    <row r="2" spans="1:2" ht="16" customHeight="1">
      <c r="A2" s="2" t="s">
        <v>460</v>
      </c>
    </row>
    <row r="4" spans="1:2">
      <c r="A4" s="8" t="s">
        <v>461</v>
      </c>
    </row>
    <row r="5" spans="1:2" ht="30" customHeight="1">
      <c r="A5" s="5" t="s">
        <v>462</v>
      </c>
      <c r="B5" s="5" t="s">
        <v>463</v>
      </c>
    </row>
    <row r="6" spans="1:2">
      <c r="A6" s="6" t="s">
        <v>464</v>
      </c>
      <c r="B6" s="7" t="s">
        <v>465</v>
      </c>
    </row>
    <row r="7" spans="1:2">
      <c r="A7" s="6" t="s">
        <v>466</v>
      </c>
      <c r="B7" s="7" t="s">
        <v>467</v>
      </c>
    </row>
    <row r="8" spans="1:2">
      <c r="A8" s="6" t="s">
        <v>468</v>
      </c>
      <c r="B8" s="7" t="s">
        <v>469</v>
      </c>
    </row>
    <row r="9" spans="1:2">
      <c r="A9" s="6" t="s">
        <v>470</v>
      </c>
      <c r="B9" s="7" t="s">
        <v>471</v>
      </c>
    </row>
    <row r="10" spans="1:2">
      <c r="A10" s="6" t="s">
        <v>472</v>
      </c>
      <c r="B10" s="7" t="s">
        <v>473</v>
      </c>
    </row>
    <row r="11" spans="1:2">
      <c r="A11" s="6" t="s">
        <v>474</v>
      </c>
      <c r="B11" s="7" t="s">
        <v>475</v>
      </c>
    </row>
    <row r="12" spans="1:2">
      <c r="A12" s="6" t="s">
        <v>476</v>
      </c>
      <c r="B12" s="7" t="s">
        <v>477</v>
      </c>
    </row>
    <row r="13" spans="1:2">
      <c r="A13" s="6" t="s">
        <v>478</v>
      </c>
      <c r="B13" s="7" t="s">
        <v>479</v>
      </c>
    </row>
    <row r="14" spans="1:2">
      <c r="A14" s="6" t="s">
        <v>480</v>
      </c>
      <c r="B14" s="7" t="s">
        <v>481</v>
      </c>
    </row>
    <row r="15" spans="1:2">
      <c r="A15" s="6" t="s">
        <v>482</v>
      </c>
      <c r="B15" s="7" t="s">
        <v>483</v>
      </c>
    </row>
    <row r="17" spans="1:4">
      <c r="A17" s="8" t="s">
        <v>484</v>
      </c>
    </row>
    <row r="18" spans="1:4" ht="30" customHeight="1">
      <c r="A18" s="5" t="s">
        <v>485</v>
      </c>
      <c r="B18" s="5" t="s">
        <v>486</v>
      </c>
    </row>
    <row r="19" spans="1:4">
      <c r="A19" s="6" t="s">
        <v>487</v>
      </c>
      <c r="B19" s="7" t="s">
        <v>488</v>
      </c>
    </row>
    <row r="20" spans="1:4">
      <c r="A20" s="6" t="s">
        <v>489</v>
      </c>
      <c r="B20" s="7" t="s">
        <v>490</v>
      </c>
    </row>
    <row r="21" spans="1:4">
      <c r="A21" s="6" t="s">
        <v>491</v>
      </c>
      <c r="B21" s="7" t="s">
        <v>492</v>
      </c>
    </row>
    <row r="22" spans="1:4">
      <c r="A22" s="6" t="s">
        <v>493</v>
      </c>
      <c r="B22" s="7" t="s">
        <v>494</v>
      </c>
    </row>
    <row r="23" spans="1:4">
      <c r="A23" s="6" t="s">
        <v>495</v>
      </c>
      <c r="B23" s="7" t="s">
        <v>496</v>
      </c>
    </row>
    <row r="24" spans="1:4">
      <c r="A24" s="6" t="s">
        <v>497</v>
      </c>
      <c r="B24" s="7" t="s">
        <v>498</v>
      </c>
    </row>
    <row r="26" spans="1:4">
      <c r="A26" s="8" t="s">
        <v>499</v>
      </c>
    </row>
    <row r="27" spans="1:4" ht="30" customHeight="1">
      <c r="A27" s="5" t="s">
        <v>500</v>
      </c>
      <c r="B27" s="5" t="s">
        <v>501</v>
      </c>
      <c r="C27" s="5" t="s">
        <v>502</v>
      </c>
      <c r="D27" s="5" t="s">
        <v>7</v>
      </c>
    </row>
    <row r="28" spans="1:4">
      <c r="A28" s="6" t="s">
        <v>63</v>
      </c>
      <c r="B28" s="6" t="s">
        <v>503</v>
      </c>
      <c r="C28" s="6" t="s">
        <v>504</v>
      </c>
      <c r="D28" s="7" t="s">
        <v>505</v>
      </c>
    </row>
    <row r="29" spans="1:4">
      <c r="A29" s="6" t="s">
        <v>66</v>
      </c>
      <c r="B29" s="6" t="s">
        <v>506</v>
      </c>
      <c r="C29" s="6" t="s">
        <v>507</v>
      </c>
      <c r="D29" s="7" t="s">
        <v>508</v>
      </c>
    </row>
    <row r="30" spans="1:4">
      <c r="A30" s="6" t="s">
        <v>69</v>
      </c>
      <c r="B30" s="6" t="s">
        <v>509</v>
      </c>
      <c r="C30" s="6" t="s">
        <v>510</v>
      </c>
      <c r="D30" s="7" t="s">
        <v>511</v>
      </c>
    </row>
    <row r="31" spans="1:4">
      <c r="A31" s="6" t="s">
        <v>72</v>
      </c>
      <c r="B31" s="6" t="s">
        <v>10</v>
      </c>
      <c r="C31" s="6" t="s">
        <v>512</v>
      </c>
      <c r="D31" s="7" t="s">
        <v>513</v>
      </c>
    </row>
    <row r="33" spans="1:4">
      <c r="A33" s="8" t="s">
        <v>514</v>
      </c>
    </row>
    <row r="34" spans="1:4" ht="14" customHeight="1">
      <c r="A34" s="9" t="s">
        <v>515</v>
      </c>
      <c r="B34" s="9"/>
      <c r="C34" s="9"/>
      <c r="D34" s="9"/>
    </row>
    <row r="36" spans="1:4" ht="30" customHeight="1">
      <c r="A36" s="5" t="s">
        <v>516</v>
      </c>
      <c r="B36" s="5" t="s">
        <v>517</v>
      </c>
    </row>
    <row r="37" spans="1:4">
      <c r="A37" s="6" t="s">
        <v>518</v>
      </c>
      <c r="B37" s="10">
        <v>15495</v>
      </c>
    </row>
    <row r="38" spans="1:4">
      <c r="A38" s="6" t="s">
        <v>519</v>
      </c>
      <c r="B38" s="10">
        <v>28629</v>
      </c>
    </row>
    <row r="39" spans="1:4">
      <c r="A39" s="6" t="s">
        <v>520</v>
      </c>
      <c r="B39" s="10">
        <v>9552</v>
      </c>
    </row>
    <row r="40" spans="1:4">
      <c r="A40" s="6" t="s">
        <v>521</v>
      </c>
      <c r="B40" s="10">
        <v>9664</v>
      </c>
    </row>
    <row r="41" spans="1:4">
      <c r="A41" s="6" t="s">
        <v>522</v>
      </c>
      <c r="B41" s="10">
        <v>8808</v>
      </c>
    </row>
    <row r="42" spans="1:4">
      <c r="A42" s="6" t="s">
        <v>523</v>
      </c>
      <c r="B42" s="10">
        <v>63938</v>
      </c>
    </row>
    <row r="43" spans="1:4">
      <c r="A43" s="6" t="s">
        <v>524</v>
      </c>
      <c r="B43" s="10">
        <v>51</v>
      </c>
    </row>
    <row r="44" spans="1:4">
      <c r="A44" s="6" t="s">
        <v>525</v>
      </c>
      <c r="B44" s="10">
        <v>19093</v>
      </c>
    </row>
    <row r="45" spans="1:4">
      <c r="A45" s="6" t="s">
        <v>526</v>
      </c>
      <c r="B45" s="10">
        <v>287342</v>
      </c>
    </row>
    <row r="46" spans="1:4">
      <c r="A46" s="6" t="s">
        <v>527</v>
      </c>
      <c r="B46" s="10">
        <v>240304</v>
      </c>
    </row>
    <row r="47" spans="1:4">
      <c r="A47" s="6" t="s">
        <v>528</v>
      </c>
      <c r="B47" s="10">
        <v>112499</v>
      </c>
    </row>
    <row r="48" spans="1:4">
      <c r="A48" s="6" t="s">
        <v>529</v>
      </c>
      <c r="B48" s="10">
        <v>115514</v>
      </c>
    </row>
    <row r="49" spans="1:6">
      <c r="A49" s="6" t="s">
        <v>530</v>
      </c>
      <c r="B49" s="10">
        <v>4989</v>
      </c>
    </row>
    <row r="50" spans="1:6">
      <c r="A50" s="6" t="s">
        <v>531</v>
      </c>
      <c r="B50" s="10">
        <v>171558</v>
      </c>
    </row>
    <row r="52" spans="1:6">
      <c r="A52" s="8" t="s">
        <v>532</v>
      </c>
    </row>
    <row r="53" spans="1:6" ht="26" customHeight="1">
      <c r="A53" s="9" t="s">
        <v>533</v>
      </c>
      <c r="B53" s="9"/>
      <c r="C53" s="9"/>
      <c r="D53" s="9"/>
      <c r="E53" s="9"/>
      <c r="F53" s="9"/>
    </row>
  </sheetData>
  <mergeCells count="2">
    <mergeCell ref="A34:D34"/>
    <mergeCell ref="A53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首页·怎么读</vt:lpstr>
      <vt:lpstr>1_数据概览</vt:lpstr>
      <vt:lpstr>2_同比与增量</vt:lpstr>
      <vt:lpstr>3_单一地点奇点</vt:lpstr>
      <vt:lpstr>4_处理时效</vt:lpstr>
      <vt:lpstr>5_未结与积压</vt:lpstr>
      <vt:lpstr>6_季节性与需求</vt:lpstr>
      <vt:lpstr>7_渠道结构</vt:lpstr>
      <vt:lpstr>8_数据质量</vt:lpstr>
      <vt:lpstr>9_方法与复现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2026-09-17T02:52:33Z</dcterms:created>
  <dcterms:modified xsi:type="dcterms:W3CDTF">2026-09-17T02:52:33Z</dcterms:modified>
</cp:coreProperties>
</file>