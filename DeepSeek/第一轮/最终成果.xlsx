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总览" sheetId="1" state="visible" r:id="rId1"/>
    <sheet xmlns:r="http://schemas.openxmlformats.org/officeDocument/2006/relationships" name="2_数据画像" sheetId="2" state="visible" r:id="rId2"/>
    <sheet xmlns:r="http://schemas.openxmlformats.org/officeDocument/2006/relationships" name="3_总量与季节" sheetId="3" state="visible" r:id="rId3"/>
    <sheet xmlns:r="http://schemas.openxmlformats.org/officeDocument/2006/relationships" name="4_响应时长" sheetId="4" state="visible" r:id="rId4"/>
    <sheet xmlns:r="http://schemas.openxmlformats.org/officeDocument/2006/relationships" name="5_冬季冲击" sheetId="5" state="visible" r:id="rId5"/>
    <sheet xmlns:r="http://schemas.openxmlformats.org/officeDocument/2006/relationships" name="6_异常地址" sheetId="6" state="visible" r:id="rId6"/>
    <sheet xmlns:r="http://schemas.openxmlformats.org/officeDocument/2006/relationships" name="7_渠道与地理" sheetId="7" state="visible" r:id="rId7"/>
    <sheet xmlns:r="http://schemas.openxmlformats.org/officeDocument/2006/relationships" name="8_类型与同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595959"/>
      <sz val="9"/>
    </font>
    <font>
      <name val="微软雅黑"/>
      <b val="1"/>
      <color rgb="002E75B6"/>
      <sz val="12"/>
    </font>
    <font>
      <name val="微软雅黑"/>
      <b val="1"/>
      <color rgb="001F3864"/>
      <sz val="10"/>
    </font>
    <font>
      <name val="微软雅黑"/>
      <color rgb="00000000"/>
      <sz val="10"/>
    </font>
    <font>
      <name val="微软雅黑"/>
      <color rgb="00833C00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vertical="top" wrapText="1"/>
    </xf>
    <xf numFmtId="3" fontId="5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2" fontId="5" fillId="4" borderId="1" pivotButton="0" quotePrefix="0" xfId="0"/>
    <xf numFmtId="164" fontId="5" fillId="4" borderId="1" pivotButton="0" quotePrefix="0" xfId="0"/>
    <xf numFmtId="2" fontId="5" fillId="0" borderId="1" pivotButton="0" quotePrefix="0" xfId="0"/>
    <xf numFmtId="164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月度记录数 与 中位处置时长：实际 vs 固定机构构成</a:t>
            </a:r>
          </a:p>
        </rich>
      </tx>
    </title>
    <plotArea>
      <lineChart>
        <grouping val="standard"/>
        <ser>
          <idx val="0"/>
          <order val="0"/>
          <tx>
            <strRef>
              <f>'3_总量与季节'!B5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'3_总量与季节'!$A$6:$A$30</f>
            </numRef>
          </cat>
          <val>
            <numRef>
              <f>'3_总量与季节'!$B$6:$B$30</f>
            </numRef>
          </val>
        </ser>
        <ser>
          <idx val="1"/>
          <order val="1"/>
          <tx>
            <strRef>
              <f>'3_总量与季节'!D5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'3_总量与季节'!$A$6:$A$30</f>
            </numRef>
          </cat>
          <val>
            <numRef>
              <f>'3_总量与季节'!$D$6:$D$30</f>
            </numRef>
          </val>
        </ser>
        <ser>
          <idx val="2"/>
          <order val="2"/>
          <tx>
            <strRef>
              <f>'3_总量与季节'!E5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'3_总量与季节'!$A$6:$A$30</f>
            </numRef>
          </cat>
          <val>
            <numRef>
              <f>'3_总量与季节'!$E$6:$E$30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 / 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月度记录数（2024-09 ~ 2026-09）</a:t>
            </a:r>
          </a:p>
        </rich>
      </tx>
    </title>
    <plotArea>
      <lineChart>
        <grouping val="standard"/>
        <ser>
          <idx val="0"/>
          <order val="0"/>
          <tx>
            <strRef>
              <f>'3_总量与季节'!B5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'3_总量与季节'!$A$6:$A$30</f>
            </numRef>
          </cat>
          <val>
            <numRef>
              <f>'3_总量与季节'!$B$6:$B$30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HEAT/HOT WATER 与 Noise - Street/Sidewalk 的季节反转</a:t>
            </a:r>
          </a:p>
        </rich>
      </tx>
    </title>
    <plotArea>
      <lineChart>
        <grouping val="standard"/>
        <ser>
          <idx val="0"/>
          <order val="0"/>
          <tx>
            <strRef>
              <f>'3_总量与季节'!C54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'3_总量与季节'!$A$55:$A$79</f>
            </numRef>
          </cat>
          <val>
            <numRef>
              <f>'3_总量与季节'!$C$55:$C$79</f>
            </numRef>
          </val>
        </ser>
        <ser>
          <idx val="1"/>
          <order val="1"/>
          <tx>
            <strRef>
              <f>'3_总量与季节'!F54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'3_总量与季节'!$A$55:$A$79</f>
            </numRef>
          </cat>
          <val>
            <numRef>
              <f>'3_总量与季节'!$F$55:$F$79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各机构中位处置时长（小时，对数直觉：越靠下越慢）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'4_响应时长'!E5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'4_响应时长'!$A$6:$A$17</f>
            </numRef>
          </cat>
          <val>
            <numRef>
              <f>'4_响应时长'!$E$6:$E$17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实际中位时长 vs 固定构成后的标准化中位时长</a:t>
            </a:r>
          </a:p>
        </rich>
      </tx>
    </title>
    <plotArea>
      <lineChart>
        <grouping val="standard"/>
        <ser>
          <idx val="0"/>
          <order val="0"/>
          <tx>
            <strRef>
              <f>'4_响应时长'!C29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'4_响应时长'!$A$30:$A$52</f>
            </numRef>
          </cat>
          <val>
            <numRef>
              <f>'4_响应时长'!$C$30:$C$52</f>
            </numRef>
          </val>
        </ser>
        <ser>
          <idx val="1"/>
          <order val="1"/>
          <tx>
            <strRef>
              <f>'4_响应时长'!D29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'4_响应时长'!$A$30:$A$52</f>
            </numRef>
          </cat>
          <val>
            <numRef>
              <f>'4_响应时长'!$D$30:$D$52</f>
            </numRef>
          </val>
        </ser>
        <ser>
          <idx val="2"/>
          <order val="2"/>
          <tx>
            <strRef>
              <f>'4_响应时长'!E29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'4_响应时长'!$A$30:$A$52</f>
            </numRef>
          </cat>
          <val>
            <numRef>
              <f>'4_响应时长'!$E$30:$E$52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雪害投诉与坑洞投诉的月度走势</a:t>
            </a:r>
          </a:p>
        </rich>
      </tx>
    </title>
    <plotArea>
      <lineChart>
        <grouping val="standard"/>
        <ser>
          <idx val="0"/>
          <order val="0"/>
          <tx>
            <strRef>
              <f>'5_冬季冲击'!B13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'5_冬季冲击'!$A$14:$A$36</f>
            </numRef>
          </cat>
          <val>
            <numRef>
              <f>'5_冬季冲击'!$B$14:$B$36</f>
            </numRef>
          </val>
        </ser>
        <ser>
          <idx val="1"/>
          <order val="1"/>
          <tx>
            <strRef>
              <f>'5_冬季冲击'!C13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'5_冬季冲击'!$A$14:$A$36</f>
            </numRef>
          </cat>
          <val>
            <numRef>
              <f>'5_冬季冲击'!$C$14:$C$36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小时分布：该地址近乎平坦，全城噪音投诉有明显夜间高峰</a:t>
            </a:r>
          </a:p>
        </rich>
      </tx>
    </title>
    <plotArea>
      <lineChart>
        <grouping val="standard"/>
        <ser>
          <idx val="0"/>
          <order val="0"/>
          <tx>
            <strRef>
              <f>'6_异常地址'!B39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'6_异常地址'!$A$40:$A$63</f>
            </numRef>
          </cat>
          <val>
            <numRef>
              <f>'6_异常地址'!$B$40:$B$63</f>
            </numRef>
          </val>
        </ser>
        <ser>
          <idx val="1"/>
          <order val="1"/>
          <tx>
            <strRef>
              <f>'6_异常地址'!C39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'6_异常地址'!$A$40:$A$63</f>
            </numRef>
          </cat>
          <val>
            <numRef>
              <f>'6_异常地址'!$C$40:$C$63</f>
            </numRef>
          </val>
        </ser>
        <ser>
          <idx val="2"/>
          <order val="2"/>
          <tx>
            <strRef>
              <f>'6_异常地址'!D39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'6_异常地址'!$A$40:$A$63</f>
            </numRef>
          </cat>
          <val>
            <numRef>
              <f>'6_异常地址'!$D$40:$D$63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占比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提交渠道月度占比变化</a:t>
            </a:r>
          </a:p>
        </rich>
      </tx>
    </title>
    <plotArea>
      <lineChart>
        <grouping val="standard"/>
        <ser>
          <idx val="0"/>
          <order val="0"/>
          <tx>
            <strRef>
              <f>'7_渠道与地理'!C5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'7_渠道与地理'!$A$6:$A$30</f>
            </numRef>
          </cat>
          <val>
            <numRef>
              <f>'7_渠道与地理'!$C$6:$C$30</f>
            </numRef>
          </val>
        </ser>
        <ser>
          <idx val="1"/>
          <order val="1"/>
          <tx>
            <strRef>
              <f>'7_渠道与地理'!D5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'7_渠道与地理'!$A$6:$A$30</f>
            </numRef>
          </cat>
          <val>
            <numRef>
              <f>'7_渠道与地理'!$D$6:$D$30</f>
            </numRef>
          </val>
        </ser>
        <ser>
          <idx val="2"/>
          <order val="2"/>
          <tx>
            <strRef>
              <f>'7_渠道与地理'!E5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'7_渠道与地理'!$A$6:$A$30</f>
            </numRef>
          </cat>
          <val>
            <numRef>
              <f>'7_渠道与地理'!$E$6:$E$30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占比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53</row>
      <rowOff>0</rowOff>
    </from>
    <ext cx="792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28</row>
      <rowOff>0</rowOff>
    </from>
    <ext cx="792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12</row>
      <rowOff>0</rowOff>
    </from>
    <ext cx="79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38</row>
      <rowOff>0</rowOff>
    </from>
    <ext cx="79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4</row>
      <rowOff>0</rowOff>
    </from>
    <ext cx="79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8" customWidth="1" min="3" max="3"/>
    <col width="16" customWidth="1" min="4" max="4"/>
    <col width="16" customWidth="1" min="5" max="5"/>
  </cols>
  <sheetData>
    <row r="1" ht="26" customHeight="1">
      <c r="A1" s="1" t="inlineStr">
        <is>
          <t>NYC 311 服务请求分析看板</t>
        </is>
      </c>
    </row>
    <row r="2" ht="30" customHeight="1">
      <c r="A2" s="2" t="inlineStr">
        <is>
          <t>数据源：D:\项目1\原始数据（25 个 Parquet 分片，只读）｜记录粒度＝一条服务请求｜时间范围按 created_date：2024-09-07 ~ 2026-09-05｜全量 7,525,498 条，未抽样。</t>
        </is>
      </c>
    </row>
    <row r="4" ht="20" customHeight="1">
      <c r="A4" s="3" t="inlineStr">
        <is>
          <t>一、数据基本盘</t>
        </is>
      </c>
    </row>
    <row r="5">
      <c r="B5" s="4" t="inlineStr">
        <is>
          <t>指标</t>
        </is>
      </c>
      <c r="C5" s="4" t="inlineStr">
        <is>
          <t>数值 ｜ 口径与备注</t>
        </is>
      </c>
    </row>
    <row r="6">
      <c r="B6" s="5" t="inlineStr">
        <is>
          <t>记录总数（条）</t>
        </is>
      </c>
      <c r="C6" s="5" t="inlineStr">
        <is>
          <t>7,525,498　｜　与 unique_key 去重数一致，无重复主键</t>
        </is>
      </c>
    </row>
    <row r="7">
      <c r="B7" s="5" t="inlineStr">
        <is>
          <t>时间范围（created_date）</t>
        </is>
      </c>
      <c r="C7" s="5" t="inlineStr">
        <is>
          <t>2024-09-07 ~ 2026-09-05　｜　首月 2024-09 与末月 2026-09 不完整；完整月共 23 个（2024-10 ~ 2026-08）</t>
        </is>
      </c>
    </row>
    <row r="8">
      <c r="B8" s="5" t="inlineStr">
        <is>
          <t>closed_date 范围</t>
        </is>
      </c>
      <c r="C8" s="5" t="inlineStr">
        <is>
          <t>2024-02-03 ~ 2026-12-14　｜　1,877 条早于创建时间、1 条晚于 2026-09-16，属字段异常</t>
        </is>
      </c>
    </row>
    <row r="9">
      <c r="B9" s="5" t="inlineStr">
        <is>
          <t>覆盖机构 / 类型 / 行政区</t>
        </is>
      </c>
      <c r="C9" s="5" t="inlineStr">
        <is>
          <t>16 / 205 / 6　｜　borough 含 Unspecified（6,331 条，0.08%）</t>
        </is>
      </c>
    </row>
    <row r="10">
      <c r="B10" s="5" t="inlineStr">
        <is>
          <t>已关闭比例（status=Closed）</t>
        </is>
      </c>
      <c r="C10" s="5" t="inlineStr">
        <is>
          <t>96.68%　｜　另有 240,304 条（3.19%）closed_date 为空</t>
        </is>
      </c>
    </row>
    <row r="11">
      <c r="B11" s="5" t="inlineStr">
        <is>
          <t>处置时长中位数（创建→关闭）</t>
        </is>
      </c>
      <c r="C11" s="5" t="inlineStr">
        <is>
          <t>7.2 小时　｜　仅统计 closed_date ≥ created_date 的 7,283,317 条</t>
        </is>
      </c>
    </row>
    <row r="13" ht="20" customHeight="1">
      <c r="A13" s="3" t="inlineStr">
        <is>
          <t>二、核心发现（每条均可在后续工作表回查）</t>
        </is>
      </c>
    </row>
    <row r="14">
      <c r="A14" s="4" t="inlineStr">
        <is>
          <t>#</t>
        </is>
      </c>
      <c r="B14" s="4" t="inlineStr">
        <is>
          <t>发现</t>
        </is>
      </c>
      <c r="C14" s="4" t="inlineStr">
        <is>
          <t>支撑数字与口径</t>
        </is>
      </c>
      <c r="D14" s="4" t="inlineStr">
        <is>
          <t>回查位置</t>
        </is>
      </c>
    </row>
    <row r="15" ht="62" customHeight="1">
      <c r="A15" s="6" t="inlineStr">
        <is>
          <t>1</t>
        </is>
      </c>
      <c r="B15" s="5" t="inlineStr">
        <is>
          <t>总量平稳，结构剧烈换挡</t>
        </is>
      </c>
      <c r="C15" s="5" t="inlineStr">
        <is>
          <t>23 个完整月月量在 255,364 ~ 348,511 条之间波动（约 ±16%）。但分类型差异极大：HEAT/HOT WATER 从 2026-01 的 79,928 条跌到 2025-08 的 2,929 条（27.3×）；Noise - Street/Sidewalk 反向，2026-07 的 25,405 条是 2025-01 的 6.8×。两类此消彼长，掩盖在平稳的总量之下。</t>
        </is>
      </c>
      <c r="D15" s="5" t="inlineStr">
        <is>
          <t>表 3_总量与季节</t>
        </is>
      </c>
    </row>
    <row r="16" ht="62" customHeight="1">
      <c r="A16" s="6" t="inlineStr">
        <is>
          <t>2</t>
        </is>
      </c>
      <c r="B16" s="5" t="inlineStr">
        <is>
          <t>“冬季变慢 3.9 倍”几乎全是构成效应，不是服务退化</t>
        </is>
      </c>
      <c r="C16" s="5" t="inlineStr">
        <is>
          <t>全城中位处置时长：冬（12–2 月）均值 16.99 小时 vs 夏（6–8 月）4.39 小时 = 3.87×。把机构构成固定为全期平均后只差 1.23×；再固定“机构×类型”构成后只差 1.15×。机制：冬季慢机构 HPD 占比升到 32–37%（夏季约 13%），快机构 NYPD 从约 52% 降到 35%。</t>
        </is>
      </c>
      <c r="D16" s="5" t="inlineStr">
        <is>
          <t>表 4_响应时长</t>
        </is>
      </c>
    </row>
    <row r="17" ht="62" customHeight="1">
      <c r="A17" s="6" t="inlineStr">
        <is>
          <t>3</t>
        </is>
      </c>
      <c r="B17" s="5" t="inlineStr">
        <is>
          <t>2025–26 冬季的极端冲击：雪害 ×7.2、坑洞同月 ×5.3，但处置没有变慢</t>
        </is>
      </c>
      <c r="C17" s="5" t="inlineStr">
        <is>
          <t>Snow or Ice：2024–25 冬 12–2 月 8,794 条 → 2025–26 冬 63,722 条（7.2×）。Pothole：2026-03 单月 22,790 条，是上年同月（4,313 条）的 5.3 倍，也是爆发前一月（2026-02，4,618 条）的 4.9 倍。同期 Pothole 中位处置 23.7 小时，与常年约 21.9 小时基本持平。</t>
        </is>
      </c>
      <c r="D17" s="5" t="inlineStr">
        <is>
          <t>表 5_冬季冲击</t>
        </is>
      </c>
    </row>
    <row r="18" ht="62" customHeight="1">
      <c r="A18" s="6" t="inlineStr">
        <is>
          <t>4</t>
        </is>
      </c>
      <c r="B18" s="5" t="inlineStr">
        <is>
          <t>单个地址贡献全城 2.23% 的记录，高度疑似重复/自动提交</t>
        </is>
      </c>
      <c r="C18" s="5" t="inlineStr">
        <is>
          <t>655 EAST 230 STREET（BRONX 10466）共 167,703 条，占全部记录的 2.228%；其中 99.63% 是“Noise - Residential / Loud Music/Party”，99.63% 经 MOBILE 渠道提交。峰值日 2025-01-05 单日 4,981 条。小时分布近乎平坦（各时段 3.2%–5.5%），而全城同类噪音投诉 22–23 时占 10.4%–10.8%。这批记录确实进入了处置流程（中位 150 分钟，是全城同类 68.5 分钟的 2.2 倍）。</t>
        </is>
      </c>
      <c r="D18" s="5" t="inlineStr">
        <is>
          <t>表 6_异常地址</t>
        </is>
      </c>
    </row>
    <row r="19" ht="62" customHeight="1">
      <c r="A19" s="6" t="inlineStr">
        <is>
          <t>5</t>
        </is>
      </c>
      <c r="B19" s="5" t="inlineStr">
        <is>
          <t>机构间处置速度相差约 3 个数量级</t>
        </is>
      </c>
      <c r="C19" s="5" t="inlineStr">
        <is>
          <t>中位处置时长：NYPD 1.34 小时、DEP 22.4、DSNY 33.8、DOT 46.2、HPD 87.5、DOB 158.9、TLC 970.7、EDC 6,296.5 小时。30 天内关闭率从 NYPD 100% 到 TLC 28.9%、EDC 1.6%。不同机构业务性质不同，该差异不能直接读作“效率高低”。</t>
        </is>
      </c>
      <c r="D19" s="5" t="inlineStr">
        <is>
          <t>表 4_响应时长</t>
        </is>
      </c>
    </row>
    <row r="20" ht="62" customHeight="1">
      <c r="A20" s="6" t="inlineStr">
        <is>
          <t>6</t>
        </is>
      </c>
      <c r="B20" s="5" t="inlineStr">
        <is>
          <t>提交渠道持续向线上迁移</t>
        </is>
      </c>
      <c r="C20" s="5" t="inlineStr">
        <is>
          <t>ONLINE 占比从 2024 年四季度均值 40.0% 升至 2026 年 6–8 月均值 48.8%；PHONE 同期从 29.9% 降至 22.5%。机构间差异极大：DOB 0%、DOT 约 19%，EDC 约 99%。</t>
        </is>
      </c>
      <c r="D20" s="5" t="inlineStr">
        <is>
          <t>表 7_渠道与地理</t>
        </is>
      </c>
    </row>
    <row r="21" ht="62" customHeight="1">
      <c r="A21" s="6" t="inlineStr">
        <is>
          <t>7</t>
        </is>
      </c>
      <c r="B21" s="5" t="inlineStr">
        <is>
          <t>口径陷阱：投诉类型名称在期末被调整</t>
        </is>
      </c>
      <c r="C21" s="5" t="inlineStr">
        <is>
          <t>DEP 的 “Water System” 在 2026-07 有 16,261 条，2026-08 起归零；接管该业务的 “Water Maintenance” 从 2026-06 的 242 条升到 2026-08 的 8,925 条。“Sewer” 同样在 2026-07 后停用，“Sewer Maintenance” 升至 2026-08 的 5,060 条。若不做名称归并，按类型名直接做时间序列会得到虚假的“崩塌/暴增”。</t>
        </is>
      </c>
      <c r="D21" s="5" t="inlineStr">
        <is>
          <t>表 2_数据画像</t>
        </is>
      </c>
    </row>
    <row r="23" ht="15" customHeight="1">
      <c r="A23" s="7" t="inlineStr">
        <is>
          <t>怎么读这份看板：每个“发现”都标了回查位置。表中所有比率均注明时间范围、筛选条件和分母；“条数”是 311 记录数，不等于现实事件数（见发现 4）。
数据边界：首月（2024-09，仅 9/7–9/30）与末月（2026-09，仅 9/1–9/5）不完整，做趋势与同比时一律排除。同比口径为 2024-10~2025-08 与 2025-10~2026-08 各 11 个完整月。
未做的事：未做人口/面积标准化，因此不比较各区的“人均”投诉强度；未使用外部数据（天气、人口普查），对异常的解释均为数据内推断。</t>
        </is>
      </c>
    </row>
    <row r="24" ht="15" customHeight="1"/>
    <row r="25" ht="15" customHeight="1"/>
  </sheetData>
  <mergeCells count="1">
    <mergeCell ref="A23:H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62" customWidth="1" min="4" max="4"/>
    <col width="13" customWidth="1" min="5" max="5"/>
    <col width="12" customWidth="1" min="6" max="6"/>
  </cols>
  <sheetData>
    <row r="1" ht="26" customHeight="1">
      <c r="A1" s="1" t="inlineStr">
        <is>
          <t>数据画像与质量核查</t>
        </is>
      </c>
    </row>
    <row r="2" ht="30" customHeight="1">
      <c r="A2" s="2" t="inlineStr">
        <is>
          <t>字段含义、缺失情况、时间字段异常与口径陷阱。全部为对 7,525,498 条全量记录的统计。</t>
        </is>
      </c>
    </row>
    <row r="4" ht="20" customHeight="1">
      <c r="A4" s="3" t="inlineStr">
        <is>
          <t>一、字段缺失与哨兵值（只列缺失占比 ≥ 1% 的字段）</t>
        </is>
      </c>
    </row>
    <row r="5">
      <c r="A5" s="4" t="inlineStr">
        <is>
          <t>字段</t>
        </is>
      </c>
      <c r="B5" s="4" t="inlineStr">
        <is>
          <t>NULL数</t>
        </is>
      </c>
      <c r="C5" s="4" t="inlineStr">
        <is>
          <t>NULL占比%</t>
        </is>
      </c>
      <c r="D5" s="4" t="inlineStr">
        <is>
          <t>哨兵值数</t>
        </is>
      </c>
      <c r="E5" s="4" t="inlineStr">
        <is>
          <t>哨兵值占比%</t>
        </is>
      </c>
      <c r="F5" s="4" t="inlineStr">
        <is>
          <t>唯一值数</t>
        </is>
      </c>
    </row>
    <row r="6">
      <c r="A6" s="5" t="inlineStr">
        <is>
          <t>taxi_company_borough</t>
        </is>
      </c>
      <c r="B6" s="8" t="n">
        <v>7520366</v>
      </c>
      <c r="C6" s="5" t="n">
        <v>99.93000000000001</v>
      </c>
      <c r="D6" s="8" t="n">
        <v>0</v>
      </c>
      <c r="E6" s="5" t="n">
        <v>0</v>
      </c>
      <c r="F6" s="8" t="n">
        <v>5</v>
      </c>
    </row>
    <row r="7">
      <c r="A7" s="5" t="inlineStr">
        <is>
          <t>road_ramp</t>
        </is>
      </c>
      <c r="B7" s="8" t="n">
        <v>7505306</v>
      </c>
      <c r="C7" s="5" t="n">
        <v>99.73</v>
      </c>
      <c r="D7" s="8" t="n">
        <v>115</v>
      </c>
      <c r="E7" s="5" t="n">
        <v>0</v>
      </c>
      <c r="F7" s="8" t="n">
        <v>589</v>
      </c>
    </row>
    <row r="8">
      <c r="A8" s="5" t="inlineStr">
        <is>
          <t>bridge_highway_direction</t>
        </is>
      </c>
      <c r="B8" s="8" t="n">
        <v>7502639</v>
      </c>
      <c r="C8" s="5" t="n">
        <v>99.7</v>
      </c>
      <c r="D8" s="8" t="n">
        <v>0</v>
      </c>
      <c r="E8" s="5" t="n">
        <v>0</v>
      </c>
      <c r="F8" s="8" t="n">
        <v>267</v>
      </c>
    </row>
    <row r="9">
      <c r="A9" s="5" t="inlineStr">
        <is>
          <t>due_date</t>
        </is>
      </c>
      <c r="B9" s="8" t="n">
        <v>7492053</v>
      </c>
      <c r="C9" s="5" t="n">
        <v>99.56</v>
      </c>
      <c r="D9" s="8" t="n">
        <v>0</v>
      </c>
      <c r="E9" s="5" t="n">
        <v>0</v>
      </c>
      <c r="F9" s="8" t="n">
        <v>22556</v>
      </c>
    </row>
    <row r="10">
      <c r="A10" s="5" t="inlineStr">
        <is>
          <t>bridge_highway_segment</t>
        </is>
      </c>
      <c r="B10" s="8" t="n">
        <v>7484942</v>
      </c>
      <c r="C10" s="5" t="n">
        <v>99.45999999999999</v>
      </c>
      <c r="D10" s="8" t="n">
        <v>115</v>
      </c>
      <c r="E10" s="5" t="n">
        <v>0</v>
      </c>
      <c r="F10" s="8" t="n">
        <v>1097</v>
      </c>
    </row>
    <row r="11">
      <c r="A11" s="5" t="inlineStr">
        <is>
          <t>bridge_highway_name</t>
        </is>
      </c>
      <c r="B11" s="8" t="n">
        <v>7484954</v>
      </c>
      <c r="C11" s="5" t="n">
        <v>99.45999999999999</v>
      </c>
      <c r="D11" s="8" t="n">
        <v>0</v>
      </c>
      <c r="E11" s="5" t="n">
        <v>0</v>
      </c>
      <c r="F11" s="8" t="n">
        <v>95</v>
      </c>
    </row>
    <row r="12">
      <c r="A12" s="5" t="inlineStr">
        <is>
          <t>taxi_pick_up_location</t>
        </is>
      </c>
      <c r="B12" s="8" t="n">
        <v>7451522</v>
      </c>
      <c r="C12" s="5" t="n">
        <v>99.02</v>
      </c>
      <c r="D12" s="8" t="n">
        <v>0</v>
      </c>
      <c r="E12" s="5" t="n">
        <v>0</v>
      </c>
      <c r="F12" s="8" t="n">
        <v>32645</v>
      </c>
    </row>
    <row r="13">
      <c r="A13" s="5" t="inlineStr">
        <is>
          <t>vehicle_type</t>
        </is>
      </c>
      <c r="B13" s="8" t="n">
        <v>7195669</v>
      </c>
      <c r="C13" s="5" t="n">
        <v>95.62</v>
      </c>
      <c r="D13" s="8" t="n">
        <v>0</v>
      </c>
      <c r="E13" s="5" t="n">
        <v>0</v>
      </c>
      <c r="F13" s="8" t="n">
        <v>9</v>
      </c>
    </row>
    <row r="14">
      <c r="A14" s="5" t="inlineStr">
        <is>
          <t>facility_type</t>
        </is>
      </c>
      <c r="B14" s="8" t="n">
        <v>6971776</v>
      </c>
      <c r="C14" s="5" t="n">
        <v>92.64</v>
      </c>
      <c r="D14" s="8" t="n">
        <v>530266</v>
      </c>
      <c r="E14" s="5" t="n">
        <v>7.05</v>
      </c>
      <c r="F14" s="8" t="n">
        <v>2</v>
      </c>
    </row>
    <row r="15">
      <c r="A15" s="5" t="inlineStr">
        <is>
          <t>descriptor_2</t>
        </is>
      </c>
      <c r="B15" s="8" t="n">
        <v>3970301</v>
      </c>
      <c r="C15" s="5" t="n">
        <v>52.76</v>
      </c>
      <c r="D15" s="8" t="n">
        <v>632972</v>
      </c>
      <c r="E15" s="5" t="n">
        <v>8.41</v>
      </c>
      <c r="F15" s="8" t="n">
        <v>910</v>
      </c>
    </row>
    <row r="16">
      <c r="A16" s="5" t="inlineStr">
        <is>
          <t>landmark</t>
        </is>
      </c>
      <c r="B16" s="8" t="n">
        <v>2993250</v>
      </c>
      <c r="C16" s="5" t="n">
        <v>39.77</v>
      </c>
      <c r="D16" s="8" t="n">
        <v>0</v>
      </c>
      <c r="E16" s="5" t="n">
        <v>0</v>
      </c>
      <c r="F16" s="8" t="n">
        <v>10808</v>
      </c>
    </row>
    <row r="17">
      <c r="A17" s="5" t="inlineStr">
        <is>
          <t>intersection_street_1</t>
        </is>
      </c>
      <c r="B17" s="8" t="n">
        <v>2445572</v>
      </c>
      <c r="C17" s="5" t="n">
        <v>32.5</v>
      </c>
      <c r="D17" s="8" t="n">
        <v>0</v>
      </c>
      <c r="E17" s="5" t="n">
        <v>0</v>
      </c>
      <c r="F17" s="8" t="n">
        <v>12412</v>
      </c>
    </row>
    <row r="18">
      <c r="A18" s="5" t="inlineStr">
        <is>
          <t>intersection_street_2</t>
        </is>
      </c>
      <c r="B18" s="8" t="n">
        <v>2443099</v>
      </c>
      <c r="C18" s="5" t="n">
        <v>32.46</v>
      </c>
      <c r="D18" s="8" t="n">
        <v>0</v>
      </c>
      <c r="E18" s="5" t="n">
        <v>0</v>
      </c>
      <c r="F18" s="8" t="n">
        <v>12946</v>
      </c>
    </row>
    <row r="19">
      <c r="A19" s="5" t="inlineStr">
        <is>
          <t>cross_street_1</t>
        </is>
      </c>
      <c r="B19" s="8" t="n">
        <v>2174860</v>
      </c>
      <c r="C19" s="5" t="n">
        <v>28.9</v>
      </c>
      <c r="D19" s="8" t="n">
        <v>0</v>
      </c>
      <c r="E19" s="5" t="n">
        <v>0</v>
      </c>
      <c r="F19" s="8" t="n">
        <v>20241</v>
      </c>
    </row>
    <row r="20">
      <c r="A20" s="5" t="inlineStr">
        <is>
          <t>cross_street_2</t>
        </is>
      </c>
      <c r="B20" s="8" t="n">
        <v>2174123</v>
      </c>
      <c r="C20" s="5" t="n">
        <v>28.89</v>
      </c>
      <c r="D20" s="8" t="n">
        <v>0</v>
      </c>
      <c r="E20" s="5" t="n">
        <v>0</v>
      </c>
      <c r="F20" s="8" t="n">
        <v>19813</v>
      </c>
    </row>
    <row r="21">
      <c r="A21" s="5" t="inlineStr">
        <is>
          <t>location_type</t>
        </is>
      </c>
      <c r="B21" s="8" t="n">
        <v>925173</v>
      </c>
      <c r="C21" s="5" t="n">
        <v>12.29</v>
      </c>
      <c r="D21" s="8" t="n">
        <v>4085</v>
      </c>
      <c r="E21" s="5" t="n">
        <v>0.05</v>
      </c>
      <c r="F21" s="8" t="n">
        <v>161</v>
      </c>
    </row>
    <row r="22">
      <c r="A22" s="5" t="inlineStr">
        <is>
          <t>bbl</t>
        </is>
      </c>
      <c r="B22" s="8" t="n">
        <v>846896</v>
      </c>
      <c r="C22" s="5" t="n">
        <v>11.25</v>
      </c>
      <c r="D22" s="8" t="n">
        <v>0</v>
      </c>
      <c r="E22" s="5" t="n">
        <v>0</v>
      </c>
      <c r="F22" s="8" t="n">
        <v>562751</v>
      </c>
    </row>
    <row r="23">
      <c r="A23" s="5" t="inlineStr">
        <is>
          <t>city</t>
        </is>
      </c>
      <c r="B23" s="8" t="n">
        <v>354849</v>
      </c>
      <c r="C23" s="5" t="n">
        <v>4.72</v>
      </c>
      <c r="D23" s="8" t="n">
        <v>1</v>
      </c>
      <c r="E23" s="5" t="n">
        <v>0</v>
      </c>
      <c r="F23" s="8" t="n">
        <v>322</v>
      </c>
    </row>
    <row r="24">
      <c r="A24" s="5" t="inlineStr">
        <is>
          <t>street_name</t>
        </is>
      </c>
      <c r="B24" s="8" t="n">
        <v>270674</v>
      </c>
      <c r="C24" s="5" t="n">
        <v>3.6</v>
      </c>
      <c r="D24" s="8" t="n">
        <v>4</v>
      </c>
      <c r="E24" s="5" t="n">
        <v>0</v>
      </c>
      <c r="F24" s="8" t="n">
        <v>15207</v>
      </c>
    </row>
    <row r="25">
      <c r="A25" s="5" t="inlineStr">
        <is>
          <t>incident_address</t>
        </is>
      </c>
      <c r="B25" s="8" t="n">
        <v>270483</v>
      </c>
      <c r="C25" s="5" t="n">
        <v>3.59</v>
      </c>
      <c r="D25" s="8" t="n">
        <v>1</v>
      </c>
      <c r="E25" s="5" t="n">
        <v>0</v>
      </c>
      <c r="F25" s="8" t="n">
        <v>865211</v>
      </c>
    </row>
    <row r="26">
      <c r="A26" s="5" t="inlineStr">
        <is>
          <t>closed_date</t>
        </is>
      </c>
      <c r="B26" s="8" t="n">
        <v>240304</v>
      </c>
      <c r="C26" s="5" t="n">
        <v>3.19</v>
      </c>
      <c r="D26" s="8" t="n">
        <v>0</v>
      </c>
      <c r="E26" s="5" t="n">
        <v>0</v>
      </c>
      <c r="F26" s="8" t="n">
        <v>4891898</v>
      </c>
    </row>
    <row r="27">
      <c r="A27" s="5" t="inlineStr">
        <is>
          <t>council_district</t>
        </is>
      </c>
      <c r="B27" s="8" t="n">
        <v>164171</v>
      </c>
      <c r="C27" s="5" t="n">
        <v>2.18</v>
      </c>
      <c r="D27" s="8" t="n">
        <v>0</v>
      </c>
      <c r="E27" s="5" t="n">
        <v>0</v>
      </c>
      <c r="F27" s="8" t="n">
        <v>51</v>
      </c>
    </row>
    <row r="28">
      <c r="A28" s="5" t="inlineStr">
        <is>
          <t>longitude</t>
        </is>
      </c>
      <c r="B28" s="8" t="n">
        <v>129696</v>
      </c>
      <c r="C28" s="5" t="n">
        <v>1.72</v>
      </c>
      <c r="D28" s="8" t="n">
        <v>0</v>
      </c>
      <c r="E28" s="5" t="n">
        <v>0</v>
      </c>
      <c r="F28" s="8" t="n">
        <v>820724</v>
      </c>
    </row>
    <row r="29">
      <c r="A29" s="5" t="inlineStr">
        <is>
          <t>x_coordinate_state_plane</t>
        </is>
      </c>
      <c r="B29" s="8" t="n">
        <v>129622</v>
      </c>
      <c r="C29" s="5" t="n">
        <v>1.72</v>
      </c>
      <c r="D29" s="8" t="n">
        <v>0</v>
      </c>
      <c r="E29" s="5" t="n">
        <v>0</v>
      </c>
      <c r="F29" s="8" t="n">
        <v>126269</v>
      </c>
    </row>
    <row r="30">
      <c r="A30" s="5" t="inlineStr">
        <is>
          <t>location</t>
        </is>
      </c>
      <c r="B30" s="8" t="n">
        <v>129696</v>
      </c>
      <c r="C30" s="5" t="n">
        <v>1.72</v>
      </c>
      <c r="D30" s="8" t="n">
        <v>0</v>
      </c>
      <c r="E30" s="5" t="n">
        <v>0</v>
      </c>
      <c r="F30" s="8" t="n">
        <v>820732</v>
      </c>
    </row>
    <row r="31">
      <c r="A31" s="5" t="inlineStr">
        <is>
          <t>y_coordinate_state_plane</t>
        </is>
      </c>
      <c r="B31" s="8" t="n">
        <v>129268</v>
      </c>
      <c r="C31" s="5" t="n">
        <v>1.72</v>
      </c>
      <c r="D31" s="8" t="n">
        <v>0</v>
      </c>
      <c r="E31" s="5" t="n">
        <v>0</v>
      </c>
      <c r="F31" s="8" t="n">
        <v>134597</v>
      </c>
    </row>
    <row r="32">
      <c r="A32" s="5" t="inlineStr">
        <is>
          <t>latitude</t>
        </is>
      </c>
      <c r="B32" s="8" t="n">
        <v>129696</v>
      </c>
      <c r="C32" s="5" t="n">
        <v>1.72</v>
      </c>
      <c r="D32" s="8" t="n">
        <v>0</v>
      </c>
      <c r="E32" s="5" t="n">
        <v>0</v>
      </c>
      <c r="F32" s="8" t="n">
        <v>820717</v>
      </c>
    </row>
    <row r="33">
      <c r="A33" s="5" t="inlineStr">
        <is>
          <t>resolution_description</t>
        </is>
      </c>
      <c r="B33" s="8" t="n">
        <v>111987</v>
      </c>
      <c r="C33" s="5" t="n">
        <v>1.49</v>
      </c>
      <c r="D33" s="8" t="n">
        <v>57021</v>
      </c>
      <c r="E33" s="5" t="n">
        <v>0.76</v>
      </c>
      <c r="F33" s="8" t="n">
        <v>887</v>
      </c>
    </row>
    <row r="34">
      <c r="A34" s="5" t="inlineStr">
        <is>
          <t>resolution_action_updated_date</t>
        </is>
      </c>
      <c r="B34" s="8" t="n">
        <v>87983</v>
      </c>
      <c r="C34" s="5" t="n">
        <v>1.17</v>
      </c>
      <c r="D34" s="8" t="n">
        <v>0</v>
      </c>
      <c r="E34" s="5" t="n">
        <v>0</v>
      </c>
      <c r="F34" s="8" t="n">
        <v>4576298</v>
      </c>
    </row>
    <row r="36" ht="15" customHeight="1">
      <c r="A36" s="7" t="inlineStr">
        <is>
          <t>哨兵值 = 字符串形式的空值，包括 "None"、"Unspecified"、空串、"N/A"。分析前必须与真正的 NULL 一并处理。
park_facility_name 有 99.71% 是 "Unspecified"、taxi_company_borough 有 99.93% 为空——这些字段对本数据集无分析价值，已被排除。
地理字段 quality 可用：latitude/longitude 缺失 1.72%，incident_zip 缺失 0.87%，borough 缺失 0.08%。</t>
        </is>
      </c>
    </row>
    <row r="37" ht="15" customHeight="1"/>
    <row r="38" ht="15" customHeight="1"/>
    <row r="41" ht="20" customHeight="1">
      <c r="A41" s="3" t="inlineStr">
        <is>
          <t>二、记录粒度与唯一性</t>
        </is>
      </c>
    </row>
    <row r="42">
      <c r="A42" s="4" t="inlineStr">
        <is>
          <t>检查项</t>
        </is>
      </c>
      <c r="B42" s="4" t="inlineStr">
        <is>
          <t>结果</t>
        </is>
      </c>
      <c r="C42" s="4" t="inlineStr">
        <is>
          <t>说明</t>
        </is>
      </c>
    </row>
    <row r="43">
      <c r="A43" s="5" t="inlineStr">
        <is>
          <t>unique_key</t>
        </is>
      </c>
      <c r="B43" s="5" t="inlineStr">
        <is>
          <t>7,525,498 个唯一值 / 7,525,498 行</t>
        </is>
      </c>
      <c r="C43" s="5" t="inlineStr">
        <is>
          <t>主键唯一，粒度＝一条服务请求</t>
        </is>
      </c>
    </row>
    <row r="44">
      <c r="A44" s="5" t="inlineStr">
        <is>
          <t>created_date 唯一值</t>
        </is>
      </c>
      <c r="B44" s="5" t="inlineStr">
        <is>
          <t>6,200,252</t>
        </is>
      </c>
      <c r="C44" s="5" t="inlineStr">
        <is>
          <t>同秒多单普遍，但主键不重复 → 不是重复行</t>
        </is>
      </c>
    </row>
    <row r="45">
      <c r="A45" s="5" t="inlineStr">
        <is>
          <t>同地址+同类型+同分钟成组</t>
        </is>
      </c>
      <c r="B45" s="5" t="inlineStr">
        <is>
          <t>259,576 组 / 582,715 条</t>
        </is>
      </c>
      <c r="C45" s="5" t="inlineStr">
        <is>
          <t>占全部 7.7%，正常批量与异常提交的混合</t>
        </is>
      </c>
    </row>
    <row r="48" ht="20" customHeight="1">
      <c r="A48" s="3" t="inlineStr">
        <is>
          <t>三、时间字段异常</t>
        </is>
      </c>
    </row>
    <row r="49">
      <c r="A49" s="4" t="inlineStr">
        <is>
          <t>检查项</t>
        </is>
      </c>
      <c r="B49" s="4" t="inlineStr">
        <is>
          <t>条数</t>
        </is>
      </c>
      <c r="C49" s="4" t="inlineStr">
        <is>
          <t>占比</t>
        </is>
      </c>
      <c r="D49" s="4" t="inlineStr">
        <is>
          <t>说明</t>
        </is>
      </c>
    </row>
    <row r="50">
      <c r="A50" s="5" t="inlineStr">
        <is>
          <t>closed_date 为空</t>
        </is>
      </c>
      <c r="B50" s="5" t="inlineStr">
        <is>
          <t>240,304</t>
        </is>
      </c>
      <c r="C50" s="5" t="inlineStr">
        <is>
          <t>3.19%</t>
        </is>
      </c>
      <c r="D50" s="5" t="inlineStr">
        <is>
          <t>其中 15,543 条 status 却为 Closed（矛盾记录，占 0.21%）</t>
        </is>
      </c>
    </row>
    <row r="51">
      <c r="A51" s="5" t="inlineStr">
        <is>
          <t>closed_date &lt; created_date</t>
        </is>
      </c>
      <c r="B51" s="5" t="inlineStr">
        <is>
          <t>1,877</t>
        </is>
      </c>
      <c r="C51" s="5" t="inlineStr">
        <is>
          <t>0.025%</t>
        </is>
      </c>
      <c r="D51" s="5" t="inlineStr">
        <is>
          <t>集中在 DOT Street Light Condition 且 status=Pending，疑为字段错位</t>
        </is>
      </c>
    </row>
    <row r="52">
      <c r="A52" s="5" t="inlineStr">
        <is>
          <t>closed_date = created_date</t>
        </is>
      </c>
      <c r="B52" s="5" t="inlineStr">
        <is>
          <t>135,189</t>
        </is>
      </c>
      <c r="C52" s="5" t="inlineStr">
        <is>
          <t>1.80%</t>
        </is>
      </c>
      <c r="D52" s="5" t="inlineStr">
        <is>
          <t>同秒关闭；未计“秒级响应”的精度丢失</t>
        </is>
      </c>
    </row>
    <row r="53">
      <c r="A53" s="5" t="inlineStr">
        <is>
          <t>closed_date &gt; 2026-09-16</t>
        </is>
      </c>
      <c r="B53" s="5" t="inlineStr">
        <is>
          <t>1</t>
        </is>
      </c>
      <c r="C53" s="5" t="inlineStr">
        <is>
          <t>0.00001%</t>
        </is>
      </c>
      <c r="D53" s="5" t="inlineStr">
        <is>
          <t>晚于数据截止日，属异常值；对结论无影响</t>
        </is>
      </c>
    </row>
    <row r="56" ht="20" customHeight="1">
      <c r="A56" s="3" t="inlineStr">
        <is>
          <t>四、状态分布</t>
        </is>
      </c>
    </row>
    <row r="57">
      <c r="A57" s="4" t="inlineStr">
        <is>
          <t>状态</t>
        </is>
      </c>
      <c r="B57" s="4" t="inlineStr">
        <is>
          <t>条数</t>
        </is>
      </c>
      <c r="C57" s="4" t="inlineStr">
        <is>
          <t>占比%</t>
        </is>
      </c>
    </row>
    <row r="58">
      <c r="A58" s="5" t="inlineStr">
        <is>
          <t>Closed</t>
        </is>
      </c>
      <c r="B58" s="8" t="n">
        <v>7275349</v>
      </c>
      <c r="C58" s="5" t="n">
        <v>96.676</v>
      </c>
    </row>
    <row r="59">
      <c r="A59" s="5" t="inlineStr">
        <is>
          <t>In Progress</t>
        </is>
      </c>
      <c r="B59" s="8" t="n">
        <v>140752</v>
      </c>
      <c r="C59" s="5" t="n">
        <v>1.87</v>
      </c>
    </row>
    <row r="60">
      <c r="A60" s="5" t="inlineStr">
        <is>
          <t>Open</t>
        </is>
      </c>
      <c r="B60" s="8" t="n">
        <v>81247</v>
      </c>
      <c r="C60" s="5" t="n">
        <v>1.08</v>
      </c>
    </row>
    <row r="61">
      <c r="A61" s="5" t="inlineStr">
        <is>
          <t>Assigned</t>
        </is>
      </c>
      <c r="B61" s="8" t="n">
        <v>15753</v>
      </c>
      <c r="C61" s="5" t="n">
        <v>0.209</v>
      </c>
    </row>
    <row r="62">
      <c r="A62" s="5" t="inlineStr">
        <is>
          <t>Pending</t>
        </is>
      </c>
      <c r="B62" s="8" t="n">
        <v>9475</v>
      </c>
      <c r="C62" s="5" t="n">
        <v>0.126</v>
      </c>
    </row>
    <row r="63">
      <c r="A63" s="5" t="inlineStr">
        <is>
          <t>Started</t>
        </is>
      </c>
      <c r="B63" s="8" t="n">
        <v>2620</v>
      </c>
      <c r="C63" s="5" t="n">
        <v>0.035</v>
      </c>
    </row>
    <row r="64">
      <c r="A64" s="5" t="inlineStr">
        <is>
          <t>Unspecified</t>
        </is>
      </c>
      <c r="B64" s="8" t="n">
        <v>302</v>
      </c>
      <c r="C64" s="5" t="n">
        <v>0.004</v>
      </c>
    </row>
    <row r="67" ht="20" customHeight="1">
      <c r="A67" s="3" t="inlineStr">
        <is>
          <t>五、口径陷阱：类型名称变更（必须归并后才能做时间序列）</t>
        </is>
      </c>
    </row>
    <row r="68">
      <c r="A68" s="4" t="inlineStr">
        <is>
          <t>机构</t>
        </is>
      </c>
      <c r="B68" s="4" t="inlineStr">
        <is>
          <t>类型名称变化</t>
        </is>
      </c>
      <c r="C68" s="4" t="inlineStr">
        <is>
          <t>发生时点</t>
        </is>
      </c>
      <c r="D68" s="4" t="inlineStr">
        <is>
          <t>证据</t>
        </is>
      </c>
    </row>
    <row r="69" ht="28" customHeight="1">
      <c r="A69" s="5" t="inlineStr">
        <is>
          <t>DEP</t>
        </is>
      </c>
      <c r="B69" s="5" t="inlineStr">
        <is>
          <t>Water System → Water Maintenance</t>
        </is>
      </c>
      <c r="C69" s="5" t="inlineStr">
        <is>
          <t>2026-08</t>
        </is>
      </c>
      <c r="D69" s="5" t="inlineStr">
        <is>
          <t>旧名 2026-07 有 16,261 条且此后消失；新名从 2026-06 的 242 条、2026-07 的 1,892 条升至 2026-08 的 8,925 条</t>
        </is>
      </c>
    </row>
    <row r="70" ht="28" customHeight="1">
      <c r="A70" s="5" t="inlineStr">
        <is>
          <t>DEP</t>
        </is>
      </c>
      <c r="B70" s="5" t="inlineStr">
        <is>
          <t>Sewer → Sewer Maintenance</t>
        </is>
      </c>
      <c r="C70" s="5" t="inlineStr">
        <is>
          <t>2026-08</t>
        </is>
      </c>
      <c r="D70" s="5" t="inlineStr">
        <is>
          <t>旧名 2026-07 有 3,131 条且此后消失；新名 2026-07 已并行出现 1,310 条，2026-08 升至 5,060 条</t>
        </is>
      </c>
    </row>
    <row r="71" ht="28" customHeight="1">
      <c r="A71" s="5" t="inlineStr">
        <is>
          <t>DEP</t>
        </is>
      </c>
      <c r="B71" s="5" t="inlineStr">
        <is>
          <t>Hazardous Materials → Hazardous Material</t>
        </is>
      </c>
      <c r="C71" s="5" t="inlineStr">
        <is>
          <t>2026-07~08</t>
        </is>
      </c>
      <c r="D71" s="5" t="inlineStr">
        <is>
          <t>旧名 2026-07 仍有 147 条、此后消失；新名从 2026-05 的 5 条升至 2026-08 的 229 条</t>
        </is>
      </c>
    </row>
    <row r="72" ht="28" customHeight="1">
      <c r="A72" s="5" t="inlineStr">
        <is>
          <t>DEP</t>
        </is>
      </c>
      <c r="B72" s="5" t="inlineStr">
        <is>
          <t>Asbestos 移交（DEP 停收，DOHMH 继续受理）</t>
        </is>
      </c>
      <c r="C72" s="5" t="inlineStr">
        <is>
          <t>2026-08</t>
        </is>
      </c>
      <c r="D72" s="5" t="inlineStr">
        <is>
          <t>DEP 的 Asbestos 在 2026-07 有 65 条、2026-08 起归零；但 DOHMH 仍在受理，该类型全城 2026-08 有 54 条，并未消失</t>
        </is>
      </c>
    </row>
    <row r="75" ht="15" customHeight="1">
      <c r="A75" s="7" t="inlineStr">
        <is>
          <t>影响范围：上述更名集中在 2026-07/08，只影响最后 1–2 个月。本次分析的所有趋势结论均已避开这段边界，未把更名当作真实变化。
但这是本数据集最容易被误用的地方：直接按 complaint_type 分组画任意跨度的时间序列，会在 2026 年 8 月看到若干类型“突然消失”。</t>
        </is>
      </c>
    </row>
    <row r="76" ht="15" customHeight="1"/>
  </sheetData>
  <mergeCells count="2">
    <mergeCell ref="A36:H38"/>
    <mergeCell ref="A75:H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I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6" customHeight="1">
      <c r="A1" s="1" t="inlineStr">
        <is>
          <t>总量平稳，结构剧烈换挡</t>
        </is>
      </c>
    </row>
    <row r="2" ht="30" customHeight="1">
      <c r="A2" s="2" t="inlineStr">
        <is>
          <t>月度记录数与主要类型的季节反转。首末两个不完整月以灰色标注，不参与结论。</t>
        </is>
      </c>
    </row>
    <row r="4" ht="20" customHeight="1">
      <c r="A4" s="3" t="inlineStr">
        <is>
          <t>一、月度总表（全城）</t>
        </is>
      </c>
    </row>
    <row r="5">
      <c r="A5" s="4" t="inlineStr">
        <is>
          <t>月份</t>
        </is>
      </c>
      <c r="B5" s="4" t="inlineStr">
        <is>
          <t>记录数</t>
        </is>
      </c>
      <c r="C5" s="4" t="inlineStr">
        <is>
          <t>未关闭占比%</t>
        </is>
      </c>
      <c r="D5" s="4" t="inlineStr">
        <is>
          <t>实际中位时长(小时)</t>
        </is>
      </c>
      <c r="E5" s="4" t="inlineStr">
        <is>
          <t>标准化中位(固定机构构成)</t>
        </is>
      </c>
      <c r="F5" s="4" t="inlineStr">
        <is>
          <t>ONLINE占比%</t>
        </is>
      </c>
      <c r="G5" s="4" t="inlineStr">
        <is>
          <t>PHONE占比%</t>
        </is>
      </c>
      <c r="H5" s="4" t="inlineStr">
        <is>
          <t>是否不完整月</t>
        </is>
      </c>
    </row>
    <row r="6">
      <c r="A6" s="9" t="inlineStr">
        <is>
          <t>2024-09</t>
        </is>
      </c>
      <c r="B6" s="10" t="n">
        <v>248139</v>
      </c>
      <c r="C6" s="11" t="n">
        <v>1.86</v>
      </c>
      <c r="D6" s="11" t="n">
        <v>4.84</v>
      </c>
      <c r="E6" s="11" t="n">
        <v/>
      </c>
      <c r="F6" s="12" t="n">
        <v>38.8</v>
      </c>
      <c r="G6" s="12" t="n">
        <v>27.9</v>
      </c>
      <c r="H6" s="9" t="b">
        <v>1</v>
      </c>
    </row>
    <row r="7">
      <c r="A7" s="5" t="inlineStr">
        <is>
          <t>2024-10</t>
        </is>
      </c>
      <c r="B7" s="8" t="n">
        <v>306803</v>
      </c>
      <c r="C7" s="13" t="n">
        <v>2.5</v>
      </c>
      <c r="D7" s="13" t="n">
        <v>7.49</v>
      </c>
      <c r="E7" s="13" t="n">
        <v>8.41</v>
      </c>
      <c r="F7" s="14" t="n">
        <v>40.3</v>
      </c>
      <c r="G7" s="14" t="n">
        <v>30.1</v>
      </c>
      <c r="H7" s="5" t="b">
        <v>0</v>
      </c>
    </row>
    <row r="8">
      <c r="A8" s="5" t="inlineStr">
        <is>
          <t>2024-11</t>
        </is>
      </c>
      <c r="B8" s="8" t="n">
        <v>293515</v>
      </c>
      <c r="C8" s="13" t="n">
        <v>2.13</v>
      </c>
      <c r="D8" s="13" t="n">
        <v>12.67</v>
      </c>
      <c r="E8" s="13" t="n">
        <v>9.44</v>
      </c>
      <c r="F8" s="14" t="n">
        <v>39</v>
      </c>
      <c r="G8" s="14" t="n">
        <v>31.4</v>
      </c>
      <c r="H8" s="5" t="b">
        <v>0</v>
      </c>
    </row>
    <row r="9">
      <c r="A9" s="5" t="inlineStr">
        <is>
          <t>2024-12</t>
        </is>
      </c>
      <c r="B9" s="8" t="n">
        <v>313949</v>
      </c>
      <c r="C9" s="13" t="n">
        <v>1.19</v>
      </c>
      <c r="D9" s="13" t="n">
        <v>18.27</v>
      </c>
      <c r="E9" s="13" t="n">
        <v>11.22</v>
      </c>
      <c r="F9" s="14" t="n">
        <v>40.8</v>
      </c>
      <c r="G9" s="14" t="n">
        <v>28.3</v>
      </c>
      <c r="H9" s="5" t="b">
        <v>0</v>
      </c>
    </row>
    <row r="10">
      <c r="A10" s="5" t="inlineStr">
        <is>
          <t>2025-01</t>
        </is>
      </c>
      <c r="B10" s="8" t="n">
        <v>348180</v>
      </c>
      <c r="C10" s="13" t="n">
        <v>0.75</v>
      </c>
      <c r="D10" s="13" t="n">
        <v>15.08</v>
      </c>
      <c r="E10" s="13" t="n">
        <v>11.22</v>
      </c>
      <c r="F10" s="14" t="n">
        <v>39.2</v>
      </c>
      <c r="G10" s="14" t="n">
        <v>25.7</v>
      </c>
      <c r="H10" s="5" t="b">
        <v>0</v>
      </c>
    </row>
    <row r="11">
      <c r="A11" s="5" t="inlineStr">
        <is>
          <t>2025-02</t>
        </is>
      </c>
      <c r="B11" s="8" t="n">
        <v>255364</v>
      </c>
      <c r="C11" s="13" t="n">
        <v>1.39</v>
      </c>
      <c r="D11" s="13" t="n">
        <v>13.79</v>
      </c>
      <c r="E11" s="13" t="n">
        <v>8.41</v>
      </c>
      <c r="F11" s="14" t="n">
        <v>42.9</v>
      </c>
      <c r="G11" s="14" t="n">
        <v>27.7</v>
      </c>
      <c r="H11" s="5" t="b">
        <v>0</v>
      </c>
    </row>
    <row r="12">
      <c r="A12" s="5" t="inlineStr">
        <is>
          <t>2025-03</t>
        </is>
      </c>
      <c r="B12" s="8" t="n">
        <v>281221</v>
      </c>
      <c r="C12" s="13" t="n">
        <v>1.41</v>
      </c>
      <c r="D12" s="13" t="n">
        <v>8.41</v>
      </c>
      <c r="E12" s="13" t="n">
        <v>8.41</v>
      </c>
      <c r="F12" s="14" t="n">
        <v>43.7</v>
      </c>
      <c r="G12" s="14" t="n">
        <v>26.7</v>
      </c>
      <c r="H12" s="5" t="b">
        <v>0</v>
      </c>
    </row>
    <row r="13">
      <c r="A13" s="5" t="inlineStr">
        <is>
          <t>2025-04</t>
        </is>
      </c>
      <c r="B13" s="8" t="n">
        <v>272549</v>
      </c>
      <c r="C13" s="13" t="n">
        <v>1.81</v>
      </c>
      <c r="D13" s="13" t="n">
        <v>6.98</v>
      </c>
      <c r="E13" s="13" t="n">
        <v>7.5</v>
      </c>
      <c r="F13" s="14" t="n">
        <v>42.6</v>
      </c>
      <c r="G13" s="14" t="n">
        <v>28.2</v>
      </c>
      <c r="H13" s="5" t="b">
        <v>0</v>
      </c>
    </row>
    <row r="14">
      <c r="A14" s="5" t="inlineStr">
        <is>
          <t>2025-05</t>
        </is>
      </c>
      <c r="B14" s="8" t="n">
        <v>295058</v>
      </c>
      <c r="C14" s="13" t="n">
        <v>1.51</v>
      </c>
      <c r="D14" s="13" t="n">
        <v>4.14</v>
      </c>
      <c r="E14" s="13" t="n">
        <v>6.68</v>
      </c>
      <c r="F14" s="14" t="n">
        <v>43.3</v>
      </c>
      <c r="G14" s="14" t="n">
        <v>27.5</v>
      </c>
      <c r="H14" s="5" t="b">
        <v>0</v>
      </c>
    </row>
    <row r="15">
      <c r="A15" s="5" t="inlineStr">
        <is>
          <t>2025-06</t>
        </is>
      </c>
      <c r="B15" s="8" t="n">
        <v>306442</v>
      </c>
      <c r="C15" s="13" t="n">
        <v>1.19</v>
      </c>
      <c r="D15" s="13" t="n">
        <v>3.51</v>
      </c>
      <c r="E15" s="13" t="n">
        <v>5.31</v>
      </c>
      <c r="F15" s="14" t="n">
        <v>42.3</v>
      </c>
      <c r="G15" s="14" t="n">
        <v>27.8</v>
      </c>
      <c r="H15" s="5" t="b">
        <v>0</v>
      </c>
    </row>
    <row r="16">
      <c r="A16" s="5" t="inlineStr">
        <is>
          <t>2025-07</t>
        </is>
      </c>
      <c r="B16" s="8" t="n">
        <v>315883</v>
      </c>
      <c r="C16" s="13" t="n">
        <v>1.3</v>
      </c>
      <c r="D16" s="13" t="n">
        <v>4.61</v>
      </c>
      <c r="E16" s="13" t="n">
        <v>6.31</v>
      </c>
      <c r="F16" s="14" t="n">
        <v>42</v>
      </c>
      <c r="G16" s="14" t="n">
        <v>29.8</v>
      </c>
      <c r="H16" s="5" t="b">
        <v>0</v>
      </c>
    </row>
    <row r="17">
      <c r="A17" s="5" t="inlineStr">
        <is>
          <t>2025-08</t>
        </is>
      </c>
      <c r="B17" s="8" t="n">
        <v>304039</v>
      </c>
      <c r="C17" s="13" t="n">
        <v>1.81</v>
      </c>
      <c r="D17" s="13" t="n">
        <v>3.94</v>
      </c>
      <c r="E17" s="13" t="n">
        <v>7.08</v>
      </c>
      <c r="F17" s="14" t="n">
        <v>44.9</v>
      </c>
      <c r="G17" s="14" t="n">
        <v>26.3</v>
      </c>
      <c r="H17" s="5" t="b">
        <v>0</v>
      </c>
    </row>
    <row r="18">
      <c r="A18" s="5" t="inlineStr">
        <is>
          <t>2025-09</t>
        </is>
      </c>
      <c r="B18" s="8" t="n">
        <v>302684</v>
      </c>
      <c r="C18" s="13" t="n">
        <v>2.21</v>
      </c>
      <c r="D18" s="13" t="n">
        <v>3.7</v>
      </c>
      <c r="E18" s="13" t="n">
        <v>7.08</v>
      </c>
      <c r="F18" s="14" t="n">
        <v>44.1</v>
      </c>
      <c r="G18" s="14" t="n">
        <v>24.9</v>
      </c>
      <c r="H18" s="5" t="b">
        <v>0</v>
      </c>
    </row>
    <row r="19">
      <c r="A19" s="5" t="inlineStr">
        <is>
          <t>2025-10</t>
        </is>
      </c>
      <c r="B19" s="8" t="n">
        <v>336612</v>
      </c>
      <c r="C19" s="13" t="n">
        <v>2.11</v>
      </c>
      <c r="D19" s="13" t="n">
        <v>4.81</v>
      </c>
      <c r="E19" s="13" t="n">
        <v>5.31</v>
      </c>
      <c r="F19" s="14" t="n">
        <v>41.6</v>
      </c>
      <c r="G19" s="14" t="n">
        <v>26.1</v>
      </c>
      <c r="H19" s="5" t="b">
        <v>0</v>
      </c>
    </row>
    <row r="20">
      <c r="A20" s="5" t="inlineStr">
        <is>
          <t>2025-11</t>
        </is>
      </c>
      <c r="B20" s="8" t="n">
        <v>304905</v>
      </c>
      <c r="C20" s="13" t="n">
        <v>1.49</v>
      </c>
      <c r="D20" s="13" t="n">
        <v>7.67</v>
      </c>
      <c r="E20" s="13" t="n">
        <v>6.68</v>
      </c>
      <c r="F20" s="14" t="n">
        <v>41.5</v>
      </c>
      <c r="G20" s="14" t="n">
        <v>27.7</v>
      </c>
      <c r="H20" s="5" t="b">
        <v>0</v>
      </c>
    </row>
    <row r="21">
      <c r="A21" s="5" t="inlineStr">
        <is>
          <t>2025-12</t>
        </is>
      </c>
      <c r="B21" s="8" t="n">
        <v>332103</v>
      </c>
      <c r="C21" s="13" t="n">
        <v>1.48</v>
      </c>
      <c r="D21" s="13" t="n">
        <v>12.43</v>
      </c>
      <c r="E21" s="13" t="n">
        <v>7.94</v>
      </c>
      <c r="F21" s="14" t="n">
        <v>46</v>
      </c>
      <c r="G21" s="14" t="n">
        <v>21.1</v>
      </c>
      <c r="H21" s="5" t="b">
        <v>0</v>
      </c>
    </row>
    <row r="22">
      <c r="A22" s="5" t="inlineStr">
        <is>
          <t>2026-01</t>
        </is>
      </c>
      <c r="B22" s="8" t="n">
        <v>348511</v>
      </c>
      <c r="C22" s="13" t="n">
        <v>2.44</v>
      </c>
      <c r="D22" s="13" t="n">
        <v>25.83</v>
      </c>
      <c r="E22" s="13" t="n">
        <v>6.31</v>
      </c>
      <c r="F22" s="14" t="n">
        <v>53.1</v>
      </c>
      <c r="G22" s="14" t="n">
        <v>21.9</v>
      </c>
      <c r="H22" s="5" t="b">
        <v>0</v>
      </c>
    </row>
    <row r="23">
      <c r="A23" s="5" t="inlineStr">
        <is>
          <t>2026-02</t>
        </is>
      </c>
      <c r="B23" s="8" t="n">
        <v>334690</v>
      </c>
      <c r="C23" s="13" t="n">
        <v>3.24</v>
      </c>
      <c r="D23" s="13" t="n">
        <v>16.54</v>
      </c>
      <c r="E23" s="13" t="n">
        <v>5.01</v>
      </c>
      <c r="F23" s="14" t="n">
        <v>50.8</v>
      </c>
      <c r="G23" s="14" t="n">
        <v>22.9</v>
      </c>
      <c r="H23" s="5" t="b">
        <v>0</v>
      </c>
    </row>
    <row r="24">
      <c r="A24" s="5" t="inlineStr">
        <is>
          <t>2026-03</t>
        </is>
      </c>
      <c r="B24" s="8" t="n">
        <v>342387</v>
      </c>
      <c r="C24" s="13" t="n">
        <v>3.4</v>
      </c>
      <c r="D24" s="13" t="n">
        <v>8.27</v>
      </c>
      <c r="E24" s="13" t="n">
        <v>6.31</v>
      </c>
      <c r="F24" s="14" t="n">
        <v>43.7</v>
      </c>
      <c r="G24" s="14" t="n">
        <v>22.8</v>
      </c>
      <c r="H24" s="5" t="b">
        <v>0</v>
      </c>
    </row>
    <row r="25">
      <c r="A25" s="5" t="inlineStr">
        <is>
          <t>2026-04</t>
        </is>
      </c>
      <c r="B25" s="8" t="n">
        <v>302190</v>
      </c>
      <c r="C25" s="13" t="n">
        <v>3.57</v>
      </c>
      <c r="D25" s="13" t="n">
        <v>6.45</v>
      </c>
      <c r="E25" s="13" t="n">
        <v>6.68</v>
      </c>
      <c r="F25" s="14" t="n">
        <v>45.1</v>
      </c>
      <c r="G25" s="14" t="n">
        <v>23.9</v>
      </c>
      <c r="H25" s="5" t="b">
        <v>0</v>
      </c>
    </row>
    <row r="26">
      <c r="A26" s="5" t="inlineStr">
        <is>
          <t>2026-05</t>
        </is>
      </c>
      <c r="B26" s="8" t="n">
        <v>331978</v>
      </c>
      <c r="C26" s="13" t="n">
        <v>4.18</v>
      </c>
      <c r="D26" s="13" t="n">
        <v>5.13</v>
      </c>
      <c r="E26" s="13" t="n">
        <v>7.5</v>
      </c>
      <c r="F26" s="14" t="n">
        <v>45.9</v>
      </c>
      <c r="G26" s="14" t="n">
        <v>24.3</v>
      </c>
      <c r="H26" s="5" t="b">
        <v>0</v>
      </c>
    </row>
    <row r="27">
      <c r="A27" s="5" t="inlineStr">
        <is>
          <t>2026-06</t>
        </is>
      </c>
      <c r="B27" s="8" t="n">
        <v>334833</v>
      </c>
      <c r="C27" s="13" t="n">
        <v>4.99</v>
      </c>
      <c r="D27" s="13" t="n">
        <v>5.58</v>
      </c>
      <c r="E27" s="13" t="n">
        <v>8.41</v>
      </c>
      <c r="F27" s="14" t="n">
        <v>46.2</v>
      </c>
      <c r="G27" s="14" t="n">
        <v>23.7</v>
      </c>
      <c r="H27" s="5" t="b">
        <v>0</v>
      </c>
    </row>
    <row r="28">
      <c r="A28" s="5" t="inlineStr">
        <is>
          <t>2026-07</t>
        </is>
      </c>
      <c r="B28" s="8" t="n">
        <v>343043</v>
      </c>
      <c r="C28" s="13" t="n">
        <v>7.75</v>
      </c>
      <c r="D28" s="13" t="n">
        <v>4.8</v>
      </c>
      <c r="E28" s="13" t="n">
        <v>7.08</v>
      </c>
      <c r="F28" s="14" t="n">
        <v>49.4</v>
      </c>
      <c r="G28" s="14" t="n">
        <v>22.2</v>
      </c>
      <c r="H28" s="5" t="b">
        <v>0</v>
      </c>
    </row>
    <row r="29">
      <c r="A29" s="5" t="inlineStr">
        <is>
          <t>2026-08</t>
        </is>
      </c>
      <c r="B29" s="8" t="n">
        <v>328446</v>
      </c>
      <c r="C29" s="13" t="n">
        <v>14.27</v>
      </c>
      <c r="D29" s="13" t="n">
        <v>3.92</v>
      </c>
      <c r="E29" s="13" t="n">
        <v>6.68</v>
      </c>
      <c r="F29" s="14" t="n">
        <v>50.8</v>
      </c>
      <c r="G29" s="14" t="n">
        <v>21.7</v>
      </c>
      <c r="H29" s="5" t="b">
        <v>0</v>
      </c>
    </row>
    <row r="30">
      <c r="A30" s="9" t="inlineStr">
        <is>
          <t>2026-09</t>
        </is>
      </c>
      <c r="B30" s="10" t="n">
        <v>41974</v>
      </c>
      <c r="C30" s="11" t="n">
        <v>38.52</v>
      </c>
      <c r="D30" s="11" t="n">
        <v>1.76</v>
      </c>
      <c r="E30" s="11" t="n">
        <v/>
      </c>
      <c r="F30" s="12" t="n">
        <v>50.2</v>
      </c>
      <c r="G30" s="12" t="n">
        <v>23.8</v>
      </c>
      <c r="H30" s="9" t="b">
        <v>1</v>
      </c>
    </row>
    <row r="53" ht="20" customHeight="1">
      <c r="A53" s="3" t="inlineStr">
        <is>
          <t>二、Top 8 类型的月度记录数（k = 千条）</t>
        </is>
      </c>
    </row>
    <row r="54">
      <c r="A54" s="4" t="inlineStr">
        <is>
          <t>月份</t>
        </is>
      </c>
      <c r="B54" s="4" t="inlineStr">
        <is>
          <t>Blocked Driveway</t>
        </is>
      </c>
      <c r="C54" s="4" t="inlineStr">
        <is>
          <t>HEAT/HOT WATER</t>
        </is>
      </c>
      <c r="D54" s="4" t="inlineStr">
        <is>
          <t>Illegal Parking</t>
        </is>
      </c>
      <c r="E54" s="4" t="inlineStr">
        <is>
          <t>Noise - Residential</t>
        </is>
      </c>
      <c r="F54" s="4" t="inlineStr">
        <is>
          <t>Noise - Street/Sidewalk</t>
        </is>
      </c>
      <c r="G54" s="4" t="inlineStr">
        <is>
          <t>Street Condition</t>
        </is>
      </c>
      <c r="H54" s="4" t="inlineStr">
        <is>
          <t>UNSANITARY CONDITION</t>
        </is>
      </c>
      <c r="I54" s="4" t="inlineStr">
        <is>
          <t>Water System</t>
        </is>
      </c>
    </row>
    <row r="55">
      <c r="A55" s="5" t="inlineStr">
        <is>
          <t>2024-09</t>
        </is>
      </c>
      <c r="B55" s="8" t="n">
        <v>12317</v>
      </c>
      <c r="C55" s="8" t="n">
        <v>2696</v>
      </c>
      <c r="D55" s="8" t="n">
        <v>37255</v>
      </c>
      <c r="E55" s="8" t="n">
        <v>39381</v>
      </c>
      <c r="F55" s="8" t="n">
        <v>16795</v>
      </c>
      <c r="G55" s="8" t="n">
        <v>4036</v>
      </c>
      <c r="H55" s="8" t="n">
        <v>8838</v>
      </c>
      <c r="I55" s="8" t="n">
        <v>3387</v>
      </c>
    </row>
    <row r="56">
      <c r="A56" s="5" t="inlineStr">
        <is>
          <t>2024-10</t>
        </is>
      </c>
      <c r="B56" s="8" t="n">
        <v>14635</v>
      </c>
      <c r="C56" s="8" t="n">
        <v>19650</v>
      </c>
      <c r="D56" s="8" t="n">
        <v>42959</v>
      </c>
      <c r="E56" s="8" t="n">
        <v>38628</v>
      </c>
      <c r="F56" s="8" t="n">
        <v>18281</v>
      </c>
      <c r="G56" s="8" t="n">
        <v>4260</v>
      </c>
      <c r="H56" s="8" t="n">
        <v>10600</v>
      </c>
      <c r="I56" s="8" t="n">
        <v>4453</v>
      </c>
    </row>
    <row r="57">
      <c r="A57" s="5" t="inlineStr">
        <is>
          <t>2024-11</t>
        </is>
      </c>
      <c r="B57" s="8" t="n">
        <v>15239</v>
      </c>
      <c r="C57" s="8" t="n">
        <v>39368</v>
      </c>
      <c r="D57" s="8" t="n">
        <v>39784</v>
      </c>
      <c r="E57" s="8" t="n">
        <v>39103</v>
      </c>
      <c r="F57" s="8" t="n">
        <v>9256</v>
      </c>
      <c r="G57" s="8" t="n">
        <v>3630</v>
      </c>
      <c r="H57" s="8" t="n">
        <v>9194</v>
      </c>
      <c r="I57" s="8" t="n">
        <v>4835</v>
      </c>
    </row>
    <row r="58">
      <c r="A58" s="5" t="inlineStr">
        <is>
          <t>2024-12</t>
        </is>
      </c>
      <c r="B58" s="8" t="n">
        <v>15256</v>
      </c>
      <c r="C58" s="8" t="n">
        <v>62918</v>
      </c>
      <c r="D58" s="8" t="n">
        <v>39971</v>
      </c>
      <c r="E58" s="8" t="n">
        <v>47405</v>
      </c>
      <c r="F58" s="8" t="n">
        <v>4887</v>
      </c>
      <c r="G58" s="8" t="n">
        <v>5225</v>
      </c>
      <c r="H58" s="8" t="n">
        <v>9318</v>
      </c>
      <c r="I58" s="8" t="n">
        <v>5631</v>
      </c>
    </row>
    <row r="59">
      <c r="A59" s="5" t="inlineStr">
        <is>
          <t>2025-01</t>
        </is>
      </c>
      <c r="B59" s="8" t="n">
        <v>14661</v>
      </c>
      <c r="C59" s="8" t="n">
        <v>67229</v>
      </c>
      <c r="D59" s="8" t="n">
        <v>43139</v>
      </c>
      <c r="E59" s="8" t="n">
        <v>70837</v>
      </c>
      <c r="F59" s="8" t="n">
        <v>3757</v>
      </c>
      <c r="G59" s="8" t="n">
        <v>5474</v>
      </c>
      <c r="H59" s="8" t="n">
        <v>10000</v>
      </c>
      <c r="I59" s="8" t="n">
        <v>6670</v>
      </c>
    </row>
    <row r="60">
      <c r="A60" s="5" t="inlineStr">
        <is>
          <t>2025-02</t>
        </is>
      </c>
      <c r="B60" s="8" t="n">
        <v>12516</v>
      </c>
      <c r="C60" s="8" t="n">
        <v>40699</v>
      </c>
      <c r="D60" s="8" t="n">
        <v>42267</v>
      </c>
      <c r="E60" s="8" t="n">
        <v>26945</v>
      </c>
      <c r="F60" s="8" t="n">
        <v>3881</v>
      </c>
      <c r="G60" s="8" t="n">
        <v>5623</v>
      </c>
      <c r="H60" s="8" t="n">
        <v>7581</v>
      </c>
      <c r="I60" s="8" t="n">
        <v>5245</v>
      </c>
    </row>
    <row r="61">
      <c r="A61" s="5" t="inlineStr">
        <is>
          <t>2025-03</t>
        </is>
      </c>
      <c r="B61" s="8" t="n">
        <v>14150</v>
      </c>
      <c r="C61" s="8" t="n">
        <v>26276</v>
      </c>
      <c r="D61" s="8" t="n">
        <v>53740</v>
      </c>
      <c r="E61" s="8" t="n">
        <v>28850</v>
      </c>
      <c r="F61" s="8" t="n">
        <v>8320</v>
      </c>
      <c r="G61" s="8" t="n">
        <v>7035</v>
      </c>
      <c r="H61" s="8" t="n">
        <v>8401</v>
      </c>
      <c r="I61" s="8" t="n">
        <v>3979</v>
      </c>
    </row>
    <row r="62">
      <c r="A62" s="5" t="inlineStr">
        <is>
          <t>2025-04</t>
        </is>
      </c>
      <c r="B62" s="8" t="n">
        <v>12960</v>
      </c>
      <c r="C62" s="8" t="n">
        <v>16824</v>
      </c>
      <c r="D62" s="8" t="n">
        <v>47358</v>
      </c>
      <c r="E62" s="8" t="n">
        <v>28019</v>
      </c>
      <c r="F62" s="8" t="n">
        <v>13519</v>
      </c>
      <c r="G62" s="8" t="n">
        <v>6659</v>
      </c>
      <c r="H62" s="8" t="n">
        <v>8394</v>
      </c>
      <c r="I62" s="8" t="n">
        <v>3507</v>
      </c>
    </row>
    <row r="63">
      <c r="A63" s="5" t="inlineStr">
        <is>
          <t>2025-05</t>
        </is>
      </c>
      <c r="B63" s="8" t="n">
        <v>14256</v>
      </c>
      <c r="C63" s="8" t="n">
        <v>7463</v>
      </c>
      <c r="D63" s="8" t="n">
        <v>51557</v>
      </c>
      <c r="E63" s="8" t="n">
        <v>32905</v>
      </c>
      <c r="F63" s="8" t="n">
        <v>20870</v>
      </c>
      <c r="G63" s="8" t="n">
        <v>7449</v>
      </c>
      <c r="H63" s="8" t="n">
        <v>8893</v>
      </c>
      <c r="I63" s="8" t="n">
        <v>3574</v>
      </c>
    </row>
    <row r="64">
      <c r="A64" s="5" t="inlineStr">
        <is>
          <t>2025-06</t>
        </is>
      </c>
      <c r="B64" s="8" t="n">
        <v>14254</v>
      </c>
      <c r="C64" s="8" t="n">
        <v>4217</v>
      </c>
      <c r="D64" s="8" t="n">
        <v>48032</v>
      </c>
      <c r="E64" s="8" t="n">
        <v>29740</v>
      </c>
      <c r="F64" s="8" t="n">
        <v>24081</v>
      </c>
      <c r="G64" s="8" t="n">
        <v>7243</v>
      </c>
      <c r="H64" s="8" t="n">
        <v>9607</v>
      </c>
      <c r="I64" s="8" t="n">
        <v>15194</v>
      </c>
    </row>
    <row r="65">
      <c r="A65" s="5" t="inlineStr">
        <is>
          <t>2025-07</t>
        </is>
      </c>
      <c r="B65" s="8" t="n">
        <v>13401</v>
      </c>
      <c r="C65" s="8" t="n">
        <v>3008</v>
      </c>
      <c r="D65" s="8" t="n">
        <v>47001</v>
      </c>
      <c r="E65" s="8" t="n">
        <v>26659</v>
      </c>
      <c r="F65" s="8" t="n">
        <v>23287</v>
      </c>
      <c r="G65" s="8" t="n">
        <v>6138</v>
      </c>
      <c r="H65" s="8" t="n">
        <v>11867</v>
      </c>
      <c r="I65" s="8" t="n">
        <v>15103</v>
      </c>
    </row>
    <row r="66">
      <c r="A66" s="5" t="inlineStr">
        <is>
          <t>2025-08</t>
        </is>
      </c>
      <c r="B66" s="8" t="n">
        <v>13282</v>
      </c>
      <c r="C66" s="8" t="n">
        <v>2929</v>
      </c>
      <c r="D66" s="8" t="n">
        <v>47243</v>
      </c>
      <c r="E66" s="8" t="n">
        <v>32756</v>
      </c>
      <c r="F66" s="8" t="n">
        <v>25205</v>
      </c>
      <c r="G66" s="8" t="n">
        <v>5590</v>
      </c>
      <c r="H66" s="8" t="n">
        <v>10842</v>
      </c>
      <c r="I66" s="8" t="n">
        <v>7129</v>
      </c>
    </row>
    <row r="67">
      <c r="A67" s="5" t="inlineStr">
        <is>
          <t>2025-09</t>
        </is>
      </c>
      <c r="B67" s="8" t="n">
        <v>15363</v>
      </c>
      <c r="C67" s="8" t="n">
        <v>3595</v>
      </c>
      <c r="D67" s="8" t="n">
        <v>54313</v>
      </c>
      <c r="E67" s="8" t="n">
        <v>36142</v>
      </c>
      <c r="F67" s="8" t="n">
        <v>19799</v>
      </c>
      <c r="G67" s="8" t="n">
        <v>5411</v>
      </c>
      <c r="H67" s="8" t="n">
        <v>11227</v>
      </c>
      <c r="I67" s="8" t="n">
        <v>4196</v>
      </c>
    </row>
    <row r="68">
      <c r="A68" s="5" t="inlineStr">
        <is>
          <t>2025-10</t>
        </is>
      </c>
      <c r="B68" s="8" t="n">
        <v>15481</v>
      </c>
      <c r="C68" s="8" t="n">
        <v>31858</v>
      </c>
      <c r="D68" s="8" t="n">
        <v>51073</v>
      </c>
      <c r="E68" s="8" t="n">
        <v>49182</v>
      </c>
      <c r="F68" s="8" t="n">
        <v>15538</v>
      </c>
      <c r="G68" s="8" t="n">
        <v>4829</v>
      </c>
      <c r="H68" s="8" t="n">
        <v>11568</v>
      </c>
      <c r="I68" s="8" t="n">
        <v>5041</v>
      </c>
    </row>
    <row r="69">
      <c r="A69" s="5" t="inlineStr">
        <is>
          <t>2025-11</t>
        </is>
      </c>
      <c r="B69" s="8" t="n">
        <v>15990</v>
      </c>
      <c r="C69" s="8" t="n">
        <v>47946</v>
      </c>
      <c r="D69" s="8" t="n">
        <v>47373</v>
      </c>
      <c r="E69" s="8" t="n">
        <v>43928</v>
      </c>
      <c r="F69" s="8" t="n">
        <v>10005</v>
      </c>
      <c r="G69" s="8" t="n">
        <v>4049</v>
      </c>
      <c r="H69" s="8" t="n">
        <v>9677</v>
      </c>
      <c r="I69" s="8" t="n">
        <v>3656</v>
      </c>
    </row>
    <row r="70">
      <c r="A70" s="5" t="inlineStr">
        <is>
          <t>2025-12</t>
        </is>
      </c>
      <c r="B70" s="8" t="n">
        <v>16409</v>
      </c>
      <c r="C70" s="8" t="n">
        <v>63902</v>
      </c>
      <c r="D70" s="8" t="n">
        <v>44161</v>
      </c>
      <c r="E70" s="8" t="n">
        <v>57386</v>
      </c>
      <c r="F70" s="8" t="n">
        <v>4787</v>
      </c>
      <c r="G70" s="8" t="n">
        <v>4830</v>
      </c>
      <c r="H70" s="8" t="n">
        <v>9692</v>
      </c>
      <c r="I70" s="8" t="n">
        <v>4198</v>
      </c>
    </row>
    <row r="71">
      <c r="A71" s="5" t="inlineStr">
        <is>
          <t>2026-01</t>
        </is>
      </c>
      <c r="B71" s="8" t="n">
        <v>17407</v>
      </c>
      <c r="C71" s="8" t="n">
        <v>79928</v>
      </c>
      <c r="D71" s="8" t="n">
        <v>48717</v>
      </c>
      <c r="E71" s="8" t="n">
        <v>28739</v>
      </c>
      <c r="F71" s="8" t="n">
        <v>4418</v>
      </c>
      <c r="G71" s="8" t="n">
        <v>5141</v>
      </c>
      <c r="H71" s="8" t="n">
        <v>10961</v>
      </c>
      <c r="I71" s="8" t="n">
        <v>6308</v>
      </c>
    </row>
    <row r="72">
      <c r="A72" s="5" t="inlineStr">
        <is>
          <t>2026-02</t>
        </is>
      </c>
      <c r="B72" s="8" t="n">
        <v>19909</v>
      </c>
      <c r="C72" s="8" t="n">
        <v>59031</v>
      </c>
      <c r="D72" s="8" t="n">
        <v>47781</v>
      </c>
      <c r="E72" s="8" t="n">
        <v>26949</v>
      </c>
      <c r="F72" s="8" t="n">
        <v>4139</v>
      </c>
      <c r="G72" s="8" t="n">
        <v>6913</v>
      </c>
      <c r="H72" s="8" t="n">
        <v>9662</v>
      </c>
      <c r="I72" s="8" t="n">
        <v>7998</v>
      </c>
    </row>
    <row r="73">
      <c r="A73" s="5" t="inlineStr">
        <is>
          <t>2026-03</t>
        </is>
      </c>
      <c r="B73" s="8" t="n">
        <v>16388</v>
      </c>
      <c r="C73" s="8" t="n">
        <v>29783</v>
      </c>
      <c r="D73" s="8" t="n">
        <v>54104</v>
      </c>
      <c r="E73" s="8" t="n">
        <v>31823</v>
      </c>
      <c r="F73" s="8" t="n">
        <v>10865</v>
      </c>
      <c r="G73" s="8" t="n">
        <v>28690</v>
      </c>
      <c r="H73" s="8" t="n">
        <v>10355</v>
      </c>
      <c r="I73" s="8" t="n">
        <v>5473</v>
      </c>
    </row>
    <row r="74">
      <c r="A74" s="5" t="inlineStr">
        <is>
          <t>2026-04</t>
        </is>
      </c>
      <c r="B74" s="8" t="n">
        <v>14436</v>
      </c>
      <c r="C74" s="8" t="n">
        <v>19553</v>
      </c>
      <c r="D74" s="8" t="n">
        <v>51438</v>
      </c>
      <c r="E74" s="8" t="n">
        <v>30922</v>
      </c>
      <c r="F74" s="8" t="n">
        <v>12689</v>
      </c>
      <c r="G74" s="8" t="n">
        <v>15850</v>
      </c>
      <c r="H74" s="8" t="n">
        <v>10126</v>
      </c>
      <c r="I74" s="8" t="n">
        <v>5679</v>
      </c>
    </row>
    <row r="75">
      <c r="A75" s="5" t="inlineStr">
        <is>
          <t>2026-05</t>
        </is>
      </c>
      <c r="B75" s="8" t="n">
        <v>16311</v>
      </c>
      <c r="C75" s="8" t="n">
        <v>9823</v>
      </c>
      <c r="D75" s="8" t="n">
        <v>56372</v>
      </c>
      <c r="E75" s="8" t="n">
        <v>37268</v>
      </c>
      <c r="F75" s="8" t="n">
        <v>20021</v>
      </c>
      <c r="G75" s="8" t="n">
        <v>11777</v>
      </c>
      <c r="H75" s="8" t="n">
        <v>11208</v>
      </c>
      <c r="I75" s="8" t="n">
        <v>6308</v>
      </c>
    </row>
    <row r="76">
      <c r="A76" s="5" t="inlineStr">
        <is>
          <t>2026-06</t>
        </is>
      </c>
      <c r="B76" s="8" t="n">
        <v>16688</v>
      </c>
      <c r="C76" s="8" t="n">
        <v>4388</v>
      </c>
      <c r="D76" s="8" t="n">
        <v>56689</v>
      </c>
      <c r="E76" s="8" t="n">
        <v>34039</v>
      </c>
      <c r="F76" s="8" t="n">
        <v>23790</v>
      </c>
      <c r="G76" s="8" t="n">
        <v>10852</v>
      </c>
      <c r="H76" s="8" t="n">
        <v>11513</v>
      </c>
      <c r="I76" s="8" t="n">
        <v>8911</v>
      </c>
    </row>
    <row r="77">
      <c r="A77" s="5" t="inlineStr">
        <is>
          <t>2026-07</t>
        </is>
      </c>
      <c r="B77" s="8" t="n">
        <v>14686</v>
      </c>
      <c r="C77" s="8" t="n">
        <v>4331</v>
      </c>
      <c r="D77" s="8" t="n">
        <v>49082</v>
      </c>
      <c r="E77" s="8" t="n">
        <v>29971</v>
      </c>
      <c r="F77" s="8" t="n">
        <v>25405</v>
      </c>
      <c r="G77" s="8" t="n">
        <v>10145</v>
      </c>
      <c r="H77" s="8" t="n">
        <v>13203</v>
      </c>
      <c r="I77" s="8" t="n">
        <v>16261</v>
      </c>
    </row>
    <row r="78">
      <c r="A78" s="5" t="inlineStr">
        <is>
          <t>2026-08</t>
        </is>
      </c>
      <c r="B78" s="8" t="n">
        <v>14636</v>
      </c>
      <c r="C78" s="8" t="n">
        <v>3682</v>
      </c>
      <c r="D78" s="8" t="n">
        <v>51216</v>
      </c>
      <c r="E78" s="8" t="n">
        <v>30622</v>
      </c>
      <c r="F78" s="8" t="n">
        <v>23644</v>
      </c>
      <c r="G78" s="8" t="n">
        <v>9552</v>
      </c>
      <c r="H78" s="8" t="n">
        <v>14577</v>
      </c>
      <c r="I78" s="8" t="n">
        <v>0</v>
      </c>
    </row>
    <row r="79">
      <c r="A79" s="5" t="inlineStr">
        <is>
          <t>2026-09</t>
        </is>
      </c>
      <c r="B79" s="8" t="n">
        <v>2011</v>
      </c>
      <c r="C79" s="8" t="n">
        <v>497</v>
      </c>
      <c r="D79" s="8" t="n">
        <v>6428</v>
      </c>
      <c r="E79" s="8" t="n">
        <v>3349</v>
      </c>
      <c r="F79" s="8" t="n">
        <v>2060</v>
      </c>
      <c r="G79" s="8" t="n">
        <v>1267</v>
      </c>
      <c r="H79" s="8" t="n">
        <v>2142</v>
      </c>
      <c r="I79" s="8" t="n">
        <v>0</v>
      </c>
    </row>
    <row r="80" ht="15" customHeight="1">
      <c r="A80" s="7" t="inlineStr">
        <is>
          <t>HEAT/HOT WATER：峰值 2026-01 79,928 条（冬季供暖季 Oct 1–May 31），谷值 2025-08 2,929 条，差 27.3 倍。
Noise - Street/Sidewalk：峰值 2026-07 25,405 条，谷值 2025-01 3,757 条，差 6.8 倍，与供暖季方向相反。
Noise - Residential（881,548 条）与 HEAT/HOT WATER（651,594 条）合计 1,533,142 条，占全城 20.4%。两类此消彼长，使月度总量看起来几乎不变（23 个完整月区间 255,364 ~ 348,511 条，极差约 ±16%）。</t>
        </is>
      </c>
    </row>
    <row r="81" ht="15" customHeight="1"/>
    <row r="82" ht="15" customHeight="1"/>
  </sheetData>
  <mergeCells count="1">
    <mergeCell ref="A80:H8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22" customWidth="1" min="5" max="5"/>
    <col width="17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6" customHeight="1">
      <c r="A1" s="1" t="inlineStr">
        <is>
          <t>响应时长：差异、季节与构成分解</t>
        </is>
      </c>
    </row>
    <row r="2" ht="30" customHeight="1">
      <c r="A2" s="2" t="inlineStr">
        <is>
          <t>口径：处置时长 = closed_date − created_date，仅取 closed_date ≥ created_date 的 7,283,317 条（占 96.78%）。未关闭记录被排除，这会使长尾被低估。</t>
        </is>
      </c>
    </row>
    <row r="4" ht="20" customHeight="1">
      <c r="A4" s="3" t="inlineStr">
        <is>
          <t>一、机构画像（全期）</t>
        </is>
      </c>
    </row>
    <row r="5">
      <c r="A5" s="4" t="inlineStr">
        <is>
          <t>机构代码</t>
        </is>
      </c>
      <c r="B5" s="4" t="inlineStr">
        <is>
          <t>机构全称</t>
        </is>
      </c>
      <c r="C5" s="4" t="inlineStr">
        <is>
          <t>记录数</t>
        </is>
      </c>
      <c r="D5" s="4" t="inlineStr">
        <is>
          <t>占比%</t>
        </is>
      </c>
      <c r="E5" s="4" t="inlineStr">
        <is>
          <t>中位时长(小时)</t>
        </is>
      </c>
      <c r="F5" s="4" t="inlineStr">
        <is>
          <t>P90时长(小时)</t>
        </is>
      </c>
      <c r="G5" s="4" t="inlineStr">
        <is>
          <t>24小时内关闭%</t>
        </is>
      </c>
      <c r="H5" s="4" t="inlineStr">
        <is>
          <t>30天内关闭%</t>
        </is>
      </c>
      <c r="I5" s="4" t="inlineStr">
        <is>
          <t>未关闭条数</t>
        </is>
      </c>
      <c r="J5" s="4" t="inlineStr">
        <is>
          <t>未关闭占比%</t>
        </is>
      </c>
    </row>
    <row r="6">
      <c r="A6" s="5" t="inlineStr">
        <is>
          <t>NYPD</t>
        </is>
      </c>
      <c r="B6" s="5" t="inlineStr">
        <is>
          <t>New York City Police Department</t>
        </is>
      </c>
      <c r="C6" s="8" t="n">
        <v>3403951</v>
      </c>
      <c r="D6" s="13" t="n">
        <v>45.23</v>
      </c>
      <c r="E6" s="13" t="n">
        <v>1.34</v>
      </c>
      <c r="F6" s="14" t="n">
        <v>7</v>
      </c>
      <c r="G6" s="14" t="n">
        <v>99</v>
      </c>
      <c r="H6" s="14" t="n">
        <v>100</v>
      </c>
      <c r="I6" s="8" t="n">
        <v>908</v>
      </c>
      <c r="J6" s="13" t="n">
        <v>0.03</v>
      </c>
    </row>
    <row r="7">
      <c r="A7" s="5" t="inlineStr">
        <is>
          <t>HPD</t>
        </is>
      </c>
      <c r="B7" s="5" t="inlineStr">
        <is>
          <t>Department of Housing Preservation and Development</t>
        </is>
      </c>
      <c r="C7" s="8" t="n">
        <v>1633583</v>
      </c>
      <c r="D7" s="13" t="n">
        <v>21.71</v>
      </c>
      <c r="E7" s="13" t="n">
        <v>87.53</v>
      </c>
      <c r="F7" s="14" t="n">
        <v>890</v>
      </c>
      <c r="G7" s="14" t="n">
        <v>12.2</v>
      </c>
      <c r="H7" s="14" t="n">
        <v>84.59999999999999</v>
      </c>
      <c r="I7" s="8" t="n">
        <v>59701</v>
      </c>
      <c r="J7" s="13" t="n">
        <v>3.65</v>
      </c>
    </row>
    <row r="8">
      <c r="A8" s="5" t="inlineStr">
        <is>
          <t>DSNY</t>
        </is>
      </c>
      <c r="B8" s="5" t="inlineStr">
        <is>
          <t>Department of Sanitation</t>
        </is>
      </c>
      <c r="C8" s="8" t="n">
        <v>686438</v>
      </c>
      <c r="D8" s="13" t="n">
        <v>9.119999999999999</v>
      </c>
      <c r="E8" s="13" t="n">
        <v>33.8</v>
      </c>
      <c r="F8" s="14" t="n">
        <v>170</v>
      </c>
      <c r="G8" s="14" t="n">
        <v>37.8</v>
      </c>
      <c r="H8" s="14" t="n">
        <v>96.3</v>
      </c>
      <c r="I8" s="8" t="n">
        <v>9892</v>
      </c>
      <c r="J8" s="13" t="n">
        <v>1.44</v>
      </c>
    </row>
    <row r="9">
      <c r="A9" s="5" t="inlineStr">
        <is>
          <t>DOT</t>
        </is>
      </c>
      <c r="B9" s="5" t="inlineStr">
        <is>
          <t>Department of Transportation</t>
        </is>
      </c>
      <c r="C9" s="8" t="n">
        <v>485140</v>
      </c>
      <c r="D9" s="13" t="n">
        <v>6.45</v>
      </c>
      <c r="E9" s="13" t="n">
        <v>46.2</v>
      </c>
      <c r="F9" s="14" t="n">
        <v>397.4</v>
      </c>
      <c r="G9" s="14" t="n">
        <v>38.2</v>
      </c>
      <c r="H9" s="14" t="n">
        <v>89.7</v>
      </c>
      <c r="I9" s="8" t="n">
        <v>23644</v>
      </c>
      <c r="J9" s="13" t="n">
        <v>4.87</v>
      </c>
    </row>
    <row r="10">
      <c r="A10" s="5" t="inlineStr">
        <is>
          <t>DEP</t>
        </is>
      </c>
      <c r="B10" s="5" t="inlineStr">
        <is>
          <t>Department of Environmental Protection</t>
        </is>
      </c>
      <c r="C10" s="8" t="n">
        <v>424101</v>
      </c>
      <c r="D10" s="13" t="n">
        <v>5.64</v>
      </c>
      <c r="E10" s="13" t="n">
        <v>22.37</v>
      </c>
      <c r="F10" s="14" t="n">
        <v>227.9</v>
      </c>
      <c r="G10" s="14" t="n">
        <v>51</v>
      </c>
      <c r="H10" s="14" t="n">
        <v>95.7</v>
      </c>
      <c r="I10" s="8" t="n">
        <v>9153</v>
      </c>
      <c r="J10" s="13" t="n">
        <v>2.16</v>
      </c>
    </row>
    <row r="11">
      <c r="A11" s="5" t="inlineStr">
        <is>
          <t>DPR</t>
        </is>
      </c>
      <c r="B11" s="5" t="inlineStr">
        <is>
          <t>Department of Parks and Recreation</t>
        </is>
      </c>
      <c r="C11" s="8" t="n">
        <v>244023</v>
      </c>
      <c r="D11" s="13" t="n">
        <v>3.24</v>
      </c>
      <c r="E11" s="13" t="n">
        <v>165.3</v>
      </c>
      <c r="F11" s="14" t="n">
        <v>3429.3</v>
      </c>
      <c r="G11" s="14" t="n">
        <v>18.4</v>
      </c>
      <c r="H11" s="14" t="n">
        <v>54.7</v>
      </c>
      <c r="I11" s="8" t="n">
        <v>57629</v>
      </c>
      <c r="J11" s="13" t="n">
        <v>23.62</v>
      </c>
    </row>
    <row r="12">
      <c r="A12" s="5" t="inlineStr">
        <is>
          <t>DOB</t>
        </is>
      </c>
      <c r="B12" s="5" t="inlineStr">
        <is>
          <t>Department of Buildings</t>
        </is>
      </c>
      <c r="C12" s="8" t="n">
        <v>218945</v>
      </c>
      <c r="D12" s="13" t="n">
        <v>2.91</v>
      </c>
      <c r="E12" s="13" t="n">
        <v>158.87</v>
      </c>
      <c r="F12" s="14" t="n">
        <v>3492.8</v>
      </c>
      <c r="G12" s="14" t="n">
        <v>28.2</v>
      </c>
      <c r="H12" s="14" t="n">
        <v>66.59999999999999</v>
      </c>
      <c r="I12" s="8" t="n">
        <v>0</v>
      </c>
      <c r="J12" s="13" t="n">
        <v>0</v>
      </c>
    </row>
    <row r="13">
      <c r="A13" s="5" t="inlineStr">
        <is>
          <t>DOHMH</t>
        </is>
      </c>
      <c r="B13" s="5" t="inlineStr">
        <is>
          <t>Department of Health and Mental Hygiene</t>
        </is>
      </c>
      <c r="C13" s="8" t="n">
        <v>169118</v>
      </c>
      <c r="D13" s="13" t="n">
        <v>2.25</v>
      </c>
      <c r="E13" s="13" t="n">
        <v>62.63</v>
      </c>
      <c r="F13" s="14" t="n">
        <v>1441.1</v>
      </c>
      <c r="G13" s="14" t="n">
        <v>35.7</v>
      </c>
      <c r="H13" s="14" t="n">
        <v>62.3</v>
      </c>
      <c r="I13" s="8" t="n">
        <v>15021</v>
      </c>
      <c r="J13" s="13" t="n">
        <v>8.880000000000001</v>
      </c>
    </row>
    <row r="14">
      <c r="A14" s="5" t="inlineStr">
        <is>
          <t>DHS</t>
        </is>
      </c>
      <c r="B14" s="5" t="inlineStr">
        <is>
          <t>Department of Homeless Services</t>
        </is>
      </c>
      <c r="C14" s="8" t="n">
        <v>101425</v>
      </c>
      <c r="D14" s="13" t="n">
        <v>1.35</v>
      </c>
      <c r="E14" s="13" t="n">
        <v>7.45</v>
      </c>
      <c r="F14" s="14" t="n">
        <v>221</v>
      </c>
      <c r="G14" s="14" t="n">
        <v>61.4</v>
      </c>
      <c r="H14" s="14" t="n">
        <v>79.09999999999999</v>
      </c>
      <c r="I14" s="8" t="n">
        <v>17562</v>
      </c>
      <c r="J14" s="13" t="n">
        <v>17.32</v>
      </c>
    </row>
    <row r="15">
      <c r="A15" s="5" t="inlineStr">
        <is>
          <t>TLC</t>
        </is>
      </c>
      <c r="B15" s="5" t="inlineStr">
        <is>
          <t>Taxi and Limousine Commission</t>
        </is>
      </c>
      <c r="C15" s="8" t="n">
        <v>75453</v>
      </c>
      <c r="D15" s="13" t="n">
        <v>1</v>
      </c>
      <c r="E15" s="13" t="n">
        <v>970.74</v>
      </c>
      <c r="F15" s="14" t="n">
        <v>4836.4</v>
      </c>
      <c r="G15" s="14" t="n">
        <v>6.6</v>
      </c>
      <c r="H15" s="14" t="n">
        <v>28.9</v>
      </c>
      <c r="I15" s="8" t="n">
        <v>25309</v>
      </c>
      <c r="J15" s="13" t="n">
        <v>33.54</v>
      </c>
    </row>
    <row r="16">
      <c r="A16" s="5" t="inlineStr">
        <is>
          <t>DCWP</t>
        </is>
      </c>
      <c r="B16" s="5" t="inlineStr">
        <is>
          <t>Department of Consumer and Worker Protection</t>
        </is>
      </c>
      <c r="C16" s="8" t="n">
        <v>38580</v>
      </c>
      <c r="D16" s="13" t="n">
        <v>0.51</v>
      </c>
      <c r="E16" s="13" t="n">
        <v>123.82</v>
      </c>
      <c r="F16" s="14" t="n">
        <v>785.3</v>
      </c>
      <c r="G16" s="14" t="n">
        <v>20.2</v>
      </c>
      <c r="H16" s="14" t="n">
        <v>60.3</v>
      </c>
      <c r="I16" s="8" t="n">
        <v>1525</v>
      </c>
      <c r="J16" s="13" t="n">
        <v>3.95</v>
      </c>
    </row>
    <row r="17">
      <c r="A17" s="5" t="inlineStr">
        <is>
          <t>EDC</t>
        </is>
      </c>
      <c r="B17" s="5" t="inlineStr">
        <is>
          <t>Economic Development Corporation</t>
        </is>
      </c>
      <c r="C17" s="8" t="n">
        <v>36776</v>
      </c>
      <c r="D17" s="13" t="n">
        <v>0.49</v>
      </c>
      <c r="E17" s="13" t="n">
        <v>6296.51</v>
      </c>
      <c r="F17" s="14" t="n">
        <v>8639.1</v>
      </c>
      <c r="G17" s="14" t="n">
        <v>0</v>
      </c>
      <c r="H17" s="14" t="n">
        <v>1.6</v>
      </c>
      <c r="I17" s="8" t="n">
        <v>19226</v>
      </c>
      <c r="J17" s="13" t="n">
        <v>52.28</v>
      </c>
    </row>
    <row r="18">
      <c r="A18" s="5" t="inlineStr">
        <is>
          <t>OOS</t>
        </is>
      </c>
      <c r="B18" s="5" t="inlineStr">
        <is>
          <t>Office of the Sheriff</t>
        </is>
      </c>
      <c r="C18" s="8" t="n">
        <v>4196</v>
      </c>
      <c r="D18" s="13" t="n">
        <v>0.06</v>
      </c>
      <c r="E18" s="13" t="n">
        <v>1030.92</v>
      </c>
      <c r="F18" s="14" t="n">
        <v>1877.9</v>
      </c>
      <c r="G18" s="14" t="n">
        <v>1.2</v>
      </c>
      <c r="H18" s="14" t="n">
        <v>14.7</v>
      </c>
      <c r="I18" s="8" t="n">
        <v>708</v>
      </c>
      <c r="J18" s="13" t="n">
        <v>16.87</v>
      </c>
    </row>
    <row r="19">
      <c r="A19" s="5" t="inlineStr">
        <is>
          <t>DOE</t>
        </is>
      </c>
      <c r="B19" s="5" t="inlineStr">
        <is>
          <t>Department of Education</t>
        </is>
      </c>
      <c r="C19" s="8" t="n">
        <v>2962</v>
      </c>
      <c r="D19" s="13" t="n">
        <v>0.04</v>
      </c>
      <c r="E19" s="13" t="n">
        <v>449.66</v>
      </c>
      <c r="F19" s="14" t="n">
        <v>5679</v>
      </c>
      <c r="G19" s="14" t="n">
        <v>20.7</v>
      </c>
      <c r="H19" s="14" t="n">
        <v>55</v>
      </c>
      <c r="I19" s="8" t="n">
        <v>0</v>
      </c>
      <c r="J19" s="13" t="n">
        <v>0</v>
      </c>
    </row>
    <row r="20">
      <c r="A20" s="5" t="inlineStr">
        <is>
          <t>OTI</t>
        </is>
      </c>
      <c r="B20" s="5" t="inlineStr">
        <is>
          <t>Office of Technology and Innovation</t>
        </is>
      </c>
      <c r="C20" s="8" t="n">
        <v>436</v>
      </c>
      <c r="D20" s="13" t="n">
        <v>0.01</v>
      </c>
      <c r="E20" s="13" t="n">
        <v>338.41</v>
      </c>
      <c r="F20" s="14" t="n">
        <v>754.1</v>
      </c>
      <c r="G20" s="14" t="n">
        <v>5.7</v>
      </c>
      <c r="H20" s="14" t="n">
        <v>83.3</v>
      </c>
      <c r="I20" s="8" t="n">
        <v>26</v>
      </c>
      <c r="J20" s="13" t="n">
        <v>5.96</v>
      </c>
    </row>
    <row r="21">
      <c r="A21" s="5" t="inlineStr">
        <is>
          <t>NYC311-PRD</t>
        </is>
      </c>
      <c r="B21" s="5" t="inlineStr">
        <is>
          <t>HIQA</t>
        </is>
      </c>
      <c r="C21" s="8" t="n">
        <v>371</v>
      </c>
      <c r="D21" s="13" t="n">
        <v>0</v>
      </c>
      <c r="E21" s="13" t="n">
        <v>42.36</v>
      </c>
      <c r="F21" s="14" t="n">
        <v>541.7</v>
      </c>
      <c r="G21" s="14" t="n">
        <v>32.6</v>
      </c>
      <c r="H21" s="14" t="n">
        <v>97</v>
      </c>
      <c r="I21" s="8" t="n">
        <v>0</v>
      </c>
      <c r="J21" s="13" t="n">
        <v>0</v>
      </c>
    </row>
    <row r="24" ht="15" customHeight="1">
      <c r="A24" s="7" t="inlineStr">
        <is>
          <t>机构业务性质差异极大（NYPD 现场核查 vs EDC 长期项目），该表不能用来说明“哪个机构效率低”。它的价值是：衡量全城“平均速度”时，机构构成会主导结果。
NYPD 一家占 45.23% 的记录，中位仅 1.34 小时 —— 它的份额变化会直接拉动全城中位数。</t>
        </is>
      </c>
    </row>
    <row r="25" ht="15" customHeight="1"/>
    <row r="28" ht="20" customHeight="1">
      <c r="A28" s="3" t="inlineStr">
        <is>
          <t>二、季节振幅的构成分解</t>
        </is>
      </c>
    </row>
    <row r="29">
      <c r="A29" s="4" t="inlineStr">
        <is>
          <t>月份</t>
        </is>
      </c>
      <c r="B29" s="4" t="inlineStr">
        <is>
          <t>记录数</t>
        </is>
      </c>
      <c r="C29" s="4" t="inlineStr">
        <is>
          <t>① 实际中位时长(小时)</t>
        </is>
      </c>
      <c r="D29" s="4" t="inlineStr">
        <is>
          <t>② 固定机构构成</t>
        </is>
      </c>
      <c r="E29" s="4" t="inlineStr">
        <is>
          <t>③ 固定机构×类型构成</t>
        </is>
      </c>
      <c r="F29" s="4" t="inlineStr">
        <is>
          <t>①−② 差值(小时)</t>
        </is>
      </c>
      <c r="G29" s="4" t="inlineStr">
        <is>
          <t>差值占实际%</t>
        </is>
      </c>
    </row>
    <row r="30">
      <c r="A30" s="5" t="inlineStr">
        <is>
          <t>2024-10</t>
        </is>
      </c>
      <c r="B30" s="8" t="n">
        <v>299094</v>
      </c>
      <c r="C30" s="13" t="n">
        <v>7.49</v>
      </c>
      <c r="D30" s="13" t="n">
        <v>8.41</v>
      </c>
      <c r="E30" s="13" t="n">
        <v>7.5</v>
      </c>
      <c r="F30" s="13" t="n">
        <v>-0.93</v>
      </c>
      <c r="G30" s="14" t="n">
        <v>-12.36</v>
      </c>
    </row>
    <row r="31">
      <c r="A31" s="5" t="inlineStr">
        <is>
          <t>2024-11</t>
        </is>
      </c>
      <c r="B31" s="8" t="n">
        <v>287144</v>
      </c>
      <c r="C31" s="13" t="n">
        <v>12.67</v>
      </c>
      <c r="D31" s="13" t="n">
        <v>9.44</v>
      </c>
      <c r="E31" s="13" t="n">
        <v>8.41</v>
      </c>
      <c r="F31" s="13" t="n">
        <v>3.23</v>
      </c>
      <c r="G31" s="14" t="n">
        <v>25.5</v>
      </c>
    </row>
    <row r="32">
      <c r="A32" s="5" t="inlineStr">
        <is>
          <t>2024-12</t>
        </is>
      </c>
      <c r="B32" s="8" t="n">
        <v>310147</v>
      </c>
      <c r="C32" s="13" t="n">
        <v>18.27</v>
      </c>
      <c r="D32" s="13" t="n">
        <v>11.22</v>
      </c>
      <c r="E32" s="13" t="n">
        <v>10</v>
      </c>
      <c r="F32" s="13" t="n">
        <v>7.05</v>
      </c>
      <c r="G32" s="14" t="n">
        <v>38.58</v>
      </c>
    </row>
    <row r="33">
      <c r="A33" s="5" t="inlineStr">
        <is>
          <t>2025-01</t>
        </is>
      </c>
      <c r="B33" s="8" t="n">
        <v>345474</v>
      </c>
      <c r="C33" s="13" t="n">
        <v>15.08</v>
      </c>
      <c r="D33" s="13" t="n">
        <v>11.22</v>
      </c>
      <c r="E33" s="13" t="n">
        <v>10</v>
      </c>
      <c r="F33" s="13" t="n">
        <v>3.86</v>
      </c>
      <c r="G33" s="14" t="n">
        <v>25.62</v>
      </c>
    </row>
    <row r="34">
      <c r="A34" s="5" t="inlineStr">
        <is>
          <t>2025-02</t>
        </is>
      </c>
      <c r="B34" s="8" t="n">
        <v>251673</v>
      </c>
      <c r="C34" s="13" t="n">
        <v>13.79</v>
      </c>
      <c r="D34" s="13" t="n">
        <v>8.41</v>
      </c>
      <c r="E34" s="13" t="n">
        <v>8.41</v>
      </c>
      <c r="F34" s="13" t="n">
        <v>5.37</v>
      </c>
      <c r="G34" s="14" t="n">
        <v>38.97</v>
      </c>
    </row>
    <row r="35">
      <c r="A35" s="5" t="inlineStr">
        <is>
          <t>2025-03</t>
        </is>
      </c>
      <c r="B35" s="8" t="n">
        <v>277106</v>
      </c>
      <c r="C35" s="13" t="n">
        <v>8.41</v>
      </c>
      <c r="D35" s="13" t="n">
        <v>8.41</v>
      </c>
      <c r="E35" s="13" t="n">
        <v>7.94</v>
      </c>
      <c r="F35" s="13" t="n">
        <v>-0</v>
      </c>
      <c r="G35" s="14" t="n">
        <v>-0.05</v>
      </c>
    </row>
    <row r="36">
      <c r="A36" s="5" t="inlineStr">
        <is>
          <t>2025-04</t>
        </is>
      </c>
      <c r="B36" s="8" t="n">
        <v>267515</v>
      </c>
      <c r="C36" s="13" t="n">
        <v>6.98</v>
      </c>
      <c r="D36" s="13" t="n">
        <v>7.5</v>
      </c>
      <c r="E36" s="13" t="n">
        <v>6.68</v>
      </c>
      <c r="F36" s="13" t="n">
        <v>-0.52</v>
      </c>
      <c r="G36" s="14" t="n">
        <v>-7.45</v>
      </c>
    </row>
    <row r="37">
      <c r="A37" s="5" t="inlineStr">
        <is>
          <t>2025-05</t>
        </is>
      </c>
      <c r="B37" s="8" t="n">
        <v>290550</v>
      </c>
      <c r="C37" s="13" t="n">
        <v>4.14</v>
      </c>
      <c r="D37" s="13" t="n">
        <v>6.68</v>
      </c>
      <c r="E37" s="13" t="n">
        <v>6.31</v>
      </c>
      <c r="F37" s="13" t="n">
        <v>-2.55</v>
      </c>
      <c r="G37" s="14" t="n">
        <v>-61.55</v>
      </c>
    </row>
    <row r="38">
      <c r="A38" s="5" t="inlineStr">
        <is>
          <t>2025-06</t>
        </is>
      </c>
      <c r="B38" s="8" t="n">
        <v>302733</v>
      </c>
      <c r="C38" s="13" t="n">
        <v>3.51</v>
      </c>
      <c r="D38" s="13" t="n">
        <v>5.31</v>
      </c>
      <c r="E38" s="13" t="n">
        <v>5.62</v>
      </c>
      <c r="F38" s="13" t="n">
        <v>-1.8</v>
      </c>
      <c r="G38" s="14" t="n">
        <v>-51.14</v>
      </c>
    </row>
    <row r="39">
      <c r="A39" s="5" t="inlineStr">
        <is>
          <t>2025-07</t>
        </is>
      </c>
      <c r="B39" s="8" t="n">
        <v>311699</v>
      </c>
      <c r="C39" s="13" t="n">
        <v>4.61</v>
      </c>
      <c r="D39" s="13" t="n">
        <v>6.31</v>
      </c>
      <c r="E39" s="13" t="n">
        <v>6.68</v>
      </c>
      <c r="F39" s="13" t="n">
        <v>-1.7</v>
      </c>
      <c r="G39" s="14" t="n">
        <v>-36.86</v>
      </c>
    </row>
    <row r="40">
      <c r="A40" s="5" t="inlineStr">
        <is>
          <t>2025-08</t>
        </is>
      </c>
      <c r="B40" s="8" t="n">
        <v>298493</v>
      </c>
      <c r="C40" s="13" t="n">
        <v>3.94</v>
      </c>
      <c r="D40" s="13" t="n">
        <v>7.08</v>
      </c>
      <c r="E40" s="13" t="n">
        <v>6.68</v>
      </c>
      <c r="F40" s="13" t="n">
        <v>-3.14</v>
      </c>
      <c r="G40" s="14" t="n">
        <v>-79.56</v>
      </c>
    </row>
    <row r="41">
      <c r="A41" s="5" t="inlineStr">
        <is>
          <t>2025-09</t>
        </is>
      </c>
      <c r="B41" s="8" t="n">
        <v>295929</v>
      </c>
      <c r="C41" s="13" t="n">
        <v>3.7</v>
      </c>
      <c r="D41" s="13" t="n">
        <v>7.08</v>
      </c>
      <c r="E41" s="13" t="n">
        <v>5.96</v>
      </c>
      <c r="F41" s="13" t="n">
        <v>-3.38</v>
      </c>
      <c r="G41" s="14" t="n">
        <v>-91.52</v>
      </c>
    </row>
    <row r="42">
      <c r="A42" s="5" t="inlineStr">
        <is>
          <t>2025-10</t>
        </is>
      </c>
      <c r="B42" s="8" t="n">
        <v>329478</v>
      </c>
      <c r="C42" s="13" t="n">
        <v>4.81</v>
      </c>
      <c r="D42" s="13" t="n">
        <v>5.31</v>
      </c>
      <c r="E42" s="13" t="n">
        <v>5.31</v>
      </c>
      <c r="F42" s="13" t="n">
        <v>-0.5</v>
      </c>
      <c r="G42" s="14" t="n">
        <v>-10.29</v>
      </c>
    </row>
    <row r="43">
      <c r="A43" s="5" t="inlineStr">
        <is>
          <t>2025-11</t>
        </is>
      </c>
      <c r="B43" s="8" t="n">
        <v>300250</v>
      </c>
      <c r="C43" s="13" t="n">
        <v>7.67</v>
      </c>
      <c r="D43" s="13" t="n">
        <v>6.68</v>
      </c>
      <c r="E43" s="13" t="n">
        <v>6.31</v>
      </c>
      <c r="F43" s="13" t="n">
        <v>0.99</v>
      </c>
      <c r="G43" s="14" t="n">
        <v>12.9</v>
      </c>
    </row>
    <row r="44">
      <c r="A44" s="5" t="inlineStr">
        <is>
          <t>2025-12</t>
        </is>
      </c>
      <c r="B44" s="8" t="n">
        <v>327139</v>
      </c>
      <c r="C44" s="13" t="n">
        <v>12.43</v>
      </c>
      <c r="D44" s="13" t="n">
        <v>7.94</v>
      </c>
      <c r="E44" s="13" t="n">
        <v>7.08</v>
      </c>
      <c r="F44" s="13" t="n">
        <v>4.49</v>
      </c>
      <c r="G44" s="14" t="n">
        <v>36.11</v>
      </c>
    </row>
    <row r="45">
      <c r="A45" s="5" t="inlineStr">
        <is>
          <t>2026-01</t>
        </is>
      </c>
      <c r="B45" s="8" t="n">
        <v>339966</v>
      </c>
      <c r="C45" s="13" t="n">
        <v>25.83</v>
      </c>
      <c r="D45" s="13" t="n">
        <v>6.31</v>
      </c>
      <c r="E45" s="13" t="n">
        <v>5.96</v>
      </c>
      <c r="F45" s="13" t="n">
        <v>19.52</v>
      </c>
      <c r="G45" s="14" t="n">
        <v>75.58</v>
      </c>
    </row>
    <row r="46">
      <c r="A46" s="5" t="inlineStr">
        <is>
          <t>2026-02</t>
        </is>
      </c>
      <c r="B46" s="8" t="n">
        <v>323799</v>
      </c>
      <c r="C46" s="13" t="n">
        <v>16.54</v>
      </c>
      <c r="D46" s="13" t="n">
        <v>5.01</v>
      </c>
      <c r="E46" s="13" t="n">
        <v>5.96</v>
      </c>
      <c r="F46" s="13" t="n">
        <v>11.52</v>
      </c>
      <c r="G46" s="14" t="n">
        <v>69.69</v>
      </c>
    </row>
    <row r="47">
      <c r="A47" s="5" t="inlineStr">
        <is>
          <t>2026-03</t>
        </is>
      </c>
      <c r="B47" s="8" t="n">
        <v>330713</v>
      </c>
      <c r="C47" s="13" t="n">
        <v>8.27</v>
      </c>
      <c r="D47" s="13" t="n">
        <v>6.31</v>
      </c>
      <c r="E47" s="13" t="n">
        <v>6.31</v>
      </c>
      <c r="F47" s="13" t="n">
        <v>1.96</v>
      </c>
      <c r="G47" s="14" t="n">
        <v>23.71</v>
      </c>
    </row>
    <row r="48">
      <c r="A48" s="5" t="inlineStr">
        <is>
          <t>2026-04</t>
        </is>
      </c>
      <c r="B48" s="8" t="n">
        <v>291367</v>
      </c>
      <c r="C48" s="13" t="n">
        <v>6.45</v>
      </c>
      <c r="D48" s="13" t="n">
        <v>6.68</v>
      </c>
      <c r="E48" s="13" t="n">
        <v>6.31</v>
      </c>
      <c r="F48" s="13" t="n">
        <v>-0.23</v>
      </c>
      <c r="G48" s="14" t="n">
        <v>-3.62</v>
      </c>
    </row>
    <row r="49">
      <c r="A49" s="5" t="inlineStr">
        <is>
          <t>2026-05</t>
        </is>
      </c>
      <c r="B49" s="8" t="n">
        <v>318054</v>
      </c>
      <c r="C49" s="13" t="n">
        <v>5.13</v>
      </c>
      <c r="D49" s="13" t="n">
        <v>7.5</v>
      </c>
      <c r="E49" s="13" t="n">
        <v>7.08</v>
      </c>
      <c r="F49" s="13" t="n">
        <v>-2.37</v>
      </c>
      <c r="G49" s="14" t="n">
        <v>-46.07</v>
      </c>
    </row>
    <row r="50">
      <c r="A50" s="5" t="inlineStr">
        <is>
          <t>2026-06</t>
        </is>
      </c>
      <c r="B50" s="8" t="n">
        <v>318044</v>
      </c>
      <c r="C50" s="13" t="n">
        <v>5.58</v>
      </c>
      <c r="D50" s="13" t="n">
        <v>8.41</v>
      </c>
      <c r="E50" s="13" t="n">
        <v>7.94</v>
      </c>
      <c r="F50" s="13" t="n">
        <v>-2.83</v>
      </c>
      <c r="G50" s="14" t="n">
        <v>-50.74</v>
      </c>
    </row>
    <row r="51">
      <c r="A51" s="5" t="inlineStr">
        <is>
          <t>2026-07</t>
        </is>
      </c>
      <c r="B51" s="8" t="n">
        <v>316407</v>
      </c>
      <c r="C51" s="13" t="n">
        <v>4.8</v>
      </c>
      <c r="D51" s="13" t="n">
        <v>7.08</v>
      </c>
      <c r="E51" s="13" t="n">
        <v>7.08</v>
      </c>
      <c r="F51" s="13" t="n">
        <v>-2.28</v>
      </c>
      <c r="G51" s="14" t="n">
        <v>-47.46</v>
      </c>
    </row>
    <row r="52">
      <c r="A52" s="5" t="inlineStr">
        <is>
          <t>2026-08</t>
        </is>
      </c>
      <c r="B52" s="8" t="n">
        <v>281249</v>
      </c>
      <c r="C52" s="13" t="n">
        <v>3.92</v>
      </c>
      <c r="D52" s="13" t="n">
        <v>6.68</v>
      </c>
      <c r="E52" s="13" t="n">
        <v>7.08</v>
      </c>
      <c r="F52" s="13" t="n">
        <v>-2.77</v>
      </c>
      <c r="G52" s="14" t="n">
        <v>-70.65000000000001</v>
      </c>
    </row>
    <row r="54" ht="15" customHeight="1">
      <c r="A54" s="7" t="inlineStr">
        <is>
          <t>方法：把每个月 (机构 × 类型) 的处置时长分布按对数分箱成直方图，用全期（2024-10~2026-08）的构成占比重新加权，再取中位数。② 只固定机构，③ 进一步固定到“机构×类型”。
结果：实际中位时长冬（12–2 月）均值 16.99 小时、夏（6–8 月）4.39 小时，冬/夏 = 3.87×；② 降到 1.23×，③ 降到 1.15×。
也就是说，冬季城市整体“变慢”的印象几乎完全来自请求构成变化（HPD 供暖类投诉占比上升），而不是各机构在自己业务上变慢。
这不是“服务没有压力”：①−② 的差值恰恰说明，构成变化本身是需要被预测和排班的真实运营冲击。</t>
        </is>
      </c>
    </row>
    <row r="55" ht="15" customHeight="1"/>
    <row r="56" ht="15" customHeight="1"/>
    <row r="57" ht="15" customHeight="1"/>
  </sheetData>
  <mergeCells count="2">
    <mergeCell ref="A54:H57"/>
    <mergeCell ref="A24:H2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H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0" customWidth="1" min="4" max="4"/>
    <col width="40" customWidth="1" min="5" max="5"/>
  </cols>
  <sheetData>
    <row r="1" ht="26" customHeight="1">
      <c r="A1" s="1" t="inlineStr">
        <is>
          <t>2025–26 冬季冲击链：雪害与坑洞</t>
        </is>
      </c>
    </row>
    <row r="2" ht="30" customHeight="1">
      <c r="A2" s="2" t="inlineStr">
        <is>
          <t>同一场寒冬在两个不同机构、相隔两个季度留下的痕迹，以及处置端的响应。</t>
        </is>
      </c>
    </row>
    <row r="4" ht="20" customHeight="1">
      <c r="A4" s="3" t="inlineStr">
        <is>
          <t>一、对比表</t>
        </is>
      </c>
    </row>
    <row r="5">
      <c r="A5" s="4" t="inlineStr">
        <is>
          <t>类型（机构）</t>
        </is>
      </c>
      <c r="B5" s="4" t="inlineStr">
        <is>
          <t>基期条数</t>
        </is>
      </c>
      <c r="C5" s="4" t="inlineStr">
        <is>
          <t>对比期条数</t>
        </is>
      </c>
      <c r="D5" s="4" t="inlineStr">
        <is>
          <t>倍数</t>
        </is>
      </c>
      <c r="E5" s="4" t="inlineStr">
        <is>
          <t>口径</t>
        </is>
      </c>
    </row>
    <row r="6">
      <c r="A6" s="5" t="inlineStr">
        <is>
          <t>Snow or Ice (DSNY)</t>
        </is>
      </c>
      <c r="B6" s="8" t="n">
        <v>8794</v>
      </c>
      <c r="C6" s="8" t="n">
        <v>63722</v>
      </c>
      <c r="D6" s="14" t="n">
        <v>7.2</v>
      </c>
      <c r="E6" s="5" t="inlineStr">
        <is>
          <t>2024-25 冬 vs 2025-26 冬（12–2 月）</t>
        </is>
      </c>
    </row>
    <row r="7">
      <c r="A7" s="5" t="inlineStr">
        <is>
          <t>Pothole (DOT)</t>
        </is>
      </c>
      <c r="B7" s="8" t="n">
        <v>4313</v>
      </c>
      <c r="C7" s="8" t="n">
        <v>22790</v>
      </c>
      <c r="D7" s="14" t="n">
        <v>5.3</v>
      </c>
      <c r="E7" s="5" t="inlineStr">
        <is>
          <t>2025-03 vs 2026-03 单月（同一机构同一类型，可比）</t>
        </is>
      </c>
    </row>
    <row r="8">
      <c r="A8" s="5" t="inlineStr">
        <is>
          <t>Damaged Tree (DPR)</t>
        </is>
      </c>
      <c r="B8" s="8" t="n">
        <v>3359</v>
      </c>
      <c r="C8" s="8" t="n">
        <v>5445</v>
      </c>
      <c r="D8" s="14" t="n">
        <v>1.6</v>
      </c>
      <c r="E8" s="5" t="inlineStr">
        <is>
          <t>2024-25 冬 vs 2025-26 冬（12–2 月）</t>
        </is>
      </c>
    </row>
    <row r="9">
      <c r="A9" s="5" t="inlineStr">
        <is>
          <t>HEAT/HOT WATER (HPD)</t>
        </is>
      </c>
      <c r="B9" s="8" t="n">
        <v>170846</v>
      </c>
      <c r="C9" s="8" t="n">
        <v>202861</v>
      </c>
      <c r="D9" s="14" t="n">
        <v>1.2</v>
      </c>
      <c r="E9" s="5" t="inlineStr">
        <is>
          <t>2024-25 冬 vs 2025-26 冬（12–2 月）</t>
        </is>
      </c>
    </row>
    <row r="12" ht="20" customHeight="1">
      <c r="A12" s="3" t="inlineStr">
        <is>
          <t>二、月度序列（完整月 2024-10 ~ 2026-08）</t>
        </is>
      </c>
    </row>
    <row r="13">
      <c r="A13" s="4" t="inlineStr">
        <is>
          <t>月份</t>
        </is>
      </c>
      <c r="B13" s="4" t="inlineStr">
        <is>
          <t>Snow or Ice</t>
        </is>
      </c>
      <c r="C13" s="4" t="inlineStr">
        <is>
          <t>Pothole</t>
        </is>
      </c>
    </row>
    <row r="14">
      <c r="A14" s="5" t="inlineStr">
        <is>
          <t>2024-10</t>
        </is>
      </c>
      <c r="B14" s="8" t="n">
        <v>0</v>
      </c>
      <c r="C14" s="8" t="n">
        <v>1796</v>
      </c>
    </row>
    <row r="15">
      <c r="A15" s="5" t="inlineStr">
        <is>
          <t>2024-11</t>
        </is>
      </c>
      <c r="B15" s="8" t="n">
        <v>2</v>
      </c>
      <c r="C15" s="8" t="n">
        <v>1823</v>
      </c>
    </row>
    <row r="16">
      <c r="A16" s="5" t="inlineStr">
        <is>
          <t>2024-12</t>
        </is>
      </c>
      <c r="B16" s="8" t="n">
        <v>816</v>
      </c>
      <c r="C16" s="8" t="n">
        <v>3476</v>
      </c>
    </row>
    <row r="17">
      <c r="A17" s="5" t="inlineStr">
        <is>
          <t>2025-01</t>
        </is>
      </c>
      <c r="B17" s="8" t="n">
        <v>5161</v>
      </c>
      <c r="C17" s="8" t="n">
        <v>3693</v>
      </c>
    </row>
    <row r="18">
      <c r="A18" s="5" t="inlineStr">
        <is>
          <t>2025-02</t>
        </is>
      </c>
      <c r="B18" s="8" t="n">
        <v>2817</v>
      </c>
      <c r="C18" s="8" t="n">
        <v>3560</v>
      </c>
    </row>
    <row r="19">
      <c r="A19" s="5" t="inlineStr">
        <is>
          <t>2025-03</t>
        </is>
      </c>
      <c r="B19" s="8" t="n">
        <v>12</v>
      </c>
      <c r="C19" s="8" t="n">
        <v>4313</v>
      </c>
    </row>
    <row r="20">
      <c r="A20" s="5" t="inlineStr">
        <is>
          <t>2025-04</t>
        </is>
      </c>
      <c r="B20" s="8" t="n">
        <v>0</v>
      </c>
      <c r="C20" s="8" t="n">
        <v>3881</v>
      </c>
    </row>
    <row r="21">
      <c r="A21" s="5" t="inlineStr">
        <is>
          <t>2025-05</t>
        </is>
      </c>
      <c r="B21" s="8" t="n">
        <v>0</v>
      </c>
      <c r="C21" s="8" t="n">
        <v>4163</v>
      </c>
    </row>
    <row r="22">
      <c r="A22" s="5" t="inlineStr">
        <is>
          <t>2025-06</t>
        </is>
      </c>
      <c r="B22" s="8" t="n">
        <v>0</v>
      </c>
      <c r="C22" s="8" t="n">
        <v>4063</v>
      </c>
    </row>
    <row r="23">
      <c r="A23" s="5" t="inlineStr">
        <is>
          <t>2025-07</t>
        </is>
      </c>
      <c r="B23" s="8" t="n">
        <v>0</v>
      </c>
      <c r="C23" s="8" t="n">
        <v>2724</v>
      </c>
    </row>
    <row r="24">
      <c r="A24" s="5" t="inlineStr">
        <is>
          <t>2025-08</t>
        </is>
      </c>
      <c r="B24" s="8" t="n">
        <v>0</v>
      </c>
      <c r="C24" s="8" t="n">
        <v>2521</v>
      </c>
    </row>
    <row r="25">
      <c r="A25" s="5" t="inlineStr">
        <is>
          <t>2025-09</t>
        </is>
      </c>
      <c r="B25" s="8" t="n">
        <v>0</v>
      </c>
      <c r="C25" s="8" t="n">
        <v>2398</v>
      </c>
    </row>
    <row r="26">
      <c r="A26" s="5" t="inlineStr">
        <is>
          <t>2025-10</t>
        </is>
      </c>
      <c r="B26" s="8" t="n">
        <v>0</v>
      </c>
      <c r="C26" s="8" t="n">
        <v>2321</v>
      </c>
    </row>
    <row r="27">
      <c r="A27" s="5" t="inlineStr">
        <is>
          <t>2025-11</t>
        </is>
      </c>
      <c r="B27" s="8" t="n">
        <v>8</v>
      </c>
      <c r="C27" s="8" t="n">
        <v>1891</v>
      </c>
    </row>
    <row r="28">
      <c r="A28" s="5" t="inlineStr">
        <is>
          <t>2025-12</t>
        </is>
      </c>
      <c r="B28" s="8" t="n">
        <v>8700</v>
      </c>
      <c r="C28" s="8" t="n">
        <v>2910</v>
      </c>
    </row>
    <row r="29">
      <c r="A29" s="5" t="inlineStr">
        <is>
          <t>2026-01</t>
        </is>
      </c>
      <c r="B29" s="8" t="n">
        <v>24079</v>
      </c>
      <c r="C29" s="8" t="n">
        <v>3218</v>
      </c>
    </row>
    <row r="30">
      <c r="A30" s="5" t="inlineStr">
        <is>
          <t>2026-02</t>
        </is>
      </c>
      <c r="B30" s="8" t="n">
        <v>30943</v>
      </c>
      <c r="C30" s="8" t="n">
        <v>4618</v>
      </c>
    </row>
    <row r="31">
      <c r="A31" s="5" t="inlineStr">
        <is>
          <t>2026-03</t>
        </is>
      </c>
      <c r="B31" s="8" t="n">
        <v>208</v>
      </c>
      <c r="C31" s="8" t="n">
        <v>22790</v>
      </c>
    </row>
    <row r="32">
      <c r="A32" s="5" t="inlineStr">
        <is>
          <t>2026-04</t>
        </is>
      </c>
      <c r="B32" s="8" t="n">
        <v>0</v>
      </c>
      <c r="C32" s="8" t="n">
        <v>11421</v>
      </c>
    </row>
    <row r="33">
      <c r="A33" s="5" t="inlineStr">
        <is>
          <t>2026-05</t>
        </is>
      </c>
      <c r="B33" s="8" t="n">
        <v>0</v>
      </c>
      <c r="C33" s="8" t="n">
        <v>7150</v>
      </c>
    </row>
    <row r="34">
      <c r="A34" s="5" t="inlineStr">
        <is>
          <t>2026-06</t>
        </is>
      </c>
      <c r="B34" s="8" t="n">
        <v>0</v>
      </c>
      <c r="C34" s="8" t="n">
        <v>6077</v>
      </c>
    </row>
    <row r="35">
      <c r="A35" s="5" t="inlineStr">
        <is>
          <t>2026-07</t>
        </is>
      </c>
      <c r="B35" s="8" t="n">
        <v>0</v>
      </c>
      <c r="C35" s="8" t="n">
        <v>4661</v>
      </c>
    </row>
    <row r="36">
      <c r="A36" s="5" t="inlineStr">
        <is>
          <t>2026-08</t>
        </is>
      </c>
      <c r="B36" s="8" t="n">
        <v>0</v>
      </c>
      <c r="C36" s="8" t="n">
        <v>4293</v>
      </c>
    </row>
    <row r="38" ht="20" customHeight="1">
      <c r="A38" s="3" t="inlineStr">
        <is>
          <t>三、坑洞处置速度（检验“量涨是否导致变慢”）</t>
        </is>
      </c>
    </row>
    <row r="39">
      <c r="A39" s="4" t="inlineStr">
        <is>
          <t>口径</t>
        </is>
      </c>
      <c r="B39" s="4" t="inlineStr">
        <is>
          <t>当月 Pothole 条数</t>
        </is>
      </c>
      <c r="C39" s="4" t="inlineStr">
        <is>
          <t>当月中位处置时长(小时)</t>
        </is>
      </c>
    </row>
    <row r="40">
      <c r="A40" s="5" t="inlineStr">
        <is>
          <t>2025-03（平常年同月）</t>
        </is>
      </c>
      <c r="B40" s="8" t="n">
        <v>4313</v>
      </c>
      <c r="C40" s="14" t="n">
        <v>21.9</v>
      </c>
    </row>
    <row r="41">
      <c r="A41" s="5" t="inlineStr">
        <is>
          <t>2026-02（爆发前）</t>
        </is>
      </c>
      <c r="B41" s="8" t="n">
        <v>4618</v>
      </c>
      <c r="C41" s="14" t="n">
        <v>20.6</v>
      </c>
    </row>
    <row r="42">
      <c r="A42" s="15" t="inlineStr">
        <is>
          <t>2026-03（爆发当月）</t>
        </is>
      </c>
      <c r="B42" s="16" t="n">
        <v>22790</v>
      </c>
      <c r="C42" s="17" t="n">
        <v>23.7</v>
      </c>
    </row>
    <row r="43">
      <c r="A43" s="5" t="inlineStr">
        <is>
          <t>2026-04</t>
        </is>
      </c>
      <c r="B43" s="8" t="n">
        <v>11421</v>
      </c>
      <c r="C43" s="14" t="n">
        <v>17.8</v>
      </c>
    </row>
    <row r="44">
      <c r="A44" s="5" t="inlineStr">
        <is>
          <t>2026-05</t>
        </is>
      </c>
      <c r="B44" s="8" t="n">
        <v>7150</v>
      </c>
      <c r="C44" s="14" t="n">
        <v>17.6</v>
      </c>
    </row>
    <row r="45">
      <c r="A45" s="5" t="inlineStr">
        <is>
          <t>2026-06</t>
        </is>
      </c>
      <c r="B45" s="8" t="n">
        <v>6077</v>
      </c>
      <c r="C45" s="14" t="n">
        <v>18.9</v>
      </c>
    </row>
    <row r="46">
      <c r="A46" s="5" t="inlineStr">
        <is>
          <t>常年月度均值（2024-10~2025-09，12 个月）</t>
        </is>
      </c>
      <c r="B46" s="8" t="n">
        <v>3201</v>
      </c>
      <c r="C46" s="14" t="n">
        <v>21.9</v>
      </c>
    </row>
    <row r="49" ht="15" customHeight="1">
      <c r="A49" s="7" t="inlineStr">
        <is>
          <t>证据：Snow or Ice 在 2025–26 冬季（12–2 月）达 63,722 条，是上一冬季同三个月 8,794 条的 7.2 倍；峰值月 2026-02 单月 30,943 条。
推断（数据内一致，但未用外部天气数据验证）：2025–26 冬季更寒冷多雪，冻融循环加剧路面破损，导致 2026-03 坑洞投诉单月 22,790 条，是 2025 年同月的 5.3 倍。
对照：坑洞爆发当月的中位处置时长 23.7 小时，与常年 21 小时量级相同；4–5 月反而降到 17.6–17.8 小时。就这份数据能观察到的范围而言，DOT 的消化速度没有因量涨而恶化。
边界：这只说明“记录层面没有变慢”，不代表养护质量或路面实际状况；且 2026-03 之后坑洞月度基线整体抬升（4,293–11,421 条）未回落至爆发前水平。</t>
        </is>
      </c>
    </row>
    <row r="50" ht="15" customHeight="1"/>
    <row r="51" ht="15" customHeight="1"/>
    <row r="52" ht="15" customHeight="1"/>
  </sheetData>
  <mergeCells count="1">
    <mergeCell ref="A49:H5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8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单地址集中度：记录数 ≠ 事件数</t>
        </is>
      </c>
    </row>
    <row r="2" ht="30" customHeight="1">
      <c r="A2" s="2" t="inlineStr">
        <is>
          <t>对 6,808,474 条带 address_type=ADDRESS 的记录按 incident_address 聚合（847,815 个不同地址，均值 8.03 条/地址）。</t>
        </is>
      </c>
    </row>
    <row r="4" ht="20" customHeight="1">
      <c r="A4" s="3" t="inlineStr">
        <is>
          <t>一、记录数最多的 20 个地址</t>
        </is>
      </c>
    </row>
    <row r="5">
      <c r="A5" s="4" t="inlineStr">
        <is>
          <t>地址</t>
        </is>
      </c>
      <c r="B5" s="4" t="inlineStr">
        <is>
          <t>行政区</t>
        </is>
      </c>
      <c r="C5" s="4" t="inlineStr">
        <is>
          <t>邮编</t>
        </is>
      </c>
      <c r="D5" s="4" t="inlineStr">
        <is>
          <t>记录数</t>
        </is>
      </c>
      <c r="E5" s="4" t="inlineStr">
        <is>
          <t>占全城%</t>
        </is>
      </c>
      <c r="F5" s="4" t="inlineStr">
        <is>
          <t>类型数</t>
        </is>
      </c>
      <c r="G5" s="4" t="inlineStr">
        <is>
          <t>噪音类占比%</t>
        </is>
      </c>
      <c r="H5" s="4" t="inlineStr">
        <is>
          <t>MOBILE渠道%</t>
        </is>
      </c>
      <c r="I5" s="4" t="inlineStr">
        <is>
          <t>首条日期</t>
        </is>
      </c>
      <c r="J5" s="4" t="inlineStr">
        <is>
          <t>末条日期</t>
        </is>
      </c>
    </row>
    <row r="6" ht="15" customHeight="1">
      <c r="A6" s="15" t="inlineStr">
        <is>
          <t>655 EAST  230 STREET</t>
        </is>
      </c>
      <c r="B6" s="15" t="inlineStr">
        <is>
          <t>BRONX</t>
        </is>
      </c>
      <c r="C6" s="15" t="n">
        <v>10466</v>
      </c>
      <c r="D6" s="16" t="n">
        <v>167703</v>
      </c>
      <c r="E6" s="18" t="n">
        <v>2.228</v>
      </c>
      <c r="F6" s="15" t="n">
        <v>21</v>
      </c>
      <c r="G6" s="17" t="n">
        <v>99.59999999999999</v>
      </c>
      <c r="H6" s="17" t="n">
        <v>99.59999999999999</v>
      </c>
      <c r="I6" s="15" t="inlineStr">
        <is>
          <t>2024-09-07</t>
        </is>
      </c>
      <c r="J6" s="15" t="inlineStr">
        <is>
          <t>2026-09-01</t>
        </is>
      </c>
    </row>
    <row r="7" ht="15" customHeight="1">
      <c r="A7" s="5" t="inlineStr">
        <is>
          <t>78-15 PARSONS BOULEVARD</t>
        </is>
      </c>
      <c r="B7" s="5" t="inlineStr">
        <is>
          <t>QUEENS</t>
        </is>
      </c>
      <c r="C7" s="5" t="n">
        <v>11366</v>
      </c>
      <c r="D7" s="8" t="n">
        <v>23077</v>
      </c>
      <c r="E7" s="19" t="n">
        <v>0.307</v>
      </c>
      <c r="F7" s="5" t="n">
        <v>14</v>
      </c>
      <c r="G7" s="14" t="n">
        <v>11.1</v>
      </c>
      <c r="H7" s="14" t="n">
        <v>0</v>
      </c>
      <c r="I7" s="5" t="inlineStr">
        <is>
          <t>2024-09-07</t>
        </is>
      </c>
      <c r="J7" s="5" t="inlineStr">
        <is>
          <t>2026-09-04</t>
        </is>
      </c>
    </row>
    <row r="8" ht="15" customHeight="1">
      <c r="A8" s="5" t="inlineStr">
        <is>
          <t>5-47 50 AVENUE</t>
        </is>
      </c>
      <c r="B8" s="5" t="inlineStr">
        <is>
          <t>QUEENS</t>
        </is>
      </c>
      <c r="C8" s="5" t="n">
        <v>11101</v>
      </c>
      <c r="D8" s="8" t="n">
        <v>14504</v>
      </c>
      <c r="E8" s="19" t="n">
        <v>0.193</v>
      </c>
      <c r="F8" s="5" t="n">
        <v>9</v>
      </c>
      <c r="G8" s="14" t="n">
        <v>0</v>
      </c>
      <c r="H8" s="14" t="n">
        <v>6.8</v>
      </c>
      <c r="I8" s="5" t="inlineStr">
        <is>
          <t>2024-09-07</t>
        </is>
      </c>
      <c r="J8" s="5" t="inlineStr">
        <is>
          <t>2026-08-31</t>
        </is>
      </c>
    </row>
    <row r="9" ht="15" customHeight="1">
      <c r="A9" s="5" t="inlineStr">
        <is>
          <t>661 EAST  230 STREET</t>
        </is>
      </c>
      <c r="B9" s="5" t="inlineStr">
        <is>
          <t>BRONX</t>
        </is>
      </c>
      <c r="C9" s="5" t="n">
        <v>10466</v>
      </c>
      <c r="D9" s="8" t="n">
        <v>13836</v>
      </c>
      <c r="E9" s="19" t="n">
        <v>0.184</v>
      </c>
      <c r="F9" s="5" t="n">
        <v>3</v>
      </c>
      <c r="G9" s="14" t="n">
        <v>100</v>
      </c>
      <c r="H9" s="14" t="n">
        <v>100</v>
      </c>
      <c r="I9" s="5" t="inlineStr">
        <is>
          <t>2024-09-15</t>
        </is>
      </c>
      <c r="J9" s="5" t="inlineStr">
        <is>
          <t>2026-03-18</t>
        </is>
      </c>
    </row>
    <row r="10" ht="15" customHeight="1">
      <c r="A10" s="5" t="inlineStr">
        <is>
          <t>82-68 164 STREET</t>
        </is>
      </c>
      <c r="B10" s="5" t="inlineStr">
        <is>
          <t>QUEENS</t>
        </is>
      </c>
      <c r="C10" s="5" t="n">
        <v>11432</v>
      </c>
      <c r="D10" s="8" t="n">
        <v>10585</v>
      </c>
      <c r="E10" s="19" t="n">
        <v>0.141</v>
      </c>
      <c r="F10" s="5" t="n">
        <v>20</v>
      </c>
      <c r="G10" s="14" t="n">
        <v>1.6</v>
      </c>
      <c r="H10" s="14" t="n">
        <v>0</v>
      </c>
      <c r="I10" s="5" t="inlineStr">
        <is>
          <t>2024-09-07</t>
        </is>
      </c>
      <c r="J10" s="5" t="inlineStr">
        <is>
          <t>2026-09-04</t>
        </is>
      </c>
    </row>
    <row r="11" ht="15" customHeight="1">
      <c r="A11" s="5" t="inlineStr">
        <is>
          <t>100 MESEROLE AVENUE</t>
        </is>
      </c>
      <c r="B11" s="5" t="inlineStr">
        <is>
          <t>BROOKLYN</t>
        </is>
      </c>
      <c r="C11" s="5" t="n">
        <v>11222</v>
      </c>
      <c r="D11" s="8" t="n">
        <v>10443</v>
      </c>
      <c r="E11" s="19" t="n">
        <v>0.139</v>
      </c>
      <c r="F11" s="5" t="n">
        <v>8</v>
      </c>
      <c r="G11" s="14" t="n">
        <v>0</v>
      </c>
      <c r="H11" s="14" t="n">
        <v>12.7</v>
      </c>
      <c r="I11" s="5" t="inlineStr">
        <is>
          <t>2024-09-07</t>
        </is>
      </c>
      <c r="J11" s="5" t="inlineStr">
        <is>
          <t>2026-09-03</t>
        </is>
      </c>
    </row>
    <row r="12" ht="15" customHeight="1">
      <c r="A12" s="5" t="inlineStr">
        <is>
          <t>1465 WASHINGTON AVENUE</t>
        </is>
      </c>
      <c r="B12" s="5" t="inlineStr">
        <is>
          <t>BRONX</t>
        </is>
      </c>
      <c r="C12" s="5" t="n">
        <v>10456</v>
      </c>
      <c r="D12" s="8" t="n">
        <v>10045</v>
      </c>
      <c r="E12" s="19" t="n">
        <v>0.133</v>
      </c>
      <c r="F12" s="5" t="n">
        <v>34</v>
      </c>
      <c r="G12" s="14" t="n">
        <v>68.2</v>
      </c>
      <c r="H12" s="14" t="n">
        <v>0.1</v>
      </c>
      <c r="I12" s="5" t="inlineStr">
        <is>
          <t>2024-09-07</t>
        </is>
      </c>
      <c r="J12" s="5" t="inlineStr">
        <is>
          <t>2026-09-04</t>
        </is>
      </c>
    </row>
    <row r="13" ht="15" customHeight="1">
      <c r="A13" s="5" t="inlineStr">
        <is>
          <t>1869 83 STREET</t>
        </is>
      </c>
      <c r="B13" s="5" t="inlineStr">
        <is>
          <t>BROOKLYN</t>
        </is>
      </c>
      <c r="C13" s="5" t="n">
        <v>11214</v>
      </c>
      <c r="D13" s="8" t="n">
        <v>9570</v>
      </c>
      <c r="E13" s="19" t="n">
        <v>0.127</v>
      </c>
      <c r="F13" s="5" t="n">
        <v>14</v>
      </c>
      <c r="G13" s="14" t="n">
        <v>99.7</v>
      </c>
      <c r="H13" s="14" t="n">
        <v>0.1</v>
      </c>
      <c r="I13" s="5" t="inlineStr">
        <is>
          <t>2024-09-07</t>
        </is>
      </c>
      <c r="J13" s="5" t="inlineStr">
        <is>
          <t>2026-09-04</t>
        </is>
      </c>
    </row>
    <row r="14" ht="15" customHeight="1">
      <c r="A14" s="5" t="inlineStr">
        <is>
          <t>191 UNION STREET</t>
        </is>
      </c>
      <c r="B14" s="5" t="inlineStr">
        <is>
          <t>BROOKLYN</t>
        </is>
      </c>
      <c r="C14" s="5" t="n">
        <v>11231</v>
      </c>
      <c r="D14" s="8" t="n">
        <v>9157</v>
      </c>
      <c r="E14" s="19" t="n">
        <v>0.122</v>
      </c>
      <c r="F14" s="5" t="n">
        <v>8</v>
      </c>
      <c r="G14" s="14" t="n">
        <v>0</v>
      </c>
      <c r="H14" s="14" t="n">
        <v>0</v>
      </c>
      <c r="I14" s="5" t="inlineStr">
        <is>
          <t>2024-09-16</t>
        </is>
      </c>
      <c r="J14" s="5" t="inlineStr">
        <is>
          <t>2026-08-31</t>
        </is>
      </c>
    </row>
    <row r="15" ht="15" customHeight="1">
      <c r="A15" s="5" t="inlineStr">
        <is>
          <t>298 CLASSON AVENUE</t>
        </is>
      </c>
      <c r="B15" s="5" t="inlineStr">
        <is>
          <t>BROOKLYN</t>
        </is>
      </c>
      <c r="C15" s="5" t="n">
        <v>11205</v>
      </c>
      <c r="D15" s="8" t="n">
        <v>8182</v>
      </c>
      <c r="E15" s="19" t="n">
        <v>0.109</v>
      </c>
      <c r="F15" s="5" t="n">
        <v>12</v>
      </c>
      <c r="G15" s="14" t="n">
        <v>0</v>
      </c>
      <c r="H15" s="14" t="n">
        <v>0</v>
      </c>
      <c r="I15" s="5" t="inlineStr">
        <is>
          <t>2024-10-23</t>
        </is>
      </c>
      <c r="J15" s="5" t="inlineStr">
        <is>
          <t>2026-08-31</t>
        </is>
      </c>
    </row>
    <row r="16" ht="15" customHeight="1">
      <c r="A16" s="5" t="inlineStr">
        <is>
          <t>957 WOODYCREST AVENUE</t>
        </is>
      </c>
      <c r="B16" s="5" t="inlineStr">
        <is>
          <t>BRONX</t>
        </is>
      </c>
      <c r="C16" s="5" t="n">
        <v>10452</v>
      </c>
      <c r="D16" s="8" t="n">
        <v>6906</v>
      </c>
      <c r="E16" s="19" t="n">
        <v>0.092</v>
      </c>
      <c r="F16" s="5" t="n">
        <v>45</v>
      </c>
      <c r="G16" s="14" t="n">
        <v>14.6</v>
      </c>
      <c r="H16" s="14" t="n">
        <v>0.1</v>
      </c>
      <c r="I16" s="5" t="inlineStr">
        <is>
          <t>2024-09-07</t>
        </is>
      </c>
      <c r="J16" s="5" t="inlineStr">
        <is>
          <t>2026-09-05</t>
        </is>
      </c>
    </row>
    <row r="17" ht="15" customHeight="1">
      <c r="A17" s="5" t="inlineStr">
        <is>
          <t>1040B EAST  217 STREET</t>
        </is>
      </c>
      <c r="B17" s="5" t="inlineStr">
        <is>
          <t>BRONX</t>
        </is>
      </c>
      <c r="C17" s="5" t="n">
        <v>10469</v>
      </c>
      <c r="D17" s="8" t="n">
        <v>6061</v>
      </c>
      <c r="E17" s="19" t="n">
        <v>0.081</v>
      </c>
      <c r="F17" s="5" t="n">
        <v>9</v>
      </c>
      <c r="G17" s="14" t="n">
        <v>0.3</v>
      </c>
      <c r="H17" s="14" t="n">
        <v>99.8</v>
      </c>
      <c r="I17" s="5" t="inlineStr">
        <is>
          <t>2024-10-01</t>
        </is>
      </c>
      <c r="J17" s="5" t="inlineStr">
        <is>
          <t>2026-05-08</t>
        </is>
      </c>
    </row>
    <row r="18" ht="15" customHeight="1">
      <c r="A18" s="5" t="inlineStr">
        <is>
          <t>34-16 ASTORIA BOULEVARD SOUTH</t>
        </is>
      </c>
      <c r="B18" s="5" t="inlineStr">
        <is>
          <t>QUEENS</t>
        </is>
      </c>
      <c r="C18" s="5" t="n">
        <v>11103</v>
      </c>
      <c r="D18" s="8" t="n">
        <v>5192</v>
      </c>
      <c r="E18" s="19" t="n">
        <v>0.06900000000000001</v>
      </c>
      <c r="F18" s="5" t="n">
        <v>4</v>
      </c>
      <c r="G18" s="14" t="n">
        <v>0</v>
      </c>
      <c r="H18" s="14" t="n">
        <v>0</v>
      </c>
      <c r="I18" s="5" t="inlineStr">
        <is>
          <t>2024-09-07</t>
        </is>
      </c>
      <c r="J18" s="5" t="inlineStr">
        <is>
          <t>2026-01-08</t>
        </is>
      </c>
    </row>
    <row r="19" ht="15" customHeight="1">
      <c r="A19" s="5" t="inlineStr">
        <is>
          <t>301 GOLD STREET</t>
        </is>
      </c>
      <c r="B19" s="5" t="inlineStr">
        <is>
          <t>BROOKLYN</t>
        </is>
      </c>
      <c r="C19" s="5" t="n">
        <v>11201</v>
      </c>
      <c r="D19" s="8" t="n">
        <v>4897</v>
      </c>
      <c r="E19" s="19" t="n">
        <v>0.065</v>
      </c>
      <c r="F19" s="5" t="n">
        <v>11</v>
      </c>
      <c r="G19" s="14" t="n">
        <v>0</v>
      </c>
      <c r="H19" s="14" t="n">
        <v>0</v>
      </c>
      <c r="I19" s="5" t="inlineStr">
        <is>
          <t>2024-09-07</t>
        </is>
      </c>
      <c r="J19" s="5" t="inlineStr">
        <is>
          <t>2026-08-31</t>
        </is>
      </c>
    </row>
    <row r="20" ht="15" customHeight="1">
      <c r="A20" s="5" t="inlineStr">
        <is>
          <t>158-33 78 AVENUE</t>
        </is>
      </c>
      <c r="B20" s="5" t="inlineStr">
        <is>
          <t>QUEENS</t>
        </is>
      </c>
      <c r="C20" s="5" t="n">
        <v>11366</v>
      </c>
      <c r="D20" s="8" t="n">
        <v>4787</v>
      </c>
      <c r="E20" s="19" t="n">
        <v>0.064</v>
      </c>
      <c r="F20" s="5" t="n">
        <v>5</v>
      </c>
      <c r="G20" s="14" t="n">
        <v>0.3</v>
      </c>
      <c r="H20" s="14" t="n">
        <v>0</v>
      </c>
      <c r="I20" s="5" t="inlineStr">
        <is>
          <t>2024-09-07</t>
        </is>
      </c>
      <c r="J20" s="5" t="inlineStr">
        <is>
          <t>2026-09-04</t>
        </is>
      </c>
    </row>
    <row r="21" ht="15" customHeight="1">
      <c r="A21" s="5" t="inlineStr">
        <is>
          <t>34-16 ASTORIA BLVD SOUTH</t>
        </is>
      </c>
      <c r="B21" s="5" t="inlineStr">
        <is>
          <t>QUEENS</t>
        </is>
      </c>
      <c r="C21" s="5" t="n">
        <v>11103</v>
      </c>
      <c r="D21" s="8" t="n">
        <v>4743</v>
      </c>
      <c r="E21" s="19" t="n">
        <v>0.063</v>
      </c>
      <c r="F21" s="5" t="n">
        <v>6</v>
      </c>
      <c r="G21" s="14" t="n">
        <v>0</v>
      </c>
      <c r="H21" s="14" t="n">
        <v>0.2</v>
      </c>
      <c r="I21" s="5" t="inlineStr">
        <is>
          <t>2024-11-01</t>
        </is>
      </c>
      <c r="J21" s="5" t="inlineStr">
        <is>
          <t>2026-08-31</t>
        </is>
      </c>
    </row>
    <row r="22" ht="15" customHeight="1">
      <c r="A22" s="5" t="inlineStr">
        <is>
          <t>1000 5 AVENUE</t>
        </is>
      </c>
      <c r="B22" s="5" t="inlineStr">
        <is>
          <t>MANHATTAN</t>
        </is>
      </c>
      <c r="C22" s="5" t="n">
        <v>10028</v>
      </c>
      <c r="D22" s="8" t="n">
        <v>4544</v>
      </c>
      <c r="E22" s="19" t="n">
        <v>0.06</v>
      </c>
      <c r="F22" s="5" t="n">
        <v>47</v>
      </c>
      <c r="G22" s="14" t="n">
        <v>0</v>
      </c>
      <c r="H22" s="14" t="n">
        <v>5.2</v>
      </c>
      <c r="I22" s="5" t="inlineStr">
        <is>
          <t>2024-09-08</t>
        </is>
      </c>
      <c r="J22" s="5" t="inlineStr">
        <is>
          <t>2026-09-04</t>
        </is>
      </c>
    </row>
    <row r="23" ht="15" customHeight="1">
      <c r="A23" s="5" t="inlineStr">
        <is>
          <t>655 EAST 230 STREET</t>
        </is>
      </c>
      <c r="B23" s="5" t="inlineStr">
        <is>
          <t>BRONX</t>
        </is>
      </c>
      <c r="C23" s="5" t="n">
        <v>10466</v>
      </c>
      <c r="D23" s="8" t="n">
        <v>4509</v>
      </c>
      <c r="E23" s="19" t="n">
        <v>0.06</v>
      </c>
      <c r="F23" s="5" t="n">
        <v>2</v>
      </c>
      <c r="G23" s="14" t="n">
        <v>99.40000000000001</v>
      </c>
      <c r="H23" s="14" t="n">
        <v>99.8</v>
      </c>
      <c r="I23" s="5" t="inlineStr">
        <is>
          <t>2026-01-11</t>
        </is>
      </c>
      <c r="J23" s="5" t="inlineStr">
        <is>
          <t>2026-09-03</t>
        </is>
      </c>
    </row>
    <row r="24" ht="15" customHeight="1">
      <c r="A24" s="5" t="inlineStr">
        <is>
          <t>516 SCHROEDERS AVENUE</t>
        </is>
      </c>
      <c r="B24" s="5" t="inlineStr">
        <is>
          <t>BROOKLYN</t>
        </is>
      </c>
      <c r="C24" s="5" t="n">
        <v>11239</v>
      </c>
      <c r="D24" s="8" t="n">
        <v>4169</v>
      </c>
      <c r="E24" s="19" t="n">
        <v>0.055</v>
      </c>
      <c r="F24" s="5" t="n">
        <v>14</v>
      </c>
      <c r="G24" s="14" t="n">
        <v>0</v>
      </c>
      <c r="H24" s="14" t="n">
        <v>0</v>
      </c>
      <c r="I24" s="5" t="inlineStr">
        <is>
          <t>2024-09-07</t>
        </is>
      </c>
      <c r="J24" s="5" t="inlineStr">
        <is>
          <t>2026-09-04</t>
        </is>
      </c>
    </row>
    <row r="25" ht="15" customHeight="1">
      <c r="A25" s="5" t="inlineStr">
        <is>
          <t>159-06 UNION TURNPIKE</t>
        </is>
      </c>
      <c r="B25" s="5" t="inlineStr">
        <is>
          <t>QUEENS</t>
        </is>
      </c>
      <c r="C25" s="5" t="n">
        <v>11366</v>
      </c>
      <c r="D25" s="8" t="n">
        <v>3862</v>
      </c>
      <c r="E25" s="19" t="n">
        <v>0.051</v>
      </c>
      <c r="F25" s="5" t="n">
        <v>6</v>
      </c>
      <c r="G25" s="14" t="n">
        <v>2</v>
      </c>
      <c r="H25" s="14" t="n">
        <v>0</v>
      </c>
      <c r="I25" s="5" t="inlineStr">
        <is>
          <t>2024-09-08</t>
        </is>
      </c>
      <c r="J25" s="5" t="inlineStr">
        <is>
          <t>2026-09-01</t>
        </is>
      </c>
    </row>
    <row r="28" ht="20" customHeight="1">
      <c r="A28" s="3" t="inlineStr">
        <is>
          <t>二、异常地址 655 EAST 230 STREET 的证据</t>
        </is>
      </c>
    </row>
    <row r="29">
      <c r="A29" s="4" t="inlineStr">
        <is>
          <t>证据维度</t>
        </is>
      </c>
      <c r="B29" s="4" t="inlineStr">
        <is>
          <t>数值</t>
        </is>
      </c>
      <c r="C29" s="4" t="inlineStr">
        <is>
          <t>说明</t>
        </is>
      </c>
    </row>
    <row r="30" ht="26" customHeight="1">
      <c r="A30" s="5" t="inlineStr">
        <is>
          <t>记录数</t>
        </is>
      </c>
      <c r="B30" s="5" t="inlineStr">
        <is>
          <t>167,703</t>
        </is>
      </c>
      <c r="C30" s="5" t="inlineStr">
        <is>
          <t>占全城全部 7,525,498 条的 2.228%（第 2 名地址 23,077 条，为其 0.31%）</t>
        </is>
      </c>
    </row>
    <row r="31" ht="26" customHeight="1">
      <c r="A31" s="5" t="inlineStr">
        <is>
          <t>类型集中度</t>
        </is>
      </c>
      <c r="B31" s="5" t="inlineStr">
        <is>
          <t>99.63% 为 Noise - Residential</t>
        </is>
      </c>
      <c r="C31" s="5" t="inlineStr">
        <is>
          <t>其中 99.62% 的 descriptor 是 "Loud Music/Party"</t>
        </is>
      </c>
    </row>
    <row r="32" ht="26" customHeight="1">
      <c r="A32" s="5" t="inlineStr">
        <is>
          <t>渠道集中度</t>
        </is>
      </c>
      <c r="B32" s="5" t="inlineStr">
        <is>
          <t>99.63% 经 MOBILE 提交</t>
        </is>
      </c>
      <c r="C32" s="5" t="inlineStr">
        <is>
          <t>全城 MOBILE 渠道占比仅 22.1%</t>
        </is>
      </c>
    </row>
    <row r="33" ht="26" customHeight="1">
      <c r="A33" s="5" t="inlineStr">
        <is>
          <t>峰值强度</t>
        </is>
      </c>
      <c r="B33" s="5" t="inlineStr">
        <is>
          <t>2025-01-05 单日 4,981 条</t>
        </is>
      </c>
      <c r="C33" s="5" t="inlineStr">
        <is>
          <t>≈ 每分钟 3.5 条，现实中的居民投诉不可能达到该强度</t>
        </is>
      </c>
    </row>
    <row r="34" ht="26" customHeight="1">
      <c r="A34" s="5" t="inlineStr">
        <is>
          <t>时间形态</t>
        </is>
      </c>
      <c r="B34" s="5" t="inlineStr">
        <is>
          <t>两段爆发后归零</t>
        </is>
      </c>
      <c r="C34" s="5" t="inlineStr">
        <is>
          <t>2024-09~2025-01、2025-09~2025-12 两段，2025-05~08 仅 189 条，2026-01~04 仅 19 条</t>
        </is>
      </c>
    </row>
    <row r="35" ht="26" customHeight="1">
      <c r="A35" s="5" t="inlineStr">
        <is>
          <t>处置结果</t>
        </is>
      </c>
      <c r="B35" s="5" t="inlineStr">
        <is>
          <t>中位 150.2 分钟</t>
        </is>
      </c>
      <c r="C35" s="5" t="inlineStr">
        <is>
          <t>确实进入了 NYPD 处置流程；全城同类投诉中位 68.5 分钟，该地址慢 2.2 倍</t>
        </is>
      </c>
    </row>
    <row r="38" ht="20" customHeight="1">
      <c r="A38" s="3" t="inlineStr">
        <is>
          <t>三、小时分布对照（%）</t>
        </is>
      </c>
    </row>
    <row r="39">
      <c r="A39" s="4" t="inlineStr">
        <is>
          <t>小时</t>
        </is>
      </c>
      <c r="B39" s="4" t="inlineStr">
        <is>
          <t>该地址占比%</t>
        </is>
      </c>
      <c r="C39" s="4" t="inlineStr">
        <is>
          <t>全城同类噪音占比%（剔除该地址）</t>
        </is>
      </c>
      <c r="D39" s="4" t="inlineStr">
        <is>
          <t>全城全部记录占比%</t>
        </is>
      </c>
    </row>
    <row r="40">
      <c r="A40" s="5" t="n">
        <v>0</v>
      </c>
      <c r="B40" s="13" t="n">
        <v>4.75</v>
      </c>
      <c r="C40" s="13" t="n">
        <v>8.949999999999999</v>
      </c>
      <c r="D40" s="13" t="n">
        <v>3.51</v>
      </c>
    </row>
    <row r="41">
      <c r="A41" s="5" t="n">
        <v>1</v>
      </c>
      <c r="B41" s="13" t="n">
        <v>3.96</v>
      </c>
      <c r="C41" s="13" t="n">
        <v>6.29</v>
      </c>
      <c r="D41" s="13" t="n">
        <v>2.35</v>
      </c>
    </row>
    <row r="42">
      <c r="A42" s="5" t="n">
        <v>2</v>
      </c>
      <c r="B42" s="13" t="n">
        <v>3.36</v>
      </c>
      <c r="C42" s="13" t="n">
        <v>4.07</v>
      </c>
      <c r="D42" s="13" t="n">
        <v>1.61</v>
      </c>
    </row>
    <row r="43">
      <c r="A43" s="5" t="n">
        <v>3</v>
      </c>
      <c r="B43" s="13" t="n">
        <v>3.6</v>
      </c>
      <c r="C43" s="13" t="n">
        <v>2.91</v>
      </c>
      <c r="D43" s="13" t="n">
        <v>1.27</v>
      </c>
    </row>
    <row r="44">
      <c r="A44" s="5" t="n">
        <v>4</v>
      </c>
      <c r="B44" s="13" t="n">
        <v>3.45</v>
      </c>
      <c r="C44" s="13" t="n">
        <v>2.13</v>
      </c>
      <c r="D44" s="13" t="n">
        <v>1.18</v>
      </c>
    </row>
    <row r="45">
      <c r="A45" s="5" t="n">
        <v>5</v>
      </c>
      <c r="B45" s="13" t="n">
        <v>3.55</v>
      </c>
      <c r="C45" s="13" t="n">
        <v>1.77</v>
      </c>
      <c r="D45" s="13" t="n">
        <v>1.38</v>
      </c>
    </row>
    <row r="46">
      <c r="A46" s="5" t="n">
        <v>6</v>
      </c>
      <c r="B46" s="13" t="n">
        <v>3.44</v>
      </c>
      <c r="C46" s="13" t="n">
        <v>1.76</v>
      </c>
      <c r="D46" s="13" t="n">
        <v>2.25</v>
      </c>
    </row>
    <row r="47">
      <c r="A47" s="5" t="n">
        <v>7</v>
      </c>
      <c r="B47" s="13" t="n">
        <v>3.5</v>
      </c>
      <c r="C47" s="13" t="n">
        <v>1.74</v>
      </c>
      <c r="D47" s="13" t="n">
        <v>3.76</v>
      </c>
    </row>
    <row r="48">
      <c r="A48" s="5" t="n">
        <v>8</v>
      </c>
      <c r="B48" s="13" t="n">
        <v>3.55</v>
      </c>
      <c r="C48" s="13" t="n">
        <v>1.86</v>
      </c>
      <c r="D48" s="13" t="n">
        <v>5.2</v>
      </c>
    </row>
    <row r="49">
      <c r="A49" s="5" t="n">
        <v>9</v>
      </c>
      <c r="B49" s="13" t="n">
        <v>3.24</v>
      </c>
      <c r="C49" s="13" t="n">
        <v>2.15</v>
      </c>
      <c r="D49" s="13" t="n">
        <v>5.87</v>
      </c>
    </row>
    <row r="50">
      <c r="A50" s="5" t="n">
        <v>10</v>
      </c>
      <c r="B50" s="13" t="n">
        <v>3.66</v>
      </c>
      <c r="C50" s="13" t="n">
        <v>2.25</v>
      </c>
      <c r="D50" s="13" t="n">
        <v>6</v>
      </c>
    </row>
    <row r="51">
      <c r="A51" s="5" t="n">
        <v>11</v>
      </c>
      <c r="B51" s="13" t="n">
        <v>3.86</v>
      </c>
      <c r="C51" s="13" t="n">
        <v>2.35</v>
      </c>
      <c r="D51" s="13" t="n">
        <v>5.89</v>
      </c>
    </row>
    <row r="52">
      <c r="A52" s="5" t="n">
        <v>12</v>
      </c>
      <c r="B52" s="13" t="n">
        <v>3.93</v>
      </c>
      <c r="C52" s="13" t="n">
        <v>2.4</v>
      </c>
      <c r="D52" s="13" t="n">
        <v>5.63</v>
      </c>
    </row>
    <row r="53">
      <c r="A53" s="5" t="n">
        <v>13</v>
      </c>
      <c r="B53" s="13" t="n">
        <v>4.1</v>
      </c>
      <c r="C53" s="13" t="n">
        <v>2.5</v>
      </c>
      <c r="D53" s="13" t="n">
        <v>5.47</v>
      </c>
    </row>
    <row r="54">
      <c r="A54" s="5" t="n">
        <v>14</v>
      </c>
      <c r="B54" s="13" t="n">
        <v>4.11</v>
      </c>
      <c r="C54" s="13" t="n">
        <v>2.62</v>
      </c>
      <c r="D54" s="13" t="n">
        <v>5.42</v>
      </c>
    </row>
    <row r="55">
      <c r="A55" s="5" t="n">
        <v>15</v>
      </c>
      <c r="B55" s="13" t="n">
        <v>4.14</v>
      </c>
      <c r="C55" s="13" t="n">
        <v>2.96</v>
      </c>
      <c r="D55" s="13" t="n">
        <v>5.3</v>
      </c>
    </row>
    <row r="56">
      <c r="A56" s="5" t="n">
        <v>16</v>
      </c>
      <c r="B56" s="13" t="n">
        <v>4.15</v>
      </c>
      <c r="C56" s="13" t="n">
        <v>3.26</v>
      </c>
      <c r="D56" s="13" t="n">
        <v>5.11</v>
      </c>
    </row>
    <row r="57">
      <c r="A57" s="5" t="n">
        <v>17</v>
      </c>
      <c r="B57" s="13" t="n">
        <v>4.41</v>
      </c>
      <c r="C57" s="13" t="n">
        <v>3.67</v>
      </c>
      <c r="D57" s="13" t="n">
        <v>4.83</v>
      </c>
    </row>
    <row r="58">
      <c r="A58" s="5" t="n">
        <v>18</v>
      </c>
      <c r="B58" s="13" t="n">
        <v>4.68</v>
      </c>
      <c r="C58" s="13" t="n">
        <v>4.27</v>
      </c>
      <c r="D58" s="13" t="n">
        <v>4.68</v>
      </c>
    </row>
    <row r="59">
      <c r="A59" s="5" t="n">
        <v>19</v>
      </c>
      <c r="B59" s="13" t="n">
        <v>4.97</v>
      </c>
      <c r="C59" s="13" t="n">
        <v>5.07</v>
      </c>
      <c r="D59" s="13" t="n">
        <v>4.59</v>
      </c>
    </row>
    <row r="60">
      <c r="A60" s="5" t="n">
        <v>20</v>
      </c>
      <c r="B60" s="13" t="n">
        <v>5.07</v>
      </c>
      <c r="C60" s="13" t="n">
        <v>6.16</v>
      </c>
      <c r="D60" s="13" t="n">
        <v>4.59</v>
      </c>
    </row>
    <row r="61">
      <c r="A61" s="5" t="n">
        <v>21</v>
      </c>
      <c r="B61" s="13" t="n">
        <v>5.46</v>
      </c>
      <c r="C61" s="13" t="n">
        <v>7.66</v>
      </c>
      <c r="D61" s="13" t="n">
        <v>4.87</v>
      </c>
    </row>
    <row r="62">
      <c r="A62" s="5" t="n">
        <v>22</v>
      </c>
      <c r="B62" s="13" t="n">
        <v>5.54</v>
      </c>
      <c r="C62" s="13" t="n">
        <v>10.76</v>
      </c>
      <c r="D62" s="13" t="n">
        <v>5.01</v>
      </c>
    </row>
    <row r="63">
      <c r="A63" s="5" t="n">
        <v>23</v>
      </c>
      <c r="B63" s="13" t="n">
        <v>5.52</v>
      </c>
      <c r="C63" s="13" t="n">
        <v>10.44</v>
      </c>
      <c r="D63" s="13" t="n">
        <v>4.23</v>
      </c>
    </row>
    <row r="65" ht="20" customHeight="1">
      <c r="A65" s="3" t="inlineStr">
        <is>
          <t>四、该地址月度记录数</t>
        </is>
      </c>
    </row>
    <row r="66">
      <c r="A66" s="4" t="inlineStr">
        <is>
          <t>月份</t>
        </is>
      </c>
      <c r="B66" s="4" t="inlineStr">
        <is>
          <t>记录数</t>
        </is>
      </c>
    </row>
    <row r="67">
      <c r="A67" s="5" t="inlineStr">
        <is>
          <t>2024-09</t>
        </is>
      </c>
      <c r="B67" s="8" t="n">
        <v>13869</v>
      </c>
    </row>
    <row r="68">
      <c r="A68" s="5" t="inlineStr">
        <is>
          <t>2024-10</t>
        </is>
      </c>
      <c r="B68" s="8" t="n">
        <v>7015</v>
      </c>
    </row>
    <row r="69">
      <c r="A69" s="5" t="inlineStr">
        <is>
          <t>2024-11</t>
        </is>
      </c>
      <c r="B69" s="8" t="n">
        <v>11364</v>
      </c>
    </row>
    <row r="70">
      <c r="A70" s="5" t="inlineStr">
        <is>
          <t>2024-12</t>
        </is>
      </c>
      <c r="B70" s="8" t="n">
        <v>19733</v>
      </c>
    </row>
    <row r="71">
      <c r="A71" s="5" t="inlineStr">
        <is>
          <t>2025-01</t>
        </is>
      </c>
      <c r="B71" s="8" t="n">
        <v>40029</v>
      </c>
    </row>
    <row r="72">
      <c r="A72" s="5" t="inlineStr">
        <is>
          <t>2025-02</t>
        </is>
      </c>
      <c r="B72" s="8" t="n">
        <v>4606</v>
      </c>
    </row>
    <row r="73">
      <c r="A73" s="5" t="inlineStr">
        <is>
          <t>2025-03</t>
        </is>
      </c>
      <c r="B73" s="8" t="n">
        <v>2378</v>
      </c>
    </row>
    <row r="74">
      <c r="A74" s="5" t="inlineStr">
        <is>
          <t>2025-04</t>
        </is>
      </c>
      <c r="B74" s="8" t="n">
        <v>1370</v>
      </c>
    </row>
    <row r="75">
      <c r="A75" s="5" t="inlineStr">
        <is>
          <t>2025-05</t>
        </is>
      </c>
      <c r="B75" s="8" t="n">
        <v>21</v>
      </c>
    </row>
    <row r="76">
      <c r="A76" s="5" t="inlineStr">
        <is>
          <t>2025-06</t>
        </is>
      </c>
      <c r="B76" s="8" t="n">
        <v>50</v>
      </c>
    </row>
    <row r="77">
      <c r="A77" s="5" t="inlineStr">
        <is>
          <t>2025-07</t>
        </is>
      </c>
      <c r="B77" s="8" t="n">
        <v>141</v>
      </c>
    </row>
    <row r="78">
      <c r="A78" s="5" t="inlineStr">
        <is>
          <t>2025-08</t>
        </is>
      </c>
      <c r="B78" s="8" t="n">
        <v>670</v>
      </c>
    </row>
    <row r="79">
      <c r="A79" s="5" t="inlineStr">
        <is>
          <t>2025-09</t>
        </is>
      </c>
      <c r="B79" s="8" t="n">
        <v>5223</v>
      </c>
    </row>
    <row r="80">
      <c r="A80" s="5" t="inlineStr">
        <is>
          <t>2025-10</t>
        </is>
      </c>
      <c r="B80" s="8" t="n">
        <v>18678</v>
      </c>
    </row>
    <row r="81">
      <c r="A81" s="5" t="inlineStr">
        <is>
          <t>2025-11</t>
        </is>
      </c>
      <c r="B81" s="8" t="n">
        <v>14362</v>
      </c>
    </row>
    <row r="82">
      <c r="A82" s="5" t="inlineStr">
        <is>
          <t>2025-12</t>
        </is>
      </c>
      <c r="B82" s="8" t="n">
        <v>28163</v>
      </c>
    </row>
    <row r="83">
      <c r="A83" s="5" t="inlineStr">
        <is>
          <t>2026-01</t>
        </is>
      </c>
      <c r="B83" s="8" t="n">
        <v>7</v>
      </c>
    </row>
    <row r="84">
      <c r="A84" s="5" t="inlineStr">
        <is>
          <t>2026-02</t>
        </is>
      </c>
      <c r="B84" s="8" t="n">
        <v>8</v>
      </c>
    </row>
    <row r="85">
      <c r="A85" s="5" t="inlineStr">
        <is>
          <t>2026-03</t>
        </is>
      </c>
      <c r="B85" s="8" t="n">
        <v>3</v>
      </c>
    </row>
    <row r="86">
      <c r="A86" s="5" t="inlineStr">
        <is>
          <t>2026-04</t>
        </is>
      </c>
      <c r="B86" s="8" t="n">
        <v>1</v>
      </c>
    </row>
    <row r="87">
      <c r="A87" s="5" t="inlineStr">
        <is>
          <t>2026-06</t>
        </is>
      </c>
      <c r="B87" s="8" t="n">
        <v>1</v>
      </c>
    </row>
    <row r="88">
      <c r="A88" s="5" t="inlineStr">
        <is>
          <t>2026-07</t>
        </is>
      </c>
      <c r="B88" s="8" t="n">
        <v>6</v>
      </c>
    </row>
    <row r="89">
      <c r="A89" s="5" t="inlineStr">
        <is>
          <t>2026-09</t>
        </is>
      </c>
      <c r="B89" s="8" t="n">
        <v>5</v>
      </c>
    </row>
    <row r="92" ht="15" customHeight="1">
      <c r="A92" s="7" t="inlineStr">
        <is>
          <t>结论（推断，非事实）：该地址的 167,703 条记录高度不符合自然投诉的统计特征——单一类型、单一渠道、全天近似均匀、单日近 5,000 条。
最合理的解释是同一批诉求被反复/自动提交（例如某个自动化脚本或未做去重的上报渠道），而不是同一栋楼发生了 16.7 万次独立噪音事件。
对本报告的影响：Noise - Residential 的总量与月度走势被这条地址显著抬高。剔除该地址后，该类型 2025-01 的峰值从 70,837 条降至 30,847 条（−56.5%）。任何使用该类型的结论都应声明是否包含此地址。</t>
        </is>
      </c>
    </row>
    <row r="93" ht="15" customHeight="1"/>
    <row r="94" ht="15" customHeight="1"/>
  </sheetData>
  <mergeCells count="1">
    <mergeCell ref="A92:H9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J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4" customWidth="1" min="4" max="4"/>
    <col width="11" customWidth="1" min="5" max="5"/>
    <col width="12" customWidth="1" min="6" max="6"/>
    <col width="14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" t="inlineStr">
        <is>
          <t>提交渠道迁移与行政区分布</t>
        </is>
      </c>
    </row>
    <row r="2" ht="30" customHeight="1">
      <c r="A2" s="2" t="inlineStr">
        <is>
          <t>渠道份额按月度统计；行政区分布为全期记录占比，未做人口/面积标准化。</t>
        </is>
      </c>
    </row>
    <row r="4" ht="20" customHeight="1">
      <c r="A4" s="3" t="inlineStr">
        <is>
          <t>一、渠道月度占比（%）</t>
        </is>
      </c>
    </row>
    <row r="5">
      <c r="A5" s="4" t="inlineStr">
        <is>
          <t>月份</t>
        </is>
      </c>
      <c r="B5" s="4" t="inlineStr">
        <is>
          <t>记录数</t>
        </is>
      </c>
      <c r="C5" s="4" t="inlineStr">
        <is>
          <t>ONLINE%</t>
        </is>
      </c>
      <c r="D5" s="4" t="inlineStr">
        <is>
          <t>PHONE%</t>
        </is>
      </c>
      <c r="E5" s="4" t="inlineStr">
        <is>
          <t>MOBILE%</t>
        </is>
      </c>
      <c r="F5" s="4" t="inlineStr">
        <is>
          <t>其它%</t>
        </is>
      </c>
    </row>
    <row r="6">
      <c r="A6" s="5" t="inlineStr">
        <is>
          <t>2024-09</t>
        </is>
      </c>
      <c r="B6" s="8" t="n">
        <v>248139</v>
      </c>
      <c r="C6" s="14" t="n">
        <v>38.8</v>
      </c>
      <c r="D6" s="14" t="n">
        <v>27.9</v>
      </c>
      <c r="E6" s="14" t="n">
        <v>26.5</v>
      </c>
      <c r="F6" s="14" t="n">
        <v>6.8</v>
      </c>
    </row>
    <row r="7">
      <c r="A7" s="5" t="inlineStr">
        <is>
          <t>2024-10</t>
        </is>
      </c>
      <c r="B7" s="8" t="n">
        <v>306803</v>
      </c>
      <c r="C7" s="14" t="n">
        <v>40.3</v>
      </c>
      <c r="D7" s="14" t="n">
        <v>30.1</v>
      </c>
      <c r="E7" s="14" t="n">
        <v>22.8</v>
      </c>
      <c r="F7" s="14" t="n">
        <v>6.8</v>
      </c>
    </row>
    <row r="8">
      <c r="A8" s="5" t="inlineStr">
        <is>
          <t>2024-11</t>
        </is>
      </c>
      <c r="B8" s="8" t="n">
        <v>293515</v>
      </c>
      <c r="C8" s="14" t="n">
        <v>39</v>
      </c>
      <c r="D8" s="14" t="n">
        <v>31.4</v>
      </c>
      <c r="E8" s="14" t="n">
        <v>23.1</v>
      </c>
      <c r="F8" s="14" t="n">
        <v>6.5</v>
      </c>
    </row>
    <row r="9">
      <c r="A9" s="5" t="inlineStr">
        <is>
          <t>2024-12</t>
        </is>
      </c>
      <c r="B9" s="8" t="n">
        <v>313949</v>
      </c>
      <c r="C9" s="14" t="n">
        <v>40.8</v>
      </c>
      <c r="D9" s="14" t="n">
        <v>28.3</v>
      </c>
      <c r="E9" s="14" t="n">
        <v>23.8</v>
      </c>
      <c r="F9" s="14" t="n">
        <v>7.1</v>
      </c>
    </row>
    <row r="10">
      <c r="A10" s="5" t="inlineStr">
        <is>
          <t>2025-01</t>
        </is>
      </c>
      <c r="B10" s="8" t="n">
        <v>348180</v>
      </c>
      <c r="C10" s="14" t="n">
        <v>39.2</v>
      </c>
      <c r="D10" s="14" t="n">
        <v>25.7</v>
      </c>
      <c r="E10" s="14" t="n">
        <v>29.1</v>
      </c>
      <c r="F10" s="14" t="n">
        <v>6</v>
      </c>
    </row>
    <row r="11">
      <c r="A11" s="5" t="inlineStr">
        <is>
          <t>2025-02</t>
        </is>
      </c>
      <c r="B11" s="8" t="n">
        <v>255364</v>
      </c>
      <c r="C11" s="14" t="n">
        <v>42.9</v>
      </c>
      <c r="D11" s="14" t="n">
        <v>27.7</v>
      </c>
      <c r="E11" s="14" t="n">
        <v>21.2</v>
      </c>
      <c r="F11" s="14" t="n">
        <v>8.199999999999999</v>
      </c>
    </row>
    <row r="12">
      <c r="A12" s="5" t="inlineStr">
        <is>
          <t>2025-03</t>
        </is>
      </c>
      <c r="B12" s="8" t="n">
        <v>281221</v>
      </c>
      <c r="C12" s="14" t="n">
        <v>43.7</v>
      </c>
      <c r="D12" s="14" t="n">
        <v>26.7</v>
      </c>
      <c r="E12" s="14" t="n">
        <v>21.6</v>
      </c>
      <c r="F12" s="14" t="n">
        <v>8</v>
      </c>
    </row>
    <row r="13">
      <c r="A13" s="5" t="inlineStr">
        <is>
          <t>2025-04</t>
        </is>
      </c>
      <c r="B13" s="8" t="n">
        <v>272549</v>
      </c>
      <c r="C13" s="14" t="n">
        <v>42.6</v>
      </c>
      <c r="D13" s="14" t="n">
        <v>28.2</v>
      </c>
      <c r="E13" s="14" t="n">
        <v>21.3</v>
      </c>
      <c r="F13" s="14" t="n">
        <v>7.9</v>
      </c>
    </row>
    <row r="14">
      <c r="A14" s="5" t="inlineStr">
        <is>
          <t>2025-05</t>
        </is>
      </c>
      <c r="B14" s="8" t="n">
        <v>295058</v>
      </c>
      <c r="C14" s="14" t="n">
        <v>43.3</v>
      </c>
      <c r="D14" s="14" t="n">
        <v>27.5</v>
      </c>
      <c r="E14" s="14" t="n">
        <v>21.6</v>
      </c>
      <c r="F14" s="14" t="n">
        <v>7.6</v>
      </c>
    </row>
    <row r="15">
      <c r="A15" s="5" t="inlineStr">
        <is>
          <t>2025-06</t>
        </is>
      </c>
      <c r="B15" s="8" t="n">
        <v>306442</v>
      </c>
      <c r="C15" s="14" t="n">
        <v>42.3</v>
      </c>
      <c r="D15" s="14" t="n">
        <v>27.8</v>
      </c>
      <c r="E15" s="14" t="n">
        <v>21.9</v>
      </c>
      <c r="F15" s="14" t="n">
        <v>8</v>
      </c>
    </row>
    <row r="16">
      <c r="A16" s="5" t="inlineStr">
        <is>
          <t>2025-07</t>
        </is>
      </c>
      <c r="B16" s="8" t="n">
        <v>315883</v>
      </c>
      <c r="C16" s="14" t="n">
        <v>42</v>
      </c>
      <c r="D16" s="14" t="n">
        <v>29.8</v>
      </c>
      <c r="E16" s="14" t="n">
        <v>20.7</v>
      </c>
      <c r="F16" s="14" t="n">
        <v>7.5</v>
      </c>
    </row>
    <row r="17">
      <c r="A17" s="5" t="inlineStr">
        <is>
          <t>2025-08</t>
        </is>
      </c>
      <c r="B17" s="8" t="n">
        <v>304039</v>
      </c>
      <c r="C17" s="14" t="n">
        <v>44.9</v>
      </c>
      <c r="D17" s="14" t="n">
        <v>26.3</v>
      </c>
      <c r="E17" s="14" t="n">
        <v>21.6</v>
      </c>
      <c r="F17" s="14" t="n">
        <v>7.2</v>
      </c>
    </row>
    <row r="18">
      <c r="A18" s="5" t="inlineStr">
        <is>
          <t>2025-09</t>
        </is>
      </c>
      <c r="B18" s="8" t="n">
        <v>302684</v>
      </c>
      <c r="C18" s="14" t="n">
        <v>44.1</v>
      </c>
      <c r="D18" s="14" t="n">
        <v>24.9</v>
      </c>
      <c r="E18" s="14" t="n">
        <v>24.1</v>
      </c>
      <c r="F18" s="14" t="n">
        <v>6.9</v>
      </c>
    </row>
    <row r="19">
      <c r="A19" s="5" t="inlineStr">
        <is>
          <t>2025-10</t>
        </is>
      </c>
      <c r="B19" s="8" t="n">
        <v>336612</v>
      </c>
      <c r="C19" s="14" t="n">
        <v>41.6</v>
      </c>
      <c r="D19" s="14" t="n">
        <v>26.1</v>
      </c>
      <c r="E19" s="14" t="n">
        <v>24.8</v>
      </c>
      <c r="F19" s="14" t="n">
        <v>7.5</v>
      </c>
    </row>
    <row r="20">
      <c r="A20" s="5" t="inlineStr">
        <is>
          <t>2025-11</t>
        </is>
      </c>
      <c r="B20" s="8" t="n">
        <v>304905</v>
      </c>
      <c r="C20" s="14" t="n">
        <v>41.5</v>
      </c>
      <c r="D20" s="14" t="n">
        <v>27.7</v>
      </c>
      <c r="E20" s="14" t="n">
        <v>24.6</v>
      </c>
      <c r="F20" s="14" t="n">
        <v>6.2</v>
      </c>
    </row>
    <row r="21">
      <c r="A21" s="5" t="inlineStr">
        <is>
          <t>2025-12</t>
        </is>
      </c>
      <c r="B21" s="8" t="n">
        <v>332103</v>
      </c>
      <c r="C21" s="14" t="n">
        <v>46</v>
      </c>
      <c r="D21" s="14" t="n">
        <v>21.1</v>
      </c>
      <c r="E21" s="14" t="n">
        <v>26.7</v>
      </c>
      <c r="F21" s="14" t="n">
        <v>6.2</v>
      </c>
    </row>
    <row r="22">
      <c r="A22" s="5" t="inlineStr">
        <is>
          <t>2026-01</t>
        </is>
      </c>
      <c r="B22" s="8" t="n">
        <v>348511</v>
      </c>
      <c r="C22" s="14" t="n">
        <v>53.1</v>
      </c>
      <c r="D22" s="14" t="n">
        <v>21.9</v>
      </c>
      <c r="E22" s="14" t="n">
        <v>19.1</v>
      </c>
      <c r="F22" s="14" t="n">
        <v>5.9</v>
      </c>
    </row>
    <row r="23">
      <c r="A23" s="5" t="inlineStr">
        <is>
          <t>2026-02</t>
        </is>
      </c>
      <c r="B23" s="8" t="n">
        <v>334690</v>
      </c>
      <c r="C23" s="14" t="n">
        <v>50.8</v>
      </c>
      <c r="D23" s="14" t="n">
        <v>22.9</v>
      </c>
      <c r="E23" s="14" t="n">
        <v>18.1</v>
      </c>
      <c r="F23" s="14" t="n">
        <v>8.199999999999999</v>
      </c>
    </row>
    <row r="24">
      <c r="A24" s="5" t="inlineStr">
        <is>
          <t>2026-03</t>
        </is>
      </c>
      <c r="B24" s="8" t="n">
        <v>342387</v>
      </c>
      <c r="C24" s="14" t="n">
        <v>43.7</v>
      </c>
      <c r="D24" s="14" t="n">
        <v>22.8</v>
      </c>
      <c r="E24" s="14" t="n">
        <v>19.6</v>
      </c>
      <c r="F24" s="14" t="n">
        <v>13.9</v>
      </c>
    </row>
    <row r="25">
      <c r="A25" s="5" t="inlineStr">
        <is>
          <t>2026-04</t>
        </is>
      </c>
      <c r="B25" s="8" t="n">
        <v>302190</v>
      </c>
      <c r="C25" s="14" t="n">
        <v>45.1</v>
      </c>
      <c r="D25" s="14" t="n">
        <v>23.9</v>
      </c>
      <c r="E25" s="14" t="n">
        <v>20.6</v>
      </c>
      <c r="F25" s="14" t="n">
        <v>10.4</v>
      </c>
    </row>
    <row r="26">
      <c r="A26" s="5" t="inlineStr">
        <is>
          <t>2026-05</t>
        </is>
      </c>
      <c r="B26" s="8" t="n">
        <v>331978</v>
      </c>
      <c r="C26" s="14" t="n">
        <v>45.9</v>
      </c>
      <c r="D26" s="14" t="n">
        <v>24.3</v>
      </c>
      <c r="E26" s="14" t="n">
        <v>21.1</v>
      </c>
      <c r="F26" s="14" t="n">
        <v>8.699999999999999</v>
      </c>
    </row>
    <row r="27">
      <c r="A27" s="5" t="inlineStr">
        <is>
          <t>2026-06</t>
        </is>
      </c>
      <c r="B27" s="8" t="n">
        <v>334833</v>
      </c>
      <c r="C27" s="14" t="n">
        <v>46.2</v>
      </c>
      <c r="D27" s="14" t="n">
        <v>23.7</v>
      </c>
      <c r="E27" s="14" t="n">
        <v>21.2</v>
      </c>
      <c r="F27" s="14" t="n">
        <v>8.9</v>
      </c>
    </row>
    <row r="28">
      <c r="A28" s="5" t="inlineStr">
        <is>
          <t>2026-07</t>
        </is>
      </c>
      <c r="B28" s="8" t="n">
        <v>343043</v>
      </c>
      <c r="C28" s="14" t="n">
        <v>49.4</v>
      </c>
      <c r="D28" s="14" t="n">
        <v>22.2</v>
      </c>
      <c r="E28" s="14" t="n">
        <v>19</v>
      </c>
      <c r="F28" s="14" t="n">
        <v>9.4</v>
      </c>
    </row>
    <row r="29">
      <c r="A29" s="5" t="inlineStr">
        <is>
          <t>2026-08</t>
        </is>
      </c>
      <c r="B29" s="8" t="n">
        <v>328446</v>
      </c>
      <c r="C29" s="14" t="n">
        <v>50.8</v>
      </c>
      <c r="D29" s="14" t="n">
        <v>21.7</v>
      </c>
      <c r="E29" s="14" t="n">
        <v>18.7</v>
      </c>
      <c r="F29" s="14" t="n">
        <v>8.800000000000001</v>
      </c>
    </row>
    <row r="30">
      <c r="A30" s="5" t="inlineStr">
        <is>
          <t>2026-09</t>
        </is>
      </c>
      <c r="B30" s="8" t="n">
        <v>41974</v>
      </c>
      <c r="C30" s="14" t="n">
        <v>50.2</v>
      </c>
      <c r="D30" s="14" t="n">
        <v>23.8</v>
      </c>
      <c r="E30" s="14" t="n">
        <v>17.4</v>
      </c>
      <c r="F30" s="14" t="n">
        <v>8.6</v>
      </c>
    </row>
    <row r="33" ht="15" customHeight="1">
      <c r="A33" s="7" t="inlineStr">
        <is>
          <t>ONLINE 从 2024 年四季度均值 40.0% 升至 2026 年 6–8 月均值 48.8%；PHONE 从 29.9% 降至 22.5%。
需要剔除异常地址后才稳健：仅剔除 655 EAST 230 STREET（99.6% 走 MOBILE），ONLINE 占比 2024 年为 42.6%、2026 年为 49.9%，趋势方向不变、幅度略大。
机构间差异极大：DOB 全期 ONLINE 占比 0%，DOT 约 19%，EDC 约 99% —— 渠道数据反映的是各机构自身受理渠道而非居民偏好。</t>
        </is>
      </c>
    </row>
    <row r="34" ht="15" customHeight="1"/>
    <row r="35" ht="15" customHeight="1"/>
    <row r="37" ht="20" customHeight="1">
      <c r="A37" s="3" t="inlineStr">
        <is>
          <t>二、行政区分布（全期）</t>
        </is>
      </c>
    </row>
    <row r="38">
      <c r="A38" s="4" t="inlineStr">
        <is>
          <t>行政区</t>
        </is>
      </c>
      <c r="B38" s="4" t="inlineStr">
        <is>
          <t>记录数</t>
        </is>
      </c>
      <c r="C38" s="4" t="inlineStr">
        <is>
          <t>占比%</t>
        </is>
      </c>
      <c r="D38" s="4" t="inlineStr">
        <is>
          <t>中位时长(小时)</t>
        </is>
      </c>
      <c r="E38" s="4" t="inlineStr">
        <is>
          <t>未关闭%</t>
        </is>
      </c>
      <c r="F38" s="4" t="inlineStr">
        <is>
          <t>违停占比%</t>
        </is>
      </c>
      <c r="G38" s="4" t="inlineStr">
        <is>
          <t>居民噪音占比%</t>
        </is>
      </c>
      <c r="H38" s="4" t="inlineStr">
        <is>
          <t>供暖占比%</t>
        </is>
      </c>
      <c r="I38" s="4" t="inlineStr">
        <is>
          <t>HPD占比%</t>
        </is>
      </c>
      <c r="J38" s="4" t="inlineStr">
        <is>
          <t>NYPD占比%</t>
        </is>
      </c>
    </row>
    <row r="39">
      <c r="A39" s="5" t="inlineStr">
        <is>
          <t>BROOKLYN</t>
        </is>
      </c>
      <c r="B39" s="8" t="n">
        <v>2259561</v>
      </c>
      <c r="C39" s="13" t="n">
        <v>30.05</v>
      </c>
      <c r="D39" s="13" t="n">
        <v>6.51</v>
      </c>
      <c r="E39" s="13" t="n">
        <v>3.08</v>
      </c>
      <c r="F39" s="5" t="n">
        <v>20.2</v>
      </c>
      <c r="G39" s="5" t="n">
        <v>9.4</v>
      </c>
      <c r="H39" s="5" t="n">
        <v>7.7</v>
      </c>
      <c r="I39" s="5" t="n">
        <v>20.7</v>
      </c>
      <c r="J39" s="5" t="n">
        <v>46.4</v>
      </c>
    </row>
    <row r="40">
      <c r="A40" s="5" t="inlineStr">
        <is>
          <t>QUEENS</t>
        </is>
      </c>
      <c r="B40" s="8" t="n">
        <v>1818742</v>
      </c>
      <c r="C40" s="13" t="n">
        <v>24.19</v>
      </c>
      <c r="D40" s="13" t="n">
        <v>4.55</v>
      </c>
      <c r="E40" s="13" t="n">
        <v>3.42</v>
      </c>
      <c r="F40" s="5" t="n">
        <v>19.9</v>
      </c>
      <c r="G40" s="5" t="n">
        <v>8.4</v>
      </c>
      <c r="H40" s="5" t="n">
        <v>4.7</v>
      </c>
      <c r="I40" s="5" t="n">
        <v>11.5</v>
      </c>
      <c r="J40" s="5" t="n">
        <v>51.3</v>
      </c>
    </row>
    <row r="41">
      <c r="A41" s="5" t="inlineStr">
        <is>
          <t>BRONX</t>
        </is>
      </c>
      <c r="B41" s="8" t="n">
        <v>1664397</v>
      </c>
      <c r="C41" s="13" t="n">
        <v>22.14</v>
      </c>
      <c r="D41" s="13" t="n">
        <v>10.51</v>
      </c>
      <c r="E41" s="13" t="n">
        <v>2.19</v>
      </c>
      <c r="F41" s="5" t="n">
        <v>10.2</v>
      </c>
      <c r="G41" s="5" t="n">
        <v>21.9</v>
      </c>
      <c r="H41" s="5" t="n">
        <v>13.7</v>
      </c>
      <c r="I41" s="5" t="n">
        <v>33.9</v>
      </c>
      <c r="J41" s="5" t="n">
        <v>46.8</v>
      </c>
    </row>
    <row r="42">
      <c r="A42" s="5" t="inlineStr">
        <is>
          <t>MANHATTAN</t>
        </is>
      </c>
      <c r="B42" s="8" t="n">
        <v>1487092</v>
      </c>
      <c r="C42" s="13" t="n">
        <v>19.78</v>
      </c>
      <c r="D42" s="13" t="n">
        <v>10.45</v>
      </c>
      <c r="E42" s="13" t="n">
        <v>4.13</v>
      </c>
      <c r="F42" s="5" t="n">
        <v>9.1</v>
      </c>
      <c r="G42" s="5" t="n">
        <v>8.800000000000001</v>
      </c>
      <c r="H42" s="5" t="n">
        <v>10.5</v>
      </c>
      <c r="I42" s="5" t="n">
        <v>24.7</v>
      </c>
      <c r="J42" s="5" t="n">
        <v>36.7</v>
      </c>
    </row>
    <row r="43">
      <c r="A43" s="5" t="inlineStr">
        <is>
          <t>STATEN ISLAND</t>
        </is>
      </c>
      <c r="B43" s="8" t="n">
        <v>289375</v>
      </c>
      <c r="C43" s="13" t="n">
        <v>3.85</v>
      </c>
      <c r="D43" s="13" t="n">
        <v>12.96</v>
      </c>
      <c r="E43" s="13" t="n">
        <v>3.31</v>
      </c>
      <c r="F43" s="5" t="n">
        <v>12</v>
      </c>
      <c r="G43" s="5" t="n">
        <v>7.4</v>
      </c>
      <c r="H43" s="5" t="n">
        <v>2.4</v>
      </c>
      <c r="I43" s="5" t="n">
        <v>8.800000000000001</v>
      </c>
      <c r="J43" s="5" t="n">
        <v>33.7</v>
      </c>
    </row>
    <row r="44">
      <c r="A44" s="5" t="inlineStr">
        <is>
          <t>Unspecified</t>
        </is>
      </c>
      <c r="B44" s="8" t="n">
        <v>6331</v>
      </c>
      <c r="C44" s="13" t="n">
        <v>0.08</v>
      </c>
      <c r="D44" s="13" t="n">
        <v>73.81</v>
      </c>
      <c r="E44" s="13" t="n">
        <v>15.94</v>
      </c>
      <c r="F44" s="5" t="n">
        <v>0.7</v>
      </c>
      <c r="G44" s="5" t="n">
        <v>0.5</v>
      </c>
      <c r="H44" s="5" t="n">
        <v>0</v>
      </c>
      <c r="I44" s="5" t="n">
        <v>0</v>
      </c>
      <c r="J44" s="5" t="n">
        <v>2.4</v>
      </c>
    </row>
    <row r="47" ht="15" customHeight="1">
      <c r="A47" s="7" t="inlineStr">
        <is>
          <t>本表只能读作“记录占比”，不能读作“各区居民的投诉强度”：缺少人口与住房存量数据，未做人均标准化。
区内结构差异比总量差异更值得注意：BRONX 的居民噪音投诉占比 21.9%、供暖 13.7%、HPD 占比 33.9%，均显著高于其它区；BROOKLYN/QUEENS 则以违停为主（20.2% / 19.9%）。
BRONX 的结构与发现 4 相关：剔除 655 EAST 230 STREET 后，BRONX 的记录数从 1,664,397 降至 1,496,694（−10.1%），其“居民噪音占比”从 21.9% 降至 13.2%，HPD 占比则从 33.9% 升至 37.6%。
Staten Island 中位处置时长最长（12.96 小时），与其记录中 DPR/DOT 等长周期类型占比更高有关，属构成差异。</t>
        </is>
      </c>
    </row>
    <row r="48" ht="15" customHeight="1"/>
    <row r="49" ht="15" customHeight="1"/>
    <row r="50" ht="15" customHeight="1"/>
  </sheetData>
  <mergeCells count="2">
    <mergeCell ref="A47:H50"/>
    <mergeCell ref="A33:H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H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26" customHeight="1">
      <c r="A1" s="1" t="inlineStr">
        <is>
          <t>投诉类型明细与同比变化</t>
        </is>
      </c>
    </row>
    <row r="2" ht="30" customHeight="1">
      <c r="A2" s="2" t="inlineStr">
        <is>
          <t>同比口径：2024-10~2025-08（11 个完整月）vs 2025-10~2026-08（11 个完整月），两侧均为完整月，可直接比较。</t>
        </is>
      </c>
    </row>
    <row r="4" ht="20" customHeight="1">
      <c r="A4" s="3" t="inlineStr">
        <is>
          <t>一、全部类型的记录数 Top 30</t>
        </is>
      </c>
    </row>
    <row r="5">
      <c r="A5" s="4" t="inlineStr">
        <is>
          <t>投诉类型</t>
        </is>
      </c>
      <c r="B5" s="4" t="inlineStr">
        <is>
          <t>机构</t>
        </is>
      </c>
      <c r="C5" s="4" t="inlineStr">
        <is>
          <t>记录数</t>
        </is>
      </c>
      <c r="D5" s="4" t="inlineStr">
        <is>
          <t>占比%</t>
        </is>
      </c>
      <c r="E5" s="4" t="inlineStr">
        <is>
          <t>中位时长(小时)</t>
        </is>
      </c>
      <c r="F5" s="4" t="inlineStr">
        <is>
          <t>前一年</t>
        </is>
      </c>
      <c r="G5" s="4" t="inlineStr">
        <is>
          <t>后一年</t>
        </is>
      </c>
      <c r="H5" s="4" t="inlineStr">
        <is>
          <t>同比%</t>
        </is>
      </c>
    </row>
    <row r="6">
      <c r="A6" s="5" t="inlineStr">
        <is>
          <t>Illegal Parking</t>
        </is>
      </c>
      <c r="B6" s="5" t="inlineStr">
        <is>
          <t>NYPD</t>
        </is>
      </c>
      <c r="C6" s="8" t="n">
        <v>1159053</v>
      </c>
      <c r="D6" s="5" t="n">
        <v>15.402</v>
      </c>
      <c r="E6" s="13" t="n">
        <v>1.53</v>
      </c>
      <c r="F6" s="8" t="n">
        <v>503051</v>
      </c>
      <c r="G6" s="8" t="n">
        <v>558006</v>
      </c>
      <c r="H6" s="14" t="n">
        <v>10.9</v>
      </c>
    </row>
    <row r="7">
      <c r="A7" s="5" t="inlineStr">
        <is>
          <t>Noise - Residential</t>
        </is>
      </c>
      <c r="B7" s="5" t="inlineStr">
        <is>
          <t>NYPD</t>
        </is>
      </c>
      <c r="C7" s="8" t="n">
        <v>881548</v>
      </c>
      <c r="D7" s="5" t="n">
        <v>11.714</v>
      </c>
      <c r="E7" s="13" t="n">
        <v>1.27</v>
      </c>
      <c r="F7" s="8" t="n">
        <v>401847</v>
      </c>
      <c r="G7" s="8" t="n">
        <v>400829</v>
      </c>
      <c r="H7" s="14" t="n">
        <v>-0.3</v>
      </c>
    </row>
    <row r="8">
      <c r="A8" s="5" t="inlineStr">
        <is>
          <t>HEAT/HOT WATER</t>
        </is>
      </c>
      <c r="B8" s="5" t="inlineStr">
        <is>
          <t>HPD</t>
        </is>
      </c>
      <c r="C8" s="8" t="n">
        <v>651594</v>
      </c>
      <c r="D8" s="5" t="n">
        <v>8.657999999999999</v>
      </c>
      <c r="E8" s="13" t="n">
        <v>41.79</v>
      </c>
      <c r="F8" s="8" t="n">
        <v>290581</v>
      </c>
      <c r="G8" s="8" t="n">
        <v>354225</v>
      </c>
      <c r="H8" s="14" t="n">
        <v>21.9</v>
      </c>
    </row>
    <row r="9">
      <c r="A9" s="5" t="inlineStr">
        <is>
          <t>Blocked Driveway</t>
        </is>
      </c>
      <c r="B9" s="5" t="inlineStr">
        <is>
          <t>NYPD</t>
        </is>
      </c>
      <c r="C9" s="8" t="n">
        <v>362642</v>
      </c>
      <c r="D9" s="5" t="n">
        <v>4.819</v>
      </c>
      <c r="E9" s="13" t="n">
        <v>1.76</v>
      </c>
      <c r="F9" s="8" t="n">
        <v>154610</v>
      </c>
      <c r="G9" s="8" t="n">
        <v>178341</v>
      </c>
      <c r="H9" s="14" t="n">
        <v>15.3</v>
      </c>
    </row>
    <row r="10">
      <c r="A10" s="5" t="inlineStr">
        <is>
          <t>Noise - Street/Sidewalk</t>
        </is>
      </c>
      <c r="B10" s="5" t="inlineStr">
        <is>
          <t>NYPD</t>
        </is>
      </c>
      <c r="C10" s="8" t="n">
        <v>349299</v>
      </c>
      <c r="D10" s="5" t="n">
        <v>4.642</v>
      </c>
      <c r="E10" s="13" t="n">
        <v>1</v>
      </c>
      <c r="F10" s="8" t="n">
        <v>155344</v>
      </c>
      <c r="G10" s="8" t="n">
        <v>155301</v>
      </c>
      <c r="H10" s="14" t="n">
        <v>-0</v>
      </c>
    </row>
    <row r="11">
      <c r="A11" s="5" t="inlineStr">
        <is>
          <t>UNSANITARY CONDITION</t>
        </is>
      </c>
      <c r="B11" s="5" t="inlineStr">
        <is>
          <t>HPD</t>
        </is>
      </c>
      <c r="C11" s="8" t="n">
        <v>249446</v>
      </c>
      <c r="D11" s="5" t="n">
        <v>3.315</v>
      </c>
      <c r="E11" s="13" t="n">
        <v>250.1</v>
      </c>
      <c r="F11" s="8" t="n">
        <v>104697</v>
      </c>
      <c r="G11" s="8" t="n">
        <v>122542</v>
      </c>
      <c r="H11" s="14" t="n">
        <v>17</v>
      </c>
    </row>
    <row r="12">
      <c r="A12" s="5" t="inlineStr">
        <is>
          <t>Street Condition</t>
        </is>
      </c>
      <c r="B12" s="5" t="inlineStr">
        <is>
          <t>DOT</t>
        </is>
      </c>
      <c r="C12" s="8" t="n">
        <v>187361</v>
      </c>
      <c r="D12" s="5" t="n">
        <v>2.49</v>
      </c>
      <c r="E12" s="13" t="n">
        <v>27.72</v>
      </c>
      <c r="F12" s="8" t="n">
        <v>64326</v>
      </c>
      <c r="G12" s="8" t="n">
        <v>112321</v>
      </c>
      <c r="H12" s="14" t="n">
        <v>74.59999999999999</v>
      </c>
    </row>
    <row r="13">
      <c r="A13" s="5" t="inlineStr">
        <is>
          <t>Water System</t>
        </is>
      </c>
      <c r="B13" s="5" t="inlineStr">
        <is>
          <t>DEP</t>
        </is>
      </c>
      <c r="C13" s="8" t="n">
        <v>152736</v>
      </c>
      <c r="D13" s="5" t="n">
        <v>2.03</v>
      </c>
      <c r="E13" s="13" t="n">
        <v>3.25</v>
      </c>
      <c r="F13" s="8" t="n">
        <v>75320</v>
      </c>
      <c r="G13" s="8" t="n">
        <v>69833</v>
      </c>
      <c r="H13" s="14" t="n">
        <v>-7.3</v>
      </c>
    </row>
    <row r="14">
      <c r="A14" s="5" t="inlineStr">
        <is>
          <t>PLUMBING</t>
        </is>
      </c>
      <c r="B14" s="5" t="inlineStr">
        <is>
          <t>HPD</t>
        </is>
      </c>
      <c r="C14" s="8" t="n">
        <v>150696</v>
      </c>
      <c r="D14" s="5" t="n">
        <v>2.002</v>
      </c>
      <c r="E14" s="13" t="n">
        <v>189.93</v>
      </c>
      <c r="F14" s="8" t="n">
        <v>62476</v>
      </c>
      <c r="G14" s="8" t="n">
        <v>77795</v>
      </c>
      <c r="H14" s="14" t="n">
        <v>24.5</v>
      </c>
    </row>
    <row r="15">
      <c r="A15" s="5" t="inlineStr">
        <is>
          <t>Abandoned Vehicle</t>
        </is>
      </c>
      <c r="B15" s="5" t="inlineStr">
        <is>
          <t>NYPD</t>
        </is>
      </c>
      <c r="C15" s="8" t="n">
        <v>139896</v>
      </c>
      <c r="D15" s="5" t="n">
        <v>1.859</v>
      </c>
      <c r="E15" s="13" t="n">
        <v>2.19</v>
      </c>
      <c r="F15" s="8" t="n">
        <v>63291</v>
      </c>
      <c r="G15" s="8" t="n">
        <v>64814</v>
      </c>
      <c r="H15" s="14" t="n">
        <v>2.4</v>
      </c>
    </row>
    <row r="16">
      <c r="A16" s="5" t="inlineStr">
        <is>
          <t>Dirty Condition</t>
        </is>
      </c>
      <c r="B16" s="5" t="inlineStr">
        <is>
          <t>DSNY</t>
        </is>
      </c>
      <c r="C16" s="8" t="n">
        <v>129570</v>
      </c>
      <c r="D16" s="5" t="n">
        <v>1.722</v>
      </c>
      <c r="E16" s="13" t="n">
        <v>24.66</v>
      </c>
      <c r="F16" s="8" t="n">
        <v>55031</v>
      </c>
      <c r="G16" s="8" t="n">
        <v>61769</v>
      </c>
      <c r="H16" s="14" t="n">
        <v>12.2</v>
      </c>
    </row>
    <row r="17">
      <c r="A17" s="5" t="inlineStr">
        <is>
          <t>Noise - Commercial</t>
        </is>
      </c>
      <c r="B17" s="5" t="inlineStr">
        <is>
          <t>NYPD</t>
        </is>
      </c>
      <c r="C17" s="8" t="n">
        <v>126247</v>
      </c>
      <c r="D17" s="5" t="n">
        <v>1.678</v>
      </c>
      <c r="E17" s="13" t="n">
        <v>0.91</v>
      </c>
      <c r="F17" s="8" t="n">
        <v>59301</v>
      </c>
      <c r="G17" s="8" t="n">
        <v>54370</v>
      </c>
      <c r="H17" s="14" t="n">
        <v>-8.300000000000001</v>
      </c>
    </row>
    <row r="18">
      <c r="A18" s="5" t="inlineStr">
        <is>
          <t>PAINT/PLASTER</t>
        </is>
      </c>
      <c r="B18" s="5" t="inlineStr">
        <is>
          <t>HPD</t>
        </is>
      </c>
      <c r="C18" s="8" t="n">
        <v>125565</v>
      </c>
      <c r="D18" s="5" t="n">
        <v>1.669</v>
      </c>
      <c r="E18" s="13" t="n">
        <v>174.64</v>
      </c>
      <c r="F18" s="8" t="n">
        <v>53466</v>
      </c>
      <c r="G18" s="8" t="n">
        <v>61743</v>
      </c>
      <c r="H18" s="14" t="n">
        <v>15.5</v>
      </c>
    </row>
    <row r="19">
      <c r="A19" s="5" t="inlineStr">
        <is>
          <t>Noise</t>
        </is>
      </c>
      <c r="B19" s="5" t="inlineStr">
        <is>
          <t>DEP</t>
        </is>
      </c>
      <c r="C19" s="8" t="n">
        <v>114654</v>
      </c>
      <c r="D19" s="5" t="n">
        <v>1.524</v>
      </c>
      <c r="E19" s="13" t="n">
        <v>67.56999999999999</v>
      </c>
      <c r="F19" s="8" t="n">
        <v>50163</v>
      </c>
      <c r="G19" s="8" t="n">
        <v>54031</v>
      </c>
      <c r="H19" s="14" t="n">
        <v>7.7</v>
      </c>
    </row>
    <row r="20">
      <c r="A20" s="5" t="inlineStr">
        <is>
          <t>Traffic Signal Condition</t>
        </is>
      </c>
      <c r="B20" s="5" t="inlineStr">
        <is>
          <t>DOT</t>
        </is>
      </c>
      <c r="C20" s="8" t="n">
        <v>104791</v>
      </c>
      <c r="D20" s="5" t="n">
        <v>1.392</v>
      </c>
      <c r="E20" s="13" t="n">
        <v>2.22</v>
      </c>
      <c r="F20" s="8" t="n">
        <v>44657</v>
      </c>
      <c r="G20" s="8" t="n">
        <v>54168</v>
      </c>
      <c r="H20" s="14" t="n">
        <v>21.3</v>
      </c>
    </row>
    <row r="21">
      <c r="A21" s="5" t="inlineStr">
        <is>
          <t>DOOR/WINDOW</t>
        </is>
      </c>
      <c r="B21" s="5" t="inlineStr">
        <is>
          <t>HPD</t>
        </is>
      </c>
      <c r="C21" s="8" t="n">
        <v>96879</v>
      </c>
      <c r="D21" s="5" t="n">
        <v>1.287</v>
      </c>
      <c r="E21" s="13" t="n">
        <v>288.32</v>
      </c>
      <c r="F21" s="8" t="n">
        <v>40937</v>
      </c>
      <c r="G21" s="8" t="n">
        <v>48663</v>
      </c>
      <c r="H21" s="14" t="n">
        <v>18.9</v>
      </c>
    </row>
    <row r="22">
      <c r="A22" s="5" t="inlineStr">
        <is>
          <t>Noise - Vehicle</t>
        </is>
      </c>
      <c r="B22" s="5" t="inlineStr">
        <is>
          <t>NYPD</t>
        </is>
      </c>
      <c r="C22" s="8" t="n">
        <v>92971</v>
      </c>
      <c r="D22" s="5" t="n">
        <v>1.235</v>
      </c>
      <c r="E22" s="13" t="n">
        <v>0.99</v>
      </c>
      <c r="F22" s="8" t="n">
        <v>38360</v>
      </c>
      <c r="G22" s="8" t="n">
        <v>46002</v>
      </c>
      <c r="H22" s="14" t="n">
        <v>19.9</v>
      </c>
    </row>
    <row r="23">
      <c r="A23" s="5" t="inlineStr">
        <is>
          <t>WATER LEAK</t>
        </is>
      </c>
      <c r="B23" s="5" t="inlineStr">
        <is>
          <t>HPD</t>
        </is>
      </c>
      <c r="C23" s="8" t="n">
        <v>83895</v>
      </c>
      <c r="D23" s="5" t="n">
        <v>1.115</v>
      </c>
      <c r="E23" s="13" t="n">
        <v>243.52</v>
      </c>
      <c r="F23" s="8" t="n">
        <v>34224</v>
      </c>
      <c r="G23" s="8" t="n">
        <v>43364</v>
      </c>
      <c r="H23" s="14" t="n">
        <v>26.7</v>
      </c>
    </row>
    <row r="24">
      <c r="A24" s="5" t="inlineStr">
        <is>
          <t>Derelict Vehicles</t>
        </is>
      </c>
      <c r="B24" s="5" t="inlineStr">
        <is>
          <t>DSNY</t>
        </is>
      </c>
      <c r="C24" s="8" t="n">
        <v>82540</v>
      </c>
      <c r="D24" s="5" t="n">
        <v>1.097</v>
      </c>
      <c r="E24" s="13" t="n">
        <v>20.97</v>
      </c>
      <c r="F24" s="8" t="n">
        <v>41210</v>
      </c>
      <c r="G24" s="8" t="n">
        <v>33264</v>
      </c>
      <c r="H24" s="14" t="n">
        <v>-19.3</v>
      </c>
    </row>
    <row r="25">
      <c r="A25" s="5" t="inlineStr">
        <is>
          <t>Missed Collection</t>
        </is>
      </c>
      <c r="B25" s="5" t="inlineStr">
        <is>
          <t>DSNY</t>
        </is>
      </c>
      <c r="C25" s="8" t="n">
        <v>79134</v>
      </c>
      <c r="D25" s="5" t="n">
        <v>1.052</v>
      </c>
      <c r="E25" s="13" t="n">
        <v>52.97</v>
      </c>
      <c r="F25" s="8" t="n">
        <v>40327</v>
      </c>
      <c r="G25" s="8" t="n">
        <v>32260</v>
      </c>
      <c r="H25" s="14" t="n">
        <v>-20</v>
      </c>
    </row>
    <row r="26">
      <c r="A26" s="5" t="inlineStr">
        <is>
          <t>Illegal Dumping</t>
        </is>
      </c>
      <c r="B26" s="5" t="inlineStr">
        <is>
          <t>DSNY</t>
        </is>
      </c>
      <c r="C26" s="8" t="n">
        <v>77394</v>
      </c>
      <c r="D26" s="5" t="n">
        <v>1.028</v>
      </c>
      <c r="E26" s="13" t="n">
        <v>63.9</v>
      </c>
      <c r="F26" s="8" t="n">
        <v>36432</v>
      </c>
      <c r="G26" s="8" t="n">
        <v>33295</v>
      </c>
      <c r="H26" s="14" t="n">
        <v>-8.6</v>
      </c>
    </row>
    <row r="27">
      <c r="A27" s="5" t="inlineStr">
        <is>
          <t>General Construction/Plumbing</t>
        </is>
      </c>
      <c r="B27" s="5" t="inlineStr">
        <is>
          <t>DOB</t>
        </is>
      </c>
      <c r="C27" s="8" t="n">
        <v>73848</v>
      </c>
      <c r="D27" s="5" t="n">
        <v>0.981</v>
      </c>
      <c r="E27" s="13" t="n">
        <v>59.53</v>
      </c>
      <c r="F27" s="8" t="n">
        <v>31642</v>
      </c>
      <c r="G27" s="8" t="n">
        <v>36007</v>
      </c>
      <c r="H27" s="14" t="n">
        <v>13.8</v>
      </c>
    </row>
    <row r="28">
      <c r="A28" s="5" t="inlineStr">
        <is>
          <t>GENERAL</t>
        </is>
      </c>
      <c r="B28" s="5" t="inlineStr">
        <is>
          <t>HPD</t>
        </is>
      </c>
      <c r="C28" s="8" t="n">
        <v>73738</v>
      </c>
      <c r="D28" s="5" t="n">
        <v>0.98</v>
      </c>
      <c r="E28" s="13" t="n">
        <v>310.16</v>
      </c>
      <c r="F28" s="8" t="n">
        <v>29158</v>
      </c>
      <c r="G28" s="8" t="n">
        <v>39166</v>
      </c>
      <c r="H28" s="14" t="n">
        <v>34.3</v>
      </c>
    </row>
    <row r="29">
      <c r="A29" s="5" t="inlineStr">
        <is>
          <t>Homeless Person Assistance</t>
        </is>
      </c>
      <c r="B29" s="5" t="inlineStr">
        <is>
          <t>DHS</t>
        </is>
      </c>
      <c r="C29" s="8" t="n">
        <v>73635</v>
      </c>
      <c r="D29" s="5" t="n">
        <v>0.978</v>
      </c>
      <c r="E29" s="13" t="n">
        <v>4.84</v>
      </c>
      <c r="F29" s="8" t="n">
        <v>33965</v>
      </c>
      <c r="G29" s="8" t="n">
        <v>30529</v>
      </c>
      <c r="H29" s="14" t="n">
        <v>-10.1</v>
      </c>
    </row>
    <row r="30">
      <c r="A30" s="5" t="inlineStr">
        <is>
          <t>Snow or Ice</t>
        </is>
      </c>
      <c r="B30" s="5" t="inlineStr">
        <is>
          <t>DSNY</t>
        </is>
      </c>
      <c r="C30" s="8" t="n">
        <v>72746</v>
      </c>
      <c r="D30" s="5" t="n">
        <v>0.967</v>
      </c>
      <c r="E30" s="13" t="n">
        <v>52.77</v>
      </c>
      <c r="F30" s="8" t="n">
        <v>8808</v>
      </c>
      <c r="G30" s="8" t="n">
        <v>63938</v>
      </c>
      <c r="H30" s="14" t="n">
        <v>625.9</v>
      </c>
    </row>
    <row r="31">
      <c r="A31" s="5" t="inlineStr">
        <is>
          <t>Damaged Tree</t>
        </is>
      </c>
      <c r="B31" s="5" t="inlineStr">
        <is>
          <t>DPR</t>
        </is>
      </c>
      <c r="C31" s="8" t="n">
        <v>69223</v>
      </c>
      <c r="D31" s="5" t="n">
        <v>0.92</v>
      </c>
      <c r="E31" s="13" t="n">
        <v>84.61</v>
      </c>
      <c r="F31" s="8" t="n">
        <v>24306</v>
      </c>
      <c r="G31" s="8" t="n">
        <v>39803</v>
      </c>
      <c r="H31" s="14" t="n">
        <v>63.8</v>
      </c>
    </row>
    <row r="32">
      <c r="A32" s="5" t="inlineStr">
        <is>
          <t>Street Light Condition</t>
        </is>
      </c>
      <c r="B32" s="5" t="inlineStr">
        <is>
          <t>DOT</t>
        </is>
      </c>
      <c r="C32" s="8" t="n">
        <v>68660</v>
      </c>
      <c r="D32" s="5" t="n">
        <v>0.912</v>
      </c>
      <c r="E32" s="13" t="n">
        <v>228.4</v>
      </c>
      <c r="F32" s="8" t="n">
        <v>28838</v>
      </c>
      <c r="G32" s="8" t="n">
        <v>33552</v>
      </c>
      <c r="H32" s="14" t="n">
        <v>16.3</v>
      </c>
    </row>
    <row r="33">
      <c r="A33" s="5" t="inlineStr">
        <is>
          <t>Encampment</t>
        </is>
      </c>
      <c r="B33" s="5" t="inlineStr">
        <is>
          <t>NYPD</t>
        </is>
      </c>
      <c r="C33" s="8" t="n">
        <v>68374</v>
      </c>
      <c r="D33" s="5" t="n">
        <v>0.909</v>
      </c>
      <c r="E33" s="13" t="n">
        <v>1.03</v>
      </c>
      <c r="F33" s="8" t="n">
        <v>29836</v>
      </c>
      <c r="G33" s="8" t="n">
        <v>30861</v>
      </c>
      <c r="H33" s="14" t="n">
        <v>3.4</v>
      </c>
    </row>
    <row r="34">
      <c r="A34" s="5" t="inlineStr">
        <is>
          <t>ELECTRIC</t>
        </is>
      </c>
      <c r="B34" s="5" t="inlineStr">
        <is>
          <t>HPD</t>
        </is>
      </c>
      <c r="C34" s="8" t="n">
        <v>64370</v>
      </c>
      <c r="D34" s="5" t="n">
        <v>0.855</v>
      </c>
      <c r="E34" s="13" t="n">
        <v>169.99</v>
      </c>
      <c r="F34" s="8" t="n">
        <v>27187</v>
      </c>
      <c r="G34" s="8" t="n">
        <v>32572</v>
      </c>
      <c r="H34" s="14" t="n">
        <v>19.8</v>
      </c>
    </row>
    <row r="35">
      <c r="A35" s="5" t="inlineStr">
        <is>
          <t>Rodent</t>
        </is>
      </c>
      <c r="B35" s="5" t="inlineStr">
        <is>
          <t>DOHMH</t>
        </is>
      </c>
      <c r="C35" s="8" t="n">
        <v>60442</v>
      </c>
      <c r="D35" s="5" t="n">
        <v>0.803</v>
      </c>
      <c r="E35" s="13" t="n">
        <v>1.04</v>
      </c>
      <c r="F35" s="8" t="n">
        <v>31595</v>
      </c>
      <c r="G35" s="8" t="n">
        <v>22596</v>
      </c>
      <c r="H35" s="14" t="n">
        <v>-28.5</v>
      </c>
    </row>
    <row r="38" ht="20" customHeight="1">
      <c r="A38" s="3" t="inlineStr">
        <is>
          <t>二、同比增量最大的 10 个类型（两年合计 ≥ 20,000 条）</t>
        </is>
      </c>
    </row>
    <row r="39">
      <c r="A39" s="4" t="inlineStr">
        <is>
          <t>投诉类型</t>
        </is>
      </c>
      <c r="B39" s="4" t="inlineStr">
        <is>
          <t>机构</t>
        </is>
      </c>
      <c r="C39" s="4" t="inlineStr">
        <is>
          <t>前一年</t>
        </is>
      </c>
      <c r="D39" s="4" t="inlineStr">
        <is>
          <t>后一年</t>
        </is>
      </c>
      <c r="E39" s="4" t="inlineStr">
        <is>
          <t>增量</t>
        </is>
      </c>
      <c r="F39" s="4" t="inlineStr">
        <is>
          <t>同比%</t>
        </is>
      </c>
    </row>
    <row r="40">
      <c r="A40" s="5" t="inlineStr">
        <is>
          <t>HEAT/HOT WATER</t>
        </is>
      </c>
      <c r="B40" s="5" t="inlineStr">
        <is>
          <t>HPD</t>
        </is>
      </c>
      <c r="C40" s="8" t="n">
        <v>290581</v>
      </c>
      <c r="D40" s="8" t="n">
        <v>354225</v>
      </c>
      <c r="E40" s="8" t="n">
        <v>63644</v>
      </c>
      <c r="F40" s="14" t="n">
        <v>21.9</v>
      </c>
    </row>
    <row r="41">
      <c r="A41" s="5" t="inlineStr">
        <is>
          <t>Snow or Ice</t>
        </is>
      </c>
      <c r="B41" s="5" t="inlineStr">
        <is>
          <t>DSNY</t>
        </is>
      </c>
      <c r="C41" s="8" t="n">
        <v>8808</v>
      </c>
      <c r="D41" s="8" t="n">
        <v>63938</v>
      </c>
      <c r="E41" s="8" t="n">
        <v>55130</v>
      </c>
      <c r="F41" s="14" t="n">
        <v>625.9</v>
      </c>
    </row>
    <row r="42">
      <c r="A42" s="5" t="inlineStr">
        <is>
          <t>Illegal Parking</t>
        </is>
      </c>
      <c r="B42" s="5" t="inlineStr">
        <is>
          <t>NYPD</t>
        </is>
      </c>
      <c r="C42" s="8" t="n">
        <v>503051</v>
      </c>
      <c r="D42" s="8" t="n">
        <v>558006</v>
      </c>
      <c r="E42" s="8" t="n">
        <v>54955</v>
      </c>
      <c r="F42" s="14" t="n">
        <v>10.9</v>
      </c>
    </row>
    <row r="43">
      <c r="A43" s="5" t="inlineStr">
        <is>
          <t>Street Condition</t>
        </is>
      </c>
      <c r="B43" s="5" t="inlineStr">
        <is>
          <t>DOT</t>
        </is>
      </c>
      <c r="C43" s="8" t="n">
        <v>64326</v>
      </c>
      <c r="D43" s="8" t="n">
        <v>112321</v>
      </c>
      <c r="E43" s="8" t="n">
        <v>47995</v>
      </c>
      <c r="F43" s="14" t="n">
        <v>74.59999999999999</v>
      </c>
    </row>
    <row r="44">
      <c r="A44" s="5" t="inlineStr">
        <is>
          <t>Blocked Driveway</t>
        </is>
      </c>
      <c r="B44" s="5" t="inlineStr">
        <is>
          <t>NYPD</t>
        </is>
      </c>
      <c r="C44" s="8" t="n">
        <v>154610</v>
      </c>
      <c r="D44" s="8" t="n">
        <v>178341</v>
      </c>
      <c r="E44" s="8" t="n">
        <v>23731</v>
      </c>
      <c r="F44" s="14" t="n">
        <v>15.3</v>
      </c>
    </row>
    <row r="45">
      <c r="A45" s="5" t="inlineStr">
        <is>
          <t>UNSANITARY CONDITION</t>
        </is>
      </c>
      <c r="B45" s="5" t="inlineStr">
        <is>
          <t>HPD</t>
        </is>
      </c>
      <c r="C45" s="8" t="n">
        <v>104697</v>
      </c>
      <c r="D45" s="8" t="n">
        <v>122542</v>
      </c>
      <c r="E45" s="8" t="n">
        <v>17845</v>
      </c>
      <c r="F45" s="14" t="n">
        <v>17</v>
      </c>
    </row>
    <row r="46">
      <c r="A46" s="5" t="inlineStr">
        <is>
          <t>Damaged Tree</t>
        </is>
      </c>
      <c r="B46" s="5" t="inlineStr">
        <is>
          <t>DPR</t>
        </is>
      </c>
      <c r="C46" s="8" t="n">
        <v>24306</v>
      </c>
      <c r="D46" s="8" t="n">
        <v>39803</v>
      </c>
      <c r="E46" s="8" t="n">
        <v>15497</v>
      </c>
      <c r="F46" s="14" t="n">
        <v>63.8</v>
      </c>
    </row>
    <row r="47">
      <c r="A47" s="5" t="inlineStr">
        <is>
          <t>PLUMBING</t>
        </is>
      </c>
      <c r="B47" s="5" t="inlineStr">
        <is>
          <t>HPD</t>
        </is>
      </c>
      <c r="C47" s="8" t="n">
        <v>62476</v>
      </c>
      <c r="D47" s="8" t="n">
        <v>77795</v>
      </c>
      <c r="E47" s="8" t="n">
        <v>15319</v>
      </c>
      <c r="F47" s="14" t="n">
        <v>24.5</v>
      </c>
    </row>
    <row r="48">
      <c r="A48" s="5" t="inlineStr">
        <is>
          <t>GENERAL</t>
        </is>
      </c>
      <c r="B48" s="5" t="inlineStr">
        <is>
          <t>HPD</t>
        </is>
      </c>
      <c r="C48" s="8" t="n">
        <v>29158</v>
      </c>
      <c r="D48" s="8" t="n">
        <v>39166</v>
      </c>
      <c r="E48" s="8" t="n">
        <v>10008</v>
      </c>
      <c r="F48" s="14" t="n">
        <v>34.3</v>
      </c>
    </row>
    <row r="49">
      <c r="A49" s="5" t="inlineStr">
        <is>
          <t>Traffic Signal Condition</t>
        </is>
      </c>
      <c r="B49" s="5" t="inlineStr">
        <is>
          <t>DOT</t>
        </is>
      </c>
      <c r="C49" s="8" t="n">
        <v>44657</v>
      </c>
      <c r="D49" s="8" t="n">
        <v>54168</v>
      </c>
      <c r="E49" s="8" t="n">
        <v>9511</v>
      </c>
      <c r="F49" s="14" t="n">
        <v>21.3</v>
      </c>
    </row>
    <row r="52" ht="20" customHeight="1">
      <c r="A52" s="3" t="inlineStr">
        <is>
          <t>三、同比减量最大的 10 个类型</t>
        </is>
      </c>
    </row>
    <row r="53">
      <c r="A53" s="4" t="inlineStr">
        <is>
          <t>投诉类型</t>
        </is>
      </c>
      <c r="B53" s="4" t="inlineStr">
        <is>
          <t>机构</t>
        </is>
      </c>
      <c r="C53" s="4" t="inlineStr">
        <is>
          <t>前一年</t>
        </is>
      </c>
      <c r="D53" s="4" t="inlineStr">
        <is>
          <t>后一年</t>
        </is>
      </c>
      <c r="E53" s="4" t="inlineStr">
        <is>
          <t>增量</t>
        </is>
      </c>
      <c r="F53" s="4" t="inlineStr">
        <is>
          <t>同比%</t>
        </is>
      </c>
    </row>
    <row r="54">
      <c r="A54" s="5" t="inlineStr">
        <is>
          <t>Drug Activity</t>
        </is>
      </c>
      <c r="B54" s="5" t="inlineStr">
        <is>
          <t>NYPD</t>
        </is>
      </c>
      <c r="C54" s="8" t="n">
        <v>27869</v>
      </c>
      <c r="D54" s="8" t="n">
        <v>8955</v>
      </c>
      <c r="E54" s="8" t="n">
        <v>-18914</v>
      </c>
      <c r="F54" s="14" t="n">
        <v>-67.90000000000001</v>
      </c>
    </row>
    <row r="55">
      <c r="A55" s="5" t="inlineStr">
        <is>
          <t>Lead</t>
        </is>
      </c>
      <c r="B55" s="5" t="inlineStr">
        <is>
          <t>DEP</t>
        </is>
      </c>
      <c r="C55" s="8" t="n">
        <v>27623</v>
      </c>
      <c r="D55" s="8" t="n">
        <v>13653</v>
      </c>
      <c r="E55" s="8" t="n">
        <v>-13970</v>
      </c>
      <c r="F55" s="14" t="n">
        <v>-50.6</v>
      </c>
    </row>
    <row r="56">
      <c r="A56" s="5" t="inlineStr">
        <is>
          <t>Noise - Helicopter</t>
        </is>
      </c>
      <c r="B56" s="5" t="inlineStr">
        <is>
          <t>EDC</t>
        </is>
      </c>
      <c r="C56" s="8" t="n">
        <v>21080</v>
      </c>
      <c r="D56" s="8" t="n">
        <v>12019</v>
      </c>
      <c r="E56" s="8" t="n">
        <v>-9061</v>
      </c>
      <c r="F56" s="14" t="n">
        <v>-43</v>
      </c>
    </row>
    <row r="57">
      <c r="A57" s="5" t="inlineStr">
        <is>
          <t>Rodent</t>
        </is>
      </c>
      <c r="B57" s="5" t="inlineStr">
        <is>
          <t>DOHMH</t>
        </is>
      </c>
      <c r="C57" s="8" t="n">
        <v>31595</v>
      </c>
      <c r="D57" s="8" t="n">
        <v>22596</v>
      </c>
      <c r="E57" s="8" t="n">
        <v>-8999</v>
      </c>
      <c r="F57" s="14" t="n">
        <v>-28.5</v>
      </c>
    </row>
    <row r="58">
      <c r="A58" s="5" t="inlineStr">
        <is>
          <t>Missed Collection</t>
        </is>
      </c>
      <c r="B58" s="5" t="inlineStr">
        <is>
          <t>DSNY</t>
        </is>
      </c>
      <c r="C58" s="8" t="n">
        <v>40327</v>
      </c>
      <c r="D58" s="8" t="n">
        <v>32260</v>
      </c>
      <c r="E58" s="8" t="n">
        <v>-8067</v>
      </c>
      <c r="F58" s="14" t="n">
        <v>-20</v>
      </c>
    </row>
    <row r="59">
      <c r="A59" s="5" t="inlineStr">
        <is>
          <t>Derelict Vehicles</t>
        </is>
      </c>
      <c r="B59" s="5" t="inlineStr">
        <is>
          <t>DSNY</t>
        </is>
      </c>
      <c r="C59" s="8" t="n">
        <v>41210</v>
      </c>
      <c r="D59" s="8" t="n">
        <v>33264</v>
      </c>
      <c r="E59" s="8" t="n">
        <v>-7946</v>
      </c>
      <c r="F59" s="14" t="n">
        <v>-19.3</v>
      </c>
    </row>
    <row r="60">
      <c r="A60" s="5" t="inlineStr">
        <is>
          <t>Water System</t>
        </is>
      </c>
      <c r="B60" s="5" t="inlineStr">
        <is>
          <t>DEP</t>
        </is>
      </c>
      <c r="C60" s="8" t="n">
        <v>75320</v>
      </c>
      <c r="D60" s="8" t="n">
        <v>69833</v>
      </c>
      <c r="E60" s="8" t="n">
        <v>-5487</v>
      </c>
      <c r="F60" s="14" t="n">
        <v>-7.3</v>
      </c>
    </row>
    <row r="61">
      <c r="A61" s="5" t="inlineStr">
        <is>
          <t>Noise - Commercial</t>
        </is>
      </c>
      <c r="B61" s="5" t="inlineStr">
        <is>
          <t>NYPD</t>
        </is>
      </c>
      <c r="C61" s="8" t="n">
        <v>59301</v>
      </c>
      <c r="D61" s="8" t="n">
        <v>54370</v>
      </c>
      <c r="E61" s="8" t="n">
        <v>-4931</v>
      </c>
      <c r="F61" s="14" t="n">
        <v>-8.300000000000001</v>
      </c>
    </row>
    <row r="62">
      <c r="A62" s="5" t="inlineStr">
        <is>
          <t>Vendor Enforcement</t>
        </is>
      </c>
      <c r="B62" s="5" t="inlineStr">
        <is>
          <t>DSNY</t>
        </is>
      </c>
      <c r="C62" s="8" t="n">
        <v>26778</v>
      </c>
      <c r="D62" s="8" t="n">
        <v>21999</v>
      </c>
      <c r="E62" s="8" t="n">
        <v>-4779</v>
      </c>
      <c r="F62" s="14" t="n">
        <v>-17.8</v>
      </c>
    </row>
    <row r="63">
      <c r="A63" s="5" t="inlineStr">
        <is>
          <t>Traffic</t>
        </is>
      </c>
      <c r="B63" s="5" t="inlineStr">
        <is>
          <t>NYPD</t>
        </is>
      </c>
      <c r="C63" s="8" t="n">
        <v>12020</v>
      </c>
      <c r="D63" s="8" t="n">
        <v>8249</v>
      </c>
      <c r="E63" s="8" t="n">
        <v>-3771</v>
      </c>
      <c r="F63" s="14" t="n">
        <v>-31.4</v>
      </c>
    </row>
    <row r="66" ht="15" customHeight="1">
      <c r="A66" s="7" t="inlineStr">
        <is>
          <t>Snow or Ice +625.9%（8,808 → 63,938）与 Street Condition +74.6%（64,326 → 112,321）是本年度最大的两项增量，都指向 2025–26 冬季的实际天气冲击（见工作表 5）。
降幅最大的 Drug Activity −67.9%（27,869 → 8,955）与 Lead −50.6%（27,623 → 13,653）属受理口径或流程变化，本报告无法从数据内判断原因，这里只呈现变化本身。
解读注意：同比表使用的是“两段完整月”口径，与工作表 3 的逐月表一致；所有含 Water System / Asbestos 等更名类型的数字到 2026-07 为止，未跨越更名点（见工作表 2 第五节）。
Noise - Residential 的同比受 655 EAST 230 STREET 影响：该地址在第二年（2025-10~2026-08）仅 71 条，故同比数字本身未被显著推高，但前一年的月度峰值被抬高。</t>
        </is>
      </c>
    </row>
    <row r="67" ht="15" customHeight="1"/>
    <row r="68" ht="15" customHeight="1"/>
    <row r="69" ht="15" customHeight="1"/>
  </sheetData>
  <mergeCells count="1">
    <mergeCell ref="A66:H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2026-09-16T08:01:23Z</dcterms:created>
  <dcterms:modified xmlns:dcterms="http://purl.org/dc/terms/" xmlns:xsi="http://www.w3.org/2001/XMLSchema-instance" xsi:type="dcterms:W3CDTF">2026-09-16T08:01:24Z</dcterms:modified>
</cp:coreProperties>
</file>