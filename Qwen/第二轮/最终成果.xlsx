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读与核心发现" sheetId="1" state="visible" r:id="rId1"/>
    <sheet xmlns:r="http://schemas.openxmlformats.org/officeDocument/2006/relationships" name="数据概况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YoY增长分解" sheetId="4" state="visible" r:id="rId4"/>
    <sheet xmlns:r="http://schemas.openxmlformats.org/officeDocument/2006/relationships" name="冬季与道路" sheetId="5" state="visible" r:id="rId5"/>
    <sheet xmlns:r="http://schemas.openxmlformats.org/officeDocument/2006/relationships" name="响应时长" sheetId="6" state="visible" r:id="rId6"/>
    <sheet xmlns:r="http://schemas.openxmlformats.org/officeDocument/2006/relationships" name="渠道与行政区" sheetId="7" state="visible" r:id="rId7"/>
    <sheet xmlns:r="http://schemas.openxmlformats.org/officeDocument/2006/relationships" name="数据质量与口径" sheetId="8" state="visible" r:id="rId8"/>
    <sheet xmlns:r="http://schemas.openxmlformats.org/officeDocument/2006/relationships" name="TOP类型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595959"/>
      <sz val="9"/>
    </font>
    <font>
      <name val="Microsoft YaHei"/>
      <b val="1"/>
      <color rgb="001F4E78"/>
      <sz val="12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0" borderId="1" pivotButton="0" quotePrefix="0" xfId="0"/>
    <xf numFmtId="0" fontId="2" fillId="5" borderId="0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每月请求量(两端为部分月)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'月度趋势'!$A$5:$A$29</f>
            </numRef>
          </cat>
          <val>
            <numRef>
              <f>'月度趋势'!$B$5:$B$29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请求数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处理时长中位数(小时, 成熟队列; 空缺=右删失未计)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'月度趋势'!$A$5:$A$29</f>
            </numRef>
          </cat>
          <val>
            <numRef>
              <f>'月度趋势'!$D$5:$D$29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中位小时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YoY 净增量 TOP12(条)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'YoY增长分解'!$A$21:$A$32</f>
            </numRef>
          </cat>
          <val>
            <numRef>
              <f>'YoY增长分解'!$D$21:$D$32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Snow or Ice 逐月(两个冬季对比)</a:t>
            </a:r>
          </a:p>
        </rich>
      </tx>
    </title>
    <plotArea>
      <lineChart>
        <grouping val="standard"/>
        <ser>
          <idx val="0"/>
          <order val="0"/>
          <tx>
            <strRef>
              <f>'冬季与道路'!B5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'冬季与道路'!$A$6:$A$30</f>
            </numRef>
          </cat>
          <val>
            <numRef>
              <f>'冬季与道路'!$B$6:$B$30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HEAT/HOT WATER 逐月(供暖季)</a:t>
            </a:r>
          </a:p>
        </rich>
      </tx>
    </title>
    <plotArea>
      <lineChart>
        <grouping val="standard"/>
        <ser>
          <idx val="0"/>
          <order val="0"/>
          <tx>
            <strRef>
              <f>'冬季与道路'!C5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'冬季与道路'!$A$6:$A$30</f>
            </numRef>
          </cat>
          <val>
            <numRef>
              <f>'冬季与道路'!$C$6:$C$30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Street Condition 逐月(2026-03 骤升并持续)</a:t>
            </a:r>
          </a:p>
        </rich>
      </tx>
    </title>
    <plotArea>
      <lineChart>
        <grouping val="standard"/>
        <ser>
          <idx val="0"/>
          <order val="0"/>
          <tx>
            <strRef>
              <f>'冬季与道路'!D5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'冬季与道路'!$A$6:$A$30</f>
            </numRef>
          </cat>
          <val>
            <numRef>
              <f>'冬季与道路'!$D$6:$D$30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Street Condition: 2026 vs 2025 (Mar–Jun, 分区)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'冬季与道路'!B66</f>
            </strRef>
          </tx>
          <spPr>
            <a:ln xmlns:a="http://schemas.openxmlformats.org/drawingml/2006/main">
              <a:prstDash val="solid"/>
            </a:ln>
          </spPr>
          <cat>
            <numRef>
              <f>'冬季与道路'!$A$67:$A$72</f>
            </numRef>
          </cat>
          <val>
            <numRef>
              <f>'冬季与道路'!$B$67:$B$72</f>
            </numRef>
          </val>
        </ser>
        <ser>
          <idx val="1"/>
          <order val="1"/>
          <tx>
            <strRef>
              <f>'冬季与道路'!C66</f>
            </strRef>
          </tx>
          <spPr>
            <a:ln xmlns:a="http://schemas.openxmlformats.org/drawingml/2006/main">
              <a:prstDash val="solid"/>
            </a:ln>
          </spPr>
          <cat>
            <numRef>
              <f>'冬季与道路'!$A$67:$A$72</f>
            </numRef>
          </cat>
          <val>
            <numRef>
              <f>'冬季与道路'!$C$67:$C$72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各机构处理时长中位数(小时, 对数刻度:跨1.3h~6296h)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'响应时长'!D5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'响应时长'!$A$6:$A$21</f>
            </numRef>
          </cat>
          <val>
            <numRef>
              <f>'响应时长'!$D$6:$D$21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中位小时(对数)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TOP类型处理时长中位数: W1 vs W2(小时, 对数刻度)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'响应时长'!C44</f>
            </strRef>
          </tx>
          <spPr>
            <a:ln xmlns:a="http://schemas.openxmlformats.org/drawingml/2006/main">
              <a:prstDash val="solid"/>
            </a:ln>
          </spPr>
          <cat>
            <numRef>
              <f>'响应时长'!$A$45:$A$59</f>
            </numRef>
          </cat>
          <val>
            <numRef>
              <f>'响应时长'!$C$45:$C$59</f>
            </numRef>
          </val>
        </ser>
        <ser>
          <idx val="1"/>
          <order val="1"/>
          <tx>
            <strRef>
              <f>'响应时长'!D44</f>
            </strRef>
          </tx>
          <spPr>
            <a:ln xmlns:a="http://schemas.openxmlformats.org/drawingml/2006/main">
              <a:prstDash val="solid"/>
            </a:ln>
          </spPr>
          <cat>
            <numRef>
              <f>'响应时长'!$A$45:$A$59</f>
            </numRef>
          </cat>
          <val>
            <numRef>
              <f>'响应时长'!$D$45:$D$59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中位小时(对数)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供暖类逐月请求量(柱)与中位时长(线)</a:t>
            </a:r>
          </a:p>
        </rich>
      </tx>
    </title>
    <plotArea>
      <lineChart>
        <grouping val="standard"/>
        <ser>
          <idx val="0"/>
          <order val="0"/>
          <tx>
            <strRef>
              <f>'响应时长'!B82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'响应时长'!$A$83:$A$107</f>
            </numRef>
          </cat>
          <val>
            <numRef>
              <f>'响应时长'!$B$83:$B$107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'响应时长'!C82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'响应时长'!$C$83:$C$107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中位小时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渠道份额%(W1 vs W2)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'渠道与行政区'!D5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'渠道与行政区'!$A$6:$A$10</f>
            </numRef>
          </cat>
          <val>
            <numRef>
              <f>'渠道与行政区'!$D$6:$D$10</f>
            </numRef>
          </val>
        </ser>
        <ser>
          <idx val="1"/>
          <order val="1"/>
          <tx>
            <strRef>
              <f>'渠道与行政区'!E5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'渠道与行政区'!$A$6:$A$10</f>
            </numRef>
          </cat>
          <val>
            <numRef>
              <f>'渠道与行政区'!$E$6:$E$10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ONLINE vs PHONE 逐月量</a:t>
            </a:r>
          </a:p>
        </rich>
      </tx>
    </title>
    <plotArea>
      <lineChart>
        <grouping val="standard"/>
        <ser>
          <idx val="0"/>
          <order val="0"/>
          <tx>
            <strRef>
              <f>'渠道与行政区'!C30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'渠道与行政区'!$A$31:$A$55</f>
            </numRef>
          </cat>
          <val>
            <numRef>
              <f>'渠道与行政区'!$C$31:$C$55</f>
            </numRef>
          </val>
        </ser>
        <ser>
          <idx val="1"/>
          <order val="1"/>
          <tx>
            <strRef>
              <f>'渠道与行政区'!E30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'渠道与行政区'!$A$31:$A$55</f>
            </numRef>
          </cat>
          <val>
            <numRef>
              <f>'渠道与行政区'!$E$31:$E$55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各区请求量(全期)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'渠道与行政区'!B75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'渠道与行政区'!$A$76:$A$81</f>
            </numRef>
          </cat>
          <val>
            <numRef>
              <f>'渠道与行政区'!$B$76:$B$81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Drug Activity 逐月</a:t>
            </a:r>
          </a:p>
        </rich>
      </tx>
    </title>
    <plotArea>
      <lineChart>
        <grouping val="standard"/>
        <ser>
          <idx val="0"/>
          <order val="0"/>
          <tx>
            <strRef>
              <f>'数据质量与口径'!B15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'数据质量与口径'!$A$16:$A$40</f>
            </numRef>
          </cat>
          <val>
            <numRef>
              <f>'数据质量与口径'!$B$16:$B$40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TOP20 投诉类型请求量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'TOP类型明细'!B4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'TOP类型明细'!$A$5:$A$24</f>
            </numRef>
          </cat>
          <val>
            <numRef>
              <f>'TOP类型明细'!$B$5:$B$24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46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31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73</row>
      <rowOff>0</rowOff>
    </from>
    <ext cx="648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60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108</row>
      <rowOff>0</rowOff>
    </from>
    <ext cx="72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56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82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41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25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60" customWidth="1" min="3" max="3"/>
    <col width="20" customWidth="1" min="4" max="4"/>
    <col width="16" customWidth="1" min="5" max="5"/>
  </cols>
  <sheetData>
    <row r="1" ht="26" customHeight="1">
      <c r="A1" s="1" t="inlineStr">
        <is>
          <t>NYC 311 服务请求分析看板（2024-09 至 2026-09）</t>
        </is>
      </c>
    </row>
    <row r="2" ht="30" customHeight="1">
      <c r="A2" s="2" t="inlineStr">
        <is>
          <t>数据源: D:\项目1\原始数据 (25个只读Parquet分片, 7,525,498条请求) | 记录粒度: 一行=一个311请求(unique_key全局唯一) | 所有数字可在各表页与工作表 work/tables/*.csv 回查</t>
        </is>
      </c>
    </row>
    <row r="4" ht="20" customHeight="1">
      <c r="A4" s="3" t="inlineStr">
        <is>
          <t>一、这个看板回答什么</t>
        </is>
      </c>
    </row>
    <row r="5" ht="58" customHeight="1">
      <c r="A5" s="4" t="inlineStr">
        <is>
          <t>从陌生的 NYC 311 原始数据出发，独立确认数据口径后，回答四个问题：(1) 两年里市民反映的问题总量与结构如何变化？(2) 变化的主要驱动是什么？(3) 311 的响应/结案速度如何、是否随负载变化？(4) 哪些数字是真实信号、哪些是口径/删失造成的假象？下面每条发现都标注了【事实】【推断】或【未验证】。</t>
        </is>
      </c>
    </row>
    <row r="7" ht="20" customHeight="1">
      <c r="A7" s="3" t="inlineStr">
        <is>
          <t>二、五个核心发现</t>
        </is>
      </c>
    </row>
    <row r="8">
      <c r="A8" s="5" t="inlineStr">
        <is>
          <t>#</t>
        </is>
      </c>
      <c r="B8" s="5" t="inlineStr">
        <is>
          <t>发现</t>
        </is>
      </c>
      <c r="C8" s="5" t="inlineStr">
        <is>
          <t>关键数字与说明</t>
        </is>
      </c>
      <c r="D8" s="5" t="inlineStr">
        <is>
          <t>性质</t>
        </is>
      </c>
      <c r="E8" s="5" t="inlineStr">
        <is>
          <t>证据表页</t>
        </is>
      </c>
    </row>
    <row r="9" ht="64" customHeight="1">
      <c r="A9" s="6" t="inlineStr">
        <is>
          <t>1</t>
        </is>
      </c>
      <c r="B9" s="7" t="inlineStr">
        <is>
          <t>总量两年增长约一成，但主要由天气驱动</t>
        </is>
      </c>
      <c r="C9" s="7" t="inlineStr">
        <is>
          <t>Oct–Aug 对齐窗口 W1(329.3万)→W2(364.0万)，净增 34.7万(+10.5%)。其中天气敏感6类(雪冰/供暖/道路/受损树木/管道/漏水)贡献 59.7%；剔除后基础增速仅 +5.0%。</t>
        </is>
      </c>
      <c r="D9" s="6" t="inlineStr">
        <is>
          <t>【事实】+【推断】</t>
        </is>
      </c>
      <c r="E9" s="7" t="inlineStr">
        <is>
          <t>YoY增长分解</t>
        </is>
      </c>
    </row>
    <row r="10" ht="64" customHeight="1">
      <c r="A10" s="6" t="inlineStr">
        <is>
          <t>2</t>
        </is>
      </c>
      <c r="B10" s="7" t="inlineStr">
        <is>
          <t>2025–26 冬季异常严酷，并留下春季道路损坏</t>
        </is>
      </c>
      <c r="C10" s="7" t="inlineStr">
        <is>
          <t>Snow or Ice 冬三月合计(12–2月) 8,794→63,722(≈7×)；HEAT/HOT WATER 2026-01 峰值 79,928(全期单月最高)；Street Condition 2026-03 冲到 28,690(常态4–7k)且五个区普涨1.9–2.8×，持续到夏季。</t>
        </is>
      </c>
      <c r="D10" s="6" t="inlineStr">
        <is>
          <t>【事实】现象；【推断】更冷冬季</t>
        </is>
      </c>
      <c r="E10" s="7" t="inlineStr">
        <is>
          <t>冬季与道路</t>
        </is>
      </c>
    </row>
    <row r="11" ht="64" customHeight="1">
      <c r="A11" s="6" t="inlineStr">
        <is>
          <t>3</t>
        </is>
      </c>
      <c r="B11" s="7" t="inlineStr">
        <is>
          <t>响应速度高度分层，但主要类别总体稳定</t>
        </is>
      </c>
      <c r="C11" s="7" t="inlineStr">
        <is>
          <t>成熟队列全市中位 7.7h、24h内结案 60.9%、7天内 83.7%。NYPD类(违停/噪声)中位≈1.3h；HPD住房类以天计(不卫生250h、门窗291h、漏水247h)。HEAT/HOT WATER 中位 41.8→42.0h，负载上升下仍稳定。</t>
        </is>
      </c>
      <c r="D11" s="6" t="inlineStr">
        <is>
          <t>【事实】</t>
        </is>
      </c>
      <c r="E11" s="7" t="inlineStr">
        <is>
          <t>响应时长</t>
        </is>
      </c>
    </row>
    <row r="12" ht="64" customHeight="1">
      <c r="A12" s="6" t="inlineStr">
        <is>
          <t>4</t>
        </is>
      </c>
      <c r="B12" s="7" t="inlineStr">
        <is>
          <t>受理渠道持续向线上迁移</t>
        </is>
      </c>
      <c r="C12" s="7" t="inlineStr">
        <is>
          <t>ONLINE 份额 41.8%→46.8%(+326k)；PHONE 28.1%→23.4%(绝对 −73k, −7.9%)；MOBILE 22.7%→21.2%。电话是唯一绝对下降的渠道。</t>
        </is>
      </c>
      <c r="D12" s="6" t="inlineStr">
        <is>
          <t>【事实】</t>
        </is>
      </c>
      <c r="E12" s="7" t="inlineStr">
        <is>
          <t>渠道与行政区</t>
        </is>
      </c>
    </row>
    <row r="13" ht="64" customHeight="1">
      <c r="A13" s="6" t="inlineStr">
        <is>
          <t>5</t>
        </is>
      </c>
      <c r="B13" s="7" t="inlineStr">
        <is>
          <t>若干'暴涨暴跌'是口径/删失/集中事件，非真实趋势</t>
        </is>
      </c>
      <c r="C13" s="7" t="inlineStr">
        <is>
          <t>Water Maintenance YoY'+125422%'=DEP水系2026-07重分类；Drug Activity'−68%'=2025夏Queens尖峰后崩塌；2025-01噪声尖峰=单一ZIP 10466事件；近3月closed_rate骤降=右删失(尚未到结案时间)。</t>
        </is>
      </c>
      <c r="D13" s="6" t="inlineStr">
        <is>
          <t>【事实】+【未验证】原因</t>
        </is>
      </c>
      <c r="E13" s="7" t="inlineStr">
        <is>
          <t>数据质量与口径</t>
        </is>
      </c>
    </row>
    <row r="15" ht="20" customHeight="1">
      <c r="A15" s="3" t="inlineStr">
        <is>
          <t>三、各表页怎么看</t>
        </is>
      </c>
    </row>
    <row r="16" ht="30" customHeight="1">
      <c r="B16" s="8" t="inlineStr">
        <is>
          <t>数据概况</t>
        </is>
      </c>
      <c r="C16" s="7" t="inlineStr">
        <is>
          <t>总量/时间范围/粒度/缺失率/QA剔除，确认这份数据能代表什么、不能代表什么。</t>
        </is>
      </c>
    </row>
    <row r="17" ht="30" customHeight="1">
      <c r="B17" s="8" t="inlineStr">
        <is>
          <t>月度趋势</t>
        </is>
      </c>
      <c r="C17" s="7" t="inlineStr">
        <is>
          <t>25个月的请求量、结案率、成熟队列处理时长中位数(含折线图)；两端为部分月，近3月结案率受右删失影响。</t>
        </is>
      </c>
    </row>
    <row r="18" ht="30" customHeight="1">
      <c r="B18" s="8" t="inlineStr">
        <is>
          <t>YoY增长分解</t>
        </is>
      </c>
      <c r="C18" s="7" t="inlineStr">
        <is>
          <t>把 +10.5% 拆成'天气'与'基础增长'，并列出增长/下降最多的投诉类型。</t>
        </is>
      </c>
    </row>
    <row r="19" ht="30" customHeight="1">
      <c r="B19" s="8" t="inlineStr">
        <is>
          <t>冬季与道路</t>
        </is>
      </c>
      <c r="C19" s="7" t="inlineStr">
        <is>
          <t>发现2的证据：雪冰/供暖/道路逐月曲线 + 道路损坏的分区对比。</t>
        </is>
      </c>
    </row>
    <row r="20" ht="30" customHeight="1">
      <c r="B20" s="8" t="inlineStr">
        <is>
          <t>响应时长</t>
        </is>
      </c>
      <c r="C20" s="7" t="inlineStr">
        <is>
          <t>发现3的证据：按机构与投诉类型的处理时长，及供暖类逐月负载vs时长。</t>
        </is>
      </c>
    </row>
    <row r="21" ht="30" customHeight="1">
      <c r="B21" s="8" t="inlineStr">
        <is>
          <t>渠道与行政区</t>
        </is>
      </c>
      <c r="C21" s="7" t="inlineStr">
        <is>
          <t>发现4的证据：渠道份额迁移 + 行政区分布与增速。</t>
        </is>
      </c>
    </row>
    <row r="22" ht="30" customHeight="1">
      <c r="B22" s="8" t="inlineStr">
        <is>
          <t>数据质量与口径</t>
        </is>
      </c>
      <c r="C22" s="7" t="inlineStr">
        <is>
          <t>发现5的证据：所有需要谨慎解读的口径变更、集中事件、删失，逐条列出处理方式。</t>
        </is>
      </c>
    </row>
    <row r="23" ht="30" customHeight="1">
      <c r="B23" s="8" t="inlineStr">
        <is>
          <t>TOP类型明细</t>
        </is>
      </c>
      <c r="C23" s="7" t="inlineStr">
        <is>
          <t>全期请求量前20的投诉类型：占比、结案率、处理时长。</t>
        </is>
      </c>
    </row>
    <row r="25" ht="42" customHeight="1">
      <c r="A25" s="9" t="inlineStr">
        <is>
          <t>事实=可从原始数据直接计算得到；推断=基于数据模式的最可能解释(如'更冷冬季')，未引入外部气象数据；未验证=数据不足以确定原因(如某些类别骤变的政策/执法动因)。原始输入只读，未做任何改写。</t>
        </is>
      </c>
    </row>
  </sheetData>
  <mergeCells count="15">
    <mergeCell ref="C16:E16"/>
    <mergeCell ref="A4:E4"/>
    <mergeCell ref="C19:E19"/>
    <mergeCell ref="A2:E2"/>
    <mergeCell ref="A15:E15"/>
    <mergeCell ref="A7:E7"/>
    <mergeCell ref="C23:E23"/>
    <mergeCell ref="A25:E25"/>
    <mergeCell ref="C22:E22"/>
    <mergeCell ref="C18:E18"/>
    <mergeCell ref="A1:E1"/>
    <mergeCell ref="A5:E5"/>
    <mergeCell ref="C17:E17"/>
    <mergeCell ref="C21:E21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8" customWidth="1" min="3" max="3"/>
  </cols>
  <sheetData>
    <row r="1" ht="26" customHeight="1">
      <c r="A1" s="1" t="inlineStr">
        <is>
          <t>数据概况与证据边界</t>
        </is>
      </c>
    </row>
    <row r="2" ht="30" customHeight="1">
      <c r="A2" s="2" t="inlineStr">
        <is>
          <t>记录粒度、时间覆盖、缺失与质量剔除。对应 work/tables/t_overview.csv</t>
        </is>
      </c>
    </row>
    <row r="4" ht="20" customHeight="1">
      <c r="A4" s="3" t="inlineStr">
        <is>
          <t>关键口径指标</t>
        </is>
      </c>
    </row>
    <row r="5">
      <c r="A5" s="5" t="inlineStr">
        <is>
          <t>指标</t>
        </is>
      </c>
      <c r="B5" s="5" t="inlineStr">
        <is>
          <t>值</t>
        </is>
      </c>
      <c r="C5" s="5" t="inlineStr">
        <is>
          <t>说明</t>
        </is>
      </c>
    </row>
    <row r="6">
      <c r="A6" s="10" t="inlineStr">
        <is>
          <t>记录总数(行)</t>
        </is>
      </c>
      <c r="B6" s="10" t="inlineStr">
        <is>
          <t>7,525,498</t>
        </is>
      </c>
      <c r="C6" s="7" t="inlineStr">
        <is>
          <t>一行 = 一个 311 服务请求(unique_key 全局唯一, 0 重复)</t>
        </is>
      </c>
    </row>
    <row r="7">
      <c r="A7" s="10" t="inlineStr">
        <is>
          <t>created 时间范围</t>
        </is>
      </c>
      <c r="B7" s="7" t="inlineStr">
        <is>
          <t>2024-09-07 ~ 2026-09-05</t>
        </is>
      </c>
      <c r="C7" s="7" t="inlineStr">
        <is>
          <t>2026-09-05 为截断日(仅718条); 完整日截止 2026-09-04</t>
        </is>
      </c>
    </row>
    <row r="8">
      <c r="A8" s="10" t="inlineStr">
        <is>
          <t>完整月范围</t>
        </is>
      </c>
      <c r="B8" s="7" t="inlineStr">
        <is>
          <t>2024-10 ~ 2026-08 (23个完整月)</t>
        </is>
      </c>
      <c r="C8" s="7" t="inlineStr">
        <is>
          <t>2024-09 与 2026-09 为部分月, 不参与 YoY</t>
        </is>
      </c>
    </row>
    <row r="9">
      <c r="A9" s="10" t="inlineStr">
        <is>
          <t>投诉类型数</t>
        </is>
      </c>
      <c r="B9" s="10" t="inlineStr">
        <is>
          <t>205</t>
        </is>
      </c>
      <c r="C9" s="7" t="inlineStr">
        <is>
          <t>complaint_type 去重计数(全期)</t>
        </is>
      </c>
    </row>
    <row r="10">
      <c r="A10" s="10" t="inlineStr">
        <is>
          <t>机构数</t>
        </is>
      </c>
      <c r="B10" s="10" t="inlineStr">
        <is>
          <t>16</t>
        </is>
      </c>
      <c r="C10" s="10" t="inlineStr">
        <is>
          <t>agency 去重计数(全期)</t>
        </is>
      </c>
    </row>
    <row r="11">
      <c r="A11" s="10" t="inlineStr">
        <is>
          <t>月均请求量(完整月)</t>
        </is>
      </c>
      <c r="B11" s="10" t="inlineStr">
        <is>
          <t>289,415</t>
        </is>
      </c>
      <c r="C11" s="10" t="inlineStr">
        <is>
          <t>23个完整月的平均</t>
        </is>
      </c>
    </row>
    <row r="12">
      <c r="A12" s="10" t="inlineStr">
        <is>
          <t>已结案记录占比(全期)</t>
        </is>
      </c>
      <c r="B12" s="10" t="inlineStr">
        <is>
          <t>96.81%</t>
        </is>
      </c>
      <c r="C12" s="7" t="inlineStr">
        <is>
          <t>closed_dt 非空; 近3个月为右删失(尚未到结案时间)</t>
        </is>
      </c>
    </row>
    <row r="13">
      <c r="A13" s="10" t="inlineStr">
        <is>
          <t>成熟队列处理时长中位数</t>
        </is>
      </c>
      <c r="B13" s="10" t="inlineStr">
        <is>
          <t>7.71 小时</t>
        </is>
      </c>
      <c r="C13" s="7" t="inlineStr">
        <is>
          <t>created&lt;=2026-06-30 且有效时长 (n=6,659,866)</t>
        </is>
      </c>
    </row>
    <row r="14">
      <c r="A14" s="10" t="inlineStr">
        <is>
          <t>24小时内结案占比(成熟队列)</t>
        </is>
      </c>
      <c r="B14" s="10" t="inlineStr">
        <is>
          <t>60.9%</t>
        </is>
      </c>
      <c r="C14" s="10" t="inlineStr">
        <is>
          <t>同上口径</t>
        </is>
      </c>
    </row>
    <row r="15">
      <c r="A15" s="10" t="inlineStr">
        <is>
          <t>7天内结案占比(成熟队列)</t>
        </is>
      </c>
      <c r="B15" s="10" t="inlineStr">
        <is>
          <t>83.7%</t>
        </is>
      </c>
      <c r="C15" s="10" t="inlineStr">
        <is>
          <t>同上口径</t>
        </is>
      </c>
    </row>
    <row r="16">
      <c r="A16" s="7" t="inlineStr">
        <is>
          <t>YoY 总量变化(Oct-Aug对齐)</t>
        </is>
      </c>
      <c r="B16" s="10" t="inlineStr">
        <is>
          <t>+10.5%</t>
        </is>
      </c>
      <c r="C16" s="7" t="inlineStr">
        <is>
          <t>W1=3,293,003 → W2=3,639,698</t>
        </is>
      </c>
    </row>
    <row r="17">
      <c r="A17" s="10" t="inlineStr">
        <is>
          <t>基础增速(剔除天气敏感类)</t>
        </is>
      </c>
      <c r="B17" s="10" t="inlineStr">
        <is>
          <t>+5.0%</t>
        </is>
      </c>
      <c r="C17" s="7" t="inlineStr">
        <is>
          <t>非天气类别 W1→W2 见 t_decomp.csv</t>
        </is>
      </c>
    </row>
    <row r="18">
      <c r="A18" s="10" t="inlineStr">
        <is>
          <t>缺失率: 渠道 UNKNOWN</t>
        </is>
      </c>
      <c r="B18" s="10" t="inlineStr">
        <is>
          <t>7.85%</t>
        </is>
      </c>
      <c r="C18" s="7" t="inlineStr">
        <is>
          <t>open_data_channel_type='UNKNOWN'</t>
        </is>
      </c>
    </row>
    <row r="19">
      <c r="A19" s="10" t="inlineStr">
        <is>
          <t>缺失率: city</t>
        </is>
      </c>
      <c r="B19" s="10" t="inlineStr">
        <is>
          <t>4.72%</t>
        </is>
      </c>
      <c r="C19" s="10" t="n"/>
    </row>
    <row r="20">
      <c r="A20" s="7" t="inlineStr">
        <is>
          <t>缺失率: borough Unspecified</t>
        </is>
      </c>
      <c r="B20" s="10" t="inlineStr">
        <is>
          <t>0.084%</t>
        </is>
      </c>
      <c r="C20" s="10" t="inlineStr">
        <is>
          <t>已归为 NA</t>
        </is>
      </c>
    </row>
    <row r="21">
      <c r="A21" s="7" t="inlineStr">
        <is>
          <t>缺失率: closed_dt(未结案)</t>
        </is>
      </c>
      <c r="B21" s="10" t="inlineStr">
        <is>
          <t>3.19%</t>
        </is>
      </c>
      <c r="C21" s="10" t="inlineStr">
        <is>
          <t>右删失, 集中在近3个月</t>
        </is>
      </c>
    </row>
    <row r="22">
      <c r="A22" s="10" t="inlineStr">
        <is>
          <t>QA剔除: 负处理时长</t>
        </is>
      </c>
      <c r="B22" s="10" t="inlineStr">
        <is>
          <t>1,877 条(0.025%)</t>
        </is>
      </c>
      <c r="C22" s="7" t="inlineStr">
        <is>
          <t>closed_dt &lt; created_dt, 处理时长统计中剔除</t>
        </is>
      </c>
    </row>
    <row r="23">
      <c r="A23" s="7" t="inlineStr">
        <is>
          <t>QA剔除: closed_dt 超快照/早于窗口</t>
        </is>
      </c>
      <c r="B23" s="10" t="inlineStr">
        <is>
          <t>1 + 8 条</t>
        </is>
      </c>
      <c r="C23" s="7" t="inlineStr">
        <is>
          <t>未来日期1条; 早于2024-09-07共8条</t>
        </is>
      </c>
    </row>
    <row r="25" ht="60" customHeight="1">
      <c r="A25" s="9" t="inlineStr">
        <is>
          <t>说明：closed_dt 缺失=未结案(右删失)，集中在近3个月，属正常；负处理时长/未来结案日期等极少数异常已在处理时长统计中按规则剔除(见 t_overview 末两行)。borough 'Unspecified'(0.08%)与 channel 'UNKNOWN'(7.85%)保留为独立类别，不臆测归属。</t>
        </is>
      </c>
    </row>
  </sheetData>
  <mergeCells count="4">
    <mergeCell ref="A1:C1"/>
    <mergeCell ref="A4:C4"/>
    <mergeCell ref="A2:C2"/>
    <mergeCell ref="A25:C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12" customWidth="1" min="5" max="5"/>
    <col width="30" customWidth="1" min="6" max="6"/>
    <col width="14" customWidth="1" min="7" max="7"/>
  </cols>
  <sheetData>
    <row r="1" ht="26" customHeight="1">
      <c r="A1" s="1" t="inlineStr">
        <is>
          <t>月度趋势（25个月）</t>
        </is>
      </c>
    </row>
    <row r="2" ht="30" customHeight="1">
      <c r="A2" s="2" t="inlineStr">
        <is>
          <t>对应 work/tables/t_monthly.csv。2024-09与2026-09为部分月；近3个月结案率受右删失影响</t>
        </is>
      </c>
    </row>
    <row r="4">
      <c r="A4" s="5" t="inlineStr">
        <is>
          <t>month</t>
        </is>
      </c>
      <c r="B4" s="5" t="inlineStr">
        <is>
          <t>n_requests</t>
        </is>
      </c>
      <c r="C4" s="5" t="inlineStr">
        <is>
          <t>closed_rate_pct</t>
        </is>
      </c>
      <c r="D4" s="5" t="inlineStr">
        <is>
          <t>median_res_h_matured</t>
        </is>
      </c>
      <c r="E4" s="5" t="inlineStr">
        <is>
          <t>is_partial_month</t>
        </is>
      </c>
      <c r="F4" s="5" t="inlineStr">
        <is>
          <t>censored_note</t>
        </is>
      </c>
      <c r="G4" s="5" t="inlineStr">
        <is>
          <t>yoy_pct_aligned</t>
        </is>
      </c>
    </row>
    <row r="5">
      <c r="A5" s="10" t="inlineStr">
        <is>
          <t>2024-09</t>
        </is>
      </c>
      <c r="B5" s="10" t="n">
        <v>248139</v>
      </c>
      <c r="C5" s="11" t="n">
        <v>98.14</v>
      </c>
      <c r="D5" s="11" t="n">
        <v>4.84</v>
      </c>
      <c r="E5" s="10" t="b">
        <v>1</v>
      </c>
      <c r="F5" s="10" t="n"/>
      <c r="G5" s="10" t="n"/>
    </row>
    <row r="6">
      <c r="A6" s="10" t="inlineStr">
        <is>
          <t>2024-10</t>
        </is>
      </c>
      <c r="B6" s="10" t="n">
        <v>306803</v>
      </c>
      <c r="C6" s="11" t="n">
        <v>97.5</v>
      </c>
      <c r="D6" s="11" t="n">
        <v>7.49</v>
      </c>
      <c r="E6" s="10" t="b">
        <v>0</v>
      </c>
      <c r="F6" s="10" t="n"/>
      <c r="G6" s="10" t="n"/>
    </row>
    <row r="7">
      <c r="A7" s="10" t="inlineStr">
        <is>
          <t>2024-11</t>
        </is>
      </c>
      <c r="B7" s="10" t="n">
        <v>293515</v>
      </c>
      <c r="C7" s="11" t="n">
        <v>97.87</v>
      </c>
      <c r="D7" s="11" t="n">
        <v>12.67</v>
      </c>
      <c r="E7" s="10" t="b">
        <v>0</v>
      </c>
      <c r="F7" s="10" t="n"/>
      <c r="G7" s="10" t="n"/>
    </row>
    <row r="8">
      <c r="A8" s="10" t="inlineStr">
        <is>
          <t>2024-12</t>
        </is>
      </c>
      <c r="B8" s="10" t="n">
        <v>313949</v>
      </c>
      <c r="C8" s="11" t="n">
        <v>98.81</v>
      </c>
      <c r="D8" s="11" t="n">
        <v>18.27</v>
      </c>
      <c r="E8" s="10" t="b">
        <v>0</v>
      </c>
      <c r="F8" s="10" t="n"/>
      <c r="G8" s="10" t="n"/>
    </row>
    <row r="9">
      <c r="A9" s="10" t="inlineStr">
        <is>
          <t>2025-01</t>
        </is>
      </c>
      <c r="B9" s="10" t="n">
        <v>348180</v>
      </c>
      <c r="C9" s="11" t="n">
        <v>99.25</v>
      </c>
      <c r="D9" s="11" t="n">
        <v>15.08</v>
      </c>
      <c r="E9" s="10" t="b">
        <v>0</v>
      </c>
      <c r="F9" s="10" t="n"/>
      <c r="G9" s="10" t="n"/>
    </row>
    <row r="10">
      <c r="A10" s="10" t="inlineStr">
        <is>
          <t>2025-02</t>
        </is>
      </c>
      <c r="B10" s="10" t="n">
        <v>255364</v>
      </c>
      <c r="C10" s="11" t="n">
        <v>98.61</v>
      </c>
      <c r="D10" s="11" t="n">
        <v>13.79</v>
      </c>
      <c r="E10" s="10" t="b">
        <v>0</v>
      </c>
      <c r="F10" s="10" t="n"/>
      <c r="G10" s="10" t="n"/>
    </row>
    <row r="11">
      <c r="A11" s="10" t="inlineStr">
        <is>
          <t>2025-03</t>
        </is>
      </c>
      <c r="B11" s="10" t="n">
        <v>281221</v>
      </c>
      <c r="C11" s="11" t="n">
        <v>98.59</v>
      </c>
      <c r="D11" s="11" t="n">
        <v>8.41</v>
      </c>
      <c r="E11" s="10" t="b">
        <v>0</v>
      </c>
      <c r="F11" s="10" t="n"/>
      <c r="G11" s="10" t="n"/>
    </row>
    <row r="12">
      <c r="A12" s="10" t="inlineStr">
        <is>
          <t>2025-04</t>
        </is>
      </c>
      <c r="B12" s="10" t="n">
        <v>272549</v>
      </c>
      <c r="C12" s="11" t="n">
        <v>98.19</v>
      </c>
      <c r="D12" s="11" t="n">
        <v>6.98</v>
      </c>
      <c r="E12" s="10" t="b">
        <v>0</v>
      </c>
      <c r="F12" s="10" t="n"/>
      <c r="G12" s="10" t="n"/>
    </row>
    <row r="13">
      <c r="A13" s="10" t="inlineStr">
        <is>
          <t>2025-05</t>
        </is>
      </c>
      <c r="B13" s="10" t="n">
        <v>295058</v>
      </c>
      <c r="C13" s="11" t="n">
        <v>98.48999999999999</v>
      </c>
      <c r="D13" s="11" t="n">
        <v>4.14</v>
      </c>
      <c r="E13" s="10" t="b">
        <v>0</v>
      </c>
      <c r="F13" s="10" t="n"/>
      <c r="G13" s="10" t="n"/>
    </row>
    <row r="14">
      <c r="A14" s="10" t="inlineStr">
        <is>
          <t>2025-06</t>
        </is>
      </c>
      <c r="B14" s="10" t="n">
        <v>306442</v>
      </c>
      <c r="C14" s="11" t="n">
        <v>98.81</v>
      </c>
      <c r="D14" s="11" t="n">
        <v>3.51</v>
      </c>
      <c r="E14" s="10" t="b">
        <v>0</v>
      </c>
      <c r="F14" s="10" t="n"/>
      <c r="G14" s="10" t="n"/>
    </row>
    <row r="15">
      <c r="A15" s="10" t="inlineStr">
        <is>
          <t>2025-07</t>
        </is>
      </c>
      <c r="B15" s="10" t="n">
        <v>315883</v>
      </c>
      <c r="C15" s="11" t="n">
        <v>98.7</v>
      </c>
      <c r="D15" s="11" t="n">
        <v>4.61</v>
      </c>
      <c r="E15" s="10" t="b">
        <v>0</v>
      </c>
      <c r="F15" s="10" t="n"/>
      <c r="G15" s="10" t="n"/>
    </row>
    <row r="16">
      <c r="A16" s="10" t="inlineStr">
        <is>
          <t>2025-08</t>
        </is>
      </c>
      <c r="B16" s="10" t="n">
        <v>304039</v>
      </c>
      <c r="C16" s="11" t="n">
        <v>98.19</v>
      </c>
      <c r="D16" s="11" t="n">
        <v>3.94</v>
      </c>
      <c r="E16" s="10" t="b">
        <v>0</v>
      </c>
      <c r="F16" s="10" t="n"/>
      <c r="G16" s="10" t="n"/>
    </row>
    <row r="17">
      <c r="A17" s="10" t="inlineStr">
        <is>
          <t>2025-09</t>
        </is>
      </c>
      <c r="B17" s="10" t="n">
        <v>302684</v>
      </c>
      <c r="C17" s="11" t="n">
        <v>97.79000000000001</v>
      </c>
      <c r="D17" s="11" t="n">
        <v>3.7</v>
      </c>
      <c r="E17" s="10" t="b">
        <v>0</v>
      </c>
      <c r="F17" s="10" t="n"/>
      <c r="G17" s="10" t="n"/>
    </row>
    <row r="18">
      <c r="A18" s="10" t="inlineStr">
        <is>
          <t>2025-10</t>
        </is>
      </c>
      <c r="B18" s="10" t="n">
        <v>336612</v>
      </c>
      <c r="C18" s="11" t="n">
        <v>97.89</v>
      </c>
      <c r="D18" s="11" t="n">
        <v>4.81</v>
      </c>
      <c r="E18" s="10" t="b">
        <v>0</v>
      </c>
      <c r="F18" s="10" t="n"/>
      <c r="G18" s="12" t="n">
        <v>9.699999999999999</v>
      </c>
    </row>
    <row r="19">
      <c r="A19" s="10" t="inlineStr">
        <is>
          <t>2025-11</t>
        </is>
      </c>
      <c r="B19" s="10" t="n">
        <v>304905</v>
      </c>
      <c r="C19" s="11" t="n">
        <v>98.51000000000001</v>
      </c>
      <c r="D19" s="11" t="n">
        <v>7.67</v>
      </c>
      <c r="E19" s="10" t="b">
        <v>0</v>
      </c>
      <c r="F19" s="10" t="n"/>
      <c r="G19" s="12" t="n">
        <v>3.9</v>
      </c>
    </row>
    <row r="20">
      <c r="A20" s="10" t="inlineStr">
        <is>
          <t>2025-12</t>
        </is>
      </c>
      <c r="B20" s="10" t="n">
        <v>332103</v>
      </c>
      <c r="C20" s="11" t="n">
        <v>98.52</v>
      </c>
      <c r="D20" s="11" t="n">
        <v>12.43</v>
      </c>
      <c r="E20" s="10" t="b">
        <v>0</v>
      </c>
      <c r="F20" s="10" t="n"/>
      <c r="G20" s="12" t="n">
        <v>5.8</v>
      </c>
    </row>
    <row r="21">
      <c r="A21" s="10" t="inlineStr">
        <is>
          <t>2026-01</t>
        </is>
      </c>
      <c r="B21" s="10" t="n">
        <v>348511</v>
      </c>
      <c r="C21" s="11" t="n">
        <v>97.56</v>
      </c>
      <c r="D21" s="11" t="n">
        <v>25.83</v>
      </c>
      <c r="E21" s="10" t="b">
        <v>0</v>
      </c>
      <c r="F21" s="10" t="n"/>
      <c r="G21" s="12" t="n">
        <v>0.1</v>
      </c>
    </row>
    <row r="22">
      <c r="A22" s="10" t="inlineStr">
        <is>
          <t>2026-02</t>
        </is>
      </c>
      <c r="B22" s="10" t="n">
        <v>334690</v>
      </c>
      <c r="C22" s="11" t="n">
        <v>96.76000000000001</v>
      </c>
      <c r="D22" s="11" t="n">
        <v>16.54</v>
      </c>
      <c r="E22" s="10" t="b">
        <v>0</v>
      </c>
      <c r="F22" s="10" t="n"/>
      <c r="G22" s="12" t="n">
        <v>31.1</v>
      </c>
    </row>
    <row r="23">
      <c r="A23" s="10" t="inlineStr">
        <is>
          <t>2026-03</t>
        </is>
      </c>
      <c r="B23" s="10" t="n">
        <v>342387</v>
      </c>
      <c r="C23" s="11" t="n">
        <v>96.59999999999999</v>
      </c>
      <c r="D23" s="11" t="n">
        <v>8.27</v>
      </c>
      <c r="E23" s="10" t="b">
        <v>0</v>
      </c>
      <c r="F23" s="10" t="n"/>
      <c r="G23" s="12" t="n">
        <v>21.8</v>
      </c>
    </row>
    <row r="24">
      <c r="A24" s="10" t="inlineStr">
        <is>
          <t>2026-04</t>
        </is>
      </c>
      <c r="B24" s="10" t="n">
        <v>302190</v>
      </c>
      <c r="C24" s="11" t="n">
        <v>96.43000000000001</v>
      </c>
      <c r="D24" s="11" t="n">
        <v>6.45</v>
      </c>
      <c r="E24" s="10" t="b">
        <v>0</v>
      </c>
      <c r="F24" s="10" t="n"/>
      <c r="G24" s="12" t="n">
        <v>10.9</v>
      </c>
    </row>
    <row r="25">
      <c r="A25" s="10" t="inlineStr">
        <is>
          <t>2026-05</t>
        </is>
      </c>
      <c r="B25" s="10" t="n">
        <v>331978</v>
      </c>
      <c r="C25" s="11" t="n">
        <v>95.81999999999999</v>
      </c>
      <c r="D25" s="11" t="n">
        <v>5.13</v>
      </c>
      <c r="E25" s="10" t="b">
        <v>0</v>
      </c>
      <c r="F25" s="10" t="n"/>
      <c r="G25" s="12" t="n">
        <v>12.5</v>
      </c>
    </row>
    <row r="26">
      <c r="A26" s="10" t="inlineStr">
        <is>
          <t>2026-06</t>
        </is>
      </c>
      <c r="B26" s="10" t="n">
        <v>334833</v>
      </c>
      <c r="C26" s="11" t="n">
        <v>95.01000000000001</v>
      </c>
      <c r="D26" s="11" t="n">
        <v>5.58</v>
      </c>
      <c r="E26" s="10" t="b">
        <v>0</v>
      </c>
      <c r="F26" s="10" t="n"/>
      <c r="G26" s="12" t="n">
        <v>9.300000000000001</v>
      </c>
    </row>
    <row r="27">
      <c r="A27" s="10" t="inlineStr">
        <is>
          <t>2026-07</t>
        </is>
      </c>
      <c r="B27" s="10" t="n">
        <v>343043</v>
      </c>
      <c r="C27" s="11" t="n">
        <v>92.25</v>
      </c>
      <c r="D27" s="10" t="n"/>
      <c r="E27" s="10" t="b">
        <v>0</v>
      </c>
      <c r="F27" s="10" t="inlineStr">
        <is>
          <t>右删失: 大量请求尚未到结案时间</t>
        </is>
      </c>
      <c r="G27" s="12" t="n">
        <v>8.6</v>
      </c>
    </row>
    <row r="28">
      <c r="A28" s="10" t="inlineStr">
        <is>
          <t>2026-08</t>
        </is>
      </c>
      <c r="B28" s="10" t="n">
        <v>328446</v>
      </c>
      <c r="C28" s="11" t="n">
        <v>85.73</v>
      </c>
      <c r="D28" s="10" t="n"/>
      <c r="E28" s="10" t="b">
        <v>0</v>
      </c>
      <c r="F28" s="10" t="inlineStr">
        <is>
          <t>右删失: 大量请求尚未到结案时间</t>
        </is>
      </c>
      <c r="G28" s="12" t="n">
        <v>8</v>
      </c>
    </row>
    <row r="29">
      <c r="A29" s="10" t="inlineStr">
        <is>
          <t>2026-09</t>
        </is>
      </c>
      <c r="B29" s="10" t="n">
        <v>41974</v>
      </c>
      <c r="C29" s="11" t="n">
        <v>61.48</v>
      </c>
      <c r="D29" s="10" t="n"/>
      <c r="E29" s="10" t="b">
        <v>1</v>
      </c>
      <c r="F29" s="10" t="inlineStr">
        <is>
          <t>右删失: 大量请求尚未到结案时间</t>
        </is>
      </c>
      <c r="G29" s="10" t="n"/>
    </row>
    <row r="63" ht="58" customHeight="1">
      <c r="A63" s="9" t="inlineStr">
        <is>
          <t>读图要点：请求量在冬季(12–2月)走高，2026-02达334,690(YoY+31%)。处理时长中位数在冬季(供暖季)升高、夏季回落，体现负载对时长的影响；2026-07起为空，因这些请求多数尚未结案(右删失)，计入会低估时长。</t>
        </is>
      </c>
    </row>
  </sheetData>
  <mergeCells count="3">
    <mergeCell ref="A2:G2"/>
    <mergeCell ref="A63:G63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</cols>
  <sheetData>
    <row r="1" ht="26" customHeight="1">
      <c r="A1" s="1" t="inlineStr">
        <is>
          <t>YoY 增长分解（Oct–Aug 对齐窗口）</t>
        </is>
      </c>
    </row>
    <row r="2" ht="30" customHeight="1">
      <c r="A2" s="2" t="inlineStr">
        <is>
          <t>W1=2024-10..2025-08, W2=2025-10..2026-08, 各11个完整月。对应 t_decomp.csv / t_yoy_types.csv</t>
        </is>
      </c>
    </row>
    <row r="4" ht="20" customHeight="1">
      <c r="A4" s="3" t="inlineStr">
        <is>
          <t>把 +10.5% 拆开</t>
        </is>
      </c>
    </row>
    <row r="5">
      <c r="A5" s="5" t="inlineStr">
        <is>
          <t>项目</t>
        </is>
      </c>
      <c r="B5" s="5" t="inlineStr">
        <is>
          <t>值</t>
        </is>
      </c>
      <c r="C5" s="5" t="inlineStr">
        <is>
          <t>占比/变化</t>
        </is>
      </c>
      <c r="D5" s="5" t="inlineStr">
        <is>
          <t>说明</t>
        </is>
      </c>
    </row>
    <row r="6">
      <c r="A6" s="7" t="inlineStr">
        <is>
          <t>W1 总量 (2024-10..2025-08, 11个完整月)</t>
        </is>
      </c>
      <c r="B6" s="10" t="inlineStr">
        <is>
          <t>3,293,003</t>
        </is>
      </c>
      <c r="C6" s="10" t="n"/>
      <c r="D6" s="10" t="n"/>
    </row>
    <row r="7">
      <c r="A7" s="7" t="inlineStr">
        <is>
          <t>W2 总量 (2025-10..2026-08, 11个完整月)</t>
        </is>
      </c>
      <c r="B7" s="10" t="inlineStr">
        <is>
          <t>3,639,698</t>
        </is>
      </c>
      <c r="C7" s="10" t="n"/>
      <c r="D7" s="10" t="n"/>
    </row>
    <row r="8">
      <c r="A8" s="10" t="inlineStr">
        <is>
          <t>净增</t>
        </is>
      </c>
      <c r="B8" s="10" t="inlineStr">
        <is>
          <t>346,695</t>
        </is>
      </c>
      <c r="C8" s="10" t="inlineStr">
        <is>
          <t>+10.5%</t>
        </is>
      </c>
      <c r="D8" s="10" t="inlineStr">
        <is>
          <t>对齐窗口比较</t>
        </is>
      </c>
    </row>
    <row r="9">
      <c r="A9" s="10" t="inlineStr">
        <is>
          <t>其中: 天气敏感6类净增</t>
        </is>
      </c>
      <c r="B9" s="10" t="inlineStr">
        <is>
          <t>207,032</t>
        </is>
      </c>
      <c r="C9" s="10" t="inlineStr">
        <is>
          <t>占净增 59.7%</t>
        </is>
      </c>
      <c r="D9" s="7" t="inlineStr">
        <is>
          <t>W1=484,721 → W2=691,753 (+42.7%); 类别: Snow or Ice, HEAT/HOT WATER, Street Condition, Damaged Tree, PLUMBING, WATER LEAK</t>
        </is>
      </c>
    </row>
    <row r="10">
      <c r="A10" s="7" t="inlineStr">
        <is>
          <t>其中: 冬季三类(Snow/Heat/Street)净增</t>
        </is>
      </c>
      <c r="B10" s="10" t="inlineStr">
        <is>
          <t>167,076</t>
        </is>
      </c>
      <c r="C10" s="10" t="inlineStr">
        <is>
          <t>占净增 48.2%</t>
        </is>
      </c>
      <c r="D10" s="7" t="inlineStr">
        <is>
          <t>W1=363,715 → W2=530,791</t>
        </is>
      </c>
    </row>
    <row r="11">
      <c r="A11" s="10" t="inlineStr">
        <is>
          <t>剔除天气敏感6类后的基础增速</t>
        </is>
      </c>
      <c r="B11" s="10" t="inlineStr">
        <is>
          <t>+5.0%</t>
        </is>
      </c>
      <c r="C11" s="10" t="n"/>
      <c r="D11" s="7" t="inlineStr">
        <is>
          <t>非天气类别 W1=2,808,282 → W2=2,947,945</t>
        </is>
      </c>
    </row>
    <row r="12">
      <c r="A12" s="7" t="inlineStr">
        <is>
          <t>夏季月 YoY (5/6/7/8月, 无冬季影响)</t>
        </is>
      </c>
      <c r="B12" s="7" t="inlineStr">
        <is>
          <t>+12.5% / +9.3% / +8.6% / +8.0%</t>
        </is>
      </c>
      <c r="C12" s="10" t="n"/>
      <c r="D12" s="10" t="inlineStr">
        <is>
          <t>与基础增速一致, 增长广泛存在</t>
        </is>
      </c>
    </row>
    <row r="13">
      <c r="A13" s="10" t="inlineStr">
        <is>
          <t>Jan 2026 表观 YoY</t>
        </is>
      </c>
      <c r="B13" s="10" t="inlineStr">
        <is>
          <t>+0.1%</t>
        </is>
      </c>
      <c r="C13" s="10" t="n"/>
      <c r="D13" s="7" t="inlineStr">
        <is>
          <t>Jan2025=348,180, Jan2026=348,511</t>
        </is>
      </c>
    </row>
    <row r="14">
      <c r="A14" s="7" t="inlineStr">
        <is>
          <t>Jan 2025 ZIP 10466 集中爆发(2025-01-01..13)</t>
        </is>
      </c>
      <c r="B14" s="10" t="inlineStr">
        <is>
          <t>43,014 条</t>
        </is>
      </c>
      <c r="C14" s="10" t="n"/>
      <c r="D14" s="7" t="inlineStr">
        <is>
          <t>Noise-Residential, 84% MOBILE 渠道</t>
        </is>
      </c>
    </row>
    <row r="15">
      <c r="A15" s="7" t="inlineStr">
        <is>
          <t>Jan 2026 调整后 YoY (剔除该爆发)</t>
        </is>
      </c>
      <c r="B15" s="10" t="inlineStr">
        <is>
          <t>+14.2%</t>
        </is>
      </c>
      <c r="C15" s="10" t="n"/>
      <c r="D15" s="10" t="inlineStr">
        <is>
          <t>表观 +0.1% 被基期异常压低</t>
        </is>
      </c>
    </row>
    <row r="17" ht="46" customHeight="1">
      <c r="A17" s="9" t="inlineStr">
        <is>
          <t>结论：总量增长真实存在，但约六成来自天气敏感类别在严冬的放量；剔除天气后的基础增速约 +5.0%(与夏季月 YoY +8~12.5% 方向一致)。因此不能把 +10.5% 简单读成'市民诉求普遍上升一成'。</t>
        </is>
      </c>
    </row>
    <row r="18" ht="20" customHeight="1">
      <c r="A18" s="3" t="inlineStr">
        <is>
          <t>投诉类型 YoY 变化（按净增量排序）</t>
        </is>
      </c>
    </row>
    <row r="19" ht="16" customHeight="1">
      <c r="A19" s="9" t="inlineStr">
        <is>
          <t>增长 TOP12（净增量最大）</t>
        </is>
      </c>
    </row>
    <row r="20">
      <c r="A20" s="5" t="inlineStr">
        <is>
          <t>complaint_type</t>
        </is>
      </c>
      <c r="B20" s="5" t="inlineStr">
        <is>
          <t>W1_Oct24_Aug25</t>
        </is>
      </c>
      <c r="C20" s="5" t="inlineStr">
        <is>
          <t>W2_Oct25_Aug26</t>
        </is>
      </c>
      <c r="D20" s="5" t="inlineStr">
        <is>
          <t>delta</t>
        </is>
      </c>
      <c r="E20" s="5" t="inlineStr">
        <is>
          <t>pct_change</t>
        </is>
      </c>
      <c r="F20" s="5" t="inlineStr">
        <is>
          <t>contrib_pct_of_net</t>
        </is>
      </c>
    </row>
    <row r="21">
      <c r="A21" s="10" t="inlineStr">
        <is>
          <t>HEAT/HOT WATER</t>
        </is>
      </c>
      <c r="B21" s="10" t="n">
        <v>290581</v>
      </c>
      <c r="C21" s="10" t="n">
        <v>354225</v>
      </c>
      <c r="D21" s="10" t="n">
        <v>63644</v>
      </c>
      <c r="E21" s="12" t="n">
        <v>21.9</v>
      </c>
      <c r="F21" s="11" t="n">
        <v>18.4</v>
      </c>
    </row>
    <row r="22">
      <c r="A22" s="10" t="inlineStr">
        <is>
          <t>Snow or Ice</t>
        </is>
      </c>
      <c r="B22" s="10" t="n">
        <v>8808</v>
      </c>
      <c r="C22" s="10" t="n">
        <v>63938</v>
      </c>
      <c r="D22" s="10" t="n">
        <v>55130</v>
      </c>
      <c r="E22" s="12" t="n">
        <v>625.9</v>
      </c>
      <c r="F22" s="11" t="n">
        <v>15.9</v>
      </c>
    </row>
    <row r="23">
      <c r="A23" s="10" t="inlineStr">
        <is>
          <t>Illegal Parking</t>
        </is>
      </c>
      <c r="B23" s="10" t="n">
        <v>503051</v>
      </c>
      <c r="C23" s="10" t="n">
        <v>558006</v>
      </c>
      <c r="D23" s="10" t="n">
        <v>54955</v>
      </c>
      <c r="E23" s="12" t="n">
        <v>10.9</v>
      </c>
      <c r="F23" s="11" t="n">
        <v>15.9</v>
      </c>
    </row>
    <row r="24">
      <c r="A24" s="10" t="inlineStr">
        <is>
          <t>Street Condition</t>
        </is>
      </c>
      <c r="B24" s="10" t="n">
        <v>64326</v>
      </c>
      <c r="C24" s="10" t="n">
        <v>112628</v>
      </c>
      <c r="D24" s="10" t="n">
        <v>48302</v>
      </c>
      <c r="E24" s="12" t="n">
        <v>75.09999999999999</v>
      </c>
      <c r="F24" s="11" t="n">
        <v>13.9</v>
      </c>
    </row>
    <row r="25">
      <c r="A25" s="10" t="inlineStr">
        <is>
          <t>Blocked Driveway</t>
        </is>
      </c>
      <c r="B25" s="10" t="n">
        <v>154610</v>
      </c>
      <c r="C25" s="10" t="n">
        <v>178341</v>
      </c>
      <c r="D25" s="10" t="n">
        <v>23731</v>
      </c>
      <c r="E25" s="12" t="n">
        <v>15.3</v>
      </c>
      <c r="F25" s="11" t="n">
        <v>6.8</v>
      </c>
    </row>
    <row r="26">
      <c r="A26" s="7" t="inlineStr">
        <is>
          <t>UNSANITARY CONDITION</t>
        </is>
      </c>
      <c r="B26" s="10" t="n">
        <v>104697</v>
      </c>
      <c r="C26" s="10" t="n">
        <v>122542</v>
      </c>
      <c r="D26" s="10" t="n">
        <v>17845</v>
      </c>
      <c r="E26" s="12" t="n">
        <v>17</v>
      </c>
      <c r="F26" s="11" t="n">
        <v>5.1</v>
      </c>
    </row>
    <row r="27">
      <c r="A27" s="10" t="inlineStr">
        <is>
          <t>Damaged Tree</t>
        </is>
      </c>
      <c r="B27" s="10" t="n">
        <v>24306</v>
      </c>
      <c r="C27" s="10" t="n">
        <v>39803</v>
      </c>
      <c r="D27" s="10" t="n">
        <v>15497</v>
      </c>
      <c r="E27" s="12" t="n">
        <v>63.8</v>
      </c>
      <c r="F27" s="11" t="n">
        <v>4.5</v>
      </c>
    </row>
    <row r="28">
      <c r="A28" s="10" t="inlineStr">
        <is>
          <t>PLUMBING</t>
        </is>
      </c>
      <c r="B28" s="10" t="n">
        <v>62476</v>
      </c>
      <c r="C28" s="10" t="n">
        <v>77795</v>
      </c>
      <c r="D28" s="10" t="n">
        <v>15319</v>
      </c>
      <c r="E28" s="12" t="n">
        <v>24.5</v>
      </c>
      <c r="F28" s="11" t="n">
        <v>4.4</v>
      </c>
    </row>
    <row r="29">
      <c r="A29" s="10" t="inlineStr">
        <is>
          <t>Water Maintenance</t>
        </is>
      </c>
      <c r="B29" s="10" t="n">
        <v>9</v>
      </c>
      <c r="C29" s="10" t="n">
        <v>11297</v>
      </c>
      <c r="D29" s="10" t="n">
        <v>11288</v>
      </c>
      <c r="E29" s="12" t="n">
        <v>125422.2</v>
      </c>
      <c r="F29" s="11" t="n">
        <v>3.3</v>
      </c>
    </row>
    <row r="30">
      <c r="A30" s="10" t="inlineStr">
        <is>
          <t>GENERAL</t>
        </is>
      </c>
      <c r="B30" s="10" t="n">
        <v>29158</v>
      </c>
      <c r="C30" s="10" t="n">
        <v>39166</v>
      </c>
      <c r="D30" s="10" t="n">
        <v>10008</v>
      </c>
      <c r="E30" s="12" t="n">
        <v>34.3</v>
      </c>
      <c r="F30" s="11" t="n">
        <v>2.9</v>
      </c>
    </row>
    <row r="31">
      <c r="A31" s="7" t="inlineStr">
        <is>
          <t>Traffic Signal Condition</t>
        </is>
      </c>
      <c r="B31" s="10" t="n">
        <v>44657</v>
      </c>
      <c r="C31" s="10" t="n">
        <v>54168</v>
      </c>
      <c r="D31" s="10" t="n">
        <v>9511</v>
      </c>
      <c r="E31" s="12" t="n">
        <v>21.3</v>
      </c>
      <c r="F31" s="11" t="n">
        <v>2.7</v>
      </c>
    </row>
    <row r="32">
      <c r="A32" s="10" t="inlineStr">
        <is>
          <t>WATER LEAK</t>
        </is>
      </c>
      <c r="B32" s="10" t="n">
        <v>34224</v>
      </c>
      <c r="C32" s="10" t="n">
        <v>43364</v>
      </c>
      <c r="D32" s="10" t="n">
        <v>9140</v>
      </c>
      <c r="E32" s="12" t="n">
        <v>26.7</v>
      </c>
      <c r="F32" s="11" t="n">
        <v>2.6</v>
      </c>
    </row>
    <row r="34" ht="16" customHeight="1">
      <c r="A34" s="9" t="inlineStr">
        <is>
          <t>下降 TOP10（净减量最大；注意其中多项为口径/集中事件，见'数据质量与口径'）</t>
        </is>
      </c>
    </row>
    <row r="35">
      <c r="A35" s="5" t="inlineStr">
        <is>
          <t>complaint_type</t>
        </is>
      </c>
      <c r="B35" s="5" t="inlineStr">
        <is>
          <t>W1_Oct24_Aug25</t>
        </is>
      </c>
      <c r="C35" s="5" t="inlineStr">
        <is>
          <t>W2_Oct25_Aug26</t>
        </is>
      </c>
      <c r="D35" s="5" t="inlineStr">
        <is>
          <t>delta</t>
        </is>
      </c>
      <c r="E35" s="5" t="inlineStr">
        <is>
          <t>pct_change</t>
        </is>
      </c>
      <c r="F35" s="5" t="inlineStr">
        <is>
          <t>contrib_pct_of_net</t>
        </is>
      </c>
    </row>
    <row r="36">
      <c r="A36" s="10" t="inlineStr">
        <is>
          <t>Traffic</t>
        </is>
      </c>
      <c r="B36" s="10" t="n">
        <v>12020</v>
      </c>
      <c r="C36" s="10" t="n">
        <v>8249</v>
      </c>
      <c r="D36" s="10" t="n">
        <v>-3771</v>
      </c>
      <c r="E36" s="12" t="n">
        <v>-31.4</v>
      </c>
      <c r="F36" s="11" t="n">
        <v>-1.1</v>
      </c>
    </row>
    <row r="37">
      <c r="A37" s="10" t="inlineStr">
        <is>
          <t>Vendor Enforcement</t>
        </is>
      </c>
      <c r="B37" s="10" t="n">
        <v>26778</v>
      </c>
      <c r="C37" s="10" t="n">
        <v>21999</v>
      </c>
      <c r="D37" s="10" t="n">
        <v>-4779</v>
      </c>
      <c r="E37" s="12" t="n">
        <v>-17.8</v>
      </c>
      <c r="F37" s="11" t="n">
        <v>-1.4</v>
      </c>
    </row>
    <row r="38">
      <c r="A38" s="10" t="inlineStr">
        <is>
          <t>Noise - Commercial</t>
        </is>
      </c>
      <c r="B38" s="10" t="n">
        <v>59301</v>
      </c>
      <c r="C38" s="10" t="n">
        <v>54370</v>
      </c>
      <c r="D38" s="10" t="n">
        <v>-4931</v>
      </c>
      <c r="E38" s="12" t="n">
        <v>-8.300000000000001</v>
      </c>
      <c r="F38" s="11" t="n">
        <v>-1.4</v>
      </c>
    </row>
    <row r="39">
      <c r="A39" s="10" t="inlineStr">
        <is>
          <t>Water System</t>
        </is>
      </c>
      <c r="B39" s="10" t="n">
        <v>75320</v>
      </c>
      <c r="C39" s="10" t="n">
        <v>69833</v>
      </c>
      <c r="D39" s="10" t="n">
        <v>-5487</v>
      </c>
      <c r="E39" s="12" t="n">
        <v>-7.3</v>
      </c>
      <c r="F39" s="11" t="n">
        <v>-1.6</v>
      </c>
    </row>
    <row r="40">
      <c r="A40" s="10" t="inlineStr">
        <is>
          <t>Derelict Vehicles</t>
        </is>
      </c>
      <c r="B40" s="10" t="n">
        <v>41210</v>
      </c>
      <c r="C40" s="10" t="n">
        <v>33264</v>
      </c>
      <c r="D40" s="10" t="n">
        <v>-7946</v>
      </c>
      <c r="E40" s="12" t="n">
        <v>-19.3</v>
      </c>
      <c r="F40" s="11" t="n">
        <v>-2.3</v>
      </c>
    </row>
    <row r="41">
      <c r="A41" s="10" t="inlineStr">
        <is>
          <t>Missed Collection</t>
        </is>
      </c>
      <c r="B41" s="10" t="n">
        <v>40327</v>
      </c>
      <c r="C41" s="10" t="n">
        <v>32260</v>
      </c>
      <c r="D41" s="10" t="n">
        <v>-8067</v>
      </c>
      <c r="E41" s="12" t="n">
        <v>-20</v>
      </c>
      <c r="F41" s="11" t="n">
        <v>-2.3</v>
      </c>
    </row>
    <row r="42">
      <c r="A42" s="10" t="inlineStr">
        <is>
          <t>Rodent</t>
        </is>
      </c>
      <c r="B42" s="10" t="n">
        <v>31595</v>
      </c>
      <c r="C42" s="10" t="n">
        <v>22596</v>
      </c>
      <c r="D42" s="10" t="n">
        <v>-8999</v>
      </c>
      <c r="E42" s="12" t="n">
        <v>-28.5</v>
      </c>
      <c r="F42" s="11" t="n">
        <v>-2.6</v>
      </c>
    </row>
    <row r="43">
      <c r="A43" s="10" t="inlineStr">
        <is>
          <t>Noise - Helicopter</t>
        </is>
      </c>
      <c r="B43" s="10" t="n">
        <v>21080</v>
      </c>
      <c r="C43" s="10" t="n">
        <v>12019</v>
      </c>
      <c r="D43" s="10" t="n">
        <v>-9061</v>
      </c>
      <c r="E43" s="12" t="n">
        <v>-43</v>
      </c>
      <c r="F43" s="11" t="n">
        <v>-2.6</v>
      </c>
    </row>
    <row r="44">
      <c r="A44" s="10" t="inlineStr">
        <is>
          <t>Lead</t>
        </is>
      </c>
      <c r="B44" s="10" t="n">
        <v>27623</v>
      </c>
      <c r="C44" s="10" t="n">
        <v>13653</v>
      </c>
      <c r="D44" s="10" t="n">
        <v>-13970</v>
      </c>
      <c r="E44" s="12" t="n">
        <v>-50.6</v>
      </c>
      <c r="F44" s="11" t="n">
        <v>-4</v>
      </c>
    </row>
    <row r="45">
      <c r="A45" s="10" t="inlineStr">
        <is>
          <t>Drug Activity</t>
        </is>
      </c>
      <c r="B45" s="10" t="n">
        <v>27869</v>
      </c>
      <c r="C45" s="10" t="n">
        <v>8955</v>
      </c>
      <c r="D45" s="10" t="n">
        <v>-18914</v>
      </c>
      <c r="E45" s="12" t="n">
        <v>-67.90000000000001</v>
      </c>
      <c r="F45" s="11" t="n">
        <v>-5.5</v>
      </c>
    </row>
  </sheetData>
  <mergeCells count="7">
    <mergeCell ref="A1:D1"/>
    <mergeCell ref="A17:D17"/>
    <mergeCell ref="A18:D18"/>
    <mergeCell ref="A19:F19"/>
    <mergeCell ref="A4:D4"/>
    <mergeCell ref="A34:F34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 ht="26" customHeight="1">
      <c r="A1" s="1" t="inlineStr">
        <is>
          <t>发现2：严酷冬季与春季道路损坏</t>
        </is>
      </c>
    </row>
    <row r="2" ht="30" customHeight="1">
      <c r="A2" s="2" t="inlineStr">
        <is>
          <t>对应 t_winter_monthly.csv / t_street_borough.csv</t>
        </is>
      </c>
    </row>
    <row r="4" ht="20" customHeight="1">
      <c r="A4" s="3" t="inlineStr">
        <is>
          <t>天气敏感类别逐月</t>
        </is>
      </c>
    </row>
    <row r="5">
      <c r="A5" s="5" t="inlineStr">
        <is>
          <t>month</t>
        </is>
      </c>
      <c r="B5" s="5" t="inlineStr">
        <is>
          <t>Snow or Ice</t>
        </is>
      </c>
      <c r="C5" s="5" t="inlineStr">
        <is>
          <t>HEAT/HOT WATER</t>
        </is>
      </c>
      <c r="D5" s="5" t="inlineStr">
        <is>
          <t>Street Condition</t>
        </is>
      </c>
      <c r="E5" s="5" t="inlineStr">
        <is>
          <t>PLUMBING</t>
        </is>
      </c>
      <c r="F5" s="5" t="inlineStr">
        <is>
          <t>WATER LEAK</t>
        </is>
      </c>
      <c r="G5" s="5" t="inlineStr">
        <is>
          <t>总量(全部类型)</t>
        </is>
      </c>
    </row>
    <row r="6">
      <c r="A6" s="10" t="inlineStr">
        <is>
          <t>2024-09</t>
        </is>
      </c>
      <c r="B6" s="10" t="n">
        <v>0</v>
      </c>
      <c r="C6" s="10" t="n">
        <v>2696</v>
      </c>
      <c r="D6" s="10" t="n">
        <v>4036</v>
      </c>
      <c r="E6" s="10" t="n">
        <v>4208</v>
      </c>
      <c r="F6" s="10" t="n">
        <v>2518</v>
      </c>
      <c r="G6" s="10" t="n">
        <v>248139</v>
      </c>
    </row>
    <row r="7">
      <c r="A7" s="10" t="inlineStr">
        <is>
          <t>2024-10</t>
        </is>
      </c>
      <c r="B7" s="10" t="n">
        <v>0</v>
      </c>
      <c r="C7" s="10" t="n">
        <v>19650</v>
      </c>
      <c r="D7" s="10" t="n">
        <v>4260</v>
      </c>
      <c r="E7" s="10" t="n">
        <v>5318</v>
      </c>
      <c r="F7" s="10" t="n">
        <v>2967</v>
      </c>
      <c r="G7" s="10" t="n">
        <v>306803</v>
      </c>
    </row>
    <row r="8">
      <c r="A8" s="10" t="inlineStr">
        <is>
          <t>2024-11</t>
        </is>
      </c>
      <c r="B8" s="10" t="n">
        <v>2</v>
      </c>
      <c r="C8" s="10" t="n">
        <v>39368</v>
      </c>
      <c r="D8" s="10" t="n">
        <v>3630</v>
      </c>
      <c r="E8" s="10" t="n">
        <v>5302</v>
      </c>
      <c r="F8" s="10" t="n">
        <v>2938</v>
      </c>
      <c r="G8" s="10" t="n">
        <v>293515</v>
      </c>
    </row>
    <row r="9">
      <c r="A9" s="10" t="inlineStr">
        <is>
          <t>2024-12</t>
        </is>
      </c>
      <c r="B9" s="10" t="n">
        <v>816</v>
      </c>
      <c r="C9" s="10" t="n">
        <v>62918</v>
      </c>
      <c r="D9" s="10" t="n">
        <v>5225</v>
      </c>
      <c r="E9" s="10" t="n">
        <v>6427</v>
      </c>
      <c r="F9" s="10" t="n">
        <v>3502</v>
      </c>
      <c r="G9" s="10" t="n">
        <v>313949</v>
      </c>
    </row>
    <row r="10">
      <c r="A10" s="10" t="inlineStr">
        <is>
          <t>2025-01</t>
        </is>
      </c>
      <c r="B10" s="10" t="n">
        <v>5161</v>
      </c>
      <c r="C10" s="10" t="n">
        <v>67229</v>
      </c>
      <c r="D10" s="10" t="n">
        <v>5474</v>
      </c>
      <c r="E10" s="10" t="n">
        <v>7409</v>
      </c>
      <c r="F10" s="10" t="n">
        <v>3600</v>
      </c>
      <c r="G10" s="10" t="n">
        <v>348180</v>
      </c>
    </row>
    <row r="11">
      <c r="A11" s="10" t="inlineStr">
        <is>
          <t>2025-02</t>
        </is>
      </c>
      <c r="B11" s="10" t="n">
        <v>2817</v>
      </c>
      <c r="C11" s="10" t="n">
        <v>40699</v>
      </c>
      <c r="D11" s="10" t="n">
        <v>5623</v>
      </c>
      <c r="E11" s="10" t="n">
        <v>5762</v>
      </c>
      <c r="F11" s="10" t="n">
        <v>2946</v>
      </c>
      <c r="G11" s="10" t="n">
        <v>255364</v>
      </c>
    </row>
    <row r="12">
      <c r="A12" s="10" t="inlineStr">
        <is>
          <t>2025-03</t>
        </is>
      </c>
      <c r="B12" s="10" t="n">
        <v>12</v>
      </c>
      <c r="C12" s="10" t="n">
        <v>26276</v>
      </c>
      <c r="D12" s="10" t="n">
        <v>7035</v>
      </c>
      <c r="E12" s="10" t="n">
        <v>5668</v>
      </c>
      <c r="F12" s="10" t="n">
        <v>3060</v>
      </c>
      <c r="G12" s="10" t="n">
        <v>281221</v>
      </c>
    </row>
    <row r="13">
      <c r="A13" s="10" t="inlineStr">
        <is>
          <t>2025-04</t>
        </is>
      </c>
      <c r="B13" s="10" t="n">
        <v>0</v>
      </c>
      <c r="C13" s="10" t="n">
        <v>16824</v>
      </c>
      <c r="D13" s="10" t="n">
        <v>6659</v>
      </c>
      <c r="E13" s="10" t="n">
        <v>5316</v>
      </c>
      <c r="F13" s="10" t="n">
        <v>2802</v>
      </c>
      <c r="G13" s="10" t="n">
        <v>272549</v>
      </c>
    </row>
    <row r="14">
      <c r="A14" s="10" t="inlineStr">
        <is>
          <t>2025-05</t>
        </is>
      </c>
      <c r="B14" s="10" t="n">
        <v>0</v>
      </c>
      <c r="C14" s="10" t="n">
        <v>7463</v>
      </c>
      <c r="D14" s="10" t="n">
        <v>7449</v>
      </c>
      <c r="E14" s="10" t="n">
        <v>4993</v>
      </c>
      <c r="F14" s="10" t="n">
        <v>2900</v>
      </c>
      <c r="G14" s="10" t="n">
        <v>295058</v>
      </c>
    </row>
    <row r="15">
      <c r="A15" s="10" t="inlineStr">
        <is>
          <t>2025-06</t>
        </is>
      </c>
      <c r="B15" s="10" t="n">
        <v>0</v>
      </c>
      <c r="C15" s="10" t="n">
        <v>4217</v>
      </c>
      <c r="D15" s="10" t="n">
        <v>7243</v>
      </c>
      <c r="E15" s="10" t="n">
        <v>6156</v>
      </c>
      <c r="F15" s="10" t="n">
        <v>2865</v>
      </c>
      <c r="G15" s="10" t="n">
        <v>306442</v>
      </c>
    </row>
    <row r="16">
      <c r="A16" s="10" t="inlineStr">
        <is>
          <t>2025-07</t>
        </is>
      </c>
      <c r="B16" s="10" t="n">
        <v>0</v>
      </c>
      <c r="C16" s="10" t="n">
        <v>3008</v>
      </c>
      <c r="D16" s="10" t="n">
        <v>6138</v>
      </c>
      <c r="E16" s="10" t="n">
        <v>5378</v>
      </c>
      <c r="F16" s="10" t="n">
        <v>3519</v>
      </c>
      <c r="G16" s="10" t="n">
        <v>315883</v>
      </c>
    </row>
    <row r="17">
      <c r="A17" s="10" t="inlineStr">
        <is>
          <t>2025-08</t>
        </is>
      </c>
      <c r="B17" s="10" t="n">
        <v>0</v>
      </c>
      <c r="C17" s="10" t="n">
        <v>2929</v>
      </c>
      <c r="D17" s="10" t="n">
        <v>5590</v>
      </c>
      <c r="E17" s="10" t="n">
        <v>4747</v>
      </c>
      <c r="F17" s="10" t="n">
        <v>3125</v>
      </c>
      <c r="G17" s="10" t="n">
        <v>304039</v>
      </c>
    </row>
    <row r="18">
      <c r="A18" s="10" t="inlineStr">
        <is>
          <t>2025-09</t>
        </is>
      </c>
      <c r="B18" s="10" t="n">
        <v>0</v>
      </c>
      <c r="C18" s="10" t="n">
        <v>3595</v>
      </c>
      <c r="D18" s="10" t="n">
        <v>5411</v>
      </c>
      <c r="E18" s="10" t="n">
        <v>5254</v>
      </c>
      <c r="F18" s="10" t="n">
        <v>3090</v>
      </c>
      <c r="G18" s="10" t="n">
        <v>302684</v>
      </c>
    </row>
    <row r="19">
      <c r="A19" s="10" t="inlineStr">
        <is>
          <t>2025-10</t>
        </is>
      </c>
      <c r="B19" s="10" t="n">
        <v>0</v>
      </c>
      <c r="C19" s="10" t="n">
        <v>31858</v>
      </c>
      <c r="D19" s="10" t="n">
        <v>4829</v>
      </c>
      <c r="E19" s="10" t="n">
        <v>6262</v>
      </c>
      <c r="F19" s="10" t="n">
        <v>3599</v>
      </c>
      <c r="G19" s="10" t="n">
        <v>336612</v>
      </c>
    </row>
    <row r="20">
      <c r="A20" s="10" t="inlineStr">
        <is>
          <t>2025-11</t>
        </is>
      </c>
      <c r="B20" s="10" t="n">
        <v>8</v>
      </c>
      <c r="C20" s="10" t="n">
        <v>47946</v>
      </c>
      <c r="D20" s="10" t="n">
        <v>4049</v>
      </c>
      <c r="E20" s="10" t="n">
        <v>5762</v>
      </c>
      <c r="F20" s="10" t="n">
        <v>3112</v>
      </c>
      <c r="G20" s="10" t="n">
        <v>304905</v>
      </c>
    </row>
    <row r="21">
      <c r="A21" s="10" t="inlineStr">
        <is>
          <t>2025-12</t>
        </is>
      </c>
      <c r="B21" s="10" t="n">
        <v>8700</v>
      </c>
      <c r="C21" s="10" t="n">
        <v>63902</v>
      </c>
      <c r="D21" s="10" t="n">
        <v>4830</v>
      </c>
      <c r="E21" s="10" t="n">
        <v>6841</v>
      </c>
      <c r="F21" s="10" t="n">
        <v>3779</v>
      </c>
      <c r="G21" s="10" t="n">
        <v>332103</v>
      </c>
    </row>
    <row r="22">
      <c r="A22" s="10" t="inlineStr">
        <is>
          <t>2026-01</t>
        </is>
      </c>
      <c r="B22" s="10" t="n">
        <v>24079</v>
      </c>
      <c r="C22" s="10" t="n">
        <v>79928</v>
      </c>
      <c r="D22" s="10" t="n">
        <v>5141</v>
      </c>
      <c r="E22" s="10" t="n">
        <v>8695</v>
      </c>
      <c r="F22" s="10" t="n">
        <v>4498</v>
      </c>
      <c r="G22" s="10" t="n">
        <v>348511</v>
      </c>
    </row>
    <row r="23">
      <c r="A23" s="10" t="inlineStr">
        <is>
          <t>2026-02</t>
        </is>
      </c>
      <c r="B23" s="10" t="n">
        <v>30943</v>
      </c>
      <c r="C23" s="10" t="n">
        <v>59031</v>
      </c>
      <c r="D23" s="10" t="n">
        <v>6913</v>
      </c>
      <c r="E23" s="10" t="n">
        <v>9707</v>
      </c>
      <c r="F23" s="10" t="n">
        <v>5084</v>
      </c>
      <c r="G23" s="10" t="n">
        <v>334690</v>
      </c>
    </row>
    <row r="24">
      <c r="A24" s="10" t="inlineStr">
        <is>
          <t>2026-03</t>
        </is>
      </c>
      <c r="B24" s="10" t="n">
        <v>208</v>
      </c>
      <c r="C24" s="10" t="n">
        <v>29783</v>
      </c>
      <c r="D24" s="10" t="n">
        <v>28690</v>
      </c>
      <c r="E24" s="10" t="n">
        <v>6927</v>
      </c>
      <c r="F24" s="10" t="n">
        <v>3985</v>
      </c>
      <c r="G24" s="10" t="n">
        <v>342387</v>
      </c>
    </row>
    <row r="25">
      <c r="A25" s="10" t="inlineStr">
        <is>
          <t>2026-04</t>
        </is>
      </c>
      <c r="B25" s="10" t="n">
        <v>0</v>
      </c>
      <c r="C25" s="10" t="n">
        <v>19553</v>
      </c>
      <c r="D25" s="10" t="n">
        <v>15850</v>
      </c>
      <c r="E25" s="10" t="n">
        <v>6267</v>
      </c>
      <c r="F25" s="10" t="n">
        <v>3005</v>
      </c>
      <c r="G25" s="10" t="n">
        <v>302190</v>
      </c>
    </row>
    <row r="26">
      <c r="A26" s="10" t="inlineStr">
        <is>
          <t>2026-05</t>
        </is>
      </c>
      <c r="B26" s="10" t="n">
        <v>0</v>
      </c>
      <c r="C26" s="10" t="n">
        <v>9823</v>
      </c>
      <c r="D26" s="10" t="n">
        <v>11777</v>
      </c>
      <c r="E26" s="10" t="n">
        <v>6555</v>
      </c>
      <c r="F26" s="10" t="n">
        <v>3289</v>
      </c>
      <c r="G26" s="10" t="n">
        <v>331978</v>
      </c>
    </row>
    <row r="27">
      <c r="A27" s="10" t="inlineStr">
        <is>
          <t>2026-06</t>
        </is>
      </c>
      <c r="B27" s="10" t="n">
        <v>0</v>
      </c>
      <c r="C27" s="10" t="n">
        <v>4388</v>
      </c>
      <c r="D27" s="10" t="n">
        <v>10852</v>
      </c>
      <c r="E27" s="10" t="n">
        <v>6156</v>
      </c>
      <c r="F27" s="10" t="n">
        <v>3185</v>
      </c>
      <c r="G27" s="10" t="n">
        <v>334833</v>
      </c>
    </row>
    <row r="28">
      <c r="A28" s="10" t="inlineStr">
        <is>
          <t>2026-07</t>
        </is>
      </c>
      <c r="B28" s="10" t="n">
        <v>0</v>
      </c>
      <c r="C28" s="10" t="n">
        <v>4331</v>
      </c>
      <c r="D28" s="10" t="n">
        <v>10145</v>
      </c>
      <c r="E28" s="10" t="n">
        <v>7988</v>
      </c>
      <c r="F28" s="10" t="n">
        <v>4380</v>
      </c>
      <c r="G28" s="10" t="n">
        <v>343043</v>
      </c>
    </row>
    <row r="29">
      <c r="A29" s="10" t="inlineStr">
        <is>
          <t>2026-08</t>
        </is>
      </c>
      <c r="B29" s="10" t="n">
        <v>0</v>
      </c>
      <c r="C29" s="10" t="n">
        <v>3682</v>
      </c>
      <c r="D29" s="10" t="n">
        <v>9552</v>
      </c>
      <c r="E29" s="10" t="n">
        <v>6635</v>
      </c>
      <c r="F29" s="10" t="n">
        <v>5448</v>
      </c>
      <c r="G29" s="10" t="n">
        <v>328446</v>
      </c>
    </row>
    <row r="30">
      <c r="A30" s="10" t="inlineStr">
        <is>
          <t>2026-09</t>
        </is>
      </c>
      <c r="B30" s="10" t="n">
        <v>0</v>
      </c>
      <c r="C30" s="10" t="n">
        <v>497</v>
      </c>
      <c r="D30" s="10" t="n">
        <v>1267</v>
      </c>
      <c r="E30" s="10" t="n">
        <v>963</v>
      </c>
      <c r="F30" s="10" t="n">
        <v>699</v>
      </c>
      <c r="G30" s="10" t="n">
        <v>41974</v>
      </c>
    </row>
    <row r="65" ht="20" customHeight="1">
      <c r="A65" s="3" t="inlineStr">
        <is>
          <t>道路损坏的分区对比（Mar–Jun, 2026 vs 2025）</t>
        </is>
      </c>
    </row>
    <row r="66">
      <c r="A66" s="5" t="inlineStr">
        <is>
          <t>区</t>
        </is>
      </c>
      <c r="B66" s="5" t="inlineStr">
        <is>
          <t>2025_Mar_Jun</t>
        </is>
      </c>
      <c r="C66" s="5" t="inlineStr">
        <is>
          <t>2026_Mar_Jun</t>
        </is>
      </c>
      <c r="D66" s="5" t="inlineStr">
        <is>
          <t>倍数</t>
        </is>
      </c>
    </row>
    <row r="67">
      <c r="A67" s="10" t="inlineStr">
        <is>
          <t>BRONX</t>
        </is>
      </c>
      <c r="B67" s="10" t="n">
        <v>2805</v>
      </c>
      <c r="C67" s="10" t="n">
        <v>7772</v>
      </c>
      <c r="D67" s="13" t="n">
        <v>2.77</v>
      </c>
    </row>
    <row r="68">
      <c r="A68" s="10" t="inlineStr">
        <is>
          <t>BROOKLYN</t>
        </is>
      </c>
      <c r="B68" s="10" t="n">
        <v>7137</v>
      </c>
      <c r="C68" s="10" t="n">
        <v>14986</v>
      </c>
      <c r="D68" s="13" t="n">
        <v>2.1</v>
      </c>
    </row>
    <row r="69">
      <c r="A69" s="10" t="inlineStr">
        <is>
          <t>MANHATTAN</t>
        </is>
      </c>
      <c r="B69" s="10" t="n">
        <v>5108</v>
      </c>
      <c r="C69" s="10" t="n">
        <v>9817</v>
      </c>
      <c r="D69" s="13" t="n">
        <v>1.92</v>
      </c>
    </row>
    <row r="70">
      <c r="A70" s="10" t="inlineStr">
        <is>
          <t>QUEENS</t>
        </is>
      </c>
      <c r="B70" s="10" t="n">
        <v>10690</v>
      </c>
      <c r="C70" s="10" t="n">
        <v>28609</v>
      </c>
      <c r="D70" s="13" t="n">
        <v>2.68</v>
      </c>
    </row>
    <row r="71">
      <c r="A71" s="10" t="inlineStr">
        <is>
          <t>STATEN ISLAND</t>
        </is>
      </c>
      <c r="B71" s="10" t="n">
        <v>2593</v>
      </c>
      <c r="C71" s="10" t="n">
        <v>5738</v>
      </c>
      <c r="D71" s="13" t="n">
        <v>2.21</v>
      </c>
    </row>
    <row r="72">
      <c r="A72" s="10" t="inlineStr">
        <is>
          <t>Unspecified</t>
        </is>
      </c>
      <c r="B72" s="10" t="n">
        <v>53</v>
      </c>
      <c r="C72" s="10" t="n">
        <v>247</v>
      </c>
      <c r="D72" s="13" t="n">
        <v>4.66</v>
      </c>
    </row>
    <row r="91" ht="60" customHeight="1">
      <c r="A91" s="9" t="inlineStr">
        <is>
          <t>读图要点：Snow or Ice 在2025-26冬季(12–2月)量级约为上一年冬季的7倍；供暖投诉2026-01达峰79,928。Street Condition 在2026-03(严冬后冻融)骤升至28,690并维持高位，且五个区普涨——说明是广泛的路面损坏，而非单一来源。'更冷冬季'为基于投诉模式的推断，未引入外部气象数据。</t>
        </is>
      </c>
    </row>
  </sheetData>
  <mergeCells count="5">
    <mergeCell ref="A1:G1"/>
    <mergeCell ref="A91:G91"/>
    <mergeCell ref="A4:G4"/>
    <mergeCell ref="A2:G2"/>
    <mergeCell ref="A65:G6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发现3：响应/结案时长（成熟队列）</t>
        </is>
      </c>
    </row>
    <row r="2" ht="30" customHeight="1">
      <c r="A2" s="2" t="inlineStr">
        <is>
          <t>成熟队列=created≤2026-06-30(结案率≥95%)，规避右删失。对应 t_res_agency.csv / t_res_type.csv / t_heat_monthly.csv</t>
        </is>
      </c>
    </row>
    <row r="4" ht="20" customHeight="1">
      <c r="A4" s="3" t="inlineStr">
        <is>
          <t>按机构</t>
        </is>
      </c>
    </row>
    <row r="5">
      <c r="A5" s="5" t="inlineStr">
        <is>
          <t>agency</t>
        </is>
      </c>
      <c r="B5" s="5" t="inlineStr">
        <is>
          <t>n_requests</t>
        </is>
      </c>
      <c r="C5" s="5" t="inlineStr">
        <is>
          <t>closed_n</t>
        </is>
      </c>
      <c r="D5" s="5" t="inlineStr">
        <is>
          <t>median_h</t>
        </is>
      </c>
      <c r="E5" s="5" t="inlineStr">
        <is>
          <t>p90_h</t>
        </is>
      </c>
      <c r="F5" s="5" t="inlineStr">
        <is>
          <t>mean_h</t>
        </is>
      </c>
      <c r="G5" s="5" t="inlineStr">
        <is>
          <t>pct_24h</t>
        </is>
      </c>
    </row>
    <row r="6">
      <c r="A6" s="10" t="inlineStr">
        <is>
          <t>NYPD</t>
        </is>
      </c>
      <c r="B6" s="10" t="n">
        <v>3082371</v>
      </c>
      <c r="C6" s="10" t="n">
        <v>3082236</v>
      </c>
      <c r="D6" s="11" t="n">
        <v>1.3</v>
      </c>
      <c r="E6" s="11" t="n">
        <v>7</v>
      </c>
      <c r="F6" s="11" t="n">
        <v>3</v>
      </c>
      <c r="G6" s="11" t="n">
        <v>99</v>
      </c>
    </row>
    <row r="7">
      <c r="A7" s="10" t="inlineStr">
        <is>
          <t>HPD</t>
        </is>
      </c>
      <c r="B7" s="10" t="n">
        <v>1514965</v>
      </c>
      <c r="C7" s="10" t="n">
        <v>1489714</v>
      </c>
      <c r="D7" s="11" t="n">
        <v>81.8</v>
      </c>
      <c r="E7" s="11" t="n">
        <v>921.1</v>
      </c>
      <c r="F7" s="11" t="n">
        <v>352.6</v>
      </c>
      <c r="G7" s="11" t="n">
        <v>12.9</v>
      </c>
    </row>
    <row r="8">
      <c r="A8" s="10" t="inlineStr">
        <is>
          <t>DSNY</t>
        </is>
      </c>
      <c r="B8" s="10" t="n">
        <v>621900</v>
      </c>
      <c r="C8" s="10" t="n">
        <v>616053</v>
      </c>
      <c r="D8" s="11" t="n">
        <v>32.6</v>
      </c>
      <c r="E8" s="11" t="n">
        <v>172.8</v>
      </c>
      <c r="F8" s="11" t="n">
        <v>88.59999999999999</v>
      </c>
      <c r="G8" s="11" t="n">
        <v>38.7</v>
      </c>
    </row>
    <row r="9">
      <c r="A9" s="10" t="inlineStr">
        <is>
          <t>DOT</t>
        </is>
      </c>
      <c r="B9" s="10" t="n">
        <v>434035</v>
      </c>
      <c r="C9" s="10" t="n">
        <v>418690</v>
      </c>
      <c r="D9" s="11" t="n">
        <v>46.4</v>
      </c>
      <c r="E9" s="11" t="n">
        <v>407.1</v>
      </c>
      <c r="F9" s="11" t="n">
        <v>228.2</v>
      </c>
      <c r="G9" s="11" t="n">
        <v>38.7</v>
      </c>
    </row>
    <row r="10">
      <c r="A10" s="10" t="inlineStr">
        <is>
          <t>DEP</t>
        </is>
      </c>
      <c r="B10" s="10" t="n">
        <v>369181</v>
      </c>
      <c r="C10" s="10" t="n">
        <v>363898</v>
      </c>
      <c r="D10" s="11" t="n">
        <v>23.8</v>
      </c>
      <c r="E10" s="11" t="n">
        <v>246.6</v>
      </c>
      <c r="F10" s="11" t="n">
        <v>111.1</v>
      </c>
      <c r="G10" s="11" t="n">
        <v>49.5</v>
      </c>
    </row>
    <row r="11">
      <c r="A11" s="10" t="inlineStr">
        <is>
          <t>DPR</t>
        </is>
      </c>
      <c r="B11" s="10" t="n">
        <v>206185</v>
      </c>
      <c r="C11" s="10" t="n">
        <v>168135</v>
      </c>
      <c r="D11" s="11" t="n">
        <v>187</v>
      </c>
      <c r="E11" s="11" t="n">
        <v>3819.3</v>
      </c>
      <c r="F11" s="11" t="n">
        <v>1133.5</v>
      </c>
      <c r="G11" s="11" t="n">
        <v>19</v>
      </c>
    </row>
    <row r="12">
      <c r="A12" s="10" t="inlineStr">
        <is>
          <t>DOB</t>
        </is>
      </c>
      <c r="B12" s="10" t="n">
        <v>193386</v>
      </c>
      <c r="C12" s="10" t="n">
        <v>193386</v>
      </c>
      <c r="D12" s="11" t="n">
        <v>225.6</v>
      </c>
      <c r="E12" s="11" t="n">
        <v>3799.8</v>
      </c>
      <c r="F12" s="11" t="n">
        <v>1178.7</v>
      </c>
      <c r="G12" s="11" t="n">
        <v>25.2</v>
      </c>
    </row>
    <row r="13">
      <c r="A13" s="10" t="inlineStr">
        <is>
          <t>DOHMH</t>
        </is>
      </c>
      <c r="B13" s="10" t="n">
        <v>150740</v>
      </c>
      <c r="C13" s="10" t="n">
        <v>143812</v>
      </c>
      <c r="D13" s="11" t="n">
        <v>52.6</v>
      </c>
      <c r="E13" s="11" t="n">
        <v>1441.1</v>
      </c>
      <c r="F13" s="11" t="n">
        <v>551.4</v>
      </c>
      <c r="G13" s="11" t="n">
        <v>39.7</v>
      </c>
    </row>
    <row r="14">
      <c r="A14" s="10" t="inlineStr">
        <is>
          <t>DHS</t>
        </is>
      </c>
      <c r="B14" s="10" t="n">
        <v>93013</v>
      </c>
      <c r="C14" s="10" t="n">
        <v>76605</v>
      </c>
      <c r="D14" s="11" t="n">
        <v>7.8</v>
      </c>
      <c r="E14" s="11" t="n">
        <v>255.2</v>
      </c>
      <c r="F14" s="11" t="n">
        <v>110.1</v>
      </c>
      <c r="G14" s="11" t="n">
        <v>60.1</v>
      </c>
    </row>
    <row r="15">
      <c r="A15" s="10" t="inlineStr">
        <is>
          <t>TLC</t>
        </is>
      </c>
      <c r="B15" s="10" t="n">
        <v>68809</v>
      </c>
      <c r="C15" s="10" t="n">
        <v>48808</v>
      </c>
      <c r="D15" s="11" t="n">
        <v>1027.4</v>
      </c>
      <c r="E15" s="11" t="n">
        <v>4874.2</v>
      </c>
      <c r="F15" s="11" t="n">
        <v>1833.9</v>
      </c>
      <c r="G15" s="11" t="n">
        <v>6.6</v>
      </c>
    </row>
    <row r="16">
      <c r="A16" s="10" t="inlineStr">
        <is>
          <t>EDC</t>
        </is>
      </c>
      <c r="B16" s="10" t="n">
        <v>36215</v>
      </c>
      <c r="C16" s="10" t="n">
        <v>17550</v>
      </c>
      <c r="D16" s="11" t="n">
        <v>6296.5</v>
      </c>
      <c r="E16" s="11" t="n">
        <v>8639.1</v>
      </c>
      <c r="F16" s="11" t="n">
        <v>5610.1</v>
      </c>
      <c r="G16" s="11" t="n">
        <v>0</v>
      </c>
    </row>
    <row r="17">
      <c r="A17" s="10" t="inlineStr">
        <is>
          <t>DCWP</t>
        </is>
      </c>
      <c r="B17" s="10" t="n">
        <v>34218</v>
      </c>
      <c r="C17" s="10" t="n">
        <v>34178</v>
      </c>
      <c r="D17" s="11" t="n">
        <v>127.5</v>
      </c>
      <c r="E17" s="11" t="n">
        <v>785.6</v>
      </c>
      <c r="F17" s="11" t="n">
        <v>394.5</v>
      </c>
      <c r="G17" s="11" t="n">
        <v>20.8</v>
      </c>
    </row>
    <row r="18">
      <c r="A18" s="10" t="inlineStr">
        <is>
          <t>OOS</t>
        </is>
      </c>
      <c r="B18" s="10" t="n">
        <v>3304</v>
      </c>
      <c r="C18" s="10" t="n">
        <v>3108</v>
      </c>
      <c r="D18" s="11" t="n">
        <v>1061</v>
      </c>
      <c r="E18" s="11" t="n">
        <v>1918.5</v>
      </c>
      <c r="F18" s="11" t="n">
        <v>1189.5</v>
      </c>
      <c r="G18" s="11" t="n">
        <v>0.1</v>
      </c>
    </row>
    <row r="19">
      <c r="A19" s="10" t="inlineStr">
        <is>
          <t>DOE</t>
        </is>
      </c>
      <c r="B19" s="10" t="n">
        <v>2962</v>
      </c>
      <c r="C19" s="10" t="n">
        <v>2962</v>
      </c>
      <c r="D19" s="11" t="n">
        <v>449.7</v>
      </c>
      <c r="E19" s="11" t="n">
        <v>5679</v>
      </c>
      <c r="F19" s="11" t="n">
        <v>1936</v>
      </c>
      <c r="G19" s="11" t="n">
        <v>20.7</v>
      </c>
    </row>
    <row r="20">
      <c r="A20" s="10" t="inlineStr">
        <is>
          <t>OTI</t>
        </is>
      </c>
      <c r="B20" s="10" t="n">
        <v>380</v>
      </c>
      <c r="C20" s="10" t="n">
        <v>360</v>
      </c>
      <c r="D20" s="11" t="n">
        <v>355.8</v>
      </c>
      <c r="E20" s="11" t="n">
        <v>768.5</v>
      </c>
      <c r="F20" s="11" t="n">
        <v>442.5</v>
      </c>
      <c r="G20" s="11" t="n">
        <v>5.8</v>
      </c>
    </row>
    <row r="21">
      <c r="A21" s="10" t="inlineStr">
        <is>
          <t>NYC311-PRD</t>
        </is>
      </c>
      <c r="B21" s="10" t="n">
        <v>371</v>
      </c>
      <c r="C21" s="10" t="n">
        <v>371</v>
      </c>
      <c r="D21" s="11" t="n">
        <v>42.4</v>
      </c>
      <c r="E21" s="11" t="n">
        <v>541.7</v>
      </c>
      <c r="F21" s="11" t="n">
        <v>138.2</v>
      </c>
      <c r="G21" s="11" t="n">
        <v>32.6</v>
      </c>
    </row>
    <row r="43" ht="20" customHeight="1">
      <c r="A43" s="3" t="inlineStr">
        <is>
          <t>按投诉类型 TOP15（W1 vs W2 中位数）</t>
        </is>
      </c>
    </row>
    <row r="44">
      <c r="A44" s="5" t="inlineStr">
        <is>
          <t>complaint_type</t>
        </is>
      </c>
      <c r="B44" s="5" t="inlineStr">
        <is>
          <t>n_matured</t>
        </is>
      </c>
      <c r="C44" s="5" t="inlineStr">
        <is>
          <t>median_W1_h</t>
        </is>
      </c>
      <c r="D44" s="5" t="inlineStr">
        <is>
          <t>median_W2_h</t>
        </is>
      </c>
      <c r="E44" s="5" t="inlineStr">
        <is>
          <t>delta_h</t>
        </is>
      </c>
    </row>
    <row r="45">
      <c r="A45" s="10" t="inlineStr">
        <is>
          <t>Illegal Parking</t>
        </is>
      </c>
      <c r="B45" s="10" t="n">
        <v>960754</v>
      </c>
      <c r="C45" s="11" t="n">
        <v>1.6</v>
      </c>
      <c r="D45" s="11" t="n">
        <v>1.5</v>
      </c>
      <c r="E45" s="12" t="n">
        <v>-0.1</v>
      </c>
    </row>
    <row r="46">
      <c r="A46" s="7" t="inlineStr">
        <is>
          <t>Noise - Residential</t>
        </is>
      </c>
      <c r="B46" s="10" t="n">
        <v>741998</v>
      </c>
      <c r="C46" s="11" t="n">
        <v>1.4</v>
      </c>
      <c r="D46" s="11" t="n">
        <v>1.2</v>
      </c>
      <c r="E46" s="12" t="n">
        <v>-0.3</v>
      </c>
    </row>
    <row r="47">
      <c r="A47" s="10" t="inlineStr">
        <is>
          <t>HEAT/HOT WATER</t>
        </is>
      </c>
      <c r="B47" s="10" t="n">
        <v>621217</v>
      </c>
      <c r="C47" s="11" t="n">
        <v>41.8</v>
      </c>
      <c r="D47" s="11" t="n">
        <v>42</v>
      </c>
      <c r="E47" s="12" t="n">
        <v>0.2</v>
      </c>
    </row>
    <row r="48">
      <c r="A48" s="10" t="inlineStr">
        <is>
          <t>Blocked Driveway</t>
        </is>
      </c>
      <c r="B48" s="10" t="n">
        <v>303627</v>
      </c>
      <c r="C48" s="11" t="n">
        <v>1.9</v>
      </c>
      <c r="D48" s="11" t="n">
        <v>1.6</v>
      </c>
      <c r="E48" s="12" t="n">
        <v>-0.3</v>
      </c>
    </row>
    <row r="49">
      <c r="A49" s="7" t="inlineStr">
        <is>
          <t>Noise - Street/Sidewalk</t>
        </is>
      </c>
      <c r="B49" s="10" t="n">
        <v>261578</v>
      </c>
      <c r="C49" s="11" t="n">
        <v>0.9</v>
      </c>
      <c r="D49" s="11" t="n">
        <v>1.1</v>
      </c>
      <c r="E49" s="12" t="n">
        <v>0.2</v>
      </c>
    </row>
    <row r="50">
      <c r="A50" s="7" t="inlineStr">
        <is>
          <t>UNSANITARY CONDITION</t>
        </is>
      </c>
      <c r="B50" s="10" t="n">
        <v>197090</v>
      </c>
      <c r="C50" s="11" t="n">
        <v>250.3</v>
      </c>
      <c r="D50" s="11" t="n">
        <v>296</v>
      </c>
      <c r="E50" s="12" t="n">
        <v>45.7</v>
      </c>
    </row>
    <row r="51">
      <c r="A51" s="10" t="inlineStr">
        <is>
          <t>Street Condition</t>
        </is>
      </c>
      <c r="B51" s="10" t="n">
        <v>148265</v>
      </c>
      <c r="C51" s="11" t="n">
        <v>25.6</v>
      </c>
      <c r="D51" s="11" t="n">
        <v>28.7</v>
      </c>
      <c r="E51" s="12" t="n">
        <v>3.1</v>
      </c>
    </row>
    <row r="52">
      <c r="A52" s="10" t="inlineStr">
        <is>
          <t>Water System</t>
        </is>
      </c>
      <c r="B52" s="10" t="n">
        <v>126722</v>
      </c>
      <c r="C52" s="11" t="n">
        <v>3.5</v>
      </c>
      <c r="D52" s="11" t="n">
        <v>5.8</v>
      </c>
      <c r="E52" s="12" t="n">
        <v>2.2</v>
      </c>
    </row>
    <row r="53">
      <c r="A53" s="10" t="inlineStr">
        <is>
          <t>PLUMBING</t>
        </is>
      </c>
      <c r="B53" s="10" t="n">
        <v>123632</v>
      </c>
      <c r="C53" s="11" t="n">
        <v>192.1</v>
      </c>
      <c r="D53" s="11" t="n">
        <v>212.8</v>
      </c>
      <c r="E53" s="12" t="n">
        <v>20.7</v>
      </c>
    </row>
    <row r="54">
      <c r="A54" s="10" t="inlineStr">
        <is>
          <t>Abandoned Vehicle</t>
        </is>
      </c>
      <c r="B54" s="10" t="n">
        <v>114328</v>
      </c>
      <c r="C54" s="11" t="n">
        <v>2.1</v>
      </c>
      <c r="D54" s="11" t="n">
        <v>2.3</v>
      </c>
      <c r="E54" s="12" t="n">
        <v>0.2</v>
      </c>
    </row>
    <row r="55">
      <c r="A55" s="10" t="inlineStr">
        <is>
          <t>Dirty Condition</t>
        </is>
      </c>
      <c r="B55" s="10" t="n">
        <v>101045</v>
      </c>
      <c r="C55" s="11" t="n">
        <v>22.5</v>
      </c>
      <c r="D55" s="11" t="n">
        <v>24.2</v>
      </c>
      <c r="E55" s="12" t="n">
        <v>1.7</v>
      </c>
    </row>
    <row r="56">
      <c r="A56" s="10" t="inlineStr">
        <is>
          <t>Noise - Commercial</t>
        </is>
      </c>
      <c r="B56" s="10" t="n">
        <v>104332</v>
      </c>
      <c r="C56" s="11" t="n">
        <v>0.9</v>
      </c>
      <c r="D56" s="11" t="n">
        <v>1</v>
      </c>
      <c r="E56" s="12" t="n">
        <v>0.1</v>
      </c>
    </row>
    <row r="57">
      <c r="A57" s="10" t="inlineStr">
        <is>
          <t>PAINT/PLASTER</t>
        </is>
      </c>
      <c r="B57" s="10" t="n">
        <v>102437</v>
      </c>
      <c r="C57" s="11" t="n">
        <v>170</v>
      </c>
      <c r="D57" s="11" t="n">
        <v>196.3</v>
      </c>
      <c r="E57" s="12" t="n">
        <v>26.3</v>
      </c>
    </row>
    <row r="58">
      <c r="A58" s="10" t="inlineStr">
        <is>
          <t>Noise</t>
        </is>
      </c>
      <c r="B58" s="10" t="n">
        <v>95378</v>
      </c>
      <c r="C58" s="11" t="n">
        <v>65.90000000000001</v>
      </c>
      <c r="D58" s="11" t="n">
        <v>69.90000000000001</v>
      </c>
      <c r="E58" s="12" t="n">
        <v>3.9</v>
      </c>
    </row>
    <row r="59">
      <c r="A59" s="7" t="inlineStr">
        <is>
          <t>Traffic Signal Condition</t>
        </is>
      </c>
      <c r="B59" s="10" t="n">
        <v>88619</v>
      </c>
      <c r="C59" s="11" t="n">
        <v>2.1</v>
      </c>
      <c r="D59" s="11" t="n">
        <v>2.4</v>
      </c>
      <c r="E59" s="12" t="n">
        <v>0.3</v>
      </c>
    </row>
    <row r="81" ht="20" customHeight="1">
      <c r="A81" s="3" t="inlineStr">
        <is>
          <t>HEAT/HOT WATER：负载 vs 时长（逐月）</t>
        </is>
      </c>
    </row>
    <row r="82">
      <c r="A82" s="5" t="inlineStr">
        <is>
          <t>month</t>
        </is>
      </c>
      <c r="B82" s="5" t="inlineStr">
        <is>
          <t>n</t>
        </is>
      </c>
      <c r="C82" s="5" t="inlineStr">
        <is>
          <t>median_res_h</t>
        </is>
      </c>
    </row>
    <row r="83">
      <c r="A83" s="10" t="inlineStr">
        <is>
          <t>2024-09</t>
        </is>
      </c>
      <c r="B83" s="10" t="n">
        <v>2696</v>
      </c>
      <c r="C83" s="11" t="n">
        <v>37</v>
      </c>
    </row>
    <row r="84">
      <c r="A84" s="10" t="inlineStr">
        <is>
          <t>2024-10</t>
        </is>
      </c>
      <c r="B84" s="10" t="n">
        <v>19650</v>
      </c>
      <c r="C84" s="11" t="n">
        <v>33</v>
      </c>
    </row>
    <row r="85">
      <c r="A85" s="10" t="inlineStr">
        <is>
          <t>2024-11</t>
        </is>
      </c>
      <c r="B85" s="10" t="n">
        <v>39368</v>
      </c>
      <c r="C85" s="11" t="n">
        <v>40.7</v>
      </c>
    </row>
    <row r="86">
      <c r="A86" s="10" t="inlineStr">
        <is>
          <t>2024-12</t>
        </is>
      </c>
      <c r="B86" s="10" t="n">
        <v>62918</v>
      </c>
      <c r="C86" s="11" t="n">
        <v>49.7</v>
      </c>
    </row>
    <row r="87">
      <c r="A87" s="10" t="inlineStr">
        <is>
          <t>2025-01</t>
        </is>
      </c>
      <c r="B87" s="10" t="n">
        <v>67229</v>
      </c>
      <c r="C87" s="11" t="n">
        <v>45.5</v>
      </c>
    </row>
    <row r="88">
      <c r="A88" s="10" t="inlineStr">
        <is>
          <t>2025-02</t>
        </is>
      </c>
      <c r="B88" s="10" t="n">
        <v>40699</v>
      </c>
      <c r="C88" s="11" t="n">
        <v>43.7</v>
      </c>
    </row>
    <row r="89">
      <c r="A89" s="10" t="inlineStr">
        <is>
          <t>2025-03</t>
        </is>
      </c>
      <c r="B89" s="10" t="n">
        <v>26276</v>
      </c>
      <c r="C89" s="11" t="n">
        <v>30.4</v>
      </c>
    </row>
    <row r="90">
      <c r="A90" s="10" t="inlineStr">
        <is>
          <t>2025-04</t>
        </is>
      </c>
      <c r="B90" s="10" t="n">
        <v>16824</v>
      </c>
      <c r="C90" s="11" t="n">
        <v>33</v>
      </c>
    </row>
    <row r="91">
      <c r="A91" s="10" t="inlineStr">
        <is>
          <t>2025-05</t>
        </is>
      </c>
      <c r="B91" s="10" t="n">
        <v>7463</v>
      </c>
      <c r="C91" s="11" t="n">
        <v>29.8</v>
      </c>
    </row>
    <row r="92">
      <c r="A92" s="10" t="inlineStr">
        <is>
          <t>2025-06</t>
        </is>
      </c>
      <c r="B92" s="10" t="n">
        <v>4217</v>
      </c>
      <c r="C92" s="11" t="n">
        <v>31.9</v>
      </c>
    </row>
    <row r="93">
      <c r="A93" s="10" t="inlineStr">
        <is>
          <t>2025-07</t>
        </is>
      </c>
      <c r="B93" s="10" t="n">
        <v>3008</v>
      </c>
      <c r="C93" s="11" t="n">
        <v>36.8</v>
      </c>
    </row>
    <row r="94">
      <c r="A94" s="10" t="inlineStr">
        <is>
          <t>2025-08</t>
        </is>
      </c>
      <c r="B94" s="10" t="n">
        <v>2929</v>
      </c>
      <c r="C94" s="11" t="n">
        <v>35.8</v>
      </c>
    </row>
    <row r="95">
      <c r="A95" s="10" t="inlineStr">
        <is>
          <t>2025-09</t>
        </is>
      </c>
      <c r="B95" s="10" t="n">
        <v>3595</v>
      </c>
      <c r="C95" s="11" t="n">
        <v>31.9</v>
      </c>
    </row>
    <row r="96">
      <c r="A96" s="10" t="inlineStr">
        <is>
          <t>2025-10</t>
        </is>
      </c>
      <c r="B96" s="10" t="n">
        <v>31858</v>
      </c>
      <c r="C96" s="11" t="n">
        <v>30.9</v>
      </c>
    </row>
    <row r="97">
      <c r="A97" s="10" t="inlineStr">
        <is>
          <t>2025-11</t>
        </is>
      </c>
      <c r="B97" s="10" t="n">
        <v>47946</v>
      </c>
      <c r="C97" s="11" t="n">
        <v>34.6</v>
      </c>
    </row>
    <row r="98">
      <c r="A98" s="10" t="inlineStr">
        <is>
          <t>2025-12</t>
        </is>
      </c>
      <c r="B98" s="10" t="n">
        <v>63902</v>
      </c>
      <c r="C98" s="11" t="n">
        <v>46.6</v>
      </c>
    </row>
    <row r="99">
      <c r="A99" s="10" t="inlineStr">
        <is>
          <t>2026-01</t>
        </is>
      </c>
      <c r="B99" s="10" t="n">
        <v>79928</v>
      </c>
      <c r="C99" s="11" t="n">
        <v>51</v>
      </c>
    </row>
    <row r="100">
      <c r="A100" s="10" t="inlineStr">
        <is>
          <t>2026-02</t>
        </is>
      </c>
      <c r="B100" s="10" t="n">
        <v>59031</v>
      </c>
      <c r="C100" s="11" t="n">
        <v>51.7</v>
      </c>
    </row>
    <row r="101">
      <c r="A101" s="10" t="inlineStr">
        <is>
          <t>2026-03</t>
        </is>
      </c>
      <c r="B101" s="10" t="n">
        <v>29783</v>
      </c>
      <c r="C101" s="11" t="n">
        <v>33.6</v>
      </c>
    </row>
    <row r="102">
      <c r="A102" s="10" t="inlineStr">
        <is>
          <t>2026-04</t>
        </is>
      </c>
      <c r="B102" s="10" t="n">
        <v>19553</v>
      </c>
      <c r="C102" s="11" t="n">
        <v>28.8</v>
      </c>
    </row>
    <row r="103">
      <c r="A103" s="10" t="inlineStr">
        <is>
          <t>2026-05</t>
        </is>
      </c>
      <c r="B103" s="10" t="n">
        <v>9823</v>
      </c>
      <c r="C103" s="11" t="n">
        <v>29.2</v>
      </c>
    </row>
    <row r="104">
      <c r="A104" s="10" t="inlineStr">
        <is>
          <t>2026-06</t>
        </is>
      </c>
      <c r="B104" s="10" t="n">
        <v>4388</v>
      </c>
      <c r="C104" s="11" t="n">
        <v>30</v>
      </c>
    </row>
    <row r="105">
      <c r="A105" s="10" t="inlineStr">
        <is>
          <t>2026-07</t>
        </is>
      </c>
      <c r="B105" s="10" t="n">
        <v>4331</v>
      </c>
      <c r="C105" s="11" t="n">
        <v>41.9</v>
      </c>
    </row>
    <row r="106">
      <c r="A106" s="10" t="inlineStr">
        <is>
          <t>2026-08</t>
        </is>
      </c>
      <c r="B106" s="10" t="n">
        <v>3682</v>
      </c>
      <c r="C106" s="11" t="n">
        <v>44.9</v>
      </c>
    </row>
    <row r="107">
      <c r="A107" s="10" t="inlineStr">
        <is>
          <t>2026-09</t>
        </is>
      </c>
      <c r="B107" s="10" t="n">
        <v>497</v>
      </c>
      <c r="C107" s="11" t="n">
        <v>24</v>
      </c>
    </row>
    <row r="128" ht="58" customHeight="1">
      <c r="A128" s="9" t="inlineStr">
        <is>
          <t>读图要点：NYPD受理的违停/噪声类中位约1.3小时(接警即处置)；HPD住房类(不卫生/门窗/漏水/管道)以天计，反映需入户整改的执法流程。主要类别 W1→W2 中位数基本平稳(供暖41.8→42.0h)，说明在总量上升与严冬负载下，响应速度总体维持。</t>
        </is>
      </c>
    </row>
  </sheetData>
  <mergeCells count="6">
    <mergeCell ref="A2:F2"/>
    <mergeCell ref="A128:F128"/>
    <mergeCell ref="A1:F1"/>
    <mergeCell ref="A4:F4"/>
    <mergeCell ref="A43:F43"/>
    <mergeCell ref="A81:F8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发现4：渠道迁移 与 行政区分布</t>
        </is>
      </c>
    </row>
    <row r="2" ht="30" customHeight="1">
      <c r="A2" s="2" t="inlineStr">
        <is>
          <t>对应 t_channel.csv / t_channel_monthly.csv / t_borough.csv</t>
        </is>
      </c>
    </row>
    <row r="4" ht="20" customHeight="1">
      <c r="A4" s="3" t="inlineStr">
        <is>
          <t>渠道 W1 vs W2</t>
        </is>
      </c>
    </row>
    <row r="5">
      <c r="A5" s="5" t="inlineStr">
        <is>
          <t>channel</t>
        </is>
      </c>
      <c r="B5" s="5" t="inlineStr">
        <is>
          <t>W1</t>
        </is>
      </c>
      <c r="C5" s="5" t="inlineStr">
        <is>
          <t>W2</t>
        </is>
      </c>
      <c r="D5" s="5" t="inlineStr">
        <is>
          <t>W1_share_pct</t>
        </is>
      </c>
      <c r="E5" s="5" t="inlineStr">
        <is>
          <t>W2_share_pct</t>
        </is>
      </c>
      <c r="F5" s="5" t="inlineStr">
        <is>
          <t>delta</t>
        </is>
      </c>
      <c r="G5" s="5" t="inlineStr">
        <is>
          <t>pct_change</t>
        </is>
      </c>
    </row>
    <row r="6">
      <c r="A6" s="10" t="inlineStr">
        <is>
          <t>ONLINE</t>
        </is>
      </c>
      <c r="B6" s="10" t="n">
        <v>1377738</v>
      </c>
      <c r="C6" s="10" t="n">
        <v>1703884</v>
      </c>
      <c r="D6" s="11" t="n">
        <v>41.8</v>
      </c>
      <c r="E6" s="11" t="n">
        <v>46.8</v>
      </c>
      <c r="F6" s="10" t="n">
        <v>326146</v>
      </c>
      <c r="G6" s="12" t="n">
        <v>23.7</v>
      </c>
    </row>
    <row r="7">
      <c r="A7" s="10" t="inlineStr">
        <is>
          <t>PHONE</t>
        </is>
      </c>
      <c r="B7" s="10" t="n">
        <v>926181</v>
      </c>
      <c r="C7" s="10" t="n">
        <v>852847</v>
      </c>
      <c r="D7" s="11" t="n">
        <v>28.1</v>
      </c>
      <c r="E7" s="11" t="n">
        <v>23.4</v>
      </c>
      <c r="F7" s="10" t="n">
        <v>-73334</v>
      </c>
      <c r="G7" s="12" t="n">
        <v>-7.9</v>
      </c>
    </row>
    <row r="8">
      <c r="A8" s="10" t="inlineStr">
        <is>
          <t>MOBILE</t>
        </is>
      </c>
      <c r="B8" s="10" t="n">
        <v>748613</v>
      </c>
      <c r="C8" s="10" t="n">
        <v>771901</v>
      </c>
      <c r="D8" s="11" t="n">
        <v>22.7</v>
      </c>
      <c r="E8" s="11" t="n">
        <v>21.2</v>
      </c>
      <c r="F8" s="10" t="n">
        <v>23288</v>
      </c>
      <c r="G8" s="12" t="n">
        <v>3.1</v>
      </c>
    </row>
    <row r="9">
      <c r="A9" s="10" t="inlineStr">
        <is>
          <t>UNKNOWN</t>
        </is>
      </c>
      <c r="B9" s="10" t="n">
        <v>240448</v>
      </c>
      <c r="C9" s="10" t="n">
        <v>309137</v>
      </c>
      <c r="D9" s="11" t="n">
        <v>7.3</v>
      </c>
      <c r="E9" s="11" t="n">
        <v>8.5</v>
      </c>
      <c r="F9" s="10" t="n">
        <v>68689</v>
      </c>
      <c r="G9" s="12" t="n">
        <v>28.6</v>
      </c>
    </row>
    <row r="10">
      <c r="A10" s="10" t="inlineStr">
        <is>
          <t>OTHER</t>
        </is>
      </c>
      <c r="B10" s="10" t="n">
        <v>23</v>
      </c>
      <c r="C10" s="10" t="n">
        <v>1929</v>
      </c>
      <c r="D10" s="11" t="n">
        <v>0</v>
      </c>
      <c r="E10" s="11" t="n">
        <v>0.1</v>
      </c>
      <c r="F10" s="10" t="n">
        <v>1906</v>
      </c>
      <c r="G10" s="12" t="n">
        <v>8287</v>
      </c>
    </row>
    <row r="29" ht="20" customHeight="1">
      <c r="A29" s="3" t="inlineStr">
        <is>
          <t>渠道逐月（份额迁移可视化）</t>
        </is>
      </c>
    </row>
    <row r="30">
      <c r="A30" s="5" t="inlineStr">
        <is>
          <t>month</t>
        </is>
      </c>
      <c r="B30" s="5" t="inlineStr">
        <is>
          <t>MOBILE</t>
        </is>
      </c>
      <c r="C30" s="5" t="inlineStr">
        <is>
          <t>ONLINE</t>
        </is>
      </c>
      <c r="D30" s="5" t="inlineStr">
        <is>
          <t>OTHER</t>
        </is>
      </c>
      <c r="E30" s="5" t="inlineStr">
        <is>
          <t>PHONE</t>
        </is>
      </c>
      <c r="F30" s="5" t="inlineStr">
        <is>
          <t>UNKNOWN</t>
        </is>
      </c>
    </row>
    <row r="31">
      <c r="A31" s="10" t="inlineStr">
        <is>
          <t>2024-09</t>
        </is>
      </c>
      <c r="B31" s="10" t="n">
        <v>65857</v>
      </c>
      <c r="C31" s="10" t="n">
        <v>96318</v>
      </c>
      <c r="D31" s="10" t="n">
        <v>0</v>
      </c>
      <c r="E31" s="10" t="n">
        <v>69264</v>
      </c>
      <c r="F31" s="10" t="n">
        <v>16700</v>
      </c>
    </row>
    <row r="32">
      <c r="A32" s="10" t="inlineStr">
        <is>
          <t>2024-10</t>
        </is>
      </c>
      <c r="B32" s="10" t="n">
        <v>69887</v>
      </c>
      <c r="C32" s="10" t="n">
        <v>123527</v>
      </c>
      <c r="D32" s="10" t="n">
        <v>0</v>
      </c>
      <c r="E32" s="10" t="n">
        <v>92385</v>
      </c>
      <c r="F32" s="10" t="n">
        <v>21004</v>
      </c>
    </row>
    <row r="33">
      <c r="A33" s="10" t="inlineStr">
        <is>
          <t>2024-11</t>
        </is>
      </c>
      <c r="B33" s="10" t="n">
        <v>67879</v>
      </c>
      <c r="C33" s="10" t="n">
        <v>114335</v>
      </c>
      <c r="D33" s="10" t="n">
        <v>9</v>
      </c>
      <c r="E33" s="10" t="n">
        <v>92169</v>
      </c>
      <c r="F33" s="10" t="n">
        <v>19123</v>
      </c>
    </row>
    <row r="34">
      <c r="A34" s="10" t="inlineStr">
        <is>
          <t>2024-12</t>
        </is>
      </c>
      <c r="B34" s="10" t="n">
        <v>74736</v>
      </c>
      <c r="C34" s="10" t="n">
        <v>128172</v>
      </c>
      <c r="D34" s="10" t="n">
        <v>2</v>
      </c>
      <c r="E34" s="10" t="n">
        <v>88906</v>
      </c>
      <c r="F34" s="10" t="n">
        <v>22133</v>
      </c>
    </row>
    <row r="35">
      <c r="A35" s="10" t="inlineStr">
        <is>
          <t>2025-01</t>
        </is>
      </c>
      <c r="B35" s="10" t="n">
        <v>101436</v>
      </c>
      <c r="C35" s="10" t="n">
        <v>136626</v>
      </c>
      <c r="D35" s="10" t="n">
        <v>0</v>
      </c>
      <c r="E35" s="10" t="n">
        <v>89435</v>
      </c>
      <c r="F35" s="10" t="n">
        <v>20683</v>
      </c>
    </row>
    <row r="36">
      <c r="A36" s="10" t="inlineStr">
        <is>
          <t>2025-02</t>
        </is>
      </c>
      <c r="B36" s="10" t="n">
        <v>54152</v>
      </c>
      <c r="C36" s="10" t="n">
        <v>109543</v>
      </c>
      <c r="D36" s="10" t="n">
        <v>0</v>
      </c>
      <c r="E36" s="10" t="n">
        <v>70704</v>
      </c>
      <c r="F36" s="10" t="n">
        <v>20965</v>
      </c>
    </row>
    <row r="37">
      <c r="A37" s="10" t="inlineStr">
        <is>
          <t>2025-03</t>
        </is>
      </c>
      <c r="B37" s="10" t="n">
        <v>60671</v>
      </c>
      <c r="C37" s="10" t="n">
        <v>122761</v>
      </c>
      <c r="D37" s="10" t="n">
        <v>0</v>
      </c>
      <c r="E37" s="10" t="n">
        <v>74948</v>
      </c>
      <c r="F37" s="10" t="n">
        <v>22841</v>
      </c>
    </row>
    <row r="38">
      <c r="A38" s="10" t="inlineStr">
        <is>
          <t>2025-04</t>
        </is>
      </c>
      <c r="B38" s="10" t="n">
        <v>58027</v>
      </c>
      <c r="C38" s="10" t="n">
        <v>116189</v>
      </c>
      <c r="D38" s="10" t="n">
        <v>3</v>
      </c>
      <c r="E38" s="10" t="n">
        <v>76894</v>
      </c>
      <c r="F38" s="10" t="n">
        <v>21436</v>
      </c>
    </row>
    <row r="39">
      <c r="A39" s="10" t="inlineStr">
        <is>
          <t>2025-05</t>
        </is>
      </c>
      <c r="B39" s="10" t="n">
        <v>63877</v>
      </c>
      <c r="C39" s="10" t="n">
        <v>127809</v>
      </c>
      <c r="D39" s="10" t="n">
        <v>4</v>
      </c>
      <c r="E39" s="10" t="n">
        <v>81098</v>
      </c>
      <c r="F39" s="10" t="n">
        <v>22270</v>
      </c>
    </row>
    <row r="40">
      <c r="A40" s="10" t="inlineStr">
        <is>
          <t>2025-06</t>
        </is>
      </c>
      <c r="B40" s="10" t="n">
        <v>66971</v>
      </c>
      <c r="C40" s="10" t="n">
        <v>129725</v>
      </c>
      <c r="D40" s="10" t="n">
        <v>2</v>
      </c>
      <c r="E40" s="10" t="n">
        <v>85339</v>
      </c>
      <c r="F40" s="10" t="n">
        <v>24405</v>
      </c>
    </row>
    <row r="41">
      <c r="A41" s="10" t="inlineStr">
        <is>
          <t>2025-07</t>
        </is>
      </c>
      <c r="B41" s="10" t="n">
        <v>65239</v>
      </c>
      <c r="C41" s="10" t="n">
        <v>132602</v>
      </c>
      <c r="D41" s="10" t="n">
        <v>2</v>
      </c>
      <c r="E41" s="10" t="n">
        <v>94291</v>
      </c>
      <c r="F41" s="10" t="n">
        <v>23749</v>
      </c>
    </row>
    <row r="42">
      <c r="A42" s="10" t="inlineStr">
        <is>
          <t>2025-08</t>
        </is>
      </c>
      <c r="B42" s="10" t="n">
        <v>65738</v>
      </c>
      <c r="C42" s="10" t="n">
        <v>136449</v>
      </c>
      <c r="D42" s="10" t="n">
        <v>1</v>
      </c>
      <c r="E42" s="10" t="n">
        <v>80012</v>
      </c>
      <c r="F42" s="10" t="n">
        <v>21839</v>
      </c>
    </row>
    <row r="43">
      <c r="A43" s="10" t="inlineStr">
        <is>
          <t>2025-09</t>
        </is>
      </c>
      <c r="B43" s="10" t="n">
        <v>72816</v>
      </c>
      <c r="C43" s="10" t="n">
        <v>133578</v>
      </c>
      <c r="D43" s="10" t="n">
        <v>8</v>
      </c>
      <c r="E43" s="10" t="n">
        <v>75346</v>
      </c>
      <c r="F43" s="10" t="n">
        <v>20936</v>
      </c>
    </row>
    <row r="44">
      <c r="A44" s="10" t="inlineStr">
        <is>
          <t>2025-10</t>
        </is>
      </c>
      <c r="B44" s="10" t="n">
        <v>83472</v>
      </c>
      <c r="C44" s="10" t="n">
        <v>140071</v>
      </c>
      <c r="D44" s="10" t="n">
        <v>8</v>
      </c>
      <c r="E44" s="10" t="n">
        <v>87702</v>
      </c>
      <c r="F44" s="10" t="n">
        <v>25359</v>
      </c>
    </row>
    <row r="45">
      <c r="A45" s="10" t="inlineStr">
        <is>
          <t>2025-11</t>
        </is>
      </c>
      <c r="B45" s="10" t="n">
        <v>74938</v>
      </c>
      <c r="C45" s="10" t="n">
        <v>126592</v>
      </c>
      <c r="D45" s="10" t="n">
        <v>3</v>
      </c>
      <c r="E45" s="10" t="n">
        <v>84364</v>
      </c>
      <c r="F45" s="10" t="n">
        <v>19008</v>
      </c>
    </row>
    <row r="46">
      <c r="A46" s="10" t="inlineStr">
        <is>
          <t>2025-12</t>
        </is>
      </c>
      <c r="B46" s="10" t="n">
        <v>88719</v>
      </c>
      <c r="C46" s="10" t="n">
        <v>152799</v>
      </c>
      <c r="D46" s="10" t="n">
        <v>6</v>
      </c>
      <c r="E46" s="10" t="n">
        <v>69940</v>
      </c>
      <c r="F46" s="10" t="n">
        <v>20639</v>
      </c>
    </row>
    <row r="47">
      <c r="A47" s="10" t="inlineStr">
        <is>
          <t>2026-01</t>
        </is>
      </c>
      <c r="B47" s="10" t="n">
        <v>66724</v>
      </c>
      <c r="C47" s="10" t="n">
        <v>185220</v>
      </c>
      <c r="D47" s="10" t="n">
        <v>6</v>
      </c>
      <c r="E47" s="10" t="n">
        <v>76292</v>
      </c>
      <c r="F47" s="10" t="n">
        <v>20269</v>
      </c>
    </row>
    <row r="48">
      <c r="A48" s="10" t="inlineStr">
        <is>
          <t>2026-02</t>
        </is>
      </c>
      <c r="B48" s="10" t="n">
        <v>60612</v>
      </c>
      <c r="C48" s="10" t="n">
        <v>169903</v>
      </c>
      <c r="D48" s="10" t="n">
        <v>13</v>
      </c>
      <c r="E48" s="10" t="n">
        <v>76679</v>
      </c>
      <c r="F48" s="10" t="n">
        <v>27483</v>
      </c>
    </row>
    <row r="49">
      <c r="A49" s="10" t="inlineStr">
        <is>
          <t>2026-03</t>
        </is>
      </c>
      <c r="B49" s="10" t="n">
        <v>67232</v>
      </c>
      <c r="C49" s="10" t="n">
        <v>149617</v>
      </c>
      <c r="D49" s="10" t="n">
        <v>38</v>
      </c>
      <c r="E49" s="10" t="n">
        <v>78141</v>
      </c>
      <c r="F49" s="10" t="n">
        <v>47359</v>
      </c>
    </row>
    <row r="50">
      <c r="A50" s="10" t="inlineStr">
        <is>
          <t>2026-04</t>
        </is>
      </c>
      <c r="B50" s="10" t="n">
        <v>62264</v>
      </c>
      <c r="C50" s="10" t="n">
        <v>136291</v>
      </c>
      <c r="D50" s="10" t="n">
        <v>44</v>
      </c>
      <c r="E50" s="10" t="n">
        <v>72368</v>
      </c>
      <c r="F50" s="10" t="n">
        <v>31223</v>
      </c>
    </row>
    <row r="51">
      <c r="A51" s="10" t="inlineStr">
        <is>
          <t>2026-05</t>
        </is>
      </c>
      <c r="B51" s="10" t="n">
        <v>70183</v>
      </c>
      <c r="C51" s="10" t="n">
        <v>152406</v>
      </c>
      <c r="D51" s="10" t="n">
        <v>110</v>
      </c>
      <c r="E51" s="10" t="n">
        <v>80638</v>
      </c>
      <c r="F51" s="10" t="n">
        <v>28641</v>
      </c>
    </row>
    <row r="52">
      <c r="A52" s="10" t="inlineStr">
        <is>
          <t>2026-06</t>
        </is>
      </c>
      <c r="B52" s="10" t="n">
        <v>71124</v>
      </c>
      <c r="C52" s="10" t="n">
        <v>154845</v>
      </c>
      <c r="D52" s="10" t="n">
        <v>243</v>
      </c>
      <c r="E52" s="10" t="n">
        <v>79313</v>
      </c>
      <c r="F52" s="10" t="n">
        <v>29308</v>
      </c>
    </row>
    <row r="53">
      <c r="A53" s="10" t="inlineStr">
        <is>
          <t>2026-07</t>
        </is>
      </c>
      <c r="B53" s="10" t="n">
        <v>65170</v>
      </c>
      <c r="C53" s="10" t="n">
        <v>169328</v>
      </c>
      <c r="D53" s="10" t="n">
        <v>1458</v>
      </c>
      <c r="E53" s="10" t="n">
        <v>76094</v>
      </c>
      <c r="F53" s="10" t="n">
        <v>30993</v>
      </c>
    </row>
    <row r="54">
      <c r="A54" s="10" t="inlineStr">
        <is>
          <t>2026-08</t>
        </is>
      </c>
      <c r="B54" s="10" t="n">
        <v>61463</v>
      </c>
      <c r="C54" s="10" t="n">
        <v>166812</v>
      </c>
      <c r="D54" s="10" t="n">
        <v>0</v>
      </c>
      <c r="E54" s="10" t="n">
        <v>71316</v>
      </c>
      <c r="F54" s="10" t="n">
        <v>28855</v>
      </c>
    </row>
    <row r="55">
      <c r="A55" s="10" t="inlineStr">
        <is>
          <t>2026-09</t>
        </is>
      </c>
      <c r="B55" s="10" t="n">
        <v>7287</v>
      </c>
      <c r="C55" s="10" t="n">
        <v>21087</v>
      </c>
      <c r="D55" s="10" t="n">
        <v>0</v>
      </c>
      <c r="E55" s="10" t="n">
        <v>9999</v>
      </c>
      <c r="F55" s="10" t="n">
        <v>3601</v>
      </c>
    </row>
    <row r="74" ht="20" customHeight="1">
      <c r="A74" s="3" t="inlineStr">
        <is>
          <t>行政区（全期分布 + YoY）</t>
        </is>
      </c>
    </row>
    <row r="75">
      <c r="A75" s="5" t="inlineStr">
        <is>
          <t>borough</t>
        </is>
      </c>
      <c r="B75" s="5" t="inlineStr">
        <is>
          <t>n_all</t>
        </is>
      </c>
      <c r="C75" s="5" t="inlineStr">
        <is>
          <t>W1</t>
        </is>
      </c>
      <c r="D75" s="5" t="inlineStr">
        <is>
          <t>W2</t>
        </is>
      </c>
      <c r="E75" s="5" t="inlineStr">
        <is>
          <t>share_pct</t>
        </is>
      </c>
      <c r="F75" s="5" t="inlineStr">
        <is>
          <t>delta</t>
        </is>
      </c>
      <c r="G75" s="5" t="inlineStr">
        <is>
          <t>pct_change</t>
        </is>
      </c>
    </row>
    <row r="76">
      <c r="A76" s="10" t="inlineStr">
        <is>
          <t>BROOKLYN</t>
        </is>
      </c>
      <c r="B76" s="10" t="n">
        <v>2259561</v>
      </c>
      <c r="C76" s="10" t="n">
        <v>975744</v>
      </c>
      <c r="D76" s="10" t="n">
        <v>1105825</v>
      </c>
      <c r="E76" s="11" t="n">
        <v>30</v>
      </c>
      <c r="F76" s="10" t="n">
        <v>130081</v>
      </c>
      <c r="G76" s="12" t="n">
        <v>13.3</v>
      </c>
    </row>
    <row r="77">
      <c r="A77" s="10" t="inlineStr">
        <is>
          <t>QUEENS</t>
        </is>
      </c>
      <c r="B77" s="10" t="n">
        <v>1818742</v>
      </c>
      <c r="C77" s="10" t="n">
        <v>786200</v>
      </c>
      <c r="D77" s="10" t="n">
        <v>886593</v>
      </c>
      <c r="E77" s="11" t="n">
        <v>24.2</v>
      </c>
      <c r="F77" s="10" t="n">
        <v>100393</v>
      </c>
      <c r="G77" s="12" t="n">
        <v>12.8</v>
      </c>
    </row>
    <row r="78">
      <c r="A78" s="10" t="inlineStr">
        <is>
          <t>BRONX</t>
        </is>
      </c>
      <c r="B78" s="10" t="n">
        <v>1664397</v>
      </c>
      <c r="C78" s="10" t="n">
        <v>747048</v>
      </c>
      <c r="D78" s="10" t="n">
        <v>791078</v>
      </c>
      <c r="E78" s="11" t="n">
        <v>22.1</v>
      </c>
      <c r="F78" s="10" t="n">
        <v>44030</v>
      </c>
      <c r="G78" s="12" t="n">
        <v>5.9</v>
      </c>
    </row>
    <row r="79">
      <c r="A79" s="10" t="inlineStr">
        <is>
          <t>MANHATTAN</t>
        </is>
      </c>
      <c r="B79" s="10" t="n">
        <v>1487092</v>
      </c>
      <c r="C79" s="10" t="n">
        <v>661954</v>
      </c>
      <c r="D79" s="10" t="n">
        <v>704453</v>
      </c>
      <c r="E79" s="11" t="n">
        <v>19.8</v>
      </c>
      <c r="F79" s="10" t="n">
        <v>42499</v>
      </c>
      <c r="G79" s="12" t="n">
        <v>6.4</v>
      </c>
    </row>
    <row r="80">
      <c r="A80" s="10" t="inlineStr">
        <is>
          <t>STATEN ISLAND</t>
        </is>
      </c>
      <c r="B80" s="10" t="n">
        <v>289375</v>
      </c>
      <c r="C80" s="10" t="n">
        <v>119694</v>
      </c>
      <c r="D80" s="10" t="n">
        <v>148241</v>
      </c>
      <c r="E80" s="11" t="n">
        <v>3.8</v>
      </c>
      <c r="F80" s="10" t="n">
        <v>28547</v>
      </c>
      <c r="G80" s="12" t="n">
        <v>23.8</v>
      </c>
    </row>
    <row r="81">
      <c r="A81" s="10" t="inlineStr">
        <is>
          <t>Unspecified</t>
        </is>
      </c>
      <c r="B81" s="10" t="n">
        <v>6331</v>
      </c>
      <c r="C81" s="10" t="n">
        <v>2363</v>
      </c>
      <c r="D81" s="10" t="n">
        <v>3508</v>
      </c>
      <c r="E81" s="11" t="n">
        <v>0.1</v>
      </c>
      <c r="F81" s="10" t="n">
        <v>1145</v>
      </c>
      <c r="G81" s="12" t="n">
        <v>48.5</v>
      </c>
    </row>
    <row r="100" ht="50" customHeight="1">
      <c r="A100" s="9" t="inlineStr">
        <is>
          <t>读图要点：ONLINE 是唯一份额与绝对量都上升的主力渠道(+326k)，PHONE 绝对量下降(-73k)——受理在数字化迁移。行政区中 Brooklyn 量最大(占30%)，Staten Island 增速最高(+23.8%)但其净增主要来自 Snow or Ice(见分解)，属天气驱动。</t>
        </is>
      </c>
    </row>
  </sheetData>
  <mergeCells count="6">
    <mergeCell ref="A74:G74"/>
    <mergeCell ref="A1:G1"/>
    <mergeCell ref="A4:G4"/>
    <mergeCell ref="A100:G100"/>
    <mergeCell ref="A2:G2"/>
    <mergeCell ref="A29:G29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0" customWidth="1" min="3" max="3"/>
    <col width="52" customWidth="1" min="4" max="4"/>
  </cols>
  <sheetData>
    <row r="1" ht="26" customHeight="1">
      <c r="A1" s="1" t="inlineStr">
        <is>
          <t>数据质量与口径护栏</t>
        </is>
      </c>
    </row>
    <row r="2" ht="30" customHeight="1">
      <c r="A2" s="2" t="inlineStr">
        <is>
          <t>逐条列出会误导解读的口径变更、集中事件与删失，及其处理方式。对应 t_quality_events.csv / t_drug_monthly.csv</t>
        </is>
      </c>
    </row>
    <row r="4" ht="20" customHeight="1">
      <c r="A4" s="3" t="inlineStr">
        <is>
          <t>需谨慎解读的事件</t>
        </is>
      </c>
    </row>
    <row r="5">
      <c r="A5" s="5" t="inlineStr">
        <is>
          <t>事件</t>
        </is>
      </c>
      <c r="B5" s="5" t="inlineStr">
        <is>
          <t>窗口/位置</t>
        </is>
      </c>
      <c r="C5" s="5" t="inlineStr">
        <is>
          <t>证据</t>
        </is>
      </c>
      <c r="D5" s="5" t="inlineStr">
        <is>
          <t>处理与影响</t>
        </is>
      </c>
    </row>
    <row r="6">
      <c r="A6" s="10" t="inlineStr">
        <is>
          <t>分类变更(DEP水系)</t>
        </is>
      </c>
      <c r="B6" s="7" t="inlineStr">
        <is>
          <t>2026-05 起 Water Maintenance / Sewer Maintenance 出现; Water System 2026-08 起为 0 条; Drinking Water 2025-10 后消失</t>
        </is>
      </c>
      <c r="C6" s="7" t="inlineStr">
        <is>
          <t>Water Maintenance 2026-08 达 8,925 条(全部 DEP, descriptor 以 Fire Hydrant 为主)</t>
        </is>
      </c>
      <c r="D6" s="7" t="inlineStr">
        <is>
          <t>Water Maintenance 的 YoY +125,422% 与 Water System -7.3% 均为口径伪象; 涉及 DEP 水系的跨期比较需合并新旧类别</t>
        </is>
      </c>
    </row>
    <row r="7">
      <c r="A7" s="10" t="inlineStr">
        <is>
          <t>分类改名(NYPD)</t>
        </is>
      </c>
      <c r="B7" s="7" t="inlineStr">
        <is>
          <t>Bike/Roller/Skate Chronic 止于 2025-10; Bike/Roller/Skate 始于 2025-11</t>
        </is>
      </c>
      <c r="C7" s="10" t="inlineStr">
        <is>
          <t>两类别量级衔接</t>
        </is>
      </c>
      <c r="D7" s="10" t="inlineStr">
        <is>
          <t>改名处理, 跨期比较需合并</t>
        </is>
      </c>
    </row>
    <row r="8">
      <c r="A8" s="10" t="inlineStr">
        <is>
          <t>集中源异常(噪声)</t>
        </is>
      </c>
      <c r="B8" s="7" t="inlineStr">
        <is>
          <t>2025-01-01..13 Noise-Residential 53,907 条, 其中 ZIP 10466(Bronx) 43,014 条(80%), MOBILE 渠道 84%</t>
        </is>
      </c>
      <c r="C8" s="7" t="inlineStr">
        <is>
          <t>常态该类型日均约1,200条且 Bronx 占40%; 该13天 Bronx 占85%</t>
        </is>
      </c>
      <c r="D8" s="7" t="inlineStr">
        <is>
          <t>Jan 2025 基期被抬高; Jan 2026 调整 YoY = +14.2%(表观 +0.1%); 原因未验证(无外部信息)</t>
        </is>
      </c>
    </row>
    <row r="9">
      <c r="A9" s="7" t="inlineStr">
        <is>
          <t>类别骤变(Drug Activity)</t>
        </is>
      </c>
      <c r="B9" s="7" t="inlineStr">
        <is>
          <t>2025-07/08 尖峰 6,038/5,447 条(Queens 占 89.6%), 2025-11 起骤降至 ~500-600/月(此前常态 ~1,500-2,500)</t>
        </is>
      </c>
      <c r="C9" s="7" t="inlineStr">
        <is>
          <t>descriptor 构成无实质变化(Use Outside 为主)</t>
        </is>
      </c>
      <c r="D9" s="7" t="inlineStr">
        <is>
          <t>YoY -67.9% 有误导性(基期含尖峰+后期崩塌); 报送或执法口径变化, 原因未验证</t>
        </is>
      </c>
    </row>
    <row r="10">
      <c r="A10" s="10" t="inlineStr">
        <is>
          <t>时间戳异常</t>
        </is>
      </c>
      <c r="B10" s="7" t="inlineStr">
        <is>
          <t>负处理时长 1,877 条(0.025%); closed_dt&gt;快照 1 条; closed_dt&lt;窗口起点 8 条</t>
        </is>
      </c>
      <c r="C10" s="10" t="inlineStr">
        <is>
          <t>占比极小</t>
        </is>
      </c>
      <c r="D10" s="7" t="inlineStr">
        <is>
          <t>处理时长统计中剔除(valid_res 规则)</t>
        </is>
      </c>
    </row>
    <row r="11">
      <c r="A11" s="10" t="inlineStr">
        <is>
          <t>右删失</t>
        </is>
      </c>
      <c r="B11" s="7" t="inlineStr">
        <is>
          <t>近3个月 closed_rate: 2026-07=92.3%, 2026-08=85.7%, 2026-09=61.5%</t>
        </is>
      </c>
      <c r="C11" s="10" t="inlineStr">
        <is>
          <t>并非绩效下降, 是尚未到结案时间</t>
        </is>
      </c>
      <c r="D11" s="7" t="inlineStr">
        <is>
          <t>处理时长分析使用成熟队列(created&lt;=2026-06-30)</t>
        </is>
      </c>
    </row>
    <row r="12">
      <c r="A12" s="10" t="inlineStr">
        <is>
          <t>截断日</t>
        </is>
      </c>
      <c r="B12" s="7" t="inlineStr">
        <is>
          <t>2026-09-05 仅 718 条(常态约1万/日)</t>
        </is>
      </c>
      <c r="C12" s="10" t="inlineStr">
        <is>
          <t>数据快照截止</t>
        </is>
      </c>
      <c r="D12" s="10" t="inlineStr">
        <is>
          <t>2026-09 视为部分月</t>
        </is>
      </c>
    </row>
    <row r="14" ht="20" customHeight="1">
      <c r="A14" s="3" t="inlineStr">
        <is>
          <t>Drug Activity 逐月（尖峰后崩塌，YoY −68% 有误导性）</t>
        </is>
      </c>
    </row>
    <row r="15">
      <c r="A15" s="5" t="inlineStr">
        <is>
          <t>month</t>
        </is>
      </c>
      <c r="B15" s="5" t="inlineStr">
        <is>
          <t>n</t>
        </is>
      </c>
    </row>
    <row r="16">
      <c r="A16" s="10" t="inlineStr">
        <is>
          <t>2024-09</t>
        </is>
      </c>
      <c r="B16" s="10" t="n">
        <v>1659</v>
      </c>
    </row>
    <row r="17">
      <c r="A17" s="10" t="inlineStr">
        <is>
          <t>2024-10</t>
        </is>
      </c>
      <c r="B17" s="10" t="n">
        <v>1681</v>
      </c>
    </row>
    <row r="18">
      <c r="A18" s="10" t="inlineStr">
        <is>
          <t>2024-11</t>
        </is>
      </c>
      <c r="B18" s="10" t="n">
        <v>1505</v>
      </c>
    </row>
    <row r="19">
      <c r="A19" s="10" t="inlineStr">
        <is>
          <t>2024-12</t>
        </is>
      </c>
      <c r="B19" s="10" t="n">
        <v>1843</v>
      </c>
    </row>
    <row r="20">
      <c r="A20" s="10" t="inlineStr">
        <is>
          <t>2025-01</t>
        </is>
      </c>
      <c r="B20" s="10" t="n">
        <v>1657</v>
      </c>
    </row>
    <row r="21">
      <c r="A21" s="10" t="inlineStr">
        <is>
          <t>2025-02</t>
        </is>
      </c>
      <c r="B21" s="10" t="n">
        <v>1740</v>
      </c>
    </row>
    <row r="22">
      <c r="A22" s="10" t="inlineStr">
        <is>
          <t>2025-03</t>
        </is>
      </c>
      <c r="B22" s="10" t="n">
        <v>2156</v>
      </c>
    </row>
    <row r="23">
      <c r="A23" s="10" t="inlineStr">
        <is>
          <t>2025-04</t>
        </is>
      </c>
      <c r="B23" s="10" t="n">
        <v>1487</v>
      </c>
    </row>
    <row r="24">
      <c r="A24" s="10" t="inlineStr">
        <is>
          <t>2025-05</t>
        </is>
      </c>
      <c r="B24" s="10" t="n">
        <v>1802</v>
      </c>
    </row>
    <row r="25">
      <c r="A25" s="10" t="inlineStr">
        <is>
          <t>2025-06</t>
        </is>
      </c>
      <c r="B25" s="10" t="n">
        <v>2513</v>
      </c>
    </row>
    <row r="26">
      <c r="A26" s="10" t="inlineStr">
        <is>
          <t>2025-07</t>
        </is>
      </c>
      <c r="B26" s="10" t="n">
        <v>6038</v>
      </c>
    </row>
    <row r="27">
      <c r="A27" s="10" t="inlineStr">
        <is>
          <t>2025-08</t>
        </is>
      </c>
      <c r="B27" s="10" t="n">
        <v>5447</v>
      </c>
    </row>
    <row r="28">
      <c r="A28" s="10" t="inlineStr">
        <is>
          <t>2025-09</t>
        </is>
      </c>
      <c r="B28" s="10" t="n">
        <v>2608</v>
      </c>
    </row>
    <row r="29">
      <c r="A29" s="10" t="inlineStr">
        <is>
          <t>2025-10</t>
        </is>
      </c>
      <c r="B29" s="10" t="n">
        <v>1433</v>
      </c>
    </row>
    <row r="30">
      <c r="A30" s="10" t="inlineStr">
        <is>
          <t>2025-11</t>
        </is>
      </c>
      <c r="B30" s="10" t="n">
        <v>560</v>
      </c>
    </row>
    <row r="31">
      <c r="A31" s="10" t="inlineStr">
        <is>
          <t>2025-12</t>
        </is>
      </c>
      <c r="B31" s="10" t="n">
        <v>523</v>
      </c>
    </row>
    <row r="32">
      <c r="A32" s="10" t="inlineStr">
        <is>
          <t>2026-01</t>
        </is>
      </c>
      <c r="B32" s="10" t="n">
        <v>609</v>
      </c>
    </row>
    <row r="33">
      <c r="A33" s="10" t="inlineStr">
        <is>
          <t>2026-02</t>
        </is>
      </c>
      <c r="B33" s="10" t="n">
        <v>634</v>
      </c>
    </row>
    <row r="34">
      <c r="A34" s="10" t="inlineStr">
        <is>
          <t>2026-03</t>
        </is>
      </c>
      <c r="B34" s="10" t="n">
        <v>1145</v>
      </c>
    </row>
    <row r="35">
      <c r="A35" s="10" t="inlineStr">
        <is>
          <t>2026-04</t>
        </is>
      </c>
      <c r="B35" s="10" t="n">
        <v>548</v>
      </c>
    </row>
    <row r="36">
      <c r="A36" s="10" t="inlineStr">
        <is>
          <t>2026-05</t>
        </is>
      </c>
      <c r="B36" s="10" t="n">
        <v>932</v>
      </c>
    </row>
    <row r="37">
      <c r="A37" s="10" t="inlineStr">
        <is>
          <t>2026-06</t>
        </is>
      </c>
      <c r="B37" s="10" t="n">
        <v>827</v>
      </c>
    </row>
    <row r="38">
      <c r="A38" s="10" t="inlineStr">
        <is>
          <t>2026-07</t>
        </is>
      </c>
      <c r="B38" s="10" t="n">
        <v>797</v>
      </c>
    </row>
    <row r="39">
      <c r="A39" s="10" t="inlineStr">
        <is>
          <t>2026-08</t>
        </is>
      </c>
      <c r="B39" s="10" t="n">
        <v>947</v>
      </c>
    </row>
    <row r="40">
      <c r="A40" s="10" t="inlineStr">
        <is>
          <t>2026-09</t>
        </is>
      </c>
      <c r="B40" s="10" t="n">
        <v>103</v>
      </c>
    </row>
    <row r="59" ht="50" customHeight="1">
      <c r="A59" s="9" t="inlineStr">
        <is>
          <t>原则：这些'暴涨暴跌'不应直接当作真实趋势。分类变更需合并新旧类别后再比；集中事件(单一ZIP/区)应识别为局部现象；近月结案率下降是删失而非变慢。原因层面(政策/执法/报送口径)标注为未验证，不臆测。</t>
        </is>
      </c>
    </row>
  </sheetData>
  <mergeCells count="5">
    <mergeCell ref="A1:D1"/>
    <mergeCell ref="A4:D4"/>
    <mergeCell ref="A59:D59"/>
    <mergeCell ref="A2:D2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6" customHeight="1">
      <c r="A1" s="1" t="inlineStr">
        <is>
          <t>全期请求量 TOP20 投诉类型</t>
        </is>
      </c>
    </row>
    <row r="2" ht="30" customHeight="1">
      <c r="A2" s="2" t="inlineStr">
        <is>
          <t>对应 t_top_types.csv。share_pct=占全期7,525,498条的比重；处理时长为成熟队列口径</t>
        </is>
      </c>
    </row>
    <row r="4">
      <c r="A4" s="5" t="inlineStr">
        <is>
          <t>complaint_type</t>
        </is>
      </c>
      <c r="B4" s="5" t="inlineStr">
        <is>
          <t>n_requests</t>
        </is>
      </c>
      <c r="C4" s="5" t="inlineStr">
        <is>
          <t>share_pct</t>
        </is>
      </c>
      <c r="D4" s="5" t="inlineStr">
        <is>
          <t>closed_rate_pct</t>
        </is>
      </c>
      <c r="E4" s="5" t="inlineStr">
        <is>
          <t>median_res_h</t>
        </is>
      </c>
      <c r="F4" s="5" t="inlineStr">
        <is>
          <t>p90_res_h</t>
        </is>
      </c>
    </row>
    <row r="5">
      <c r="A5" s="10" t="inlineStr">
        <is>
          <t>Illegal Parking</t>
        </is>
      </c>
      <c r="B5" s="10" t="n">
        <v>1159053</v>
      </c>
      <c r="C5" s="13" t="n">
        <v>15.4</v>
      </c>
      <c r="D5" s="11" t="n">
        <v>100</v>
      </c>
      <c r="E5" s="11" t="n">
        <v>1.5</v>
      </c>
      <c r="F5" s="11" t="n">
        <v>7.2</v>
      </c>
    </row>
    <row r="6">
      <c r="A6" s="7" t="inlineStr">
        <is>
          <t>Noise - Residential</t>
        </is>
      </c>
      <c r="B6" s="10" t="n">
        <v>881548</v>
      </c>
      <c r="C6" s="13" t="n">
        <v>11.71</v>
      </c>
      <c r="D6" s="11" t="n">
        <v>100</v>
      </c>
      <c r="E6" s="11" t="n">
        <v>1.3</v>
      </c>
      <c r="F6" s="11" t="n">
        <v>8</v>
      </c>
    </row>
    <row r="7">
      <c r="A7" s="10" t="inlineStr">
        <is>
          <t>HEAT/HOT WATER</t>
        </is>
      </c>
      <c r="B7" s="10" t="n">
        <v>651594</v>
      </c>
      <c r="C7" s="13" t="n">
        <v>8.66</v>
      </c>
      <c r="D7" s="11" t="n">
        <v>97.5</v>
      </c>
      <c r="E7" s="11" t="n">
        <v>41.8</v>
      </c>
      <c r="F7" s="11" t="n">
        <v>84.09999999999999</v>
      </c>
    </row>
    <row r="8">
      <c r="A8" s="10" t="inlineStr">
        <is>
          <t>Blocked Driveway</t>
        </is>
      </c>
      <c r="B8" s="10" t="n">
        <v>362642</v>
      </c>
      <c r="C8" s="13" t="n">
        <v>4.82</v>
      </c>
      <c r="D8" s="11" t="n">
        <v>100</v>
      </c>
      <c r="E8" s="11" t="n">
        <v>1.8</v>
      </c>
      <c r="F8" s="11" t="n">
        <v>7.9</v>
      </c>
    </row>
    <row r="9">
      <c r="A9" s="7" t="inlineStr">
        <is>
          <t>Noise - Street/Sidewalk</t>
        </is>
      </c>
      <c r="B9" s="10" t="n">
        <v>349299</v>
      </c>
      <c r="C9" s="13" t="n">
        <v>4.64</v>
      </c>
      <c r="D9" s="11" t="n">
        <v>99.90000000000001</v>
      </c>
      <c r="E9" s="11" t="n">
        <v>1</v>
      </c>
      <c r="F9" s="11" t="n">
        <v>4.6</v>
      </c>
    </row>
    <row r="10">
      <c r="A10" s="7" t="inlineStr">
        <is>
          <t>UNSANITARY CONDITION</t>
        </is>
      </c>
      <c r="B10" s="10" t="n">
        <v>249446</v>
      </c>
      <c r="C10" s="13" t="n">
        <v>3.31</v>
      </c>
      <c r="D10" s="11" t="n">
        <v>95.3</v>
      </c>
      <c r="E10" s="11" t="n">
        <v>250.3</v>
      </c>
      <c r="F10" s="11" t="n">
        <v>1489.9</v>
      </c>
    </row>
    <row r="11">
      <c r="A11" s="10" t="inlineStr">
        <is>
          <t>Street Condition</t>
        </is>
      </c>
      <c r="B11" s="10" t="n">
        <v>187668</v>
      </c>
      <c r="C11" s="13" t="n">
        <v>2.49</v>
      </c>
      <c r="D11" s="11" t="n">
        <v>93.59999999999999</v>
      </c>
      <c r="E11" s="11" t="n">
        <v>26.9</v>
      </c>
      <c r="F11" s="11" t="n">
        <v>218.1</v>
      </c>
    </row>
    <row r="12">
      <c r="A12" s="10" t="inlineStr">
        <is>
          <t>Water System</t>
        </is>
      </c>
      <c r="B12" s="10" t="n">
        <v>152736</v>
      </c>
      <c r="C12" s="13" t="n">
        <v>2.03</v>
      </c>
      <c r="D12" s="11" t="n">
        <v>98.40000000000001</v>
      </c>
      <c r="E12" s="11" t="n">
        <v>4.7</v>
      </c>
      <c r="F12" s="11" t="n">
        <v>245.2</v>
      </c>
    </row>
    <row r="13">
      <c r="A13" s="10" t="inlineStr">
        <is>
          <t>PLUMBING</t>
        </is>
      </c>
      <c r="B13" s="10" t="n">
        <v>150696</v>
      </c>
      <c r="C13" s="13" t="n">
        <v>2</v>
      </c>
      <c r="D13" s="11" t="n">
        <v>95.7</v>
      </c>
      <c r="E13" s="11" t="n">
        <v>193.6</v>
      </c>
      <c r="F13" s="11" t="n">
        <v>1489.3</v>
      </c>
    </row>
    <row r="14">
      <c r="A14" s="10" t="inlineStr">
        <is>
          <t>Abandoned Vehicle</t>
        </is>
      </c>
      <c r="B14" s="10" t="n">
        <v>139896</v>
      </c>
      <c r="C14" s="13" t="n">
        <v>1.86</v>
      </c>
      <c r="D14" s="11" t="n">
        <v>100</v>
      </c>
      <c r="E14" s="11" t="n">
        <v>2.2</v>
      </c>
      <c r="F14" s="11" t="n">
        <v>10.4</v>
      </c>
    </row>
    <row r="15">
      <c r="A15" s="10" t="inlineStr">
        <is>
          <t>Dirty Condition</t>
        </is>
      </c>
      <c r="B15" s="10" t="n">
        <v>129570</v>
      </c>
      <c r="C15" s="13" t="n">
        <v>1.72</v>
      </c>
      <c r="D15" s="11" t="n">
        <v>97.8</v>
      </c>
      <c r="E15" s="11" t="n">
        <v>23.2</v>
      </c>
      <c r="F15" s="11" t="n">
        <v>78.59999999999999</v>
      </c>
    </row>
    <row r="16">
      <c r="A16" s="10" t="inlineStr">
        <is>
          <t>Noise - Commercial</t>
        </is>
      </c>
      <c r="B16" s="10" t="n">
        <v>126247</v>
      </c>
      <c r="C16" s="13" t="n">
        <v>1.68</v>
      </c>
      <c r="D16" s="11" t="n">
        <v>100</v>
      </c>
      <c r="E16" s="11" t="n">
        <v>0.9</v>
      </c>
      <c r="F16" s="11" t="n">
        <v>4.1</v>
      </c>
    </row>
    <row r="17">
      <c r="A17" s="10" t="inlineStr">
        <is>
          <t>PAINT/PLASTER</t>
        </is>
      </c>
      <c r="B17" s="10" t="n">
        <v>125565</v>
      </c>
      <c r="C17" s="13" t="n">
        <v>1.67</v>
      </c>
      <c r="D17" s="11" t="n">
        <v>96.8</v>
      </c>
      <c r="E17" s="11" t="n">
        <v>174.4</v>
      </c>
      <c r="F17" s="11" t="n">
        <v>1208.7</v>
      </c>
    </row>
    <row r="18">
      <c r="A18" s="10" t="inlineStr">
        <is>
          <t>Noise</t>
        </is>
      </c>
      <c r="B18" s="10" t="n">
        <v>114654</v>
      </c>
      <c r="C18" s="13" t="n">
        <v>1.52</v>
      </c>
      <c r="D18" s="11" t="n">
        <v>99.5</v>
      </c>
      <c r="E18" s="11" t="n">
        <v>67.8</v>
      </c>
      <c r="F18" s="11" t="n">
        <v>231</v>
      </c>
    </row>
    <row r="19">
      <c r="A19" s="7" t="inlineStr">
        <is>
          <t>Traffic Signal Condition</t>
        </is>
      </c>
      <c r="B19" s="10" t="n">
        <v>104791</v>
      </c>
      <c r="C19" s="13" t="n">
        <v>1.39</v>
      </c>
      <c r="D19" s="11" t="n">
        <v>99.8</v>
      </c>
      <c r="E19" s="11" t="n">
        <v>2.2</v>
      </c>
      <c r="F19" s="11" t="n">
        <v>47.4</v>
      </c>
    </row>
    <row r="20">
      <c r="A20" s="10" t="inlineStr">
        <is>
          <t>DOOR/WINDOW</t>
        </is>
      </c>
      <c r="B20" s="10" t="n">
        <v>96879</v>
      </c>
      <c r="C20" s="13" t="n">
        <v>1.29</v>
      </c>
      <c r="D20" s="11" t="n">
        <v>95.7</v>
      </c>
      <c r="E20" s="11" t="n">
        <v>290.8</v>
      </c>
      <c r="F20" s="11" t="n">
        <v>1781.5</v>
      </c>
    </row>
    <row r="21">
      <c r="A21" s="10" t="inlineStr">
        <is>
          <t>Encampment</t>
        </is>
      </c>
      <c r="B21" s="10" t="n">
        <v>96164</v>
      </c>
      <c r="C21" s="13" t="n">
        <v>1.28</v>
      </c>
      <c r="D21" s="11" t="n">
        <v>97.90000000000001</v>
      </c>
      <c r="E21" s="11" t="n">
        <v>1.9</v>
      </c>
      <c r="F21" s="11" t="n">
        <v>173.7</v>
      </c>
    </row>
    <row r="22">
      <c r="A22" s="10" t="inlineStr">
        <is>
          <t>Noise - Vehicle</t>
        </is>
      </c>
      <c r="B22" s="10" t="n">
        <v>92971</v>
      </c>
      <c r="C22" s="13" t="n">
        <v>1.24</v>
      </c>
      <c r="D22" s="11" t="n">
        <v>100</v>
      </c>
      <c r="E22" s="11" t="n">
        <v>1</v>
      </c>
      <c r="F22" s="11" t="n">
        <v>4.8</v>
      </c>
    </row>
    <row r="23">
      <c r="A23" s="10" t="inlineStr">
        <is>
          <t>WATER LEAK</t>
        </is>
      </c>
      <c r="B23" s="10" t="n">
        <v>83895</v>
      </c>
      <c r="C23" s="13" t="n">
        <v>1.11</v>
      </c>
      <c r="D23" s="11" t="n">
        <v>95.5</v>
      </c>
      <c r="E23" s="11" t="n">
        <v>246.9</v>
      </c>
      <c r="F23" s="11" t="n">
        <v>1734.3</v>
      </c>
    </row>
    <row r="24">
      <c r="A24" s="10" t="inlineStr">
        <is>
          <t>Derelict Vehicles</t>
        </is>
      </c>
      <c r="B24" s="10" t="n">
        <v>82540</v>
      </c>
      <c r="C24" s="13" t="n">
        <v>1.1</v>
      </c>
      <c r="D24" s="11" t="n">
        <v>99.90000000000001</v>
      </c>
      <c r="E24" s="11" t="n">
        <v>21</v>
      </c>
      <c r="F24" s="11" t="n">
        <v>68.2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2026-09-17T03:47:36Z</dcterms:created>
  <dcterms:modified xmlns:dcterms="http://purl.org/dc/terms/" xmlns:xsi="http://www.w3.org/2001/XMLSchema-instance" xsi:type="dcterms:W3CDTF">2026-09-17T03:47:36Z</dcterms:modified>
</cp:coreProperties>
</file>