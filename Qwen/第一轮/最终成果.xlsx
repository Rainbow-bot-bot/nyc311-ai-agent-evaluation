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概况" sheetId="1" state="visible" r:id="rId1"/>
    <sheet xmlns:r="http://schemas.openxmlformats.org/officeDocument/2006/relationships" name="核心发现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类型TOP与同比" sheetId="4" state="visible" r:id="rId4"/>
    <sheet xmlns:r="http://schemas.openxmlformats.org/officeDocument/2006/relationships" name="行政区" sheetId="5" state="visible" r:id="rId5"/>
    <sheet xmlns:r="http://schemas.openxmlformats.org/officeDocument/2006/relationships" name="响应与处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  <sz val="9"/>
    </font>
    <font>
      <b val="1"/>
      <color rgb="001F4E79"/>
      <sz val="12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0" applyAlignment="1" pivotButton="0" quotePrefix="0" xfId="0">
      <alignment vertical="top" wrapText="1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311 月度记录量（2024-09 ~ 2026-09）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'月度趋势'!$B$5:$B$29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记录数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天气相关类型走势（HEAT/HOT WATER、Snow or Ice、Street Condition、坑洞）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'月度趋势'!$B$33:$B$57</f>
            </numRef>
          </val>
        </ser>
        <ser>
          <idx val="1"/>
          <order val="1"/>
          <tx>
            <strRef>
              <f>'月度趋势'!C32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'月度趋势'!$C$33:$C$57</f>
            </numRef>
          </val>
        </ser>
        <ser>
          <idx val="2"/>
          <order val="2"/>
          <tx>
            <strRef>
              <f>'月度趋势'!D32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'月度趋势'!$D$33:$D$57</f>
            </numRef>
          </val>
        </ser>
        <ser>
          <idx val="3"/>
          <order val="3"/>
          <tx>
            <strRef>
              <f>'月度趋势'!I32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'月度趋势'!$I$33:$I$57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结构性变化类型（Drug Activity、Noise - Helicopter）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'月度趋势'!G32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'月度趋势'!$G$33:$G$57</f>
            </numRef>
          </val>
        </ser>
        <ser>
          <idx val="1"/>
          <order val="1"/>
          <tx>
            <strRef>
              <f>'月度趋势'!H32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'月度趋势'!$A$33:$A$57</f>
            </numRef>
          </cat>
          <val>
            <numRef>
              <f>'月度趋势'!$H$33:$H$57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TOP20 投诉类型（记录数）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'类型TOP与同比'!C4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'类型TOP与同比'!$A$5:$A$24</f>
            </numRef>
          </cat>
          <val>
            <numRef>
              <f>'类型TOP与同比'!$C$5:$C$24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同比变化率%（升TOP15 / 降TOP15）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'类型TOP与同比'!E27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'类型TOP与同比'!$A$28:$A$42</f>
            </numRef>
          </cat>
          <val>
            <numRef>
              <f>'类型TOP与同比'!$E$28:$E$42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'类型TOP与同比'!E45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'类型TOP与同比'!$A$46:$A$60</f>
            </numRef>
          </cat>
          <val>
            <numRef>
              <f>'类型TOP与同比'!$E$46:$E$60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各行政区记录数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'行政区'!B4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'行政区'!$A$5:$A$10</f>
            </numRef>
          </cat>
          <val>
            <numRef>
              <f>'行政区'!$B$5:$B$10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违停投诉行政区占比</a:t>
            </a:r>
          </a:p>
        </rich>
      </tx>
    </title>
    <plotArea>
      <pieChart>
        <varyColors val="1"/>
        <ser>
          <idx val="0"/>
          <order val="0"/>
          <tx>
            <strRef>
              <f>'行政区'!B22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'行政区'!$A$23:$A$28</f>
            </numRef>
          </cat>
          <val>
            <numRef>
              <f>'行政区'!$B$23:$B$28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中位关闭时长（小时，对数量级差异大请结合P90看）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'响应与处置'!C4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'响应与处置'!$A$5:$A$37</f>
            </numRef>
          </cat>
          <val>
            <numRef>
              <f>'响应与处置'!$C$5:$C$37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违停处置结构</a:t>
            </a:r>
          </a:p>
        </rich>
      </tx>
    </title>
    <plotArea>
      <pieChart>
        <varyColors val="1"/>
        <ser>
          <idx val="0"/>
          <order val="0"/>
          <tx>
            <strRef>
              <f>'响应与处置'!B40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'响应与处置'!$A$41:$A$47</f>
            </numRef>
          </cat>
          <val>
            <numRef>
              <f>'响应与处置'!$B$41:$B$47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供暖投诉：2024-25季 vs 2025-26季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'响应与处置'!B50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'响应与处置'!$A$51:$A$56</f>
            </numRef>
          </cat>
          <val>
            <numRef>
              <f>'响应与处置'!$B$51:$B$56</f>
            </numRef>
          </val>
        </ser>
        <ser>
          <idx val="1"/>
          <order val="1"/>
          <tx>
            <strRef>
              <f>'响应与处置'!C50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'响应与处置'!$A$51:$A$56</f>
            </numRef>
          </cat>
          <val>
            <numRef>
              <f>'响应与处置'!$C$51:$C$56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31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76</row>
      <rowOff>0</rowOff>
    </from>
    <ext cx="93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792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39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49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2" customWidth="1" min="4" max="4"/>
  </cols>
  <sheetData>
    <row r="1">
      <c r="A1" s="1" t="inlineStr">
        <is>
          <t>NYC 311 服务请求分析看板（2024-09 至 2026-09）</t>
        </is>
      </c>
    </row>
    <row r="2">
      <c r="A2" s="2" t="inlineStr">
        <is>
          <t>数据来源：D:\项目1\原始数据（25 个按月切分的 Parquet 分片，只读）｜生成日期：2026-09-16｜分析：Qwen</t>
        </is>
      </c>
    </row>
    <row r="4">
      <c r="A4" s="3" t="inlineStr">
        <is>
          <t>一、数据规模与范围</t>
        </is>
      </c>
    </row>
    <row r="5">
      <c r="A5" s="4" t="inlineStr">
        <is>
          <t>项目</t>
        </is>
      </c>
      <c r="B5" s="4" t="inlineStr">
        <is>
          <t>值</t>
        </is>
      </c>
    </row>
    <row r="6">
      <c r="A6" s="5" t="inlineStr">
        <is>
          <t>总记录数</t>
        </is>
      </c>
      <c r="B6" s="5" t="n">
        <v>7525498</v>
      </c>
    </row>
    <row r="7">
      <c r="A7" s="5" t="inlineStr">
        <is>
          <t>唯一键数</t>
        </is>
      </c>
      <c r="B7" s="5" t="n">
        <v>7525498</v>
      </c>
    </row>
    <row r="8">
      <c r="A8" s="5" t="inlineStr">
        <is>
          <t>最早创建时间</t>
        </is>
      </c>
      <c r="B8" s="5" t="inlineStr">
        <is>
          <t>2024-09-07</t>
        </is>
      </c>
    </row>
    <row r="9">
      <c r="A9" s="5" t="inlineStr">
        <is>
          <t>最晚创建时间</t>
        </is>
      </c>
      <c r="B9" s="5" t="inlineStr">
        <is>
          <t>2026-09-05 01:50:33</t>
        </is>
      </c>
    </row>
    <row r="10">
      <c r="A10" s="5" t="inlineStr">
        <is>
          <t>投诉类型数</t>
        </is>
      </c>
      <c r="B10" s="5" t="n">
        <v>205</v>
      </c>
    </row>
    <row r="11">
      <c r="A11" s="5" t="inlineStr">
        <is>
          <t>行政区数</t>
        </is>
      </c>
      <c r="B11" s="5" t="n">
        <v>6</v>
      </c>
    </row>
    <row r="12">
      <c r="A12" s="2" t="inlineStr">
        <is>
          <t>说明：每行 = 一条 311 服务请求记录（unique_key 全表唯一，无重复）。首尾月份（2024-09、2026-09）为不完整月，同比等对比均使用完整月窗口。</t>
        </is>
      </c>
    </row>
    <row r="14">
      <c r="A14" s="3" t="inlineStr">
        <is>
          <t>二、关键字段缺失率</t>
        </is>
      </c>
    </row>
    <row r="15">
      <c r="A15" s="4" t="inlineStr">
        <is>
          <t>字段</t>
        </is>
      </c>
      <c r="B15" s="4" t="inlineStr">
        <is>
          <t>缺失率pct</t>
        </is>
      </c>
    </row>
    <row r="16">
      <c r="A16" s="5" t="inlineStr">
        <is>
          <t>closed_date(关闭时间)</t>
        </is>
      </c>
      <c r="B16" s="5" t="n">
        <v>3.19</v>
      </c>
    </row>
    <row r="17">
      <c r="A17" s="5" t="inlineStr">
        <is>
          <t>descriptor(细分描述)</t>
        </is>
      </c>
      <c r="B17" s="5" t="n">
        <v>0.29</v>
      </c>
    </row>
    <row r="18">
      <c r="A18" s="5" t="inlineStr">
        <is>
          <t>location_type(位置类型)</t>
        </is>
      </c>
      <c r="B18" s="5" t="n">
        <v>12.29</v>
      </c>
    </row>
    <row r="19">
      <c r="A19" s="5" t="inlineStr">
        <is>
          <t>incident_zip(邮编)</t>
        </is>
      </c>
      <c r="B19" s="5" t="n">
        <v>0.87</v>
      </c>
    </row>
    <row r="20">
      <c r="A20" s="5" t="inlineStr">
        <is>
          <t>city(城市)</t>
        </is>
      </c>
      <c r="B20" s="5" t="n">
        <v>4.72</v>
      </c>
    </row>
    <row r="21">
      <c r="A21" s="5" t="inlineStr">
        <is>
          <t>due_date(截止时间)</t>
        </is>
      </c>
      <c r="B21" s="5" t="n">
        <v>99.56</v>
      </c>
    </row>
    <row r="22">
      <c r="A22" s="5" t="inlineStr">
        <is>
          <t>latitude(纬度)</t>
        </is>
      </c>
      <c r="B22" s="5" t="n">
        <v>1.72</v>
      </c>
    </row>
    <row r="23">
      <c r="A23" s="2" t="inlineStr">
        <is>
          <t>缺失影响：closed_date 缺失 3.19% 即未关闭工单（响应时长分析剔除）；due_date 缺失 99.6% 基本不可用；其余关键字段完整。</t>
        </is>
      </c>
    </row>
    <row r="25">
      <c r="A25" s="3" t="inlineStr">
        <is>
          <t>三、工单状态分布</t>
        </is>
      </c>
    </row>
    <row r="26">
      <c r="A26" s="4" t="inlineStr">
        <is>
          <t>状态</t>
        </is>
      </c>
      <c r="B26" s="4" t="inlineStr">
        <is>
          <t>记录数</t>
        </is>
      </c>
      <c r="C26" s="4" t="inlineStr">
        <is>
          <t>占比pct</t>
        </is>
      </c>
    </row>
    <row r="27">
      <c r="A27" s="5" t="inlineStr">
        <is>
          <t>Closed</t>
        </is>
      </c>
      <c r="B27" s="5" t="n">
        <v>7275349</v>
      </c>
      <c r="C27" s="5" t="n">
        <v>96.68000000000001</v>
      </c>
    </row>
    <row r="28">
      <c r="A28" s="5" t="inlineStr">
        <is>
          <t>In Progress</t>
        </is>
      </c>
      <c r="B28" s="5" t="n">
        <v>140752</v>
      </c>
      <c r="C28" s="5" t="n">
        <v>1.87</v>
      </c>
    </row>
    <row r="29">
      <c r="A29" s="5" t="inlineStr">
        <is>
          <t>Open</t>
        </is>
      </c>
      <c r="B29" s="5" t="n">
        <v>81247</v>
      </c>
      <c r="C29" s="5" t="n">
        <v>1.08</v>
      </c>
    </row>
    <row r="30">
      <c r="A30" s="5" t="inlineStr">
        <is>
          <t>Assigned</t>
        </is>
      </c>
      <c r="B30" s="5" t="n">
        <v>15753</v>
      </c>
      <c r="C30" s="5" t="n">
        <v>0.21</v>
      </c>
    </row>
    <row r="31">
      <c r="A31" s="5" t="inlineStr">
        <is>
          <t>Pending</t>
        </is>
      </c>
      <c r="B31" s="5" t="n">
        <v>9475</v>
      </c>
      <c r="C31" s="5" t="n">
        <v>0.13</v>
      </c>
    </row>
    <row r="32">
      <c r="A32" s="5" t="inlineStr">
        <is>
          <t>Started</t>
        </is>
      </c>
      <c r="B32" s="5" t="n">
        <v>2620</v>
      </c>
      <c r="C32" s="5" t="n">
        <v>0.03</v>
      </c>
    </row>
    <row r="33">
      <c r="A33" s="5" t="inlineStr">
        <is>
          <t>Unspecified</t>
        </is>
      </c>
      <c r="B33" s="5" t="n">
        <v>302</v>
      </c>
      <c r="C33" s="5" t="n">
        <v>0</v>
      </c>
    </row>
    <row r="35">
      <c r="A35" s="3" t="inlineStr">
        <is>
          <t>四、受理渠道分布</t>
        </is>
      </c>
    </row>
    <row r="36">
      <c r="A36" s="4" t="inlineStr">
        <is>
          <t>渠道</t>
        </is>
      </c>
      <c r="B36" s="4" t="inlineStr">
        <is>
          <t>记录数</t>
        </is>
      </c>
      <c r="C36" s="4" t="inlineStr">
        <is>
          <t>占比pct</t>
        </is>
      </c>
    </row>
    <row r="37">
      <c r="A37" s="5" t="inlineStr">
        <is>
          <t>ONLINE</t>
        </is>
      </c>
      <c r="B37" s="5" t="n">
        <v>3332605</v>
      </c>
      <c r="C37" s="5" t="n">
        <v>44.28</v>
      </c>
    </row>
    <row r="38">
      <c r="A38" s="5" t="inlineStr">
        <is>
          <t>PHONE</t>
        </is>
      </c>
      <c r="B38" s="5" t="n">
        <v>1933637</v>
      </c>
      <c r="C38" s="5" t="n">
        <v>25.69</v>
      </c>
    </row>
    <row r="39">
      <c r="A39" s="5" t="inlineStr">
        <is>
          <t>MOBILE</t>
        </is>
      </c>
      <c r="B39" s="5" t="n">
        <v>1666474</v>
      </c>
      <c r="C39" s="5" t="n">
        <v>22.14</v>
      </c>
    </row>
    <row r="40">
      <c r="A40" s="5" t="inlineStr">
        <is>
          <t>UNKNOWN</t>
        </is>
      </c>
      <c r="B40" s="5" t="n">
        <v>590822</v>
      </c>
      <c r="C40" s="5" t="n">
        <v>7.85</v>
      </c>
    </row>
    <row r="41">
      <c r="A41" s="5" t="inlineStr">
        <is>
          <t>OTHER</t>
        </is>
      </c>
      <c r="B41" s="5" t="n">
        <v>1960</v>
      </c>
      <c r="C41" s="5" t="n">
        <v>0.03</v>
      </c>
    </row>
    <row r="43">
      <c r="A43" s="3" t="inlineStr">
        <is>
          <t>五、承办机构 TOP12</t>
        </is>
      </c>
    </row>
    <row r="44">
      <c r="A44" s="4" t="inlineStr">
        <is>
          <t>机构代码</t>
        </is>
      </c>
      <c r="B44" s="4" t="inlineStr">
        <is>
          <t>机构名称</t>
        </is>
      </c>
      <c r="C44" s="4" t="inlineStr">
        <is>
          <t>记录数</t>
        </is>
      </c>
      <c r="D44" s="4" t="inlineStr">
        <is>
          <t>占比pct</t>
        </is>
      </c>
    </row>
    <row r="45">
      <c r="A45" s="5" t="inlineStr">
        <is>
          <t>NYPD</t>
        </is>
      </c>
      <c r="B45" s="5" t="inlineStr">
        <is>
          <t>New York City Police Department</t>
        </is>
      </c>
      <c r="C45" s="5" t="n">
        <v>3403951</v>
      </c>
      <c r="D45" s="5" t="n">
        <v>45.23</v>
      </c>
    </row>
    <row r="46">
      <c r="A46" s="5" t="inlineStr">
        <is>
          <t>HPD</t>
        </is>
      </c>
      <c r="B46" s="5" t="inlineStr">
        <is>
          <t>Department of Housing Preservation and Development</t>
        </is>
      </c>
      <c r="C46" s="5" t="n">
        <v>1633583</v>
      </c>
      <c r="D46" s="5" t="n">
        <v>21.71</v>
      </c>
    </row>
    <row r="47">
      <c r="A47" s="5" t="inlineStr">
        <is>
          <t>DSNY</t>
        </is>
      </c>
      <c r="B47" s="5" t="inlineStr">
        <is>
          <t>Department of Sanitation</t>
        </is>
      </c>
      <c r="C47" s="5" t="n">
        <v>686438</v>
      </c>
      <c r="D47" s="5" t="n">
        <v>9.119999999999999</v>
      </c>
    </row>
    <row r="48">
      <c r="A48" s="5" t="inlineStr">
        <is>
          <t>DOT</t>
        </is>
      </c>
      <c r="B48" s="5" t="inlineStr">
        <is>
          <t>Department of Transportation</t>
        </is>
      </c>
      <c r="C48" s="5" t="n">
        <v>485140</v>
      </c>
      <c r="D48" s="5" t="n">
        <v>6.45</v>
      </c>
    </row>
    <row r="49">
      <c r="A49" s="5" t="inlineStr">
        <is>
          <t>DEP</t>
        </is>
      </c>
      <c r="B49" s="5" t="inlineStr">
        <is>
          <t>Department of Environmental Protection</t>
        </is>
      </c>
      <c r="C49" s="5" t="n">
        <v>424101</v>
      </c>
      <c r="D49" s="5" t="n">
        <v>5.64</v>
      </c>
    </row>
    <row r="50">
      <c r="A50" s="5" t="inlineStr">
        <is>
          <t>DPR</t>
        </is>
      </c>
      <c r="B50" s="5" t="inlineStr">
        <is>
          <t>Department of Parks and Recreation</t>
        </is>
      </c>
      <c r="C50" s="5" t="n">
        <v>244023</v>
      </c>
      <c r="D50" s="5" t="n">
        <v>3.24</v>
      </c>
    </row>
    <row r="51">
      <c r="A51" s="5" t="inlineStr">
        <is>
          <t>DOB</t>
        </is>
      </c>
      <c r="B51" s="5" t="inlineStr">
        <is>
          <t>Department of Buildings</t>
        </is>
      </c>
      <c r="C51" s="5" t="n">
        <v>218945</v>
      </c>
      <c r="D51" s="5" t="n">
        <v>2.91</v>
      </c>
    </row>
    <row r="52">
      <c r="A52" s="5" t="inlineStr">
        <is>
          <t>DOHMH</t>
        </is>
      </c>
      <c r="B52" s="5" t="inlineStr">
        <is>
          <t>Department of Health and Mental Hygiene</t>
        </is>
      </c>
      <c r="C52" s="5" t="n">
        <v>169118</v>
      </c>
      <c r="D52" s="5" t="n">
        <v>2.25</v>
      </c>
    </row>
    <row r="53">
      <c r="A53" s="5" t="inlineStr">
        <is>
          <t>DHS</t>
        </is>
      </c>
      <c r="B53" s="5" t="inlineStr">
        <is>
          <t>Department of Homeless Services</t>
        </is>
      </c>
      <c r="C53" s="5" t="n">
        <v>101425</v>
      </c>
      <c r="D53" s="5" t="n">
        <v>1.35</v>
      </c>
    </row>
    <row r="54">
      <c r="A54" s="5" t="inlineStr">
        <is>
          <t>TLC</t>
        </is>
      </c>
      <c r="B54" s="5" t="inlineStr">
        <is>
          <t>Taxi and Limousine Commission</t>
        </is>
      </c>
      <c r="C54" s="5" t="n">
        <v>75453</v>
      </c>
      <c r="D54" s="5" t="n">
        <v>1</v>
      </c>
    </row>
    <row r="55">
      <c r="A55" s="5" t="inlineStr">
        <is>
          <t>DCWP</t>
        </is>
      </c>
      <c r="B55" s="5" t="inlineStr">
        <is>
          <t>Department of Consumer and Worker Protection</t>
        </is>
      </c>
      <c r="C55" s="5" t="n">
        <v>38580</v>
      </c>
      <c r="D55" s="5" t="n">
        <v>0.51</v>
      </c>
    </row>
    <row r="56">
      <c r="A56" s="5" t="inlineStr">
        <is>
          <t>EDC</t>
        </is>
      </c>
      <c r="B56" s="5" t="inlineStr">
        <is>
          <t>Economic Development Corporation</t>
        </is>
      </c>
      <c r="C56" s="5" t="n">
        <v>36776</v>
      </c>
      <c r="D56" s="5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五项核心发现（证据详见后续各表）</t>
        </is>
      </c>
    </row>
    <row r="3">
      <c r="A3" s="3" t="inlineStr">
        <is>
          <t>发现1｜2025-26 年是明显的严冬：三类连锁反应同时出现</t>
        </is>
      </c>
    </row>
    <row r="4" ht="32" customHeight="1">
      <c r="A4" s="6" t="inlineStr">
        <is>
          <t>• Snow or Ice（积雪/结冰）投诉：2024-12~2025-02 共 8,794 条 → 2025-12~2026-02 共 63,722 条，约 7.2 倍。</t>
        </is>
      </c>
    </row>
    <row r="5" ht="32" customHeight="1">
      <c r="A5" s="6" t="inlineStr">
        <is>
          <t>• HEAT/HOT WATER（供暖/热水）投诉：供暖季（10月~次年3月）256,140 → 312,448 条，+22.0%；布朗克斯区最多（10.8万条）。</t>
        </is>
      </c>
    </row>
    <row r="6" ht="32" customHeight="1">
      <c r="A6" s="6" t="inlineStr">
        <is>
          <t>• 坑洞（Pothole）投诉：2026-03 单月 22,790 条，是 2025-03（4,313 条）的 5.3 倍；此后 4~8 月仍维持 4,300~11,400 条/月，高于往年基线（约1,700~4,300）。</t>
        </is>
      </c>
    </row>
    <row r="7" ht="16" customHeight="1">
      <c r="A7" s="6" t="inlineStr">
        <is>
          <t>• 解读：三者时间与量级相互印证（融雪冻融→路面破损、低温→供暖故障），属于天气驱动的关联现象，非因果链的全部证据。</t>
        </is>
      </c>
    </row>
    <row r="9">
      <c r="A9" s="3" t="inlineStr">
        <is>
          <t>发现2｜违停投诉是全市第一大类，但约 2/3 到场后未采取执法行动</t>
        </is>
      </c>
    </row>
    <row r="10" ht="32" customHeight="1">
      <c r="A10" s="6" t="inlineStr">
        <is>
          <t>• Illegal Parking（违章停车）两年共 1,159,053 条，占全部记录 15.4%，全部由 NYPD 承办。</t>
        </is>
      </c>
    </row>
    <row r="11" ht="32" customHeight="1">
      <c r="A11" s="6" t="inlineStr">
        <is>
          <t>• 处置结构：到场未见违规 34.1%、开具传票 22.5%、判定无需警察行动 16.2%、到场时车辆已离开 13.5%、到场采取行动 11.4%。</t>
        </is>
      </c>
    </row>
    <row r="12" ht="16" customHeight="1">
      <c r="A12" s="6" t="inlineStr">
        <is>
          <t>• 布区分布高度集中：布鲁克林 39.4% + 皇后区 31.2%，两区合计约 70.6%。</t>
        </is>
      </c>
    </row>
    <row r="13" ht="16" customHeight="1">
      <c r="A13" s="6" t="inlineStr">
        <is>
          <t>• 注意：这里的百分比是『记录数』口径；同一辆车/同一地点可能产生多条记录。</t>
        </is>
      </c>
    </row>
    <row r="15">
      <c r="A15" s="3" t="inlineStr">
        <is>
          <t>发现3｜Drug Activity（涉毒活动）投诉自 2025-11 起骤降约七成，疑似受理口径变化</t>
        </is>
      </c>
    </row>
    <row r="16" ht="32" customHeight="1">
      <c r="A16" s="6" t="inlineStr">
        <is>
          <t>• 月量走势：2024-09~2025-06 基线约 1,500~2,500 条/月；2025-07~08 冲高至约 6,000 条/月；2025-11 起跌至 520~1,150 条/月。</t>
        </is>
      </c>
    </row>
    <row r="17" ht="32" customHeight="1">
      <c r="A17" s="6" t="inlineStr">
        <is>
          <t>• 同比（2024-10~2025-08 vs 2025-10~2026-08）：27,869 → 8,955 条，-67.9%，为全部主要类型中降幅最大。</t>
        </is>
      </c>
    </row>
    <row r="18" ht="32" customHeight="1">
      <c r="A18" s="6" t="inlineStr">
        <is>
          <t>• 细分描述仍为 Use Outside / Use Indoor，结构未变，故更像受理/派发流程调整而非现实事件消失；数据本身无法区分这两种解释。</t>
        </is>
      </c>
    </row>
    <row r="20">
      <c r="A20" s="3" t="inlineStr">
        <is>
          <t>发现4｜直升机噪音投诉自 2026-06 起骤降约八成</t>
        </is>
      </c>
    </row>
    <row r="21" ht="32" customHeight="1">
      <c r="A21" s="6" t="inlineStr">
        <is>
          <t>• 月量走势：2024-09~2026-05 稳定在约 1,000~2,850 条/月；2026-06 起降至 525、296、229 条/月（6、7、8月）。</t>
        </is>
      </c>
    </row>
    <row r="22" ht="16" customHeight="1">
      <c r="A22" s="6" t="inlineStr">
        <is>
          <t>• 降幅集中在『Other』描述项；NYPD/News Gathering 等描述本就量小。</t>
        </is>
      </c>
    </row>
    <row r="23" ht="16" customHeight="1">
      <c r="A23" s="6" t="inlineStr">
        <is>
          <t>• 推断（未验证）：可能与 2026 年年中直升机航线的管制/政策变化有关，数据内无法证实。</t>
        </is>
      </c>
    </row>
    <row r="25">
      <c r="A25" s="3" t="inlineStr">
        <is>
          <t>发现5｜响应时长呈两个世界：调度型约 1~2 小时，维修型以周计</t>
        </is>
      </c>
    </row>
    <row r="26" ht="32" customHeight="1">
      <c r="A26" s="6" t="inlineStr">
        <is>
          <t>• NYPD/噪音/违停类（调度型）：中位 0.4~2.2 小时关闭——快是因为按『到场处置』即关闭，不代表问题已解决（见发现2）。</t>
        </is>
      </c>
    </row>
    <row r="27" ht="32" customHeight="1">
      <c r="A27" s="6" t="inlineStr">
        <is>
          <t>• HPD 房屋维修类：HEAT/HOT WATER 中位 41.8 小时，PLUMBING 190 小时，DOOR/WINDOW 288 小时，UNSANITARY CONDITION 250 小时。</t>
        </is>
      </c>
    </row>
    <row r="28" ht="16" customHeight="1">
      <c r="A28" s="6" t="inlineStr">
        <is>
          <t>• P90 尾部很长：PLUMBING、WATER LEAK 等维修类 P90 超过 1,300 小时（约 55 天）。</t>
        </is>
      </c>
    </row>
    <row r="29" ht="16" customHeight="1">
      <c r="A29" s="6" t="inlineStr">
        <is>
          <t>• 口径：仅统计已关闭且 closed≥created 的记录（约 727 万条，负时长异常仅 1,488 条已剔除）。</t>
        </is>
      </c>
    </row>
    <row r="31">
      <c r="A31" s="2" t="inlineStr">
        <is>
          <t>总体背景：两年 752.5 万条记录，月均约 31 万条；NYPD 承办 45.2%（噪音+违停为主），HPD 承办 21.7%（房屋维修类）。渠道以 ONLINE(44.3%)、PHONE(25.7%)、MOBILE(22.1%) 为主。</t>
        </is>
      </c>
    </row>
  </sheetData>
  <mergeCells count="18">
    <mergeCell ref="A12:H12"/>
    <mergeCell ref="A4:H4"/>
    <mergeCell ref="A18:H18"/>
    <mergeCell ref="A26:H26"/>
    <mergeCell ref="A21:H21"/>
    <mergeCell ref="A29:H29"/>
    <mergeCell ref="A7:H7"/>
    <mergeCell ref="A16:H16"/>
    <mergeCell ref="A10:H10"/>
    <mergeCell ref="A28:H28"/>
    <mergeCell ref="A13:H13"/>
    <mergeCell ref="A11:H11"/>
    <mergeCell ref="A5:H5"/>
    <mergeCell ref="A23:H23"/>
    <mergeCell ref="A27:H27"/>
    <mergeCell ref="A6:H6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月度记录量与关键类型走势</t>
        </is>
      </c>
    </row>
    <row r="3">
      <c r="A3" s="3" t="inlineStr">
        <is>
          <t>全部记录：月度总量</t>
        </is>
      </c>
    </row>
    <row r="4">
      <c r="A4" s="4" t="inlineStr">
        <is>
          <t>月份</t>
        </is>
      </c>
      <c r="B4" s="4" t="inlineStr">
        <is>
          <t>记录数</t>
        </is>
      </c>
    </row>
    <row r="5">
      <c r="A5" s="5" t="inlineStr">
        <is>
          <t>2024-09</t>
        </is>
      </c>
      <c r="B5" s="5" t="n">
        <v>248139</v>
      </c>
    </row>
    <row r="6">
      <c r="A6" s="5" t="inlineStr">
        <is>
          <t>2024-10</t>
        </is>
      </c>
      <c r="B6" s="5" t="n">
        <v>306803</v>
      </c>
    </row>
    <row r="7">
      <c r="A7" s="5" t="inlineStr">
        <is>
          <t>2024-11</t>
        </is>
      </c>
      <c r="B7" s="5" t="n">
        <v>293515</v>
      </c>
    </row>
    <row r="8">
      <c r="A8" s="5" t="inlineStr">
        <is>
          <t>2024-12</t>
        </is>
      </c>
      <c r="B8" s="5" t="n">
        <v>313949</v>
      </c>
    </row>
    <row r="9">
      <c r="A9" s="5" t="inlineStr">
        <is>
          <t>2025-01</t>
        </is>
      </c>
      <c r="B9" s="5" t="n">
        <v>348180</v>
      </c>
    </row>
    <row r="10">
      <c r="A10" s="5" t="inlineStr">
        <is>
          <t>2025-02</t>
        </is>
      </c>
      <c r="B10" s="5" t="n">
        <v>255364</v>
      </c>
    </row>
    <row r="11">
      <c r="A11" s="5" t="inlineStr">
        <is>
          <t>2025-03</t>
        </is>
      </c>
      <c r="B11" s="5" t="n">
        <v>281221</v>
      </c>
    </row>
    <row r="12">
      <c r="A12" s="5" t="inlineStr">
        <is>
          <t>2025-04</t>
        </is>
      </c>
      <c r="B12" s="5" t="n">
        <v>272549</v>
      </c>
    </row>
    <row r="13">
      <c r="A13" s="5" t="inlineStr">
        <is>
          <t>2025-05</t>
        </is>
      </c>
      <c r="B13" s="5" t="n">
        <v>295058</v>
      </c>
    </row>
    <row r="14">
      <c r="A14" s="5" t="inlineStr">
        <is>
          <t>2025-06</t>
        </is>
      </c>
      <c r="B14" s="5" t="n">
        <v>306442</v>
      </c>
    </row>
    <row r="15">
      <c r="A15" s="5" t="inlineStr">
        <is>
          <t>2025-07</t>
        </is>
      </c>
      <c r="B15" s="5" t="n">
        <v>315883</v>
      </c>
    </row>
    <row r="16">
      <c r="A16" s="5" t="inlineStr">
        <is>
          <t>2025-08</t>
        </is>
      </c>
      <c r="B16" s="5" t="n">
        <v>304039</v>
      </c>
    </row>
    <row r="17">
      <c r="A17" s="5" t="inlineStr">
        <is>
          <t>2025-09</t>
        </is>
      </c>
      <c r="B17" s="5" t="n">
        <v>302684</v>
      </c>
    </row>
    <row r="18">
      <c r="A18" s="5" t="inlineStr">
        <is>
          <t>2025-10</t>
        </is>
      </c>
      <c r="B18" s="5" t="n">
        <v>336612</v>
      </c>
    </row>
    <row r="19">
      <c r="A19" s="5" t="inlineStr">
        <is>
          <t>2025-11</t>
        </is>
      </c>
      <c r="B19" s="5" t="n">
        <v>304905</v>
      </c>
    </row>
    <row r="20">
      <c r="A20" s="5" t="inlineStr">
        <is>
          <t>2025-12</t>
        </is>
      </c>
      <c r="B20" s="5" t="n">
        <v>332103</v>
      </c>
    </row>
    <row r="21">
      <c r="A21" s="5" t="inlineStr">
        <is>
          <t>2026-01</t>
        </is>
      </c>
      <c r="B21" s="5" t="n">
        <v>348511</v>
      </c>
    </row>
    <row r="22">
      <c r="A22" s="5" t="inlineStr">
        <is>
          <t>2026-02</t>
        </is>
      </c>
      <c r="B22" s="5" t="n">
        <v>334690</v>
      </c>
    </row>
    <row r="23">
      <c r="A23" s="5" t="inlineStr">
        <is>
          <t>2026-03</t>
        </is>
      </c>
      <c r="B23" s="5" t="n">
        <v>342387</v>
      </c>
    </row>
    <row r="24">
      <c r="A24" s="5" t="inlineStr">
        <is>
          <t>2026-04</t>
        </is>
      </c>
      <c r="B24" s="5" t="n">
        <v>302190</v>
      </c>
    </row>
    <row r="25">
      <c r="A25" s="5" t="inlineStr">
        <is>
          <t>2026-05</t>
        </is>
      </c>
      <c r="B25" s="5" t="n">
        <v>331978</v>
      </c>
    </row>
    <row r="26">
      <c r="A26" s="5" t="inlineStr">
        <is>
          <t>2026-06</t>
        </is>
      </c>
      <c r="B26" s="5" t="n">
        <v>334833</v>
      </c>
    </row>
    <row r="27">
      <c r="A27" s="5" t="inlineStr">
        <is>
          <t>2026-07</t>
        </is>
      </c>
      <c r="B27" s="5" t="n">
        <v>343043</v>
      </c>
    </row>
    <row r="28">
      <c r="A28" s="5" t="inlineStr">
        <is>
          <t>2026-08</t>
        </is>
      </c>
      <c r="B28" s="5" t="n">
        <v>328446</v>
      </c>
    </row>
    <row r="29">
      <c r="A29" s="5" t="inlineStr">
        <is>
          <t>2026-09</t>
        </is>
      </c>
      <c r="B29" s="5" t="n">
        <v>41974</v>
      </c>
    </row>
    <row r="31">
      <c r="A31" s="3" t="inlineStr">
        <is>
          <t>关键投诉类型：月度量（含坑洞细分）</t>
        </is>
      </c>
    </row>
    <row r="32">
      <c r="A32" s="4" t="inlineStr">
        <is>
          <t>月份</t>
        </is>
      </c>
      <c r="B32" s="4" t="inlineStr">
        <is>
          <t>HEAT/HOT WATER</t>
        </is>
      </c>
      <c r="C32" s="4" t="inlineStr">
        <is>
          <t>Snow or Ice</t>
        </is>
      </c>
      <c r="D32" s="4" t="inlineStr">
        <is>
          <t>Street Condition</t>
        </is>
      </c>
      <c r="E32" s="4" t="inlineStr">
        <is>
          <t>Illegal Parking</t>
        </is>
      </c>
      <c r="F32" s="4" t="inlineStr">
        <is>
          <t>Noise - Residential</t>
        </is>
      </c>
      <c r="G32" s="4" t="inlineStr">
        <is>
          <t>Drug Activity</t>
        </is>
      </c>
      <c r="H32" s="4" t="inlineStr">
        <is>
          <t>Noise - Helicopter</t>
        </is>
      </c>
      <c r="I32" s="4" t="inlineStr">
        <is>
          <t>坑洞投诉数</t>
        </is>
      </c>
    </row>
    <row r="33">
      <c r="A33" s="5" t="inlineStr">
        <is>
          <t>2024-09</t>
        </is>
      </c>
      <c r="B33" s="5" t="n">
        <v>2696</v>
      </c>
      <c r="C33" s="5" t="n">
        <v>0</v>
      </c>
      <c r="D33" s="5" t="n">
        <v>4036</v>
      </c>
      <c r="E33" s="5" t="n">
        <v>37255</v>
      </c>
      <c r="F33" s="5" t="n">
        <v>39381</v>
      </c>
      <c r="G33" s="5" t="n">
        <v>1659</v>
      </c>
      <c r="H33" s="5" t="n">
        <v>1369</v>
      </c>
      <c r="I33" s="5" t="n">
        <v>1672</v>
      </c>
    </row>
    <row r="34">
      <c r="A34" s="5" t="inlineStr">
        <is>
          <t>2024-10</t>
        </is>
      </c>
      <c r="B34" s="5" t="n">
        <v>19650</v>
      </c>
      <c r="C34" s="5" t="n">
        <v>0</v>
      </c>
      <c r="D34" s="5" t="n">
        <v>4260</v>
      </c>
      <c r="E34" s="5" t="n">
        <v>42959</v>
      </c>
      <c r="F34" s="5" t="n">
        <v>38628</v>
      </c>
      <c r="G34" s="5" t="n">
        <v>1681</v>
      </c>
      <c r="H34" s="5" t="n">
        <v>2528</v>
      </c>
      <c r="I34" s="5" t="n">
        <v>1796</v>
      </c>
    </row>
    <row r="35">
      <c r="A35" s="5" t="inlineStr">
        <is>
          <t>2024-11</t>
        </is>
      </c>
      <c r="B35" s="5" t="n">
        <v>39368</v>
      </c>
      <c r="C35" s="5" t="n">
        <v>2</v>
      </c>
      <c r="D35" s="5" t="n">
        <v>3630</v>
      </c>
      <c r="E35" s="5" t="n">
        <v>39784</v>
      </c>
      <c r="F35" s="5" t="n">
        <v>39103</v>
      </c>
      <c r="G35" s="5" t="n">
        <v>1505</v>
      </c>
      <c r="H35" s="5" t="n">
        <v>2452</v>
      </c>
      <c r="I35" s="5" t="n">
        <v>1823</v>
      </c>
    </row>
    <row r="36">
      <c r="A36" s="5" t="inlineStr">
        <is>
          <t>2024-12</t>
        </is>
      </c>
      <c r="B36" s="5" t="n">
        <v>62918</v>
      </c>
      <c r="C36" s="5" t="n">
        <v>816</v>
      </c>
      <c r="D36" s="5" t="n">
        <v>5225</v>
      </c>
      <c r="E36" s="5" t="n">
        <v>39971</v>
      </c>
      <c r="F36" s="5" t="n">
        <v>47405</v>
      </c>
      <c r="G36" s="5" t="n">
        <v>1843</v>
      </c>
      <c r="H36" s="5" t="n">
        <v>2843</v>
      </c>
      <c r="I36" s="5" t="n">
        <v>3476</v>
      </c>
    </row>
    <row r="37">
      <c r="A37" s="5" t="inlineStr">
        <is>
          <t>2025-01</t>
        </is>
      </c>
      <c r="B37" s="5" t="n">
        <v>67229</v>
      </c>
      <c r="C37" s="5" t="n">
        <v>5161</v>
      </c>
      <c r="D37" s="5" t="n">
        <v>5474</v>
      </c>
      <c r="E37" s="5" t="n">
        <v>43139</v>
      </c>
      <c r="F37" s="5" t="n">
        <v>70837</v>
      </c>
      <c r="G37" s="5" t="n">
        <v>1657</v>
      </c>
      <c r="H37" s="5" t="n">
        <v>1815</v>
      </c>
      <c r="I37" s="5" t="n">
        <v>3693</v>
      </c>
    </row>
    <row r="38">
      <c r="A38" s="5" t="inlineStr">
        <is>
          <t>2025-02</t>
        </is>
      </c>
      <c r="B38" s="5" t="n">
        <v>40699</v>
      </c>
      <c r="C38" s="5" t="n">
        <v>2817</v>
      </c>
      <c r="D38" s="5" t="n">
        <v>5623</v>
      </c>
      <c r="E38" s="5" t="n">
        <v>42267</v>
      </c>
      <c r="F38" s="5" t="n">
        <v>26945</v>
      </c>
      <c r="G38" s="5" t="n">
        <v>1740</v>
      </c>
      <c r="H38" s="5" t="n">
        <v>1660</v>
      </c>
      <c r="I38" s="5" t="n">
        <v>3560</v>
      </c>
    </row>
    <row r="39">
      <c r="A39" s="5" t="inlineStr">
        <is>
          <t>2025-03</t>
        </is>
      </c>
      <c r="B39" s="5" t="n">
        <v>26276</v>
      </c>
      <c r="C39" s="5" t="n">
        <v>12</v>
      </c>
      <c r="D39" s="5" t="n">
        <v>7035</v>
      </c>
      <c r="E39" s="5" t="n">
        <v>53740</v>
      </c>
      <c r="F39" s="5" t="n">
        <v>28850</v>
      </c>
      <c r="G39" s="5" t="n">
        <v>2156</v>
      </c>
      <c r="H39" s="5" t="n">
        <v>1721</v>
      </c>
      <c r="I39" s="5" t="n">
        <v>4313</v>
      </c>
    </row>
    <row r="40">
      <c r="A40" s="5" t="inlineStr">
        <is>
          <t>2025-04</t>
        </is>
      </c>
      <c r="B40" s="5" t="n">
        <v>16824</v>
      </c>
      <c r="C40" s="5" t="n">
        <v>0</v>
      </c>
      <c r="D40" s="5" t="n">
        <v>6659</v>
      </c>
      <c r="E40" s="5" t="n">
        <v>47358</v>
      </c>
      <c r="F40" s="5" t="n">
        <v>28019</v>
      </c>
      <c r="G40" s="5" t="n">
        <v>1487</v>
      </c>
      <c r="H40" s="5" t="n">
        <v>1708</v>
      </c>
      <c r="I40" s="5" t="n">
        <v>3881</v>
      </c>
    </row>
    <row r="41">
      <c r="A41" s="5" t="inlineStr">
        <is>
          <t>2025-05</t>
        </is>
      </c>
      <c r="B41" s="5" t="n">
        <v>7463</v>
      </c>
      <c r="C41" s="5" t="n">
        <v>0</v>
      </c>
      <c r="D41" s="5" t="n">
        <v>7449</v>
      </c>
      <c r="E41" s="5" t="n">
        <v>51557</v>
      </c>
      <c r="F41" s="5" t="n">
        <v>32905</v>
      </c>
      <c r="G41" s="5" t="n">
        <v>1802</v>
      </c>
      <c r="H41" s="5" t="n">
        <v>1520</v>
      </c>
      <c r="I41" s="5" t="n">
        <v>4163</v>
      </c>
    </row>
    <row r="42">
      <c r="A42" s="5" t="inlineStr">
        <is>
          <t>2025-06</t>
        </is>
      </c>
      <c r="B42" s="5" t="n">
        <v>4217</v>
      </c>
      <c r="C42" s="5" t="n">
        <v>0</v>
      </c>
      <c r="D42" s="5" t="n">
        <v>7243</v>
      </c>
      <c r="E42" s="5" t="n">
        <v>48032</v>
      </c>
      <c r="F42" s="5" t="n">
        <v>29740</v>
      </c>
      <c r="G42" s="5" t="n">
        <v>2513</v>
      </c>
      <c r="H42" s="5" t="n">
        <v>1667</v>
      </c>
      <c r="I42" s="5" t="n">
        <v>4063</v>
      </c>
    </row>
    <row r="43">
      <c r="A43" s="5" t="inlineStr">
        <is>
          <t>2025-07</t>
        </is>
      </c>
      <c r="B43" s="5" t="n">
        <v>3008</v>
      </c>
      <c r="C43" s="5" t="n">
        <v>0</v>
      </c>
      <c r="D43" s="5" t="n">
        <v>6138</v>
      </c>
      <c r="E43" s="5" t="n">
        <v>47001</v>
      </c>
      <c r="F43" s="5" t="n">
        <v>26659</v>
      </c>
      <c r="G43" s="5" t="n">
        <v>6038</v>
      </c>
      <c r="H43" s="5" t="n">
        <v>1324</v>
      </c>
      <c r="I43" s="5" t="n">
        <v>2724</v>
      </c>
    </row>
    <row r="44">
      <c r="A44" s="5" t="inlineStr">
        <is>
          <t>2025-08</t>
        </is>
      </c>
      <c r="B44" s="5" t="n">
        <v>2929</v>
      </c>
      <c r="C44" s="5" t="n">
        <v>0</v>
      </c>
      <c r="D44" s="5" t="n">
        <v>5590</v>
      </c>
      <c r="E44" s="5" t="n">
        <v>47243</v>
      </c>
      <c r="F44" s="5" t="n">
        <v>32756</v>
      </c>
      <c r="G44" s="5" t="n">
        <v>5447</v>
      </c>
      <c r="H44" s="5" t="n">
        <v>1842</v>
      </c>
      <c r="I44" s="5" t="n">
        <v>2521</v>
      </c>
    </row>
    <row r="45">
      <c r="A45" s="5" t="inlineStr">
        <is>
          <t>2025-09</t>
        </is>
      </c>
      <c r="B45" s="5" t="n">
        <v>3595</v>
      </c>
      <c r="C45" s="5" t="n">
        <v>0</v>
      </c>
      <c r="D45" s="5" t="n">
        <v>5411</v>
      </c>
      <c r="E45" s="5" t="n">
        <v>54313</v>
      </c>
      <c r="F45" s="5" t="n">
        <v>36142</v>
      </c>
      <c r="G45" s="5" t="n">
        <v>2608</v>
      </c>
      <c r="H45" s="5" t="n">
        <v>2272</v>
      </c>
      <c r="I45" s="5" t="n">
        <v>2398</v>
      </c>
    </row>
    <row r="46">
      <c r="A46" s="5" t="inlineStr">
        <is>
          <t>2025-10</t>
        </is>
      </c>
      <c r="B46" s="5" t="n">
        <v>31858</v>
      </c>
      <c r="C46" s="5" t="n">
        <v>0</v>
      </c>
      <c r="D46" s="5" t="n">
        <v>4829</v>
      </c>
      <c r="E46" s="5" t="n">
        <v>51073</v>
      </c>
      <c r="F46" s="5" t="n">
        <v>49182</v>
      </c>
      <c r="G46" s="5" t="n">
        <v>1433</v>
      </c>
      <c r="H46" s="5" t="n">
        <v>2020</v>
      </c>
      <c r="I46" s="5" t="n">
        <v>2321</v>
      </c>
    </row>
    <row r="47">
      <c r="A47" s="5" t="inlineStr">
        <is>
          <t>2025-11</t>
        </is>
      </c>
      <c r="B47" s="5" t="n">
        <v>47946</v>
      </c>
      <c r="C47" s="5" t="n">
        <v>8</v>
      </c>
      <c r="D47" s="5" t="n">
        <v>4049</v>
      </c>
      <c r="E47" s="5" t="n">
        <v>47373</v>
      </c>
      <c r="F47" s="5" t="n">
        <v>43928</v>
      </c>
      <c r="G47" s="5" t="n">
        <v>560</v>
      </c>
      <c r="H47" s="5" t="n">
        <v>1398</v>
      </c>
      <c r="I47" s="5" t="n">
        <v>1891</v>
      </c>
    </row>
    <row r="48">
      <c r="A48" s="5" t="inlineStr">
        <is>
          <t>2025-12</t>
        </is>
      </c>
      <c r="B48" s="5" t="n">
        <v>63902</v>
      </c>
      <c r="C48" s="5" t="n">
        <v>8700</v>
      </c>
      <c r="D48" s="5" t="n">
        <v>4830</v>
      </c>
      <c r="E48" s="5" t="n">
        <v>44161</v>
      </c>
      <c r="F48" s="5" t="n">
        <v>57386</v>
      </c>
      <c r="G48" s="5" t="n">
        <v>523</v>
      </c>
      <c r="H48" s="5" t="n">
        <v>1607</v>
      </c>
      <c r="I48" s="5" t="n">
        <v>2910</v>
      </c>
    </row>
    <row r="49">
      <c r="A49" s="5" t="inlineStr">
        <is>
          <t>2026-01</t>
        </is>
      </c>
      <c r="B49" s="5" t="n">
        <v>79928</v>
      </c>
      <c r="C49" s="5" t="n">
        <v>24079</v>
      </c>
      <c r="D49" s="5" t="n">
        <v>5141</v>
      </c>
      <c r="E49" s="5" t="n">
        <v>48717</v>
      </c>
      <c r="F49" s="5" t="n">
        <v>28739</v>
      </c>
      <c r="G49" s="5" t="n">
        <v>609</v>
      </c>
      <c r="H49" s="5" t="n">
        <v>1313</v>
      </c>
      <c r="I49" s="5" t="n">
        <v>3218</v>
      </c>
    </row>
    <row r="50">
      <c r="A50" s="5" t="inlineStr">
        <is>
          <t>2026-02</t>
        </is>
      </c>
      <c r="B50" s="5" t="n">
        <v>59031</v>
      </c>
      <c r="C50" s="5" t="n">
        <v>30943</v>
      </c>
      <c r="D50" s="5" t="n">
        <v>6913</v>
      </c>
      <c r="E50" s="5" t="n">
        <v>47781</v>
      </c>
      <c r="F50" s="5" t="n">
        <v>26949</v>
      </c>
      <c r="G50" s="5" t="n">
        <v>634</v>
      </c>
      <c r="H50" s="5" t="n">
        <v>1041</v>
      </c>
      <c r="I50" s="5" t="n">
        <v>4618</v>
      </c>
    </row>
    <row r="51">
      <c r="A51" s="5" t="inlineStr">
        <is>
          <t>2026-03</t>
        </is>
      </c>
      <c r="B51" s="5" t="n">
        <v>29783</v>
      </c>
      <c r="C51" s="5" t="n">
        <v>208</v>
      </c>
      <c r="D51" s="5" t="n">
        <v>28690</v>
      </c>
      <c r="E51" s="5" t="n">
        <v>54104</v>
      </c>
      <c r="F51" s="5" t="n">
        <v>31823</v>
      </c>
      <c r="G51" s="5" t="n">
        <v>1145</v>
      </c>
      <c r="H51" s="5" t="n">
        <v>1025</v>
      </c>
      <c r="I51" s="5" t="n">
        <v>22790</v>
      </c>
    </row>
    <row r="52">
      <c r="A52" s="5" t="inlineStr">
        <is>
          <t>2026-04</t>
        </is>
      </c>
      <c r="B52" s="5" t="n">
        <v>19553</v>
      </c>
      <c r="C52" s="5" t="n">
        <v>0</v>
      </c>
      <c r="D52" s="5" t="n">
        <v>15850</v>
      </c>
      <c r="E52" s="5" t="n">
        <v>51438</v>
      </c>
      <c r="F52" s="5" t="n">
        <v>30922</v>
      </c>
      <c r="G52" s="5" t="n">
        <v>548</v>
      </c>
      <c r="H52" s="5" t="n">
        <v>1335</v>
      </c>
      <c r="I52" s="5" t="n">
        <v>11421</v>
      </c>
    </row>
    <row r="53">
      <c r="A53" s="5" t="inlineStr">
        <is>
          <t>2026-05</t>
        </is>
      </c>
      <c r="B53" s="5" t="n">
        <v>9823</v>
      </c>
      <c r="C53" s="5" t="n">
        <v>0</v>
      </c>
      <c r="D53" s="5" t="n">
        <v>11777</v>
      </c>
      <c r="E53" s="5" t="n">
        <v>56372</v>
      </c>
      <c r="F53" s="5" t="n">
        <v>37268</v>
      </c>
      <c r="G53" s="5" t="n">
        <v>932</v>
      </c>
      <c r="H53" s="5" t="n">
        <v>1230</v>
      </c>
      <c r="I53" s="5" t="n">
        <v>7150</v>
      </c>
    </row>
    <row r="54">
      <c r="A54" s="5" t="inlineStr">
        <is>
          <t>2026-06</t>
        </is>
      </c>
      <c r="B54" s="5" t="n">
        <v>4388</v>
      </c>
      <c r="C54" s="5" t="n">
        <v>0</v>
      </c>
      <c r="D54" s="5" t="n">
        <v>10852</v>
      </c>
      <c r="E54" s="5" t="n">
        <v>56689</v>
      </c>
      <c r="F54" s="5" t="n">
        <v>34039</v>
      </c>
      <c r="G54" s="5" t="n">
        <v>827</v>
      </c>
      <c r="H54" s="5" t="n">
        <v>525</v>
      </c>
      <c r="I54" s="5" t="n">
        <v>6077</v>
      </c>
    </row>
    <row r="55">
      <c r="A55" s="5" t="inlineStr">
        <is>
          <t>2026-07</t>
        </is>
      </c>
      <c r="B55" s="5" t="n">
        <v>4331</v>
      </c>
      <c r="C55" s="5" t="n">
        <v>0</v>
      </c>
      <c r="D55" s="5" t="n">
        <v>10145</v>
      </c>
      <c r="E55" s="5" t="n">
        <v>49082</v>
      </c>
      <c r="F55" s="5" t="n">
        <v>29971</v>
      </c>
      <c r="G55" s="5" t="n">
        <v>797</v>
      </c>
      <c r="H55" s="5" t="n">
        <v>296</v>
      </c>
      <c r="I55" s="5" t="n">
        <v>4661</v>
      </c>
    </row>
    <row r="56">
      <c r="A56" s="5" t="inlineStr">
        <is>
          <t>2026-08</t>
        </is>
      </c>
      <c r="B56" s="5" t="n">
        <v>3682</v>
      </c>
      <c r="C56" s="5" t="n">
        <v>0</v>
      </c>
      <c r="D56" s="5" t="n">
        <v>9552</v>
      </c>
      <c r="E56" s="5" t="n">
        <v>51216</v>
      </c>
      <c r="F56" s="5" t="n">
        <v>30622</v>
      </c>
      <c r="G56" s="5" t="n">
        <v>947</v>
      </c>
      <c r="H56" s="5" t="n">
        <v>229</v>
      </c>
      <c r="I56" s="5" t="n">
        <v>4293</v>
      </c>
    </row>
    <row r="57">
      <c r="A57" s="5" t="inlineStr">
        <is>
          <t>2026-09</t>
        </is>
      </c>
      <c r="B57" s="5" t="n">
        <v>497</v>
      </c>
      <c r="C57" s="5" t="n">
        <v>0</v>
      </c>
      <c r="D57" s="5" t="n">
        <v>1267</v>
      </c>
      <c r="E57" s="5" t="n">
        <v>6428</v>
      </c>
      <c r="F57" s="5" t="n">
        <v>3349</v>
      </c>
      <c r="G57" s="5" t="n">
        <v>103</v>
      </c>
      <c r="H57" s="5" t="n">
        <v>36</v>
      </c>
      <c r="I57" s="5" t="n">
        <v>596</v>
      </c>
    </row>
    <row r="75">
      <c r="A75" s="2" t="inlineStr">
        <is>
          <t>注：2024-09 自 9-07 起、2026-09 至 9-05 止，均为不完整月。</t>
        </is>
      </c>
    </row>
    <row r="76">
      <c r="A76" s="2" t="inlineStr">
        <is>
          <t>严冬信号：Snow or Ice 2026-01/02 达 2.4万/3.1万条（上年同期 0.5万/0.3万）；坑洞 2026-03 达 2.28万条为全程峰值。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投诉类型 TOP20 与同比变化</t>
        </is>
      </c>
    </row>
    <row r="3">
      <c r="A3" s="3" t="inlineStr">
        <is>
          <t>记录量 TOP20 投诉类型（全期）</t>
        </is>
      </c>
    </row>
    <row r="4">
      <c r="A4" s="4" t="inlineStr">
        <is>
          <t>投诉类型</t>
        </is>
      </c>
      <c r="B4" s="4" t="inlineStr">
        <is>
          <t>主要机构</t>
        </is>
      </c>
      <c r="C4" s="4" t="inlineStr">
        <is>
          <t>记录数</t>
        </is>
      </c>
      <c r="D4" s="4" t="inlineStr">
        <is>
          <t>占比pct</t>
        </is>
      </c>
    </row>
    <row r="5">
      <c r="A5" s="5" t="inlineStr">
        <is>
          <t>Illegal Parking</t>
        </is>
      </c>
      <c r="B5" s="5" t="inlineStr">
        <is>
          <t>NYPD</t>
        </is>
      </c>
      <c r="C5" s="7" t="n">
        <v>1159053</v>
      </c>
      <c r="D5" s="5" t="n">
        <v>15.4</v>
      </c>
    </row>
    <row r="6">
      <c r="A6" s="5" t="inlineStr">
        <is>
          <t>Noise - Residential</t>
        </is>
      </c>
      <c r="B6" s="5" t="inlineStr">
        <is>
          <t>NYPD</t>
        </is>
      </c>
      <c r="C6" s="7" t="n">
        <v>881548</v>
      </c>
      <c r="D6" s="5" t="n">
        <v>11.71</v>
      </c>
    </row>
    <row r="7">
      <c r="A7" s="5" t="inlineStr">
        <is>
          <t>HEAT/HOT WATER</t>
        </is>
      </c>
      <c r="B7" s="5" t="inlineStr">
        <is>
          <t>HPD</t>
        </is>
      </c>
      <c r="C7" s="7" t="n">
        <v>651594</v>
      </c>
      <c r="D7" s="5" t="n">
        <v>8.66</v>
      </c>
    </row>
    <row r="8">
      <c r="A8" s="5" t="inlineStr">
        <is>
          <t>Blocked Driveway</t>
        </is>
      </c>
      <c r="B8" s="5" t="inlineStr">
        <is>
          <t>NYPD</t>
        </is>
      </c>
      <c r="C8" s="7" t="n">
        <v>362642</v>
      </c>
      <c r="D8" s="5" t="n">
        <v>4.82</v>
      </c>
    </row>
    <row r="9">
      <c r="A9" s="5" t="inlineStr">
        <is>
          <t>Noise - Street/Sidewalk</t>
        </is>
      </c>
      <c r="B9" s="5" t="inlineStr">
        <is>
          <t>NYPD</t>
        </is>
      </c>
      <c r="C9" s="7" t="n">
        <v>349299</v>
      </c>
      <c r="D9" s="5" t="n">
        <v>4.64</v>
      </c>
    </row>
    <row r="10">
      <c r="A10" s="5" t="inlineStr">
        <is>
          <t>UNSANITARY CONDITION</t>
        </is>
      </c>
      <c r="B10" s="5" t="inlineStr">
        <is>
          <t>HPD</t>
        </is>
      </c>
      <c r="C10" s="7" t="n">
        <v>249446</v>
      </c>
      <c r="D10" s="5" t="n">
        <v>3.31</v>
      </c>
    </row>
    <row r="11">
      <c r="A11" s="5" t="inlineStr">
        <is>
          <t>Street Condition</t>
        </is>
      </c>
      <c r="B11" s="5" t="inlineStr">
        <is>
          <t>DOT</t>
        </is>
      </c>
      <c r="C11" s="7" t="n">
        <v>187668</v>
      </c>
      <c r="D11" s="5" t="n">
        <v>2.49</v>
      </c>
    </row>
    <row r="12">
      <c r="A12" s="5" t="inlineStr">
        <is>
          <t>Water System</t>
        </is>
      </c>
      <c r="B12" s="5" t="inlineStr">
        <is>
          <t>DEP</t>
        </is>
      </c>
      <c r="C12" s="7" t="n">
        <v>152736</v>
      </c>
      <c r="D12" s="5" t="n">
        <v>2.03</v>
      </c>
    </row>
    <row r="13">
      <c r="A13" s="5" t="inlineStr">
        <is>
          <t>PLUMBING</t>
        </is>
      </c>
      <c r="B13" s="5" t="inlineStr">
        <is>
          <t>HPD</t>
        </is>
      </c>
      <c r="C13" s="7" t="n">
        <v>150696</v>
      </c>
      <c r="D13" s="5" t="n">
        <v>2</v>
      </c>
    </row>
    <row r="14">
      <c r="A14" s="5" t="inlineStr">
        <is>
          <t>Abandoned Vehicle</t>
        </is>
      </c>
      <c r="B14" s="5" t="inlineStr">
        <is>
          <t>NYPD</t>
        </is>
      </c>
      <c r="C14" s="7" t="n">
        <v>139896</v>
      </c>
      <c r="D14" s="5" t="n">
        <v>1.86</v>
      </c>
    </row>
    <row r="15">
      <c r="A15" s="5" t="inlineStr">
        <is>
          <t>Dirty Condition</t>
        </is>
      </c>
      <c r="B15" s="5" t="inlineStr">
        <is>
          <t>DSNY</t>
        </is>
      </c>
      <c r="C15" s="7" t="n">
        <v>129570</v>
      </c>
      <c r="D15" s="5" t="n">
        <v>1.72</v>
      </c>
    </row>
    <row r="16">
      <c r="A16" s="5" t="inlineStr">
        <is>
          <t>Noise - Commercial</t>
        </is>
      </c>
      <c r="B16" s="5" t="inlineStr">
        <is>
          <t>NYPD</t>
        </is>
      </c>
      <c r="C16" s="7" t="n">
        <v>126247</v>
      </c>
      <c r="D16" s="5" t="n">
        <v>1.68</v>
      </c>
    </row>
    <row r="17">
      <c r="A17" s="5" t="inlineStr">
        <is>
          <t>PAINT/PLASTER</t>
        </is>
      </c>
      <c r="B17" s="5" t="inlineStr">
        <is>
          <t>HPD</t>
        </is>
      </c>
      <c r="C17" s="7" t="n">
        <v>125565</v>
      </c>
      <c r="D17" s="5" t="n">
        <v>1.67</v>
      </c>
    </row>
    <row r="18">
      <c r="A18" s="5" t="inlineStr">
        <is>
          <t>Noise</t>
        </is>
      </c>
      <c r="B18" s="5" t="inlineStr">
        <is>
          <t>DEP</t>
        </is>
      </c>
      <c r="C18" s="7" t="n">
        <v>114654</v>
      </c>
      <c r="D18" s="5" t="n">
        <v>1.52</v>
      </c>
    </row>
    <row r="19">
      <c r="A19" s="5" t="inlineStr">
        <is>
          <t>Traffic Signal Condition</t>
        </is>
      </c>
      <c r="B19" s="5" t="inlineStr">
        <is>
          <t>DOT</t>
        </is>
      </c>
      <c r="C19" s="7" t="n">
        <v>104791</v>
      </c>
      <c r="D19" s="5" t="n">
        <v>1.39</v>
      </c>
    </row>
    <row r="20">
      <c r="A20" s="5" t="inlineStr">
        <is>
          <t>DOOR/WINDOW</t>
        </is>
      </c>
      <c r="B20" s="5" t="inlineStr">
        <is>
          <t>HPD</t>
        </is>
      </c>
      <c r="C20" s="7" t="n">
        <v>96879</v>
      </c>
      <c r="D20" s="5" t="n">
        <v>1.29</v>
      </c>
    </row>
    <row r="21">
      <c r="A21" s="5" t="inlineStr">
        <is>
          <t>Encampment</t>
        </is>
      </c>
      <c r="B21" s="5" t="inlineStr">
        <is>
          <t>DHS</t>
        </is>
      </c>
      <c r="C21" s="7" t="n">
        <v>96164</v>
      </c>
      <c r="D21" s="5" t="n">
        <v>1.28</v>
      </c>
    </row>
    <row r="22">
      <c r="A22" s="5" t="inlineStr">
        <is>
          <t>Noise - Vehicle</t>
        </is>
      </c>
      <c r="B22" s="5" t="inlineStr">
        <is>
          <t>NYPD</t>
        </is>
      </c>
      <c r="C22" s="7" t="n">
        <v>92971</v>
      </c>
      <c r="D22" s="5" t="n">
        <v>1.24</v>
      </c>
    </row>
    <row r="23">
      <c r="A23" s="5" t="inlineStr">
        <is>
          <t>WATER LEAK</t>
        </is>
      </c>
      <c r="B23" s="5" t="inlineStr">
        <is>
          <t>HPD</t>
        </is>
      </c>
      <c r="C23" s="7" t="n">
        <v>83895</v>
      </c>
      <c r="D23" s="5" t="n">
        <v>1.11</v>
      </c>
    </row>
    <row r="24">
      <c r="A24" s="5" t="inlineStr">
        <is>
          <t>Derelict Vehicles</t>
        </is>
      </c>
      <c r="B24" s="5" t="inlineStr">
        <is>
          <t>DSNY</t>
        </is>
      </c>
      <c r="C24" s="7" t="n">
        <v>82540</v>
      </c>
      <c r="D24" s="5" t="n">
        <v>1.1</v>
      </c>
    </row>
    <row r="26">
      <c r="A26" s="3" t="inlineStr">
        <is>
          <t>同比变化 TOP15（上升）｜口径：2024-10~2025-08 vs 2025-10~2026-08，各11个完整月，仅含两年合计&gt;2万的类型</t>
        </is>
      </c>
    </row>
    <row r="27">
      <c r="A27" s="4" t="inlineStr">
        <is>
          <t>投诉类型</t>
        </is>
      </c>
      <c r="B27" s="4" t="inlineStr">
        <is>
          <t>前一年_2410至2508</t>
        </is>
      </c>
      <c r="C27" s="4" t="inlineStr">
        <is>
          <t>后一年_2510至2608</t>
        </is>
      </c>
      <c r="D27" s="4" t="inlineStr">
        <is>
          <t>变化量</t>
        </is>
      </c>
      <c r="E27" s="4" t="inlineStr">
        <is>
          <t>变化率pct</t>
        </is>
      </c>
    </row>
    <row r="28">
      <c r="A28" s="5" t="inlineStr">
        <is>
          <t>Snow or Ice</t>
        </is>
      </c>
      <c r="B28" s="7" t="n">
        <v>8808</v>
      </c>
      <c r="C28" s="7" t="n">
        <v>63938</v>
      </c>
      <c r="D28" s="7" t="n">
        <v>55130</v>
      </c>
      <c r="E28" s="5" t="n">
        <v>625.9</v>
      </c>
    </row>
    <row r="29">
      <c r="A29" s="5" t="inlineStr">
        <is>
          <t>Street Condition</t>
        </is>
      </c>
      <c r="B29" s="7" t="n">
        <v>64326</v>
      </c>
      <c r="C29" s="7" t="n">
        <v>112628</v>
      </c>
      <c r="D29" s="7" t="n">
        <v>48302</v>
      </c>
      <c r="E29" s="5" t="n">
        <v>75.09999999999999</v>
      </c>
    </row>
    <row r="30">
      <c r="A30" s="5" t="inlineStr">
        <is>
          <t>Damaged Tree</t>
        </is>
      </c>
      <c r="B30" s="7" t="n">
        <v>24306</v>
      </c>
      <c r="C30" s="7" t="n">
        <v>39803</v>
      </c>
      <c r="D30" s="7" t="n">
        <v>15497</v>
      </c>
      <c r="E30" s="5" t="n">
        <v>63.8</v>
      </c>
    </row>
    <row r="31">
      <c r="A31" s="5" t="inlineStr">
        <is>
          <t>GENERAL</t>
        </is>
      </c>
      <c r="B31" s="7" t="n">
        <v>29158</v>
      </c>
      <c r="C31" s="7" t="n">
        <v>39166</v>
      </c>
      <c r="D31" s="7" t="n">
        <v>10008</v>
      </c>
      <c r="E31" s="5" t="n">
        <v>34.3</v>
      </c>
    </row>
    <row r="32">
      <c r="A32" s="5" t="inlineStr">
        <is>
          <t>WATER LEAK</t>
        </is>
      </c>
      <c r="B32" s="7" t="n">
        <v>34224</v>
      </c>
      <c r="C32" s="7" t="n">
        <v>43364</v>
      </c>
      <c r="D32" s="7" t="n">
        <v>9140</v>
      </c>
      <c r="E32" s="5" t="n">
        <v>26.7</v>
      </c>
    </row>
    <row r="33">
      <c r="A33" s="5" t="inlineStr">
        <is>
          <t>PLUMBING</t>
        </is>
      </c>
      <c r="B33" s="7" t="n">
        <v>62476</v>
      </c>
      <c r="C33" s="7" t="n">
        <v>77795</v>
      </c>
      <c r="D33" s="7" t="n">
        <v>15319</v>
      </c>
      <c r="E33" s="5" t="n">
        <v>24.5</v>
      </c>
    </row>
    <row r="34">
      <c r="A34" s="5" t="inlineStr">
        <is>
          <t>Overgrown Tree/Branches</t>
        </is>
      </c>
      <c r="B34" s="7" t="n">
        <v>16595</v>
      </c>
      <c r="C34" s="7" t="n">
        <v>20343</v>
      </c>
      <c r="D34" s="7" t="n">
        <v>3748</v>
      </c>
      <c r="E34" s="5" t="n">
        <v>22.6</v>
      </c>
    </row>
    <row r="35">
      <c r="A35" s="5" t="inlineStr">
        <is>
          <t>Sewer</t>
        </is>
      </c>
      <c r="B35" s="7" t="n">
        <v>21729</v>
      </c>
      <c r="C35" s="7" t="n">
        <v>26507</v>
      </c>
      <c r="D35" s="7" t="n">
        <v>4778</v>
      </c>
      <c r="E35" s="5" t="n">
        <v>22</v>
      </c>
    </row>
    <row r="36">
      <c r="A36" s="5" t="inlineStr">
        <is>
          <t>HEAT/HOT WATER</t>
        </is>
      </c>
      <c r="B36" s="7" t="n">
        <v>290581</v>
      </c>
      <c r="C36" s="7" t="n">
        <v>354225</v>
      </c>
      <c r="D36" s="7" t="n">
        <v>63644</v>
      </c>
      <c r="E36" s="5" t="n">
        <v>21.9</v>
      </c>
    </row>
    <row r="37">
      <c r="A37" s="5" t="inlineStr">
        <is>
          <t>Traffic Signal Condition</t>
        </is>
      </c>
      <c r="B37" s="7" t="n">
        <v>44657</v>
      </c>
      <c r="C37" s="7" t="n">
        <v>54168</v>
      </c>
      <c r="D37" s="7" t="n">
        <v>9511</v>
      </c>
      <c r="E37" s="5" t="n">
        <v>21.3</v>
      </c>
    </row>
    <row r="38">
      <c r="A38" s="5" t="inlineStr">
        <is>
          <t>Noise - Vehicle</t>
        </is>
      </c>
      <c r="B38" s="7" t="n">
        <v>38360</v>
      </c>
      <c r="C38" s="7" t="n">
        <v>46002</v>
      </c>
      <c r="D38" s="7" t="n">
        <v>7642</v>
      </c>
      <c r="E38" s="5" t="n">
        <v>19.9</v>
      </c>
    </row>
    <row r="39">
      <c r="A39" s="5" t="inlineStr">
        <is>
          <t>ELECTRIC</t>
        </is>
      </c>
      <c r="B39" s="7" t="n">
        <v>27187</v>
      </c>
      <c r="C39" s="7" t="n">
        <v>32572</v>
      </c>
      <c r="D39" s="7" t="n">
        <v>5385</v>
      </c>
      <c r="E39" s="5" t="n">
        <v>19.8</v>
      </c>
    </row>
    <row r="40">
      <c r="A40" s="5" t="inlineStr">
        <is>
          <t>Elevator</t>
        </is>
      </c>
      <c r="B40" s="7" t="n">
        <v>19773</v>
      </c>
      <c r="C40" s="7" t="n">
        <v>23650</v>
      </c>
      <c r="D40" s="7" t="n">
        <v>3877</v>
      </c>
      <c r="E40" s="5" t="n">
        <v>19.6</v>
      </c>
    </row>
    <row r="41">
      <c r="A41" s="5" t="inlineStr">
        <is>
          <t>DOOR/WINDOW</t>
        </is>
      </c>
      <c r="B41" s="7" t="n">
        <v>40937</v>
      </c>
      <c r="C41" s="7" t="n">
        <v>48663</v>
      </c>
      <c r="D41" s="7" t="n">
        <v>7726</v>
      </c>
      <c r="E41" s="5" t="n">
        <v>18.9</v>
      </c>
    </row>
    <row r="42">
      <c r="A42" s="5" t="inlineStr">
        <is>
          <t>Building/Use</t>
        </is>
      </c>
      <c r="B42" s="7" t="n">
        <v>20174</v>
      </c>
      <c r="C42" s="7" t="n">
        <v>23792</v>
      </c>
      <c r="D42" s="7" t="n">
        <v>3618</v>
      </c>
      <c r="E42" s="5" t="n">
        <v>17.9</v>
      </c>
    </row>
    <row r="44">
      <c r="A44" s="3" t="inlineStr">
        <is>
          <t>同比变化 TOP15（下降）</t>
        </is>
      </c>
    </row>
    <row r="45">
      <c r="A45" s="4" t="inlineStr">
        <is>
          <t>投诉类型</t>
        </is>
      </c>
      <c r="B45" s="4" t="inlineStr">
        <is>
          <t>前一年_2410至2508</t>
        </is>
      </c>
      <c r="C45" s="4" t="inlineStr">
        <is>
          <t>后一年_2510至2608</t>
        </is>
      </c>
      <c r="D45" s="4" t="inlineStr">
        <is>
          <t>变化量</t>
        </is>
      </c>
      <c r="E45" s="4" t="inlineStr">
        <is>
          <t>变化率pct</t>
        </is>
      </c>
    </row>
    <row r="46">
      <c r="A46" s="5" t="inlineStr">
        <is>
          <t>Drug Activity</t>
        </is>
      </c>
      <c r="B46" s="7" t="n">
        <v>27869</v>
      </c>
      <c r="C46" s="7" t="n">
        <v>8955</v>
      </c>
      <c r="D46" s="7" t="n">
        <v>-18914</v>
      </c>
      <c r="E46" s="5" t="n">
        <v>-67.90000000000001</v>
      </c>
    </row>
    <row r="47">
      <c r="A47" s="5" t="inlineStr">
        <is>
          <t>Lead</t>
        </is>
      </c>
      <c r="B47" s="7" t="n">
        <v>27623</v>
      </c>
      <c r="C47" s="7" t="n">
        <v>13653</v>
      </c>
      <c r="D47" s="7" t="n">
        <v>-13970</v>
      </c>
      <c r="E47" s="5" t="n">
        <v>-50.6</v>
      </c>
    </row>
    <row r="48">
      <c r="A48" s="5" t="inlineStr">
        <is>
          <t>Noise - Helicopter</t>
        </is>
      </c>
      <c r="B48" s="7" t="n">
        <v>21080</v>
      </c>
      <c r="C48" s="7" t="n">
        <v>12019</v>
      </c>
      <c r="D48" s="7" t="n">
        <v>-9061</v>
      </c>
      <c r="E48" s="5" t="n">
        <v>-43</v>
      </c>
    </row>
    <row r="49">
      <c r="A49" s="5" t="inlineStr">
        <is>
          <t>Traffic</t>
        </is>
      </c>
      <c r="B49" s="7" t="n">
        <v>12020</v>
      </c>
      <c r="C49" s="7" t="n">
        <v>8249</v>
      </c>
      <c r="D49" s="7" t="n">
        <v>-3771</v>
      </c>
      <c r="E49" s="5" t="n">
        <v>-31.4</v>
      </c>
    </row>
    <row r="50">
      <c r="A50" s="5" t="inlineStr">
        <is>
          <t>Rodent</t>
        </is>
      </c>
      <c r="B50" s="7" t="n">
        <v>31595</v>
      </c>
      <c r="C50" s="7" t="n">
        <v>22596</v>
      </c>
      <c r="D50" s="7" t="n">
        <v>-8999</v>
      </c>
      <c r="E50" s="5" t="n">
        <v>-28.5</v>
      </c>
    </row>
    <row r="51">
      <c r="A51" s="5" t="inlineStr">
        <is>
          <t>Residential Disposal Complaint</t>
        </is>
      </c>
      <c r="B51" s="7" t="n">
        <v>15740</v>
      </c>
      <c r="C51" s="7" t="n">
        <v>12084</v>
      </c>
      <c r="D51" s="7" t="n">
        <v>-3656</v>
      </c>
      <c r="E51" s="5" t="n">
        <v>-23.2</v>
      </c>
    </row>
    <row r="52">
      <c r="A52" s="5" t="inlineStr">
        <is>
          <t>Missed Collection</t>
        </is>
      </c>
      <c r="B52" s="7" t="n">
        <v>40327</v>
      </c>
      <c r="C52" s="7" t="n">
        <v>32260</v>
      </c>
      <c r="D52" s="7" t="n">
        <v>-8067</v>
      </c>
      <c r="E52" s="5" t="n">
        <v>-20</v>
      </c>
    </row>
    <row r="53">
      <c r="A53" s="5" t="inlineStr">
        <is>
          <t>Derelict Vehicles</t>
        </is>
      </c>
      <c r="B53" s="7" t="n">
        <v>41210</v>
      </c>
      <c r="C53" s="7" t="n">
        <v>33264</v>
      </c>
      <c r="D53" s="7" t="n">
        <v>-7946</v>
      </c>
      <c r="E53" s="5" t="n">
        <v>-19.3</v>
      </c>
    </row>
    <row r="54">
      <c r="A54" s="5" t="inlineStr">
        <is>
          <t>Vendor Enforcement</t>
        </is>
      </c>
      <c r="B54" s="7" t="n">
        <v>26778</v>
      </c>
      <c r="C54" s="7" t="n">
        <v>21999</v>
      </c>
      <c r="D54" s="7" t="n">
        <v>-4779</v>
      </c>
      <c r="E54" s="5" t="n">
        <v>-17.8</v>
      </c>
    </row>
    <row r="55">
      <c r="A55" s="5" t="inlineStr">
        <is>
          <t>Panhandling</t>
        </is>
      </c>
      <c r="B55" s="7" t="n">
        <v>11971</v>
      </c>
      <c r="C55" s="7" t="n">
        <v>10143</v>
      </c>
      <c r="D55" s="7" t="n">
        <v>-1828</v>
      </c>
      <c r="E55" s="5" t="n">
        <v>-15.3</v>
      </c>
    </row>
    <row r="56">
      <c r="A56" s="5" t="inlineStr">
        <is>
          <t>Graffiti</t>
        </is>
      </c>
      <c r="B56" s="7" t="n">
        <v>19153</v>
      </c>
      <c r="C56" s="7" t="n">
        <v>16301</v>
      </c>
      <c r="D56" s="7" t="n">
        <v>-2852</v>
      </c>
      <c r="E56" s="5" t="n">
        <v>-14.9</v>
      </c>
    </row>
    <row r="57">
      <c r="A57" s="5" t="inlineStr">
        <is>
          <t>Homeless Person Assistance</t>
        </is>
      </c>
      <c r="B57" s="7" t="n">
        <v>33965</v>
      </c>
      <c r="C57" s="7" t="n">
        <v>30529</v>
      </c>
      <c r="D57" s="7" t="n">
        <v>-3436</v>
      </c>
      <c r="E57" s="5" t="n">
        <v>-10.1</v>
      </c>
    </row>
    <row r="58">
      <c r="A58" s="5" t="inlineStr">
        <is>
          <t>Illegal Dumping</t>
        </is>
      </c>
      <c r="B58" s="7" t="n">
        <v>36432</v>
      </c>
      <c r="C58" s="7" t="n">
        <v>33295</v>
      </c>
      <c r="D58" s="7" t="n">
        <v>-3137</v>
      </c>
      <c r="E58" s="5" t="n">
        <v>-8.6</v>
      </c>
    </row>
    <row r="59">
      <c r="A59" s="5" t="inlineStr">
        <is>
          <t>Noise - Commercial</t>
        </is>
      </c>
      <c r="B59" s="7" t="n">
        <v>59301</v>
      </c>
      <c r="C59" s="7" t="n">
        <v>54370</v>
      </c>
      <c r="D59" s="7" t="n">
        <v>-4931</v>
      </c>
      <c r="E59" s="5" t="n">
        <v>-8.300000000000001</v>
      </c>
    </row>
    <row r="60">
      <c r="A60" s="5" t="inlineStr">
        <is>
          <t>Water System</t>
        </is>
      </c>
      <c r="B60" s="7" t="n">
        <v>75320</v>
      </c>
      <c r="C60" s="7" t="n">
        <v>69833</v>
      </c>
      <c r="D60" s="7" t="n">
        <v>-5487</v>
      </c>
      <c r="E60" s="5" t="n">
        <v>-7.3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行政区分布</t>
        </is>
      </c>
    </row>
    <row r="3">
      <c r="A3" s="3" t="inlineStr">
        <is>
          <t>各行政区记录总量</t>
        </is>
      </c>
    </row>
    <row r="4">
      <c r="A4" s="4" t="inlineStr">
        <is>
          <t>行政区</t>
        </is>
      </c>
      <c r="B4" s="4" t="inlineStr">
        <is>
          <t>记录数</t>
        </is>
      </c>
      <c r="C4" s="4" t="inlineStr">
        <is>
          <t>占比pct</t>
        </is>
      </c>
    </row>
    <row r="5">
      <c r="A5" s="5" t="inlineStr">
        <is>
          <t>BROOKLYN</t>
        </is>
      </c>
      <c r="B5" s="7" t="n">
        <v>2259561</v>
      </c>
      <c r="C5" s="5" t="n">
        <v>30.03</v>
      </c>
    </row>
    <row r="6">
      <c r="A6" s="5" t="inlineStr">
        <is>
          <t>QUEENS</t>
        </is>
      </c>
      <c r="B6" s="7" t="n">
        <v>1818742</v>
      </c>
      <c r="C6" s="5" t="n">
        <v>24.17</v>
      </c>
    </row>
    <row r="7">
      <c r="A7" s="5" t="inlineStr">
        <is>
          <t>BRONX</t>
        </is>
      </c>
      <c r="B7" s="7" t="n">
        <v>1664397</v>
      </c>
      <c r="C7" s="5" t="n">
        <v>22.12</v>
      </c>
    </row>
    <row r="8">
      <c r="A8" s="5" t="inlineStr">
        <is>
          <t>MANHATTAN</t>
        </is>
      </c>
      <c r="B8" s="7" t="n">
        <v>1487092</v>
      </c>
      <c r="C8" s="5" t="n">
        <v>19.76</v>
      </c>
    </row>
    <row r="9">
      <c r="A9" s="5" t="inlineStr">
        <is>
          <t>STATEN ISLAND</t>
        </is>
      </c>
      <c r="B9" s="7" t="n">
        <v>289375</v>
      </c>
      <c r="C9" s="5" t="n">
        <v>3.85</v>
      </c>
    </row>
    <row r="10">
      <c r="A10" s="5" t="inlineStr">
        <is>
          <t>Unspecified</t>
        </is>
      </c>
      <c r="B10" s="7" t="n">
        <v>6331</v>
      </c>
      <c r="C10" s="5" t="n">
        <v>0.08</v>
      </c>
    </row>
    <row r="12">
      <c r="A12" s="3" t="inlineStr">
        <is>
          <t>行政区 × 六大类型交叉（记录数）</t>
        </is>
      </c>
    </row>
    <row r="13">
      <c r="A13" s="4" t="inlineStr">
        <is>
          <t>投诉类型</t>
        </is>
      </c>
      <c r="B13" s="4" t="inlineStr">
        <is>
          <t>BRONX</t>
        </is>
      </c>
      <c r="C13" s="4" t="inlineStr">
        <is>
          <t>BROOKLYN</t>
        </is>
      </c>
      <c r="D13" s="4" t="inlineStr">
        <is>
          <t>MANHATTAN</t>
        </is>
      </c>
      <c r="E13" s="4" t="inlineStr">
        <is>
          <t>QUEENS</t>
        </is>
      </c>
      <c r="F13" s="4" t="inlineStr">
        <is>
          <t>STATEN ISLAND</t>
        </is>
      </c>
      <c r="G13" s="4" t="inlineStr">
        <is>
          <t>Unspecified</t>
        </is>
      </c>
    </row>
    <row r="14">
      <c r="A14" s="5" t="inlineStr">
        <is>
          <t>Blocked Driveway</t>
        </is>
      </c>
      <c r="B14" s="7" t="n">
        <v>57091</v>
      </c>
      <c r="C14" s="7" t="n">
        <v>131208</v>
      </c>
      <c r="D14" s="7" t="n">
        <v>9200</v>
      </c>
      <c r="E14" s="7" t="n">
        <v>154208</v>
      </c>
      <c r="F14" s="7" t="n">
        <v>10927</v>
      </c>
      <c r="G14" s="7" t="n">
        <v>8</v>
      </c>
    </row>
    <row r="15">
      <c r="A15" s="5" t="inlineStr">
        <is>
          <t>HEAT/HOT WATER</t>
        </is>
      </c>
      <c r="B15" s="7" t="n">
        <v>228475</v>
      </c>
      <c r="C15" s="7" t="n">
        <v>174565</v>
      </c>
      <c r="D15" s="7" t="n">
        <v>156329</v>
      </c>
      <c r="E15" s="7" t="n">
        <v>85284</v>
      </c>
      <c r="F15" s="7" t="n">
        <v>6939</v>
      </c>
      <c r="G15" s="7" t="n">
        <v>2</v>
      </c>
    </row>
    <row r="16">
      <c r="A16" s="5" t="inlineStr">
        <is>
          <t>Illegal Parking</t>
        </is>
      </c>
      <c r="B16" s="7" t="n">
        <v>170265</v>
      </c>
      <c r="C16" s="7" t="n">
        <v>457134</v>
      </c>
      <c r="D16" s="7" t="n">
        <v>135236</v>
      </c>
      <c r="E16" s="7" t="n">
        <v>361713</v>
      </c>
      <c r="F16" s="7" t="n">
        <v>34662</v>
      </c>
      <c r="G16" s="7" t="n">
        <v>43</v>
      </c>
    </row>
    <row r="17">
      <c r="A17" s="5" t="inlineStr">
        <is>
          <t>Noise - Residential</t>
        </is>
      </c>
      <c r="B17" s="7" t="n">
        <v>364122</v>
      </c>
      <c r="C17" s="7" t="n">
        <v>212681</v>
      </c>
      <c r="D17" s="7" t="n">
        <v>130995</v>
      </c>
      <c r="E17" s="7" t="n">
        <v>152354</v>
      </c>
      <c r="F17" s="7" t="n">
        <v>21363</v>
      </c>
      <c r="G17" s="7" t="n">
        <v>33</v>
      </c>
    </row>
    <row r="18">
      <c r="A18" s="5" t="inlineStr">
        <is>
          <t>Street Condition</t>
        </is>
      </c>
      <c r="B18" s="7" t="n">
        <v>19760</v>
      </c>
      <c r="C18" s="7" t="n">
        <v>47212</v>
      </c>
      <c r="D18" s="7" t="n">
        <v>30111</v>
      </c>
      <c r="E18" s="7" t="n">
        <v>73710</v>
      </c>
      <c r="F18" s="7" t="n">
        <v>16416</v>
      </c>
      <c r="G18" s="7" t="n">
        <v>459</v>
      </c>
    </row>
    <row r="19">
      <c r="A19" s="5" t="inlineStr">
        <is>
          <t>UNSANITARY CONDITION</t>
        </is>
      </c>
      <c r="B19" s="7" t="n">
        <v>81616</v>
      </c>
      <c r="C19" s="7" t="n">
        <v>75280</v>
      </c>
      <c r="D19" s="7" t="n">
        <v>52300</v>
      </c>
      <c r="E19" s="7" t="n">
        <v>34841</v>
      </c>
      <c r="F19" s="7" t="n">
        <v>5409</v>
      </c>
      <c r="G19" s="7" t="n">
        <v>0</v>
      </c>
    </row>
    <row r="21">
      <c r="A21" s="3" t="inlineStr">
        <is>
          <t>违停投诉的行政区分布（占违停总数比例）</t>
        </is>
      </c>
    </row>
    <row r="22">
      <c r="A22" s="4" t="inlineStr">
        <is>
          <t>行政区</t>
        </is>
      </c>
      <c r="B22" s="4" t="inlineStr">
        <is>
          <t>记录数</t>
        </is>
      </c>
      <c r="C22" s="4" t="inlineStr">
        <is>
          <t>占比pct</t>
        </is>
      </c>
    </row>
    <row r="23">
      <c r="A23" s="5" t="inlineStr">
        <is>
          <t>BROOKLYN</t>
        </is>
      </c>
      <c r="B23" s="5" t="n">
        <v>457134</v>
      </c>
      <c r="C23" s="5" t="n">
        <v>39.4</v>
      </c>
    </row>
    <row r="24">
      <c r="A24" s="5" t="inlineStr">
        <is>
          <t>QUEENS</t>
        </is>
      </c>
      <c r="B24" s="5" t="n">
        <v>361713</v>
      </c>
      <c r="C24" s="5" t="n">
        <v>31.2</v>
      </c>
    </row>
    <row r="25">
      <c r="A25" s="5" t="inlineStr">
        <is>
          <t>BRONX</t>
        </is>
      </c>
      <c r="B25" s="5" t="n">
        <v>170265</v>
      </c>
      <c r="C25" s="5" t="n">
        <v>14.7</v>
      </c>
    </row>
    <row r="26">
      <c r="A26" s="5" t="inlineStr">
        <is>
          <t>MANHATTAN</t>
        </is>
      </c>
      <c r="B26" s="5" t="n">
        <v>135236</v>
      </c>
      <c r="C26" s="5" t="n">
        <v>11.7</v>
      </c>
    </row>
    <row r="27">
      <c r="A27" s="5" t="inlineStr">
        <is>
          <t>STATEN ISLAND</t>
        </is>
      </c>
      <c r="B27" s="5" t="n">
        <v>34662</v>
      </c>
      <c r="C27" s="5" t="n">
        <v>3</v>
      </c>
    </row>
    <row r="28">
      <c r="A28" s="5" t="inlineStr">
        <is>
          <t>Unspecified</t>
        </is>
      </c>
      <c r="B28" s="5" t="n">
        <v>43</v>
      </c>
      <c r="C28" s="5" t="n">
        <v>0</v>
      </c>
    </row>
    <row r="30">
      <c r="A30" s="2" t="inlineStr">
        <is>
          <t>注：此处为记录数口径，未按人口/面积标准化；布鲁克林、皇后区本身人口与街区密度高，占比高不必然代表『更严重』。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响应时长与处置结构</t>
        </is>
      </c>
    </row>
    <row r="3">
      <c r="A3" s="3" t="inlineStr">
        <is>
          <t>各类型关闭时长（已关闭记录，created→closed，小时）</t>
        </is>
      </c>
    </row>
    <row r="4">
      <c r="A4" s="4" t="inlineStr">
        <is>
          <t>投诉类型</t>
        </is>
      </c>
      <c r="B4" s="4" t="inlineStr">
        <is>
          <t>已关闭记录数</t>
        </is>
      </c>
      <c r="C4" s="4" t="inlineStr">
        <is>
          <t>中位小时</t>
        </is>
      </c>
      <c r="D4" s="4" t="inlineStr">
        <is>
          <t>p90小时</t>
        </is>
      </c>
    </row>
    <row r="5">
      <c r="A5" s="5" t="inlineStr">
        <is>
          <t>Vendor Enforcement</t>
        </is>
      </c>
      <c r="B5" s="7" t="n">
        <v>54273</v>
      </c>
      <c r="C5" s="5" t="n">
        <v>0.4</v>
      </c>
      <c r="D5" s="5" t="n">
        <v>1.4</v>
      </c>
    </row>
    <row r="6">
      <c r="A6" s="5" t="inlineStr">
        <is>
          <t>Noise - Commercial</t>
        </is>
      </c>
      <c r="B6" s="7" t="n">
        <v>126189</v>
      </c>
      <c r="C6" s="5" t="n">
        <v>0.9</v>
      </c>
      <c r="D6" s="5" t="n">
        <v>4.2</v>
      </c>
    </row>
    <row r="7">
      <c r="A7" s="5" t="inlineStr">
        <is>
          <t>Noise - Street/Sidewalk</t>
        </is>
      </c>
      <c r="B7" s="7" t="n">
        <v>349090</v>
      </c>
      <c r="C7" s="5" t="n">
        <v>1</v>
      </c>
      <c r="D7" s="5" t="n">
        <v>4.8</v>
      </c>
    </row>
    <row r="8">
      <c r="A8" s="5" t="inlineStr">
        <is>
          <t>Noise - Vehicle</t>
        </is>
      </c>
      <c r="B8" s="7" t="n">
        <v>92935</v>
      </c>
      <c r="C8" s="5" t="n">
        <v>1</v>
      </c>
      <c r="D8" s="5" t="n">
        <v>4.9</v>
      </c>
    </row>
    <row r="9">
      <c r="A9" s="5" t="inlineStr">
        <is>
          <t>Rodent</t>
        </is>
      </c>
      <c r="B9" s="7" t="n">
        <v>58028</v>
      </c>
      <c r="C9" s="5" t="n">
        <v>1.1</v>
      </c>
      <c r="D9" s="5" t="n">
        <v>264.7</v>
      </c>
    </row>
    <row r="10">
      <c r="A10" s="5" t="inlineStr">
        <is>
          <t>Noise - Residential</t>
        </is>
      </c>
      <c r="B10" s="7" t="n">
        <v>881258</v>
      </c>
      <c r="C10" s="5" t="n">
        <v>1.3</v>
      </c>
      <c r="D10" s="5" t="n">
        <v>7.9</v>
      </c>
    </row>
    <row r="11">
      <c r="A11" s="5" t="inlineStr">
        <is>
          <t>Illegal Parking</t>
        </is>
      </c>
      <c r="B11" s="7" t="n">
        <v>1158814</v>
      </c>
      <c r="C11" s="5" t="n">
        <v>1.5</v>
      </c>
      <c r="D11" s="5" t="n">
        <v>7.2</v>
      </c>
    </row>
    <row r="12">
      <c r="A12" s="5" t="inlineStr">
        <is>
          <t>Encampment</t>
        </is>
      </c>
      <c r="B12" s="7" t="n">
        <v>94168</v>
      </c>
      <c r="C12" s="5" t="n">
        <v>1.8</v>
      </c>
      <c r="D12" s="5" t="n">
        <v>136.7</v>
      </c>
    </row>
    <row r="13">
      <c r="A13" s="5" t="inlineStr">
        <is>
          <t>Blocked Driveway</t>
        </is>
      </c>
      <c r="B13" s="7" t="n">
        <v>362550</v>
      </c>
      <c r="C13" s="5" t="n">
        <v>1.8</v>
      </c>
      <c r="D13" s="5" t="n">
        <v>7.9</v>
      </c>
    </row>
    <row r="14">
      <c r="A14" s="5" t="inlineStr">
        <is>
          <t>Traffic Signal Condition</t>
        </is>
      </c>
      <c r="B14" s="7" t="n">
        <v>104525</v>
      </c>
      <c r="C14" s="5" t="n">
        <v>2.2</v>
      </c>
      <c r="D14" s="5" t="n">
        <v>46.2</v>
      </c>
    </row>
    <row r="15">
      <c r="A15" s="5" t="inlineStr">
        <is>
          <t>Abandoned Vehicle</t>
        </is>
      </c>
      <c r="B15" s="7" t="n">
        <v>139840</v>
      </c>
      <c r="C15" s="5" t="n">
        <v>2.2</v>
      </c>
      <c r="D15" s="5" t="n">
        <v>10.3</v>
      </c>
    </row>
    <row r="16">
      <c r="A16" s="5" t="inlineStr">
        <is>
          <t>Water System</t>
        </is>
      </c>
      <c r="B16" s="7" t="n">
        <v>150238</v>
      </c>
      <c r="C16" s="5" t="n">
        <v>3.3</v>
      </c>
      <c r="D16" s="5" t="n">
        <v>213.8</v>
      </c>
    </row>
    <row r="17">
      <c r="A17" s="5" t="inlineStr">
        <is>
          <t>Homeless Person Assistance</t>
        </is>
      </c>
      <c r="B17" s="7" t="n">
        <v>58056</v>
      </c>
      <c r="C17" s="5" t="n">
        <v>4.9</v>
      </c>
      <c r="D17" s="5" t="n">
        <v>32.8</v>
      </c>
    </row>
    <row r="18">
      <c r="A18" s="5" t="inlineStr">
        <is>
          <t>Derelict Vehicles</t>
        </is>
      </c>
      <c r="B18" s="7" t="n">
        <v>82419</v>
      </c>
      <c r="C18" s="5" t="n">
        <v>21</v>
      </c>
      <c r="D18" s="5" t="n">
        <v>68</v>
      </c>
    </row>
    <row r="19">
      <c r="A19" s="5" t="inlineStr">
        <is>
          <t>Dirty Condition</t>
        </is>
      </c>
      <c r="B19" s="7" t="n">
        <v>126756</v>
      </c>
      <c r="C19" s="5" t="n">
        <v>24.7</v>
      </c>
      <c r="D19" s="5" t="n">
        <v>91.8</v>
      </c>
    </row>
    <row r="20">
      <c r="A20" s="5" t="inlineStr">
        <is>
          <t>Street Condition</t>
        </is>
      </c>
      <c r="B20" s="7" t="n">
        <v>175614</v>
      </c>
      <c r="C20" s="5" t="n">
        <v>27.8</v>
      </c>
      <c r="D20" s="5" t="n">
        <v>213.9</v>
      </c>
    </row>
    <row r="21">
      <c r="A21" s="5" t="inlineStr">
        <is>
          <t>HEAT/HOT WATER</t>
        </is>
      </c>
      <c r="B21" s="7" t="n">
        <v>635311</v>
      </c>
      <c r="C21" s="5" t="n">
        <v>41.8</v>
      </c>
      <c r="D21" s="5" t="n">
        <v>84.2</v>
      </c>
    </row>
    <row r="22">
      <c r="A22" s="5" t="inlineStr">
        <is>
          <t>Snow or Ice</t>
        </is>
      </c>
      <c r="B22" s="7" t="n">
        <v>72634</v>
      </c>
      <c r="C22" s="5" t="n">
        <v>52.8</v>
      </c>
      <c r="D22" s="5" t="n">
        <v>178.7</v>
      </c>
    </row>
    <row r="23">
      <c r="A23" s="5" t="inlineStr">
        <is>
          <t>Missed Collection</t>
        </is>
      </c>
      <c r="B23" s="7" t="n">
        <v>78879</v>
      </c>
      <c r="C23" s="5" t="n">
        <v>53</v>
      </c>
      <c r="D23" s="5" t="n">
        <v>176.3</v>
      </c>
    </row>
    <row r="24">
      <c r="A24" s="5" t="inlineStr">
        <is>
          <t>General Construction/Plumbing</t>
        </is>
      </c>
      <c r="B24" s="7" t="n">
        <v>73848</v>
      </c>
      <c r="C24" s="5" t="n">
        <v>59.5</v>
      </c>
      <c r="D24" s="5" t="n">
        <v>2511.5</v>
      </c>
    </row>
    <row r="25">
      <c r="A25" s="5" t="inlineStr">
        <is>
          <t>Illegal Dumping</t>
        </is>
      </c>
      <c r="B25" s="7" t="n">
        <v>76390</v>
      </c>
      <c r="C25" s="5" t="n">
        <v>63.9</v>
      </c>
      <c r="D25" s="5" t="n">
        <v>208.7</v>
      </c>
    </row>
    <row r="26">
      <c r="A26" s="5" t="inlineStr">
        <is>
          <t>Noise</t>
        </is>
      </c>
      <c r="B26" s="7" t="n">
        <v>114079</v>
      </c>
      <c r="C26" s="5" t="n">
        <v>67.59999999999999</v>
      </c>
      <c r="D26" s="5" t="n">
        <v>227.7</v>
      </c>
    </row>
    <row r="27">
      <c r="A27" s="5" t="inlineStr">
        <is>
          <t>Damaged Tree</t>
        </is>
      </c>
      <c r="B27" s="7" t="n">
        <v>56734</v>
      </c>
      <c r="C27" s="5" t="n">
        <v>84.59999999999999</v>
      </c>
      <c r="D27" s="5" t="n">
        <v>1343.4</v>
      </c>
    </row>
    <row r="28">
      <c r="A28" s="5" t="inlineStr">
        <is>
          <t>ELECTRIC</t>
        </is>
      </c>
      <c r="B28" s="7" t="n">
        <v>61694</v>
      </c>
      <c r="C28" s="5" t="n">
        <v>170</v>
      </c>
      <c r="D28" s="5" t="n">
        <v>1351.3</v>
      </c>
    </row>
    <row r="29">
      <c r="A29" s="5" t="inlineStr">
        <is>
          <t>PAINT/PLASTER</t>
        </is>
      </c>
      <c r="B29" s="7" t="n">
        <v>121509</v>
      </c>
      <c r="C29" s="5" t="n">
        <v>174.6</v>
      </c>
      <c r="D29" s="5" t="n">
        <v>1124.1</v>
      </c>
    </row>
    <row r="30">
      <c r="A30" s="5" t="inlineStr">
        <is>
          <t>Sidewalk Condition</t>
        </is>
      </c>
      <c r="B30" s="7" t="n">
        <v>50108</v>
      </c>
      <c r="C30" s="5" t="n">
        <v>177.5</v>
      </c>
      <c r="D30" s="5" t="n">
        <v>511</v>
      </c>
    </row>
    <row r="31">
      <c r="A31" s="5" t="inlineStr">
        <is>
          <t>PLUMBING</t>
        </is>
      </c>
      <c r="B31" s="7" t="n">
        <v>144202</v>
      </c>
      <c r="C31" s="5" t="n">
        <v>189.9</v>
      </c>
      <c r="D31" s="5" t="n">
        <v>1387.9</v>
      </c>
    </row>
    <row r="32">
      <c r="A32" s="5" t="inlineStr">
        <is>
          <t>Street Light Condition</t>
        </is>
      </c>
      <c r="B32" s="7" t="n">
        <v>60408</v>
      </c>
      <c r="C32" s="5" t="n">
        <v>228.4</v>
      </c>
      <c r="D32" s="5" t="n">
        <v>1444.7</v>
      </c>
    </row>
    <row r="33">
      <c r="A33" s="5" t="inlineStr">
        <is>
          <t>WATER LEAK</t>
        </is>
      </c>
      <c r="B33" s="7" t="n">
        <v>80138</v>
      </c>
      <c r="C33" s="5" t="n">
        <v>243.5</v>
      </c>
      <c r="D33" s="5" t="n">
        <v>1609.4</v>
      </c>
    </row>
    <row r="34">
      <c r="A34" s="5" t="inlineStr">
        <is>
          <t>FLOORING/STAIRS</t>
        </is>
      </c>
      <c r="B34" s="7" t="n">
        <v>54368</v>
      </c>
      <c r="C34" s="5" t="n">
        <v>245.3</v>
      </c>
      <c r="D34" s="5" t="n">
        <v>1366.7</v>
      </c>
    </row>
    <row r="35">
      <c r="A35" s="5" t="inlineStr">
        <is>
          <t>UNSANITARY CONDITION</t>
        </is>
      </c>
      <c r="B35" s="7" t="n">
        <v>237739</v>
      </c>
      <c r="C35" s="5" t="n">
        <v>250.1</v>
      </c>
      <c r="D35" s="5" t="n">
        <v>1385.3</v>
      </c>
    </row>
    <row r="36">
      <c r="A36" s="5" t="inlineStr">
        <is>
          <t>DOOR/WINDOW</t>
        </is>
      </c>
      <c r="B36" s="7" t="n">
        <v>92739</v>
      </c>
      <c r="C36" s="5" t="n">
        <v>288.3</v>
      </c>
      <c r="D36" s="5" t="n">
        <v>1679.7</v>
      </c>
    </row>
    <row r="37">
      <c r="A37" s="5" t="inlineStr">
        <is>
          <t>GENERAL</t>
        </is>
      </c>
      <c r="B37" s="7" t="n">
        <v>69800</v>
      </c>
      <c r="C37" s="5" t="n">
        <v>310.2</v>
      </c>
      <c r="D37" s="5" t="n">
        <v>1820.9</v>
      </c>
    </row>
    <row r="39">
      <c r="A39" s="3" t="inlineStr">
        <is>
          <t>违停投诉处置结构（按 resolution_description 关键词归类）</t>
        </is>
      </c>
    </row>
    <row r="40">
      <c r="A40" s="4" t="inlineStr">
        <is>
          <t>处置结果</t>
        </is>
      </c>
      <c r="B40" s="4" t="inlineStr">
        <is>
          <t>记录数</t>
        </is>
      </c>
      <c r="C40" s="4" t="inlineStr">
        <is>
          <t>占比pct</t>
        </is>
      </c>
    </row>
    <row r="41">
      <c r="A41" s="5" t="inlineStr">
        <is>
          <t>到场未见违规</t>
        </is>
      </c>
      <c r="B41" s="5" t="n">
        <v>395676</v>
      </c>
      <c r="C41" s="5" t="n">
        <v>34.1</v>
      </c>
    </row>
    <row r="42">
      <c r="A42" s="5" t="inlineStr">
        <is>
          <t>开具传票</t>
        </is>
      </c>
      <c r="B42" s="5" t="n">
        <v>260746</v>
      </c>
      <c r="C42" s="5" t="n">
        <v>22.5</v>
      </c>
    </row>
    <row r="43">
      <c r="A43" s="5" t="inlineStr">
        <is>
          <t>判定无需警察行动</t>
        </is>
      </c>
      <c r="B43" s="5" t="n">
        <v>187573</v>
      </c>
      <c r="C43" s="5" t="n">
        <v>16.2</v>
      </c>
    </row>
    <row r="44">
      <c r="A44" s="5" t="inlineStr">
        <is>
          <t>到场时车辆已离开</t>
        </is>
      </c>
      <c r="B44" s="5" t="n">
        <v>156117</v>
      </c>
      <c r="C44" s="5" t="n">
        <v>13.5</v>
      </c>
    </row>
    <row r="45">
      <c r="A45" s="5" t="inlineStr">
        <is>
          <t>到场采取行动</t>
        </is>
      </c>
      <c r="B45" s="5" t="n">
        <v>132649</v>
      </c>
      <c r="C45" s="5" t="n">
        <v>11.4</v>
      </c>
    </row>
    <row r="46">
      <c r="A46" s="5" t="inlineStr">
        <is>
          <t>其他/未说明</t>
        </is>
      </c>
      <c r="B46" s="5" t="n">
        <v>26218</v>
      </c>
      <c r="C46" s="5" t="n">
        <v>2.3</v>
      </c>
    </row>
    <row r="47">
      <c r="A47" s="5" t="inlineStr">
        <is>
          <t>认定存在违规</t>
        </is>
      </c>
      <c r="B47" s="5" t="n">
        <v>74</v>
      </c>
      <c r="C47" s="5" t="n">
        <v>0</v>
      </c>
    </row>
    <row r="49">
      <c r="A49" s="3" t="inlineStr">
        <is>
          <t>供暖投诉两季对比（HEAT/HOT WATER，10月~次年3月）</t>
        </is>
      </c>
    </row>
    <row r="50">
      <c r="A50" s="4" t="inlineStr">
        <is>
          <t>行政区</t>
        </is>
      </c>
      <c r="B50" s="4" t="inlineStr">
        <is>
          <t>供暖季2024_25</t>
        </is>
      </c>
      <c r="C50" s="4" t="inlineStr">
        <is>
          <t>供暖季2025_26</t>
        </is>
      </c>
      <c r="D50" s="4" t="inlineStr">
        <is>
          <t>变化率%</t>
        </is>
      </c>
    </row>
    <row r="51">
      <c r="A51" s="5" t="inlineStr">
        <is>
          <t>BRONX</t>
        </is>
      </c>
      <c r="B51" s="7" t="n">
        <v>93697</v>
      </c>
      <c r="C51" s="7" t="n">
        <v>108085</v>
      </c>
      <c r="D51" s="5" t="n">
        <v>15.4</v>
      </c>
    </row>
    <row r="52">
      <c r="A52" s="5" t="inlineStr">
        <is>
          <t>BROOKLYN</t>
        </is>
      </c>
      <c r="B52" s="7" t="n">
        <v>65922</v>
      </c>
      <c r="C52" s="7" t="n">
        <v>85183</v>
      </c>
      <c r="D52" s="5" t="n">
        <v>29.2</v>
      </c>
    </row>
    <row r="53">
      <c r="A53" s="5" t="inlineStr">
        <is>
          <t>MANHATTAN</t>
        </is>
      </c>
      <c r="B53" s="7" t="n">
        <v>59424</v>
      </c>
      <c r="C53" s="7" t="n">
        <v>74817</v>
      </c>
      <c r="D53" s="5" t="n">
        <v>25.9</v>
      </c>
    </row>
    <row r="54">
      <c r="A54" s="5" t="inlineStr">
        <is>
          <t>QUEENS</t>
        </is>
      </c>
      <c r="B54" s="7" t="n">
        <v>34396</v>
      </c>
      <c r="C54" s="7" t="n">
        <v>41204</v>
      </c>
      <c r="D54" s="5" t="n">
        <v>19.8</v>
      </c>
    </row>
    <row r="55">
      <c r="A55" s="5" t="inlineStr">
        <is>
          <t>STATEN ISLAND</t>
        </is>
      </c>
      <c r="B55" s="7" t="n">
        <v>2701</v>
      </c>
      <c r="C55" s="7" t="n">
        <v>3158</v>
      </c>
      <c r="D55" s="5" t="n">
        <v>16.9</v>
      </c>
    </row>
    <row r="56">
      <c r="A56" s="5" t="inlineStr">
        <is>
          <t>Unspecified</t>
        </is>
      </c>
      <c r="B56" s="7" t="n">
        <v>0</v>
      </c>
      <c r="C56" s="7" t="n">
        <v>1</v>
      </c>
      <c r="D56" s="5" t="n">
        <v/>
      </c>
    </row>
    <row r="58">
      <c r="A58" s="3" t="inlineStr">
        <is>
          <t>冬季除雪类对比（Snow or Ice，12月~次年2月）</t>
        </is>
      </c>
    </row>
    <row r="59">
      <c r="A59" s="4" t="inlineStr">
        <is>
          <t>类型</t>
        </is>
      </c>
      <c r="B59" s="4" t="inlineStr">
        <is>
          <t>冬2024_25</t>
        </is>
      </c>
      <c r="C59" s="4" t="inlineStr">
        <is>
          <t>冬2025_26</t>
        </is>
      </c>
      <c r="D59" s="4" t="inlineStr">
        <is>
          <t>倍数</t>
        </is>
      </c>
    </row>
    <row r="60">
      <c r="A60" s="5" t="inlineStr">
        <is>
          <t>Snow or Ice</t>
        </is>
      </c>
      <c r="B60" s="7" t="n">
        <v>8794</v>
      </c>
      <c r="C60" s="7" t="n">
        <v>63722</v>
      </c>
      <c r="D60" s="5" t="n">
        <v>7.2</v>
      </c>
    </row>
    <row r="62">
      <c r="A62" s="2" t="inlineStr">
        <is>
          <t>注：关闭时长=系统关闭工单的时间差，衡量『处理流程速度』而非『问题彻底解决』；调度型工单到场即关，故中位数很小。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2026-09-16T11:40:02Z</dcterms:created>
  <dcterms:modified xmlns:dcterms="http://purl.org/dc/terms/" xmlns:xsi="http://www.w3.org/2001/XMLSchema-instance" xsi:type="dcterms:W3CDTF">2026-09-16T11:40:03Z</dcterms:modified>
</cp:coreProperties>
</file>