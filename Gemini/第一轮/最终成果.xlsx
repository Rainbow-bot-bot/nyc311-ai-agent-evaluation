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看板与核心结论" sheetId="1" state="visible" r:id="rId1"/>
    <sheet xmlns:r="http://schemas.openxmlformats.org/officeDocument/2006/relationships" name="数据概况与质量审计" sheetId="2" state="visible" r:id="rId2"/>
    <sheet xmlns:r="http://schemas.openxmlformats.org/officeDocument/2006/relationships" name="发现1_超级报告者与地址畸变" sheetId="3" state="visible" r:id="rId3"/>
    <sheet xmlns:r="http://schemas.openxmlformats.org/officeDocument/2006/relationships" name="发现2_供暖危机与空间不平等" sheetId="4" state="visible" r:id="rId4"/>
    <sheet xmlns:r="http://schemas.openxmlformats.org/officeDocument/2006/relationships" name="发现3_违停与噪音时空节律" sheetId="5" state="visible" r:id="rId5"/>
    <sheet xmlns:r="http://schemas.openxmlformats.org/officeDocument/2006/relationships" name="发现4_部门响应与时效画像" sheetId="6" state="visible" r:id="rId6"/>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4">
    <font>
      <name val="Calibri"/>
      <family val="2"/>
      <color theme="1"/>
      <sz val="11"/>
      <scheme val="minor"/>
    </font>
    <font>
      <name val="Segoe UI"/>
      <b val="1"/>
      <color rgb="001F4E79"/>
      <sz val="15"/>
    </font>
    <font>
      <name val="Segoe UI"/>
      <i val="1"/>
      <color rgb="00595959"/>
      <sz val="9"/>
    </font>
    <font>
      <name val="Segoe UI"/>
      <b val="1"/>
      <color rgb="0064748B"/>
      <sz val="8"/>
    </font>
    <font>
      <name val="Segoe UI"/>
      <i val="1"/>
      <color rgb="0094A3B8"/>
      <sz val="7"/>
    </font>
    <font>
      <name val="Segoe UI"/>
      <b val="1"/>
      <color rgb="00059669"/>
      <sz val="15"/>
    </font>
    <font>
      <name val="Segoe UI"/>
      <b val="1"/>
      <color rgb="002563EB"/>
      <sz val="15"/>
    </font>
    <font>
      <name val="Segoe UI"/>
      <b val="1"/>
      <color rgb="00D97706"/>
      <sz val="15"/>
    </font>
    <font>
      <name val="Segoe UI"/>
      <b val="1"/>
      <color rgb="00DC2626"/>
      <sz val="15"/>
    </font>
    <font>
      <name val="Segoe UI"/>
      <b val="1"/>
      <color rgb="001F4E79"/>
      <sz val="11"/>
    </font>
    <font>
      <name val="Segoe UI"/>
      <b val="1"/>
      <color rgb="00FFFFFF"/>
      <sz val="9"/>
    </font>
    <font>
      <name val="Segoe UI"/>
      <color rgb="001F2937"/>
      <sz val="9"/>
    </font>
    <font>
      <name val="Segoe UI"/>
      <b val="1"/>
      <color rgb="001F2937"/>
      <sz val="9"/>
    </font>
    <font>
      <name val="Segoe UI"/>
      <b val="1"/>
      <color rgb="001F4E79"/>
      <sz val="9"/>
    </font>
  </fonts>
  <fills count="9">
    <fill>
      <patternFill/>
    </fill>
    <fill>
      <patternFill patternType="gray125"/>
    </fill>
    <fill>
      <patternFill patternType="solid">
        <fgColor rgb="00F8FAFC"/>
        <bgColor rgb="00F8FAFC"/>
      </patternFill>
    </fill>
    <fill>
      <patternFill patternType="solid">
        <fgColor rgb="001F4E79"/>
        <bgColor rgb="001F4E79"/>
      </patternFill>
    </fill>
    <fill>
      <patternFill patternType="solid">
        <fgColor rgb="00FEF3C7"/>
        <bgColor rgb="00FEF3C7"/>
      </patternFill>
    </fill>
    <fill>
      <patternFill patternType="solid">
        <fgColor rgb="002F5597"/>
        <bgColor rgb="002F5597"/>
      </patternFill>
    </fill>
    <fill>
      <patternFill patternType="solid">
        <fgColor rgb="00E9EEF4"/>
        <bgColor rgb="00E9EEF4"/>
      </patternFill>
    </fill>
    <fill>
      <patternFill patternType="solid">
        <fgColor rgb="00FEE2E2"/>
        <bgColor rgb="00FEE2E2"/>
      </patternFill>
    </fill>
    <fill>
      <patternFill patternType="solid">
        <fgColor rgb="00DEF7EC"/>
        <bgColor rgb="00DEF7EC"/>
      </patternFill>
    </fill>
  </fills>
  <borders count="28">
    <border>
      <left/>
      <right/>
      <top/>
      <bottom/>
      <diagonal/>
    </border>
    <border>
      <left style="medium">
        <color rgb="001F4E79"/>
      </left>
      <right style="thin">
        <color rgb="00D1D5DB"/>
      </right>
      <top style="thin">
        <color rgb="00CBD5E1"/>
      </top>
      <bottom style="thin">
        <color rgb="00D1D5DB"/>
      </bottom>
    </border>
    <border>
      <left style="thin">
        <color rgb="00D1D5DB"/>
      </left>
      <right style="thin">
        <color rgb="00CBD5E1"/>
      </right>
      <top style="thin">
        <color rgb="00CBD5E1"/>
      </top>
      <bottom style="thin">
        <color rgb="00D1D5DB"/>
      </bottom>
    </border>
    <border>
      <left style="medium">
        <color rgb="001F4E79"/>
      </left>
      <right style="thin">
        <color rgb="00D1D5DB"/>
      </right>
      <top style="thin">
        <color rgb="00D1D5DB"/>
      </top>
      <bottom style="thin">
        <color rgb="00D1D5DB"/>
      </bottom>
    </border>
    <border>
      <left style="thin">
        <color rgb="00D1D5DB"/>
      </left>
      <right style="thin">
        <color rgb="00CBD5E1"/>
      </right>
      <top style="thin">
        <color rgb="00D1D5DB"/>
      </top>
      <bottom style="thin">
        <color rgb="00D1D5DB"/>
      </bottom>
    </border>
    <border>
      <left style="medium">
        <color rgb="001F4E79"/>
      </left>
      <right style="thin">
        <color rgb="00D1D5DB"/>
      </right>
      <top style="thin">
        <color rgb="00D1D5DB"/>
      </top>
      <bottom style="thin">
        <color rgb="00CBD5E1"/>
      </bottom>
    </border>
    <border>
      <left style="thin">
        <color rgb="00D1D5DB"/>
      </left>
      <right style="thin">
        <color rgb="00CBD5E1"/>
      </right>
      <top style="thin">
        <color rgb="00D1D5DB"/>
      </top>
      <bottom style="thin">
        <color rgb="00CBD5E1"/>
      </bottom>
    </border>
    <border>
      <left/>
      <right/>
      <top style="thin">
        <color rgb="00CBD5E1"/>
      </top>
      <bottom/>
      <diagonal/>
    </border>
    <border>
      <left/>
      <right style="thin">
        <color rgb="00D1D5DB"/>
      </right>
      <top style="thin">
        <color rgb="00CBD5E1"/>
      </top>
      <bottom/>
      <diagonal/>
    </border>
    <border>
      <left/>
      <right style="thin">
        <color rgb="00D1D5DB"/>
      </right>
      <top style="thin">
        <color rgb="00CBD5E1"/>
      </top>
      <bottom style="thin">
        <color rgb="00D1D5DB"/>
      </bottom>
      <diagonal/>
    </border>
    <border>
      <left/>
      <right/>
      <top style="thin">
        <color rgb="00D1D5DB"/>
      </top>
      <bottom/>
      <diagonal/>
    </border>
    <border>
      <left/>
      <right style="thin">
        <color rgb="00D1D5DB"/>
      </right>
      <top style="thin">
        <color rgb="00D1D5DB"/>
      </top>
      <bottom/>
      <diagonal/>
    </border>
    <border>
      <left/>
      <right style="thin">
        <color rgb="00D1D5DB"/>
      </right>
      <top style="thin">
        <color rgb="00D1D5DB"/>
      </top>
      <bottom style="thin">
        <color rgb="00D1D5DB"/>
      </bottom>
      <diagonal/>
    </border>
    <border>
      <left/>
      <right style="thin">
        <color rgb="00D1D5DB"/>
      </right>
      <top style="thin">
        <color rgb="00D1D5DB"/>
      </top>
      <bottom style="thin">
        <color rgb="00CBD5E1"/>
      </bottom>
      <diagonal/>
    </border>
    <border>
      <left style="medium">
        <color rgb="00059669"/>
      </left>
      <right style="thin">
        <color rgb="00D1D5DB"/>
      </right>
      <top style="thin">
        <color rgb="00CBD5E1"/>
      </top>
      <bottom style="thin">
        <color rgb="00D1D5DB"/>
      </bottom>
    </border>
    <border>
      <left style="medium">
        <color rgb="00059669"/>
      </left>
      <right style="thin">
        <color rgb="00D1D5DB"/>
      </right>
      <top style="thin">
        <color rgb="00D1D5DB"/>
      </top>
      <bottom style="thin">
        <color rgb="00D1D5DB"/>
      </bottom>
    </border>
    <border>
      <left style="medium">
        <color rgb="00059669"/>
      </left>
      <right style="thin">
        <color rgb="00D1D5DB"/>
      </right>
      <top style="thin">
        <color rgb="00D1D5DB"/>
      </top>
      <bottom style="thin">
        <color rgb="00CBD5E1"/>
      </bottom>
    </border>
    <border>
      <left style="medium">
        <color rgb="002563EB"/>
      </left>
      <right style="thin">
        <color rgb="00D1D5DB"/>
      </right>
      <top style="thin">
        <color rgb="00CBD5E1"/>
      </top>
      <bottom style="thin">
        <color rgb="00D1D5DB"/>
      </bottom>
    </border>
    <border>
      <left style="medium">
        <color rgb="002563EB"/>
      </left>
      <right style="thin">
        <color rgb="00D1D5DB"/>
      </right>
      <top style="thin">
        <color rgb="00D1D5DB"/>
      </top>
      <bottom style="thin">
        <color rgb="00D1D5DB"/>
      </bottom>
    </border>
    <border>
      <left style="medium">
        <color rgb="002563EB"/>
      </left>
      <right style="thin">
        <color rgb="00D1D5DB"/>
      </right>
      <top style="thin">
        <color rgb="00D1D5DB"/>
      </top>
      <bottom style="thin">
        <color rgb="00CBD5E1"/>
      </bottom>
    </border>
    <border>
      <left style="medium">
        <color rgb="00D97706"/>
      </left>
      <right style="thin">
        <color rgb="00D1D5DB"/>
      </right>
      <top style="thin">
        <color rgb="00CBD5E1"/>
      </top>
      <bottom style="thin">
        <color rgb="00D1D5DB"/>
      </bottom>
    </border>
    <border>
      <left style="medium">
        <color rgb="00D97706"/>
      </left>
      <right style="thin">
        <color rgb="00D1D5DB"/>
      </right>
      <top style="thin">
        <color rgb="00D1D5DB"/>
      </top>
      <bottom style="thin">
        <color rgb="00D1D5DB"/>
      </bottom>
    </border>
    <border>
      <left style="medium">
        <color rgb="00D97706"/>
      </left>
      <right style="thin">
        <color rgb="00D1D5DB"/>
      </right>
      <top style="thin">
        <color rgb="00D1D5DB"/>
      </top>
      <bottom style="thin">
        <color rgb="00CBD5E1"/>
      </bottom>
    </border>
    <border>
      <left style="medium">
        <color rgb="00DC2626"/>
      </left>
      <right style="thin">
        <color rgb="00D1D5DB"/>
      </right>
      <top style="thin">
        <color rgb="00CBD5E1"/>
      </top>
      <bottom style="thin">
        <color rgb="00D1D5DB"/>
      </bottom>
    </border>
    <border>
      <left style="medium">
        <color rgb="00DC2626"/>
      </left>
      <right style="thin">
        <color rgb="00D1D5DB"/>
      </right>
      <top style="thin">
        <color rgb="00D1D5DB"/>
      </top>
      <bottom style="thin">
        <color rgb="00D1D5DB"/>
      </bottom>
    </border>
    <border>
      <left style="medium">
        <color rgb="00DC2626"/>
      </left>
      <right style="thin">
        <color rgb="00D1D5DB"/>
      </right>
      <top style="thin">
        <color rgb="00D1D5DB"/>
      </top>
      <bottom style="thin">
        <color rgb="00CBD5E1"/>
      </bottom>
    </border>
    <border>
      <left style="thin">
        <color rgb="00D1D5DB"/>
      </left>
      <right style="thin">
        <color rgb="00D1D5DB"/>
      </right>
      <top style="thin">
        <color rgb="00D1D5DB"/>
      </top>
      <bottom style="thin">
        <color rgb="00D1D5DB"/>
      </bottom>
    </border>
    <border>
      <left style="thin">
        <color rgb="00D1D5DB"/>
      </left>
      <right style="thin">
        <color rgb="00D1D5DB"/>
      </right>
      <top style="thin">
        <color rgb="001F4E79"/>
      </top>
      <bottom style="double">
        <color rgb="001F4E79"/>
      </bottom>
    </border>
  </borders>
  <cellStyleXfs count="1">
    <xf numFmtId="0" fontId="0" fillId="0" borderId="0"/>
  </cellStyleXfs>
  <cellXfs count="7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0" fillId="0" borderId="9" pivotButton="0" quotePrefix="0" xfId="0"/>
    <xf numFmtId="0" fontId="3" fillId="2" borderId="14" applyAlignment="1" pivotButton="0" quotePrefix="0" xfId="0">
      <alignment horizontal="center" vertical="center"/>
    </xf>
    <xf numFmtId="0" fontId="3" fillId="2" borderId="17" applyAlignment="1" pivotButton="0" quotePrefix="0" xfId="0">
      <alignment horizontal="center" vertical="center"/>
    </xf>
    <xf numFmtId="0" fontId="3" fillId="2" borderId="20" applyAlignment="1" pivotButton="0" quotePrefix="0" xfId="0">
      <alignment horizontal="center" vertical="center"/>
    </xf>
    <xf numFmtId="0" fontId="3" fillId="2" borderId="23" applyAlignment="1" pivotButton="0" quotePrefix="0" xfId="0">
      <alignment horizontal="center" vertical="center"/>
    </xf>
    <xf numFmtId="0" fontId="1" fillId="2" borderId="3" applyAlignment="1" pivotButton="0" quotePrefix="0" xfId="0">
      <alignment horizontal="center" vertical="center"/>
    </xf>
    <xf numFmtId="0" fontId="0" fillId="0" borderId="12" pivotButton="0" quotePrefix="0" xfId="0"/>
    <xf numFmtId="0" fontId="5" fillId="2" borderId="15" applyAlignment="1" pivotButton="0" quotePrefix="0" xfId="0">
      <alignment horizontal="center" vertical="center"/>
    </xf>
    <xf numFmtId="0" fontId="6" fillId="2" borderId="18" applyAlignment="1" pivotButton="0" quotePrefix="0" xfId="0">
      <alignment horizontal="center" vertical="center"/>
    </xf>
    <xf numFmtId="0" fontId="7" fillId="2" borderId="21" applyAlignment="1" pivotButton="0" quotePrefix="0" xfId="0">
      <alignment horizontal="center" vertical="center"/>
    </xf>
    <xf numFmtId="0" fontId="8" fillId="2" borderId="24" applyAlignment="1" pivotButton="0" quotePrefix="0" xfId="0">
      <alignment horizontal="center" vertical="center"/>
    </xf>
    <xf numFmtId="0" fontId="4" fillId="2" borderId="5" applyAlignment="1" pivotButton="0" quotePrefix="0" xfId="0">
      <alignment horizontal="center" vertical="center"/>
    </xf>
    <xf numFmtId="0" fontId="0" fillId="0" borderId="13" pivotButton="0" quotePrefix="0" xfId="0"/>
    <xf numFmtId="0" fontId="4" fillId="2" borderId="16" applyAlignment="1" pivotButton="0" quotePrefix="0" xfId="0">
      <alignment horizontal="center" vertical="center"/>
    </xf>
    <xf numFmtId="0" fontId="4" fillId="2" borderId="19" applyAlignment="1" pivotButton="0" quotePrefix="0" xfId="0">
      <alignment horizontal="center" vertical="center"/>
    </xf>
    <xf numFmtId="0" fontId="4" fillId="2" borderId="22" applyAlignment="1" pivotButton="0" quotePrefix="0" xfId="0">
      <alignment horizontal="center" vertical="center"/>
    </xf>
    <xf numFmtId="0" fontId="4" fillId="2" borderId="25" applyAlignment="1" pivotButton="0" quotePrefix="0" xfId="0">
      <alignment horizontal="center" vertical="center"/>
    </xf>
    <xf numFmtId="0" fontId="9" fillId="0" borderId="0" pivotButton="0" quotePrefix="0" xfId="0"/>
    <xf numFmtId="0" fontId="10" fillId="3" borderId="26" applyAlignment="1" pivotButton="0" quotePrefix="0" xfId="0">
      <alignment horizontal="center" vertical="center"/>
    </xf>
    <xf numFmtId="0" fontId="12" fillId="4" borderId="26" applyAlignment="1" pivotButton="0" quotePrefix="0" xfId="0">
      <alignment horizontal="center" vertical="center"/>
    </xf>
    <xf numFmtId="0" fontId="11" fillId="0" borderId="26" applyAlignment="1" pivotButton="0" quotePrefix="0" xfId="0">
      <alignment horizontal="left" vertical="center" wrapText="1"/>
    </xf>
    <xf numFmtId="0" fontId="11" fillId="2" borderId="26" applyAlignment="1" pivotButton="0" quotePrefix="0" xfId="0">
      <alignment horizontal="left" vertical="center" wrapText="1"/>
    </xf>
    <xf numFmtId="0" fontId="10" fillId="5" borderId="26" applyAlignment="1" pivotButton="0" quotePrefix="0" xfId="0">
      <alignment horizontal="center" vertical="center"/>
    </xf>
    <xf numFmtId="0" fontId="11" fillId="2" borderId="26" applyAlignment="1" pivotButton="0" quotePrefix="0" xfId="0">
      <alignment horizontal="center" vertical="center"/>
    </xf>
    <xf numFmtId="0" fontId="11" fillId="0" borderId="26" applyAlignment="1" pivotButton="0" quotePrefix="0" xfId="0">
      <alignment horizontal="center" vertical="center"/>
    </xf>
    <xf numFmtId="3" fontId="11" fillId="0" borderId="26" applyAlignment="1" pivotButton="0" quotePrefix="0" xfId="0">
      <alignment horizontal="right" vertical="center"/>
    </xf>
    <xf numFmtId="0" fontId="11" fillId="0" borderId="26" applyAlignment="1" pivotButton="0" quotePrefix="0" xfId="0">
      <alignment horizontal="left" vertical="center"/>
    </xf>
    <xf numFmtId="4" fontId="11" fillId="2" borderId="26" applyAlignment="1" pivotButton="0" quotePrefix="0" xfId="0">
      <alignment horizontal="right" vertical="center"/>
    </xf>
    <xf numFmtId="0" fontId="11" fillId="2" borderId="26" applyAlignment="1" pivotButton="0" quotePrefix="0" xfId="0">
      <alignment horizontal="left" vertical="center"/>
    </xf>
    <xf numFmtId="3" fontId="11" fillId="2" borderId="26" applyAlignment="1" pivotButton="0" quotePrefix="0" xfId="0">
      <alignment horizontal="right" vertical="center"/>
    </xf>
    <xf numFmtId="4" fontId="11" fillId="0" borderId="26" applyAlignment="1" pivotButton="0" quotePrefix="0" xfId="0">
      <alignment horizontal="right" vertical="center"/>
    </xf>
    <xf numFmtId="10" fontId="11" fillId="2" borderId="26" applyAlignment="1" pivotButton="0" quotePrefix="0" xfId="0">
      <alignment horizontal="right" vertical="center"/>
    </xf>
    <xf numFmtId="164" fontId="11" fillId="2" borderId="26" applyAlignment="1" pivotButton="0" quotePrefix="0" xfId="0">
      <alignment horizontal="right" vertical="center"/>
    </xf>
    <xf numFmtId="10" fontId="11" fillId="0" borderId="26" applyAlignment="1" pivotButton="0" quotePrefix="0" xfId="0">
      <alignment horizontal="right" vertical="center"/>
    </xf>
    <xf numFmtId="164" fontId="11" fillId="0" borderId="26" applyAlignment="1" pivotButton="0" quotePrefix="0" xfId="0">
      <alignment horizontal="right" vertical="center"/>
    </xf>
    <xf numFmtId="0" fontId="13" fillId="6" borderId="27" applyAlignment="1" pivotButton="0" quotePrefix="0" xfId="0">
      <alignment horizontal="center" vertical="center"/>
    </xf>
    <xf numFmtId="3" fontId="13" fillId="6" borderId="27" applyAlignment="1" pivotButton="0" quotePrefix="0" xfId="0">
      <alignment horizontal="right" vertical="center"/>
    </xf>
    <xf numFmtId="10" fontId="13" fillId="6" borderId="27" applyAlignment="1" pivotButton="0" quotePrefix="0" xfId="0">
      <alignment horizontal="right" vertical="center"/>
    </xf>
    <xf numFmtId="164" fontId="13" fillId="6" borderId="27" applyAlignment="1" pivotButton="0" quotePrefix="0" xfId="0">
      <alignment horizontal="right" vertical="center"/>
    </xf>
    <xf numFmtId="0" fontId="13" fillId="6" borderId="27" pivotButton="0" quotePrefix="0" xfId="0"/>
    <xf numFmtId="10" fontId="11" fillId="7" borderId="26" applyAlignment="1" pivotButton="0" quotePrefix="0" xfId="0">
      <alignment horizontal="right" vertical="center"/>
    </xf>
    <xf numFmtId="0" fontId="12" fillId="7" borderId="26" applyAlignment="1" pivotButton="0" quotePrefix="0" xfId="0">
      <alignment horizontal="left" vertical="center"/>
    </xf>
    <xf numFmtId="3" fontId="12" fillId="7" borderId="26" applyAlignment="1" pivotButton="0" quotePrefix="0" xfId="0">
      <alignment horizontal="right" vertical="center"/>
    </xf>
    <xf numFmtId="165" fontId="11" fillId="0" borderId="26" applyAlignment="1" pivotButton="0" quotePrefix="0" xfId="0">
      <alignment horizontal="right" vertical="center"/>
    </xf>
    <xf numFmtId="165" fontId="11" fillId="2" borderId="26" applyAlignment="1" pivotButton="0" quotePrefix="0" xfId="0">
      <alignment horizontal="right" vertical="center"/>
    </xf>
    <xf numFmtId="10" fontId="12" fillId="7" borderId="26" applyAlignment="1" pivotButton="0" quotePrefix="0" xfId="0">
      <alignment horizontal="right" vertical="center"/>
    </xf>
    <xf numFmtId="164" fontId="12" fillId="7" borderId="26" applyAlignment="1" pivotButton="0" quotePrefix="0" xfId="0">
      <alignment horizontal="right" vertical="center"/>
    </xf>
    <xf numFmtId="0" fontId="13" fillId="6" borderId="27" applyAlignment="1" pivotButton="0" quotePrefix="0" xfId="0">
      <alignment horizontal="right" vertical="center"/>
    </xf>
    <xf numFmtId="0" fontId="11" fillId="7" borderId="26" applyAlignment="1" pivotButton="0" quotePrefix="0" xfId="0">
      <alignment horizontal="left" vertical="center"/>
    </xf>
    <xf numFmtId="165" fontId="11" fillId="7" borderId="26" applyAlignment="1" pivotButton="0" quotePrefix="0" xfId="0">
      <alignment horizontal="right" vertical="center"/>
    </xf>
    <xf numFmtId="0" fontId="12" fillId="4" borderId="26" applyAlignment="1" pivotButton="0" quotePrefix="0" xfId="0">
      <alignment horizontal="left" vertical="center"/>
    </xf>
    <xf numFmtId="3" fontId="12" fillId="0" borderId="26" applyAlignment="1" pivotButton="0" quotePrefix="0" xfId="0">
      <alignment horizontal="right" vertical="center"/>
    </xf>
    <xf numFmtId="165" fontId="12" fillId="4" borderId="26" applyAlignment="1" pivotButton="0" quotePrefix="0" xfId="0">
      <alignment horizontal="right" vertical="center"/>
    </xf>
    <xf numFmtId="0" fontId="12" fillId="0" borderId="26" applyAlignment="1" pivotButton="0" quotePrefix="0" xfId="0">
      <alignment horizontal="center" vertical="center"/>
    </xf>
    <xf numFmtId="0" fontId="12" fillId="0" borderId="26" applyAlignment="1" pivotButton="0" quotePrefix="0" xfId="0">
      <alignment horizontal="left" vertical="center"/>
    </xf>
    <xf numFmtId="165" fontId="12" fillId="7" borderId="26" applyAlignment="1" pivotButton="0" quotePrefix="0" xfId="0">
      <alignment horizontal="right" vertical="center"/>
    </xf>
    <xf numFmtId="165" fontId="13" fillId="6" borderId="27" applyAlignment="1" pivotButton="0" quotePrefix="0" xfId="0">
      <alignment horizontal="right" vertical="center"/>
    </xf>
    <xf numFmtId="0" fontId="12" fillId="7" borderId="26" applyAlignment="1" pivotButton="0" quotePrefix="0" xfId="0">
      <alignment horizontal="center" vertical="center"/>
    </xf>
    <xf numFmtId="166" fontId="12" fillId="7" borderId="26" applyAlignment="1" pivotButton="0" quotePrefix="0" xfId="0">
      <alignment horizontal="right" vertical="center"/>
    </xf>
    <xf numFmtId="166" fontId="11" fillId="2" borderId="26" applyAlignment="1" pivotButton="0" quotePrefix="0" xfId="0">
      <alignment horizontal="right" vertical="center"/>
    </xf>
    <xf numFmtId="166" fontId="11" fillId="0" borderId="26" applyAlignment="1" pivotButton="0" quotePrefix="0" xfId="0">
      <alignment horizontal="right" vertical="center"/>
    </xf>
    <xf numFmtId="166" fontId="13" fillId="6" borderId="27" applyAlignment="1" pivotButton="0" quotePrefix="0" xfId="0">
      <alignment horizontal="right" vertical="center"/>
    </xf>
    <xf numFmtId="165" fontId="12" fillId="2" borderId="26" applyAlignment="1" pivotButton="0" quotePrefix="0" xfId="0">
      <alignment horizontal="right" vertical="center"/>
    </xf>
    <xf numFmtId="0" fontId="11" fillId="4" borderId="26" applyAlignment="1" pivotButton="0" quotePrefix="0" xfId="0">
      <alignment horizontal="center" vertical="center"/>
    </xf>
    <xf numFmtId="10" fontId="12" fillId="2" borderId="26" applyAlignment="1" pivotButton="0" quotePrefix="0" xfId="0">
      <alignment horizontal="right" vertical="center"/>
    </xf>
    <xf numFmtId="0" fontId="12" fillId="8" borderId="26" applyAlignment="1" pivotButton="0" quotePrefix="0" xfId="0">
      <alignment horizontal="center" vertical="center"/>
    </xf>
    <xf numFmtId="166" fontId="11" fillId="8" borderId="26" applyAlignment="1" pivotButton="0" quotePrefix="0" xfId="0">
      <alignment horizontal="right" vertical="center"/>
    </xf>
    <xf numFmtId="0" fontId="12" fillId="2" borderId="26" applyAlignment="1" pivotButton="0" quotePrefix="0" xfId="0">
      <alignment horizontal="center" vertical="center"/>
    </xf>
    <xf numFmtId="166" fontId="11" fillId="7" borderId="26" applyAlignment="1" pivotButton="0" quotePrefix="0" xfId="0">
      <alignment horizontal="right" vertical="center"/>
    </xf>
    <xf numFmtId="0" fontId="12" fillId="2" borderId="26"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全市工单投诉量最高的前 10 个地址 (件)</a:t>
            </a:r>
          </a:p>
        </rich>
      </tx>
    </title>
    <plotArea>
      <barChart>
        <barDir val="col"/>
        <grouping val="clustered"/>
        <ser>
          <idx val="0"/>
          <order val="0"/>
          <tx>
            <strRef>
              <f>'发现1_超级报告者与地址畸变'!E5</f>
            </strRef>
          </tx>
          <spPr>
            <a:ln xmlns:a="http://schemas.openxmlformats.org/drawingml/2006/main">
              <a:prstDash val="solid"/>
            </a:ln>
          </spPr>
          <cat>
            <numRef>
              <f>'发现1_超级报告者与地址畸变'!$B$6:$B$15</f>
            </numRef>
          </cat>
          <val>
            <numRef>
              <f>'发现1_超级报告者与地址畸变'!$E$6:$E$15</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事发门牌地址</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工单总量 (件)</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13"/>
  <chart>
    <title>
      <tx>
        <rich>
          <a:bodyPr xmlns:a="http://schemas.openxmlformats.org/drawingml/2006/main"/>
          <a:p xmlns:a="http://schemas.openxmlformats.org/drawingml/2006/main">
            <a:pPr>
              <a:defRPr/>
            </a:pPr>
            <a:r>
              <a:t>全市月度供暖与热水诉求总量走势 (2024.09 - 2026.09)</a:t>
            </a:r>
          </a:p>
        </rich>
      </tx>
    </title>
    <plotArea>
      <lineChart>
        <grouping val="standard"/>
        <ser>
          <idx val="0"/>
          <order val="0"/>
          <tx>
            <strRef>
              <f>'发现2_供暖危机与空间不平等'!C5</f>
            </strRef>
          </tx>
          <spPr>
            <a:ln xmlns:a="http://schemas.openxmlformats.org/drawingml/2006/main">
              <a:prstDash val="solid"/>
            </a:ln>
          </spPr>
          <marker>
            <symbol val="none"/>
            <spPr>
              <a:ln xmlns:a="http://schemas.openxmlformats.org/drawingml/2006/main">
                <a:prstDash val="solid"/>
              </a:ln>
            </spPr>
          </marker>
          <cat>
            <numRef>
              <f>'发现2_供暖危机与空间不平等'!$A$6:$A$30</f>
            </numRef>
          </cat>
          <val>
            <numRef>
              <f>'发现2_供暖危机与空间不平等'!$C$6:$C$30</f>
            </numRef>
          </val>
        </ser>
        <axId val="10"/>
        <axId val="100"/>
      </lineChart>
      <catAx>
        <axId val="10"/>
        <scaling>
          <orientation val="minMax"/>
        </scaling>
        <axPos val="l"/>
        <title>
          <tx>
            <rich>
              <a:bodyPr xmlns:a="http://schemas.openxmlformats.org/drawingml/2006/main"/>
              <a:p xmlns:a="http://schemas.openxmlformats.org/drawingml/2006/main">
                <a:pPr>
                  <a:defRPr/>
                </a:pPr>
                <a:r>
                  <a:t>年月</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工单数量 (件)</a:t>
                </a:r>
              </a:p>
            </rich>
          </tx>
        </title>
        <majorTickMark val="none"/>
        <minorTickMark val="none"/>
        <crossAx val="10"/>
      </valAx>
    </plotArea>
    <plotVisOnly val="1"/>
    <dispBlanksAs val="gap"/>
  </chart>
</chartSpace>
</file>

<file path=xl/charts/chart3.xml><?xml version="1.0" encoding="utf-8"?>
<chartSpace xmlns="http://schemas.openxmlformats.org/drawingml/2006/chart">
  <style val="11"/>
  <chart>
    <title>
      <tx>
        <rich>
          <a:bodyPr xmlns:a="http://schemas.openxmlformats.org/drawingml/2006/main"/>
          <a:p xmlns:a="http://schemas.openxmlformats.org/drawingml/2006/main">
            <a:pPr>
              <a:defRPr/>
            </a:pPr>
            <a:r>
              <a:t>城市运行 24 小时昼夜双峰交错对比 (噪音 vs 违停)</a:t>
            </a:r>
          </a:p>
        </rich>
      </tx>
    </title>
    <plotArea>
      <lineChart>
        <grouping val="standard"/>
        <ser>
          <idx val="0"/>
          <order val="0"/>
          <tx>
            <strRef>
              <f>'发现3_违停与噪音时空节律'!C5</f>
            </strRef>
          </tx>
          <spPr>
            <a:ln xmlns:a="http://schemas.openxmlformats.org/drawingml/2006/main">
              <a:prstDash val="solid"/>
            </a:ln>
          </spPr>
          <marker>
            <symbol val="none"/>
            <spPr>
              <a:ln xmlns:a="http://schemas.openxmlformats.org/drawingml/2006/main">
                <a:prstDash val="solid"/>
              </a:ln>
            </spPr>
          </marker>
          <cat>
            <numRef>
              <f>'发现3_违停与噪音时空节律'!$A$6:$A$29</f>
            </numRef>
          </cat>
          <val>
            <numRef>
              <f>'发现3_违停与噪音时空节律'!$C$6:$C$29</f>
            </numRef>
          </val>
        </ser>
        <ser>
          <idx val="1"/>
          <order val="1"/>
          <tx>
            <strRef>
              <f>'发现3_违停与噪音时空节律'!D5</f>
            </strRef>
          </tx>
          <spPr>
            <a:ln xmlns:a="http://schemas.openxmlformats.org/drawingml/2006/main">
              <a:prstDash val="solid"/>
            </a:ln>
          </spPr>
          <marker>
            <symbol val="none"/>
            <spPr>
              <a:ln xmlns:a="http://schemas.openxmlformats.org/drawingml/2006/main">
                <a:prstDash val="solid"/>
              </a:ln>
            </spPr>
          </marker>
          <cat>
            <numRef>
              <f>'发现3_违停与噪音时空节律'!$A$6:$A$29</f>
            </numRef>
          </cat>
          <val>
            <numRef>
              <f>'发现3_违停与噪音时空节律'!$D$6:$D$29</f>
            </numRef>
          </val>
        </ser>
        <axId val="10"/>
        <axId val="100"/>
      </lineChart>
      <catAx>
        <axId val="10"/>
        <scaling>
          <orientation val="minMax"/>
        </scaling>
        <axPos val="l"/>
        <title>
          <tx>
            <rich>
              <a:bodyPr xmlns:a="http://schemas.openxmlformats.org/drawingml/2006/main"/>
              <a:p xmlns:a="http://schemas.openxmlformats.org/drawingml/2006/main">
                <a:pPr>
                  <a:defRPr/>
                </a:pPr>
                <a:r>
                  <a:t>时段 (小时)</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工单数量 (件)</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各部门工单处置耗时中位数对比 (小时)</a:t>
            </a:r>
          </a:p>
        </rich>
      </tx>
    </title>
    <plotArea>
      <barChart>
        <barDir val="bar"/>
        <grouping val="clustered"/>
        <ser>
          <idx val="0"/>
          <order val="0"/>
          <tx>
            <strRef>
              <f>'发现4_部门响应与时效画像'!F5</f>
            </strRef>
          </tx>
          <spPr>
            <a:ln xmlns:a="http://schemas.openxmlformats.org/drawingml/2006/main">
              <a:prstDash val="solid"/>
            </a:ln>
          </spPr>
          <cat>
            <numRef>
              <f>'发现4_部门响应与时效画像'!$A$6:$A$16</f>
            </numRef>
          </cat>
          <val>
            <numRef>
              <f>'发现4_部门响应与时效画像'!$F$6:$F$16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耗时中位数 (小时)</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承办部门代码</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drawing1.xml><?xml version="1.0" encoding="utf-8"?>
<wsDr xmlns="http://schemas.openxmlformats.org/drawingml/2006/spreadsheetDrawing">
  <oneCellAnchor>
    <from>
      <col>4</col>
      <colOff>0</colOff>
      <row>43</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7</col>
      <colOff>0</colOff>
      <row>4</row>
      <rowOff>0</rowOff>
    </from>
    <ext cx="68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7</col>
      <colOff>0</colOff>
      <row>4</row>
      <rowOff>0</rowOff>
    </from>
    <ext cx="68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8</col>
      <colOff>0</colOff>
      <row>23</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J21"/>
  <sheetViews>
    <sheetView showGridLines="1" workbookViewId="0">
      <selection activeCell="A1" sqref="A1"/>
    </sheetView>
  </sheetViews>
  <sheetFormatPr baseColWidth="8" defaultRowHeight="15"/>
  <cols>
    <col width="12" customWidth="1" min="1" max="1"/>
    <col width="24" customWidth="1" min="2" max="2"/>
    <col width="46" customWidth="1" min="3" max="3"/>
    <col width="38" customWidth="1" min="4" max="4"/>
    <col width="38" customWidth="1" min="5" max="5"/>
  </cols>
  <sheetData>
    <row r="1" ht="28" customHeight="1">
      <c r="A1" s="1" t="inlineStr">
        <is>
          <t>纽约市 311 城市治理大数据分析总览与核心决策看板 (2024.09 - 2026.09)</t>
        </is>
      </c>
    </row>
    <row r="2" ht="18" customHeight="1">
      <c r="A2" s="2" t="inlineStr">
        <is>
          <t>数据来源：D:\项目1\原始数据 (全量 7,525,498 条工单) | 分析周期：整 2 年 (730天，日均 10,309 件) | 独立分析成果交付</t>
        </is>
      </c>
    </row>
    <row r="3"/>
    <row r="4">
      <c r="A4" s="3" t="inlineStr">
        <is>
          <t>全周期工单总量</t>
        </is>
      </c>
      <c r="B4" s="4" t="n"/>
      <c r="C4" s="5" t="inlineStr">
        <is>
          <t>综合闭环办结率</t>
        </is>
      </c>
      <c r="D4" s="4" t="n"/>
      <c r="E4" s="6" t="inlineStr">
        <is>
          <t>承办部门第一</t>
        </is>
      </c>
      <c r="F4" s="4" t="n"/>
      <c r="G4" s="7" t="inlineStr">
        <is>
          <t>民生诉求第一</t>
        </is>
      </c>
      <c r="H4" s="4" t="n"/>
      <c r="I4" s="8" t="inlineStr">
        <is>
          <t>极端单点畸变</t>
        </is>
      </c>
      <c r="J4" s="4" t="n"/>
    </row>
    <row r="5">
      <c r="A5" s="9" t="inlineStr">
        <is>
          <t>7,525,498 件</t>
        </is>
      </c>
      <c r="B5" s="10" t="n"/>
      <c r="C5" s="11" t="inlineStr">
        <is>
          <t>96.68%</t>
        </is>
      </c>
      <c r="D5" s="10" t="n"/>
      <c r="E5" s="12" t="inlineStr">
        <is>
          <t>NYPD 警务局 (45.2%)</t>
        </is>
      </c>
      <c r="F5" s="10" t="n"/>
      <c r="G5" s="13" t="inlineStr">
        <is>
          <t>噪音骚扰 (20.8%)</t>
        </is>
      </c>
      <c r="H5" s="10" t="n"/>
      <c r="I5" s="14" t="inlineStr">
        <is>
          <t>单地址 17.2 万工单</t>
        </is>
      </c>
      <c r="J5" s="10" t="n"/>
    </row>
    <row r="6">
      <c r="A6" s="15" t="inlineStr">
        <is>
          <t>整2年跨度 | 日均 10,309 件</t>
        </is>
      </c>
      <c r="B6" s="16" t="n"/>
      <c r="C6" s="17" t="inlineStr">
        <is>
          <t>7,275,349 件结案 | 在办 3.32%</t>
        </is>
      </c>
      <c r="D6" s="16" t="n"/>
      <c r="E6" s="18" t="inlineStr">
        <is>
          <t>3,403,951 件 | 处置中位 1.3h</t>
        </is>
      </c>
      <c r="F6" s="16" t="n"/>
      <c r="G6" s="19" t="inlineStr">
        <is>
          <t>1,564,749 件 | 晚间与周末爆发</t>
        </is>
      </c>
      <c r="H6" s="16" t="n"/>
      <c r="I6" s="20" t="inlineStr">
        <is>
          <t>布朗克斯 655 E 230 St 占全区 10.3%</t>
        </is>
      </c>
      <c r="J6" s="16" t="n"/>
    </row>
    <row r="7"/>
    <row r="8">
      <c r="A8" s="21" t="inlineStr">
        <is>
          <t>【四大核心发现深度提炼与治理启示】</t>
        </is>
      </c>
    </row>
    <row r="9" ht="24" customHeight="1">
      <c r="A9" s="22" t="inlineStr">
        <is>
          <t>编号</t>
        </is>
      </c>
      <c r="B9" s="22" t="inlineStr">
        <is>
          <t>核心发现主题</t>
        </is>
      </c>
      <c r="C9" s="22" t="inlineStr">
        <is>
          <t>关键量化事实与对比证据</t>
        </is>
      </c>
      <c r="D9" s="22" t="inlineStr">
        <is>
          <t>业务机理与实质推断</t>
        </is>
      </c>
      <c r="E9" s="22" t="inlineStr">
        <is>
          <t>政策启示与治理对策建议</t>
        </is>
      </c>
    </row>
    <row r="10" ht="80" customHeight="1">
      <c r="A10" s="23" t="inlineStr">
        <is>
          <t>发现 1</t>
        </is>
      </c>
      <c r="B10" s="24" t="inlineStr">
        <is>
          <t>记录数 ≠ 现实事件：
极端“超级报告者”导致数据严重失真</t>
        </is>
      </c>
      <c r="C10" s="24" t="inlineStr">
        <is>
          <t>① 全市仅 151 个极值地址（占总地址数 0.02%）产生了 82.4 万件工单（占全市 10.9%）；
② 极值点布朗克斯 655 E 230 St 单地址累计报送 172,212 件噪音工单（占全区总工单 10.3%），日均高达 348 件，全部通过 App 移动端提交；
③ 导致该区 10466 邮区名义投诉量高居全市第 1，剔除该单一地址后，其实际诉求骤降 70%，排名跌出全市前 15。</t>
        </is>
      </c>
      <c r="D10" s="24" t="inlineStr">
        <is>
          <t>数字化报送渠道（移动 App 与网页）零门槛提交，使得邻里个人纠纷、恶意刷单或自动化脚本演变为海量工单轰炸。
311 记录数直接反映的是“市民主动发起申报的频次与意愿”，而绝非“现实生活问题或违规事件的客观真实发生率”。</t>
        </is>
      </c>
      <c r="E10" s="24" t="inlineStr">
        <is>
          <t>① 平台治理：311 平台应尽快上线“同一地址/同一事件短时高频申报”的合并去重算法与防刷单限频机制；
② 决策校准：市政各部门在制定资源分配和街区治安考核时，严禁直接采用原始工单总数，必须引入“独立报送人数/独立地址数”去偏修正。</t>
        </is>
      </c>
    </row>
    <row r="11" ht="80" customHeight="1">
      <c r="A11" s="23" t="inlineStr">
        <is>
          <t>发现 2</t>
        </is>
      </c>
      <c r="B11" s="25" t="inlineStr">
        <is>
          <t>空间不平等与极端民生痛点：
冬季供暖危机的空间断层与阶层鸿沟</t>
        </is>
      </c>
      <c r="C11" s="25" t="inlineStr">
        <is>
          <t>① 供暖与热水诉求具有极强季节性，夏冬极差高达 25 倍（夏季月均 3 千件，1 月份峰值接近 8 万件，占全市民生诉求 23%）；
② 布朗克斯供暖工单占全市 35.1%，万人供暖投诉率高达 155.1 件，是皇后区（35.5）的 4.4 倍、史泰登岛（14.0）的 11.1 倍；
③ 全市供暖投诉量最高的前 10 个邮区中，布朗克斯独占 8 席，且单建筑平均重复报修频次高达 10 次以上。</t>
        </is>
      </c>
      <c r="D11" s="25" t="inlineStr">
        <is>
          <t>供暖危机高度绑定老旧多户租赁公寓与供暖系统老化，空间上高度集中在低收入租户聚集区；
房屋维护局（HPD）对供暖诉求虽优先响应（中位数 41.8 小时），但“接单-催办”机制治标不治本，入冬即现报修雪崩。</t>
        </is>
      </c>
      <c r="E11" s="25" t="inlineStr">
        <is>
          <t>① 预防前置：住建局应在每年 10 月 1 日“供暖季”前，对布朗克斯重点邮区（10467, 10452, 10468 等）建立锅炉预防性强制检修清单；
② 房东惩戒联动：对高频供暖违规的多户公寓建立黑名单，将租金补贴资格与供暖设备达标率挂钩，打破供暖死循环。</t>
        </is>
      </c>
    </row>
    <row r="12" ht="80" customHeight="1">
      <c r="A12" s="23" t="inlineStr">
        <is>
          <t>发现 3</t>
        </is>
      </c>
      <c r="B12" s="24" t="inlineStr">
        <is>
          <t>城市摩擦的双面性：
违停与噪音的昼夜与周末交错节律</t>
        </is>
      </c>
      <c r="C12" s="24" t="inlineStr">
        <is>
          <t>① 各类噪音（156.5 万件）与车辆违停阻道（152.2 万件）合计占全市总工单的 41%，构成城市管理最大的两大日常摩擦；
② 噪音呈“夜间与周末爆发型”：每日 21:00-01:00 达高峰，晚 22 点单小时达 16.9 万件（占该时段 45%）；周末（周六/日）较周中激增 85%；
③ 违停呈“早晚通勤潮汐型”：工作日早 8-9 点与晚 18-21 点双峰，周一至周五全天平稳在 22 万件高位；布鲁克林与皇后区违停占比超 30%。</t>
        </is>
      </c>
      <c r="D12" s="24" t="inlineStr">
        <is>
          <t>噪音是典型的私人生活边界摩擦（派对聚会、邻里吵闹、商业音乐外溢），违停是典型的公共空间路权争夺；
两者在时间和空间上形成高度互补的资源消耗，全天候 24 小时轮番挤占一线警务和执法力量。</t>
        </is>
      </c>
      <c r="E12" s="24" t="inlineStr">
        <is>
          <t>① 错峰柔性执法：警务局巡警与交警应实行“时空动态排班”，工作日早晚高峰强化路权疏通与拖车联动，周五至周日夜间重点巡查住宅区噪音；
② 街区空间规划：在皇后区和布鲁克林等停车高发区推行路侧停车时段分级管控，缓解车位供需失衡。</t>
        </is>
      </c>
    </row>
    <row r="13" ht="80" customHeight="1">
      <c r="A13" s="23" t="inlineStr">
        <is>
          <t>发现 4</t>
        </is>
      </c>
      <c r="B13" s="25" t="inlineStr">
        <is>
          <t>市政履约效能与处置落差：
警务敏捷 vs 住建滞后与“未见违规”高占比</t>
        </is>
      </c>
      <c r="C13" s="25" t="inlineStr">
        <is>
          <t>① 警务局（NYPD）承担了 45.2% 的全量工单，现场响应极快（中位耗时仅 1.3 小时，P90 为 7.0 小时）；
② 但极速响应背后存在严重的“执法空转”：居民噪音中 44.9% 结案理由为“未见违规证据”，仅 0.36% 开具罚单；违停中仅 22.5% 开罚单，13.5% 到场时车辆已离开；
③ 相比之下，住建局（HPD）与楼宇局（DOB）涉及实体建筑维修与法定程序，处理中位数需 3.6 - 6.6 天，P90 耗时逾 37 - 145 天。</t>
        </is>
      </c>
      <c r="D13" s="25" t="inlineStr">
        <is>
          <t>巡警巡逻机制具备极高机动性，但面对瞬间即逝的噪音和短暂违停，事后响应往往错失执法窗口，导致高耗能低产出；
而深层房屋修缮因涉及多轮约检、房东配合及法律诉讼，天然存在处理长周期，导致市民感知体验断层。</t>
        </is>
      </c>
      <c r="E13" s="25" t="inlineStr">
        <is>
          <t>① 分流减负：对短时生活噪音和轻微违停探索“市民自主取证/社区网格员现场核实”机制，减少巡警低效奔波；
② 流程重塑：对 HPD 和 DOB 涉及建筑安全的重大工单建立“跨部门快审快修绿色通道”，提升中长尾修缮履约率。</t>
        </is>
      </c>
    </row>
    <row r="14"/>
    <row r="15">
      <c r="A15" s="21" t="inlineStr">
        <is>
          <t>【各工作表导读与核验指南】</t>
        </is>
      </c>
    </row>
    <row r="16" ht="22" customHeight="1">
      <c r="A16" s="26" t="inlineStr">
        <is>
          <t>工作表名称</t>
        </is>
      </c>
      <c r="B16" s="26" t="inlineStr">
        <is>
          <t>核心内容与业务定位</t>
        </is>
      </c>
      <c r="C16" s="26" t="inlineStr">
        <is>
          <t>包含图表与关键指标</t>
        </is>
      </c>
      <c r="D16" s="26" t="inlineStr">
        <is>
          <t>对应分析维度与核验方法</t>
        </is>
      </c>
    </row>
    <row r="17" ht="26" customHeight="1">
      <c r="A17" s="27" t="inlineStr">
        <is>
          <t>📋 数据概况与质量审计</t>
        </is>
      </c>
      <c r="B17" s="25" t="inlineStr">
        <is>
          <t>全量 7,525,498 条工单的文件清单、44个字段字典、非空率体检、处理状态及渠道分布</t>
        </is>
      </c>
      <c r="C17" s="25" t="inlineStr">
        <is>
          <t>文件清单表、字段质量体检表、状态流转表、渠道时效表</t>
        </is>
      </c>
      <c r="D17" s="25" t="inlineStr">
        <is>
          <t>用于核验数据完整性、字段定义、缺失率与清洗规则</t>
        </is>
      </c>
    </row>
    <row r="18" ht="26" customHeight="1">
      <c r="A18" s="28" t="inlineStr">
        <is>
          <t>🔍 发现1_超级报告者与地址畸变</t>
        </is>
      </c>
      <c r="B18" s="24" t="inlineStr">
        <is>
          <t>全市投诉极值地址 TOP 20 画像、地址投诉频次阶梯集中度分布、布朗克斯 10466 邮区畸变对照实验</t>
        </is>
      </c>
      <c r="C18" s="24" t="inlineStr">
        <is>
          <t>TOP 10 极值地址柱状图、集中度分层表、失真修正前后对比表</t>
        </is>
      </c>
      <c r="D18" s="24" t="inlineStr">
        <is>
          <t>用于核验记录数与现实事件的巨大脱节，揭示极值点对宏观指标的扭曲</t>
        </is>
      </c>
    </row>
    <row r="19" ht="26" customHeight="1">
      <c r="A19" s="27" t="inlineStr">
        <is>
          <t>❄️ 发现2_供暖危机与空间不平等</t>
        </is>
      </c>
      <c r="B19" s="25" t="inlineStr">
        <is>
          <t>供暖/热水诉求 25 个月走势、五大区万人投诉率标准化对比、供暖危机 TOP 20 严重邮区</t>
        </is>
      </c>
      <c r="C19" s="25" t="inlineStr">
        <is>
          <t>月度供暖趋势折线图、五大区万人供暖投诉率对比柱状图</t>
        </is>
      </c>
      <c r="D19" s="25" t="inlineStr">
        <is>
          <t>用于核验冬季供暖的季节周期性与布朗克斯在民生保障上的空间不平等</t>
        </is>
      </c>
    </row>
    <row r="20" ht="26" customHeight="1">
      <c r="A20" s="28" t="inlineStr">
        <is>
          <t>⏰ 发现3_违停与噪音时空节律</t>
        </is>
      </c>
      <c r="B20" s="24" t="inlineStr">
        <is>
          <t>24 小时昼夜节律、星期周中与周末节律、五大区诉求结构横向对比、NYPD 现场处置结果拆解</t>
        </is>
      </c>
      <c r="C20" s="24" t="inlineStr">
        <is>
          <t>24 小时昼夜节律双折线图、周中周末对比表、NYPD 处置结构表</t>
        </is>
      </c>
      <c r="D20" s="24" t="inlineStr">
        <is>
          <t>用于核验噪音与违停的时空交错规律及一线警务处置结果实质</t>
        </is>
      </c>
    </row>
    <row r="21" ht="26" customHeight="1">
      <c r="A21" s="27" t="inlineStr">
        <is>
          <t>⚡ 发现4_部门响应与时效画像</t>
        </is>
      </c>
      <c r="B21" s="25" t="inlineStr">
        <is>
          <t>市政各部门处置效率总榜（中位数/P75/P90/平均值）、TOP 20 诉求处置时效、申报渠道时效对比</t>
        </is>
      </c>
      <c r="C21" s="25" t="inlineStr">
        <is>
          <t>主要部门处置中位数耗时横向条形图、诉求类型时效榜单</t>
        </is>
      </c>
      <c r="D21" s="25" t="inlineStr">
        <is>
          <t>用于核验政府部门履约效能差异、警务敏捷 vs 住建滞后画像</t>
        </is>
      </c>
    </row>
  </sheetData>
  <mergeCells count="15">
    <mergeCell ref="A4:B4"/>
    <mergeCell ref="G4:H4"/>
    <mergeCell ref="E4:F4"/>
    <mergeCell ref="E6:F6"/>
    <mergeCell ref="C6:D6"/>
    <mergeCell ref="I4:J4"/>
    <mergeCell ref="I6:J6"/>
    <mergeCell ref="C5:D5"/>
    <mergeCell ref="A5:B5"/>
    <mergeCell ref="G5:H5"/>
    <mergeCell ref="E5:F5"/>
    <mergeCell ref="I5:J5"/>
    <mergeCell ref="G6:H6"/>
    <mergeCell ref="A6:B6"/>
    <mergeCell ref="C4:D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3"/>
  <sheetViews>
    <sheetView showGridLines="1" workbookViewId="0">
      <selection activeCell="A1" sqref="A1"/>
    </sheetView>
  </sheetViews>
  <sheetFormatPr baseColWidth="8" defaultRowHeight="15"/>
  <cols>
    <col width="18" customWidth="1" min="1" max="1"/>
    <col width="24" customWidth="1" min="2" max="2"/>
    <col width="14" customWidth="1" min="3" max="3"/>
    <col width="14" customWidth="1" min="4" max="4"/>
    <col width="14" customWidth="1" min="5" max="5"/>
    <col width="14" customWidth="1" min="6" max="6"/>
    <col width="20" customWidth="1" min="7" max="7"/>
    <col width="24" customWidth="1" min="8" max="8"/>
    <col width="46" customWidth="1" min="9" max="9"/>
    <col width="15" customWidth="1" min="10" max="10"/>
    <col width="42" customWidth="1" min="11" max="11"/>
  </cols>
  <sheetData>
    <row r="1" ht="28" customHeight="1">
      <c r="A1" s="1" t="inlineStr">
        <is>
          <t>纽约市 311 原始数据集属性、字段字典与数据质量审计表</t>
        </is>
      </c>
    </row>
    <row r="2" ht="18" customHeight="1">
      <c r="A2" s="2" t="inlineStr">
        <is>
          <t>核验范围：只读数据目录 D:\项目1\原始数据 (25个Parquet分片) | 校验项：主键唯一性、时间序列覆盖、字段非空率、流转状态与申报渠道</t>
        </is>
      </c>
    </row>
    <row r="3"/>
    <row r="4">
      <c r="A4" s="21" t="inlineStr">
        <is>
          <t>【表 2-1 数据集基本属性与文件元数据概览】</t>
        </is>
      </c>
    </row>
    <row r="5" ht="20" customHeight="1">
      <c r="A5" s="22" t="inlineStr">
        <is>
          <t>属性指标</t>
        </is>
      </c>
      <c r="B5" s="22" t="inlineStr">
        <is>
          <t>核验结果与量化值</t>
        </is>
      </c>
      <c r="C5" s="22" t="inlineStr">
        <is>
          <t>计量单位 / 数据类型</t>
        </is>
      </c>
      <c r="D5" s="22" t="inlineStr">
        <is>
          <t>口径说明与核验结论</t>
        </is>
      </c>
    </row>
    <row r="6" ht="19" customHeight="1">
      <c r="A6" s="28" t="inlineStr">
        <is>
          <t>物理文件分片总数</t>
        </is>
      </c>
      <c r="B6" s="29" t="n">
        <v>25</v>
      </c>
      <c r="C6" s="28" t="inlineStr">
        <is>
          <t>个 Parquet 文件</t>
        </is>
      </c>
      <c r="D6" s="30" t="inlineStr">
        <is>
          <t>按月切分，涵盖 2024-09 至 2026-09 全部分片，无缺损</t>
        </is>
      </c>
    </row>
    <row r="7" ht="19" customHeight="1">
      <c r="A7" s="27" t="inlineStr">
        <is>
          <t>物理存储总大小</t>
        </is>
      </c>
      <c r="B7" s="31" t="n">
        <v>569.0599999999999</v>
      </c>
      <c r="C7" s="27" t="inlineStr">
        <is>
          <t>MB (596,704,914 字节)</t>
        </is>
      </c>
      <c r="D7" s="32" t="inlineStr">
        <is>
          <t>Snappy 列式压缩存储，校验 SHA256 签名一致</t>
        </is>
      </c>
    </row>
    <row r="8" ht="19" customHeight="1">
      <c r="A8" s="28" t="inlineStr">
        <is>
          <t>工单记录总行数</t>
        </is>
      </c>
      <c r="B8" s="29" t="n">
        <v>7525498</v>
      </c>
      <c r="C8" s="28" t="inlineStr">
        <is>
          <t>条记录</t>
        </is>
      </c>
      <c r="D8" s="30" t="inlineStr">
        <is>
          <t>全量 752.5 万条服务请求，无抽样，全量全集分析</t>
        </is>
      </c>
    </row>
    <row r="9" ht="19" customHeight="1">
      <c r="A9" s="27" t="inlineStr">
        <is>
          <t>主键唯一键重复数</t>
        </is>
      </c>
      <c r="B9" s="33" t="n">
        <v>0</v>
      </c>
      <c r="C9" s="27" t="inlineStr">
        <is>
          <t>条重复</t>
        </is>
      </c>
      <c r="D9" s="32" t="inlineStr">
        <is>
          <t>unique_key 唯一键完全独立无重复，主键一致性 100%</t>
        </is>
      </c>
    </row>
    <row r="10" ht="19" customHeight="1">
      <c r="A10" s="28" t="inlineStr">
        <is>
          <t>最早诉求创建时间</t>
        </is>
      </c>
      <c r="B10" s="30" t="inlineStr">
        <is>
          <t>2024-09-07 00:00:00</t>
        </is>
      </c>
      <c r="C10" s="28" t="inlineStr">
        <is>
          <t>UTC 时间戳</t>
        </is>
      </c>
      <c r="D10" s="30" t="inlineStr">
        <is>
          <t>严格自 2024 年 9 月 7 日零时起</t>
        </is>
      </c>
    </row>
    <row r="11" ht="19" customHeight="1">
      <c r="A11" s="27" t="inlineStr">
        <is>
          <t>最晚诉求创建时间</t>
        </is>
      </c>
      <c r="B11" s="32" t="inlineStr">
        <is>
          <t>2026-09-05 01:50:33</t>
        </is>
      </c>
      <c r="C11" s="27" t="inlineStr">
        <is>
          <t>UTC 时间戳</t>
        </is>
      </c>
      <c r="D11" s="32" t="inlineStr">
        <is>
          <t>截止至 2026 年 9 月 5 日凌晨</t>
        </is>
      </c>
    </row>
    <row r="12" ht="19" customHeight="1">
      <c r="A12" s="28" t="inlineStr">
        <is>
          <t>完整时间跨度</t>
        </is>
      </c>
      <c r="B12" s="34" t="n">
        <v>729.08</v>
      </c>
      <c r="C12" s="28" t="inlineStr">
        <is>
          <t>天 (整 2 年 / 24 个自然月)</t>
        </is>
      </c>
      <c r="D12" s="30" t="inlineStr">
        <is>
          <t>日均受理工单 10,309 件</t>
        </is>
      </c>
    </row>
    <row r="13" ht="19" customHeight="1">
      <c r="A13" s="27" t="inlineStr">
        <is>
          <t>闭环结案记录数</t>
        </is>
      </c>
      <c r="B13" s="33" t="n">
        <v>7275349</v>
      </c>
      <c r="C13" s="27" t="inlineStr">
        <is>
          <t>条 (办结率 96.68%)</t>
        </is>
      </c>
      <c r="D13" s="32" t="inlineStr">
        <is>
          <t>已完成调查处理并关闭的工单</t>
        </is>
      </c>
    </row>
    <row r="14" ht="19" customHeight="1">
      <c r="A14" s="28" t="inlineStr">
        <is>
          <t>在办与未闭环记录数</t>
        </is>
      </c>
      <c r="B14" s="29" t="n">
        <v>250149</v>
      </c>
      <c r="C14" s="28" t="inlineStr">
        <is>
          <t>条 (在办率 3.32%)</t>
        </is>
      </c>
      <c r="D14" s="30" t="inlineStr">
        <is>
          <t>包含正在处理中、已指派、挂起待办等工单</t>
        </is>
      </c>
    </row>
    <row r="15" ht="19" customHeight="1">
      <c r="A15" s="27" t="inlineStr">
        <is>
          <t>逆序时间异常值</t>
        </is>
      </c>
      <c r="B15" s="33" t="n">
        <v>1877</v>
      </c>
      <c r="C15" s="27" t="inlineStr">
        <is>
          <t>条 (占比 0.025%)</t>
        </is>
      </c>
      <c r="D15" s="32" t="inlineStr">
        <is>
          <t>closed_date &lt; created_date，属于系统打标时差，在时效计算中已剔除</t>
        </is>
      </c>
    </row>
    <row r="16"/>
    <row r="17">
      <c r="A17" s="21" t="inlineStr">
        <is>
          <t>【表 2-2 工单当前流转状态分布 (Status)】</t>
        </is>
      </c>
      <c r="F17" s="21" t="inlineStr">
        <is>
          <t>【表 2-3 申报渠道结构分布与时效对比】</t>
        </is>
      </c>
    </row>
    <row r="18" ht="20" customHeight="1">
      <c r="A18" s="26" t="inlineStr">
        <is>
          <t>工单状态 (Status)</t>
        </is>
      </c>
      <c r="B18" s="26" t="inlineStr">
        <is>
          <t>记录数量 (件)</t>
        </is>
      </c>
      <c r="C18" s="26" t="inlineStr">
        <is>
          <t>占总工单比例 (%)</t>
        </is>
      </c>
      <c r="D18" s="26" t="inlineStr">
        <is>
          <t>业务含义与流转说明</t>
        </is>
      </c>
      <c r="F18" s="26" t="inlineStr">
        <is>
          <t>申报渠道 (Channel)</t>
        </is>
      </c>
      <c r="G18" s="26" t="inlineStr">
        <is>
          <t>工单数量 (件)</t>
        </is>
      </c>
      <c r="H18" s="26" t="inlineStr">
        <is>
          <t>渠道占比 (%)</t>
        </is>
      </c>
      <c r="I18" s="26" t="inlineStr">
        <is>
          <t>处置中位耗时(小时)</t>
        </is>
      </c>
      <c r="J18" s="26" t="inlineStr">
        <is>
          <t>平均耗时(天)</t>
        </is>
      </c>
      <c r="K18" s="26" t="inlineStr">
        <is>
          <t>渠道特征</t>
        </is>
      </c>
    </row>
    <row r="19" ht="19" customHeight="1">
      <c r="A19" s="27" t="inlineStr">
        <is>
          <t>Closed</t>
        </is>
      </c>
      <c r="B19" s="33" t="n">
        <v>7275349</v>
      </c>
      <c r="C19" s="35" t="n">
        <v>0.96676</v>
      </c>
      <c r="D19" s="32" t="inlineStr">
        <is>
          <t>已闭环结案，调查与处置工作已结束</t>
        </is>
      </c>
      <c r="F19" s="27" t="inlineStr">
        <is>
          <t>ONLINE</t>
        </is>
      </c>
      <c r="G19" s="33" t="n">
        <v>3332605</v>
      </c>
      <c r="H19" s="35" t="n">
        <v>0.44284</v>
      </c>
      <c r="I19" s="36" t="n">
        <v>1.8</v>
      </c>
      <c r="J19" s="36" t="n">
        <v>4.3</v>
      </c>
      <c r="K19" s="32" t="inlineStr">
        <is>
          <t>官方网页门户申报，附带详细描述与佐证</t>
        </is>
      </c>
    </row>
    <row r="20" ht="19" customHeight="1">
      <c r="A20" s="28" t="inlineStr">
        <is>
          <t>In Progress</t>
        </is>
      </c>
      <c r="B20" s="29" t="n">
        <v>140752</v>
      </c>
      <c r="C20" s="37" t="n">
        <v>0.0187</v>
      </c>
      <c r="D20" s="30" t="inlineStr">
        <is>
          <t>处理中，承办部门已派单且正在推进</t>
        </is>
      </c>
      <c r="F20" s="28" t="inlineStr">
        <is>
          <t>PHONE</t>
        </is>
      </c>
      <c r="G20" s="29" t="n">
        <v>1933637</v>
      </c>
      <c r="H20" s="37" t="n">
        <v>0.25695</v>
      </c>
      <c r="I20" s="38" t="n">
        <v>33.8</v>
      </c>
      <c r="J20" s="38" t="n">
        <v>10.3</v>
      </c>
      <c r="K20" s="30" t="inlineStr">
        <is>
          <t>传统 311 电话热线，话务员人工录入问询</t>
        </is>
      </c>
    </row>
    <row r="21" ht="19" customHeight="1">
      <c r="A21" s="27" t="inlineStr">
        <is>
          <t>Open</t>
        </is>
      </c>
      <c r="B21" s="33" t="n">
        <v>81247</v>
      </c>
      <c r="C21" s="35" t="n">
        <v>0.0108</v>
      </c>
      <c r="D21" s="32" t="inlineStr">
        <is>
          <t>新立案待处置，已进入承办部门工单队列</t>
        </is>
      </c>
      <c r="F21" s="27" t="inlineStr">
        <is>
          <t>MOBILE</t>
        </is>
      </c>
      <c r="G21" s="33" t="n">
        <v>1666474</v>
      </c>
      <c r="H21" s="35" t="n">
        <v>0.22144</v>
      </c>
      <c r="I21" s="36" t="n">
        <v>1.4</v>
      </c>
      <c r="J21" s="36" t="n">
        <v>2.5</v>
      </c>
      <c r="K21" s="32" t="inlineStr">
        <is>
          <t>智能手机 App 移动端，支持一键定位与快照</t>
        </is>
      </c>
    </row>
    <row r="22" ht="19" customHeight="1">
      <c r="A22" s="28" t="inlineStr">
        <is>
          <t>Assigned</t>
        </is>
      </c>
      <c r="B22" s="29" t="n">
        <v>15753</v>
      </c>
      <c r="C22" s="37" t="n">
        <v>0.00209</v>
      </c>
      <c r="D22" s="30" t="inlineStr">
        <is>
          <t>已指派专人或片区网格执法人员</t>
        </is>
      </c>
      <c r="F22" s="28" t="inlineStr">
        <is>
          <t>UNKNOWN</t>
        </is>
      </c>
      <c r="G22" s="29" t="n">
        <v>590822</v>
      </c>
      <c r="H22" s="37" t="n">
        <v>0.07851</v>
      </c>
      <c r="I22" s="38" t="n">
        <v>6.7</v>
      </c>
      <c r="J22" s="38" t="n">
        <v>5.8</v>
      </c>
      <c r="K22" s="30" t="inlineStr">
        <is>
          <t>系统后台自动化生成、API 同步或缺失打标</t>
        </is>
      </c>
    </row>
    <row r="23" ht="19" customHeight="1">
      <c r="A23" s="27" t="inlineStr">
        <is>
          <t>Pending</t>
        </is>
      </c>
      <c r="B23" s="33" t="n">
        <v>9475</v>
      </c>
      <c r="C23" s="35" t="n">
        <v>0.00126</v>
      </c>
      <c r="D23" s="32" t="inlineStr">
        <is>
          <t>挂起待办，等待申请人补充材料或审批</t>
        </is>
      </c>
      <c r="F23" s="27" t="inlineStr">
        <is>
          <t>OTHER</t>
        </is>
      </c>
      <c r="G23" s="33" t="n">
        <v>1960</v>
      </c>
      <c r="H23" s="35" t="n">
        <v>0.00026</v>
      </c>
      <c r="I23" s="36" t="n">
        <v>44.5</v>
      </c>
      <c r="J23" s="36" t="n">
        <v>6.2</v>
      </c>
      <c r="K23" s="32" t="inlineStr">
        <is>
          <t>线下信件、传真或其他非常规接入渠道</t>
        </is>
      </c>
    </row>
    <row r="24" ht="19" customHeight="1">
      <c r="A24" s="28" t="inlineStr">
        <is>
          <t>Started</t>
        </is>
      </c>
      <c r="B24" s="29" t="n">
        <v>2620</v>
      </c>
      <c r="C24" s="37" t="n">
        <v>0.00035</v>
      </c>
      <c r="D24" s="30" t="inlineStr">
        <is>
          <t>现场检修施工或执法巡查已进场</t>
        </is>
      </c>
      <c r="F24" s="39" t="inlineStr">
        <is>
          <t>合计 / 加权中位数</t>
        </is>
      </c>
      <c r="G24" s="40">
        <f>SUM(G19:G23)</f>
        <v/>
      </c>
      <c r="H24" s="41">
        <f>SUM(H19:H23)</f>
        <v/>
      </c>
      <c r="I24" s="42" t="n">
        <v>2.2</v>
      </c>
      <c r="J24" s="42" t="n">
        <v>5.9</v>
      </c>
      <c r="K24" s="43" t="inlineStr">
        <is>
          <t>数字渠道占比 66.4%，手机端响应最敏捷</t>
        </is>
      </c>
    </row>
    <row r="25" ht="19" customHeight="1">
      <c r="A25" s="27" t="inlineStr">
        <is>
          <t>Unspecified</t>
        </is>
      </c>
      <c r="B25" s="33" t="n">
        <v>302</v>
      </c>
      <c r="C25" s="35" t="n">
        <v>4e-05</v>
      </c>
      <c r="D25" s="32" t="inlineStr">
        <is>
          <t>历史遗留未规范打标状态</t>
        </is>
      </c>
    </row>
    <row r="26">
      <c r="A26" s="39" t="inlineStr">
        <is>
          <t>合计 (Total)</t>
        </is>
      </c>
      <c r="B26" s="40">
        <f>SUM(B19:B25)</f>
        <v/>
      </c>
      <c r="C26" s="41">
        <f>SUM(C19:C25)</f>
        <v/>
      </c>
      <c r="D26" s="43" t="inlineStr">
        <is>
          <t>全量工单 100% 覆盖闭环流转状态</t>
        </is>
      </c>
    </row>
    <row r="27"/>
    <row r="28">
      <c r="A28" s="21" t="inlineStr">
        <is>
          <t>【表 2-4 全量 44 字段字典定义与数据质量审计全景明细表】</t>
        </is>
      </c>
    </row>
    <row r="29" ht="22" customHeight="1">
      <c r="A29" s="22" t="inlineStr">
        <is>
          <t>序号</t>
        </is>
      </c>
      <c r="B29" s="22" t="inlineStr">
        <is>
          <t>字段英文标识 (Field)</t>
        </is>
      </c>
      <c r="C29" s="22" t="inlineStr">
        <is>
          <t>存储数据类型</t>
        </is>
      </c>
      <c r="D29" s="22" t="inlineStr">
        <is>
          <t>非空记录数</t>
        </is>
      </c>
      <c r="E29" s="22" t="inlineStr">
        <is>
          <t>缺失记录数</t>
        </is>
      </c>
      <c r="F29" s="22" t="inlineStr">
        <is>
          <t>非空完整率 (%)</t>
        </is>
      </c>
      <c r="G29" s="22" t="inlineStr">
        <is>
          <t>样例值</t>
        </is>
      </c>
      <c r="H29" s="22" t="inlineStr">
        <is>
          <t>字段业务中文语义</t>
        </is>
      </c>
      <c r="I29" s="22" t="inlineStr">
        <is>
          <t>在分析中的业务应用与质量控制处理规则</t>
        </is>
      </c>
    </row>
    <row r="30" ht="19" customHeight="1">
      <c r="A30" s="28" t="n">
        <v>1</v>
      </c>
      <c r="B30" s="30" t="inlineStr">
        <is>
          <t>unique_key</t>
        </is>
      </c>
      <c r="C30" s="30" t="inlineStr">
        <is>
          <t>VARCHAR</t>
        </is>
      </c>
      <c r="D30" s="29" t="n">
        <v>7525498</v>
      </c>
      <c r="E30" s="29" t="n">
        <v>0</v>
      </c>
      <c r="F30" s="37" t="n">
        <v>1</v>
      </c>
      <c r="G30" s="30" t="inlineStr">
        <is>
          <t>62357391</t>
        </is>
      </c>
      <c r="H30" s="30" t="inlineStr">
        <is>
          <t>诉求工单唯一流水号</t>
        </is>
      </c>
      <c r="I30" s="30" t="inlineStr">
        <is>
          <t>全库唯一标识，无重复，作为主键和准确去重依据</t>
        </is>
      </c>
    </row>
    <row r="31" ht="19" customHeight="1">
      <c r="A31" s="27" t="n">
        <v>2</v>
      </c>
      <c r="B31" s="32" t="inlineStr">
        <is>
          <t>created_date</t>
        </is>
      </c>
      <c r="C31" s="32" t="inlineStr">
        <is>
          <t>VARCHAR</t>
        </is>
      </c>
      <c r="D31" s="33" t="n">
        <v>7525498</v>
      </c>
      <c r="E31" s="33" t="n">
        <v>0</v>
      </c>
      <c r="F31" s="35" t="n">
        <v>1</v>
      </c>
      <c r="G31" s="32" t="inlineStr">
        <is>
          <t>2024-09-07T00:00:00.000</t>
        </is>
      </c>
      <c r="H31" s="32" t="inlineStr">
        <is>
          <t>诉求创建时间戳</t>
        </is>
      </c>
      <c r="I31" s="32" t="inlineStr">
        <is>
          <t>精确到毫秒，解析为年月日、小时、星期，构建时间序列分析底座</t>
        </is>
      </c>
    </row>
    <row r="32" ht="19" customHeight="1">
      <c r="A32" s="28" t="n">
        <v>3</v>
      </c>
      <c r="B32" s="30" t="inlineStr">
        <is>
          <t>closed_date</t>
        </is>
      </c>
      <c r="C32" s="30" t="inlineStr">
        <is>
          <t>VARCHAR</t>
        </is>
      </c>
      <c r="D32" s="29" t="n">
        <v>7285194</v>
      </c>
      <c r="E32" s="29" t="n">
        <v>240304</v>
      </c>
      <c r="F32" s="37" t="n">
        <v>0.9681000000000001</v>
      </c>
      <c r="G32" s="30" t="inlineStr">
        <is>
          <t>2024-09-09T00:00:01.000</t>
        </is>
      </c>
      <c r="H32" s="30" t="inlineStr">
        <is>
          <t>诉求结案时间戳</t>
        </is>
      </c>
      <c r="I32" s="30" t="inlineStr">
        <is>
          <t>与创建时间相减计算处置耗时；剔除 1,877 条时差逆序值，空值对应未结案</t>
        </is>
      </c>
    </row>
    <row r="33" ht="19" customHeight="1">
      <c r="A33" s="27" t="n">
        <v>4</v>
      </c>
      <c r="B33" s="32" t="inlineStr">
        <is>
          <t>agency</t>
        </is>
      </c>
      <c r="C33" s="32" t="inlineStr">
        <is>
          <t>VARCHAR</t>
        </is>
      </c>
      <c r="D33" s="33" t="n">
        <v>7525498</v>
      </c>
      <c r="E33" s="33" t="n">
        <v>0</v>
      </c>
      <c r="F33" s="35" t="n">
        <v>1</v>
      </c>
      <c r="G33" s="32" t="inlineStr">
        <is>
          <t>DOHMH</t>
        </is>
      </c>
      <c r="H33" s="32" t="inlineStr">
        <is>
          <t>主责承办政府部门代码</t>
        </is>
      </c>
      <c r="I33" s="32" t="inlineStr">
        <is>
          <t>NYPD, HPD, DSNY 等，用于部门职能切分与履约横向对比</t>
        </is>
      </c>
    </row>
    <row r="34" ht="19" customHeight="1">
      <c r="A34" s="28" t="n">
        <v>5</v>
      </c>
      <c r="B34" s="30" t="inlineStr">
        <is>
          <t>agency_name</t>
        </is>
      </c>
      <c r="C34" s="30" t="inlineStr">
        <is>
          <t>VARCHAR</t>
        </is>
      </c>
      <c r="D34" s="29" t="n">
        <v>7525498</v>
      </c>
      <c r="E34" s="29" t="n">
        <v>0</v>
      </c>
      <c r="F34" s="37" t="n">
        <v>1</v>
      </c>
      <c r="G34" s="30" t="inlineStr">
        <is>
          <t>Department of Health and Mental Hygiene</t>
        </is>
      </c>
      <c r="H34" s="30" t="inlineStr">
        <is>
          <t>承办政府部门全称</t>
        </is>
      </c>
      <c r="I34" s="30" t="inlineStr">
        <is>
          <t>官方完整机构名称，与部门代码 1:1 映射</t>
        </is>
      </c>
    </row>
    <row r="35" ht="19" customHeight="1">
      <c r="A35" s="27" t="n">
        <v>6</v>
      </c>
      <c r="B35" s="32" t="inlineStr">
        <is>
          <t>complaint_type</t>
        </is>
      </c>
      <c r="C35" s="32" t="inlineStr">
        <is>
          <t>VARCHAR</t>
        </is>
      </c>
      <c r="D35" s="33" t="n">
        <v>7525498</v>
      </c>
      <c r="E35" s="33" t="n">
        <v>0</v>
      </c>
      <c r="F35" s="35" t="n">
        <v>1</v>
      </c>
      <c r="G35" s="32" t="inlineStr">
        <is>
          <t>Food Poisoning</t>
        </is>
      </c>
      <c r="H35" s="32" t="inlineStr">
        <is>
          <t>诉求核心业务类别</t>
        </is>
      </c>
      <c r="I35" s="32" t="inlineStr">
        <is>
          <t>一级分类，如 Illegal Parking, Noise 等，用于宏观民生诉求分布</t>
        </is>
      </c>
    </row>
    <row r="36" ht="19" customHeight="1">
      <c r="A36" s="28" t="n">
        <v>7</v>
      </c>
      <c r="B36" s="30" t="inlineStr">
        <is>
          <t>descriptor</t>
        </is>
      </c>
      <c r="C36" s="30" t="inlineStr">
        <is>
          <t>VARCHAR</t>
        </is>
      </c>
      <c r="D36" s="29" t="n">
        <v>7503670</v>
      </c>
      <c r="E36" s="29" t="n">
        <v>21828</v>
      </c>
      <c r="F36" s="37" t="n">
        <v>0.9971</v>
      </c>
      <c r="G36" s="30" t="inlineStr">
        <is>
          <t>1 or 2</t>
        </is>
      </c>
      <c r="H36" s="30" t="inlineStr">
        <is>
          <t>诉求二级细分描述</t>
        </is>
      </c>
      <c r="I36" s="30" t="inlineStr">
        <is>
          <t>二级明细，如 Blocked Hydrant, Loud Music 等，用于微观场景研判</t>
        </is>
      </c>
    </row>
    <row r="37" ht="19" customHeight="1">
      <c r="A37" s="27" t="n">
        <v>8</v>
      </c>
      <c r="B37" s="32" t="inlineStr">
        <is>
          <t>location_type</t>
        </is>
      </c>
      <c r="C37" s="32" t="inlineStr">
        <is>
          <t>VARCHAR</t>
        </is>
      </c>
      <c r="D37" s="33" t="n">
        <v>6600325</v>
      </c>
      <c r="E37" s="33" t="n">
        <v>925173</v>
      </c>
      <c r="F37" s="44" t="n">
        <v>0.8771</v>
      </c>
      <c r="G37" s="32" t="inlineStr">
        <is>
          <t>Restaurant/Bar/Deli/Bakery</t>
        </is>
      </c>
      <c r="H37" s="32" t="inlineStr">
        <is>
          <t>发生地场所空间类型</t>
        </is>
      </c>
      <c r="I37" s="32" t="inlineStr">
        <is>
          <t>如 Residential Building, Street/Sidewalk 等，识别空间摩擦属性</t>
        </is>
      </c>
    </row>
    <row r="38" ht="19" customHeight="1">
      <c r="A38" s="28" t="n">
        <v>9</v>
      </c>
      <c r="B38" s="30" t="inlineStr">
        <is>
          <t>incident_zip</t>
        </is>
      </c>
      <c r="C38" s="30" t="inlineStr">
        <is>
          <t>VARCHAR</t>
        </is>
      </c>
      <c r="D38" s="29" t="n">
        <v>7459939</v>
      </c>
      <c r="E38" s="29" t="n">
        <v>65559</v>
      </c>
      <c r="F38" s="37" t="n">
        <v>0.9913</v>
      </c>
      <c r="G38" s="30" t="inlineStr">
        <is>
          <t>11238</t>
        </is>
      </c>
      <c r="H38" s="30" t="inlineStr">
        <is>
          <t>事发地 5 位邮政编码</t>
        </is>
      </c>
      <c r="I38" s="30" t="inlineStr">
        <is>
          <t>微观地理空间聚合基础，用于识别高频矛盾热点街区与供暖危机区</t>
        </is>
      </c>
    </row>
    <row r="39" ht="19" customHeight="1">
      <c r="A39" s="27" t="n">
        <v>10</v>
      </c>
      <c r="B39" s="32" t="inlineStr">
        <is>
          <t>incident_address</t>
        </is>
      </c>
      <c r="C39" s="32" t="inlineStr">
        <is>
          <t>VARCHAR</t>
        </is>
      </c>
      <c r="D39" s="33" t="n">
        <v>7255015</v>
      </c>
      <c r="E39" s="33" t="n">
        <v>270483</v>
      </c>
      <c r="F39" s="35" t="n">
        <v>0.9641</v>
      </c>
      <c r="G39" s="32" t="inlineStr">
        <is>
          <t>794 WASHINGTON AVENUE</t>
        </is>
      </c>
      <c r="H39" s="32" t="inlineStr">
        <is>
          <t>事发具体门牌地址</t>
        </is>
      </c>
      <c r="I39" s="32" t="inlineStr">
        <is>
          <t>用于极值单点识别、超级报告者挖掘与地址集中度分析</t>
        </is>
      </c>
    </row>
    <row r="40" ht="19" customHeight="1">
      <c r="A40" s="28" t="n">
        <v>11</v>
      </c>
      <c r="B40" s="30" t="inlineStr">
        <is>
          <t>street_name</t>
        </is>
      </c>
      <c r="C40" s="30" t="inlineStr">
        <is>
          <t>VARCHAR</t>
        </is>
      </c>
      <c r="D40" s="29" t="n">
        <v>7254824</v>
      </c>
      <c r="E40" s="29" t="n">
        <v>270674</v>
      </c>
      <c r="F40" s="37" t="n">
        <v>0.9640000000000001</v>
      </c>
      <c r="G40" s="30" t="inlineStr">
        <is>
          <t>WASHINGTON AVENUE</t>
        </is>
      </c>
      <c r="H40" s="30" t="inlineStr">
        <is>
          <t>事发街道名称</t>
        </is>
      </c>
      <c r="I40" s="30" t="inlineStr">
        <is>
          <t>道路维度聚合，辅助路段违停与占道分析</t>
        </is>
      </c>
    </row>
    <row r="41" ht="19" customHeight="1">
      <c r="A41" s="27" t="n">
        <v>12</v>
      </c>
      <c r="B41" s="32" t="inlineStr">
        <is>
          <t>cross_street_1</t>
        </is>
      </c>
      <c r="C41" s="32" t="inlineStr">
        <is>
          <t>VARCHAR</t>
        </is>
      </c>
      <c r="D41" s="33" t="n">
        <v>5350638</v>
      </c>
      <c r="E41" s="33" t="n">
        <v>2174860</v>
      </c>
      <c r="F41" s="44" t="n">
        <v>0.711</v>
      </c>
      <c r="G41" s="32" t="inlineStr">
        <is>
          <t>STERLING PLACE</t>
        </is>
      </c>
      <c r="H41" s="32" t="inlineStr">
        <is>
          <t>交叉街道 1</t>
        </is>
      </c>
      <c r="I41" s="32" t="inlineStr">
        <is>
          <t>路口定位辅助字段，缺失时不影响主干分析</t>
        </is>
      </c>
    </row>
    <row r="42" ht="19" customHeight="1">
      <c r="A42" s="28" t="n">
        <v>13</v>
      </c>
      <c r="B42" s="30" t="inlineStr">
        <is>
          <t>cross_street_2</t>
        </is>
      </c>
      <c r="C42" s="30" t="inlineStr">
        <is>
          <t>VARCHAR</t>
        </is>
      </c>
      <c r="D42" s="29" t="n">
        <v>5351375</v>
      </c>
      <c r="E42" s="29" t="n">
        <v>2174123</v>
      </c>
      <c r="F42" s="44" t="n">
        <v>0.7111</v>
      </c>
      <c r="G42" s="30" t="inlineStr">
        <is>
          <t>ST JOHNS PLACE</t>
        </is>
      </c>
      <c r="H42" s="30" t="inlineStr">
        <is>
          <t>交叉街道 2</t>
        </is>
      </c>
      <c r="I42" s="30" t="inlineStr">
        <is>
          <t>路口定位辅助字段，缺失时不影响主干分析</t>
        </is>
      </c>
    </row>
    <row r="43" ht="19" customHeight="1">
      <c r="A43" s="27" t="n">
        <v>14</v>
      </c>
      <c r="B43" s="32" t="inlineStr">
        <is>
          <t>intersection_street_1</t>
        </is>
      </c>
      <c r="C43" s="32" t="inlineStr">
        <is>
          <t>VARCHAR</t>
        </is>
      </c>
      <c r="D43" s="33" t="n">
        <v>5079926</v>
      </c>
      <c r="E43" s="33" t="n">
        <v>2445572</v>
      </c>
      <c r="F43" s="44" t="n">
        <v>0.675</v>
      </c>
      <c r="G43" s="32" t="inlineStr">
        <is>
          <t>STERLING PLACE</t>
        </is>
      </c>
      <c r="H43" s="32" t="inlineStr">
        <is>
          <t>路口交汇街道 1</t>
        </is>
      </c>
      <c r="I43" s="32" t="inlineStr">
        <is>
          <t>路口定位辅助字段</t>
        </is>
      </c>
    </row>
    <row r="44" ht="19" customHeight="1">
      <c r="A44" s="28" t="n">
        <v>15</v>
      </c>
      <c r="B44" s="30" t="inlineStr">
        <is>
          <t>intersection_street_2</t>
        </is>
      </c>
      <c r="C44" s="30" t="inlineStr">
        <is>
          <t>VARCHAR</t>
        </is>
      </c>
      <c r="D44" s="29" t="n">
        <v>5082399</v>
      </c>
      <c r="E44" s="29" t="n">
        <v>2443099</v>
      </c>
      <c r="F44" s="44" t="n">
        <v>0.6754000000000001</v>
      </c>
      <c r="G44" s="30" t="inlineStr">
        <is>
          <t>ST JOHNS PLACE</t>
        </is>
      </c>
      <c r="H44" s="30" t="inlineStr">
        <is>
          <t>路口交汇街道 2</t>
        </is>
      </c>
      <c r="I44" s="30" t="inlineStr">
        <is>
          <t>路口定位辅助字段</t>
        </is>
      </c>
    </row>
    <row r="45" ht="19" customHeight="1">
      <c r="A45" s="27" t="n">
        <v>16</v>
      </c>
      <c r="B45" s="32" t="inlineStr">
        <is>
          <t>address_type</t>
        </is>
      </c>
      <c r="C45" s="32" t="inlineStr">
        <is>
          <t>VARCHAR</t>
        </is>
      </c>
      <c r="D45" s="33" t="n">
        <v>7491161</v>
      </c>
      <c r="E45" s="33" t="n">
        <v>34337</v>
      </c>
      <c r="F45" s="35" t="n">
        <v>0.9954000000000001</v>
      </c>
      <c r="G45" s="32" t="inlineStr">
        <is>
          <t>ADDRESS</t>
        </is>
      </c>
      <c r="H45" s="32" t="inlineStr">
        <is>
          <t>地址定位解析类型</t>
        </is>
      </c>
      <c r="I45" s="32" t="inlineStr">
        <is>
          <t>ADDRESS, INTERSECTION 等，衡量地理编码精细度</t>
        </is>
      </c>
    </row>
    <row r="46" ht="19" customHeight="1">
      <c r="A46" s="28" t="n">
        <v>17</v>
      </c>
      <c r="B46" s="30" t="inlineStr">
        <is>
          <t>city</t>
        </is>
      </c>
      <c r="C46" s="30" t="inlineStr">
        <is>
          <t>VARCHAR</t>
        </is>
      </c>
      <c r="D46" s="29" t="n">
        <v>7170649</v>
      </c>
      <c r="E46" s="29" t="n">
        <v>354849</v>
      </c>
      <c r="F46" s="37" t="n">
        <v>0.9528</v>
      </c>
      <c r="G46" s="30" t="inlineStr">
        <is>
          <t>BROOKLYN</t>
        </is>
      </c>
      <c r="H46" s="30" t="inlineStr">
        <is>
          <t>所属行政区/城市名称</t>
        </is>
      </c>
      <c r="I46" s="30" t="inlineStr">
        <is>
          <t>多与行政区重合，标准化统一采用 borough 字段</t>
        </is>
      </c>
    </row>
    <row r="47" ht="19" customHeight="1">
      <c r="A47" s="27" t="n">
        <v>18</v>
      </c>
      <c r="B47" s="32" t="inlineStr">
        <is>
          <t>landmark</t>
        </is>
      </c>
      <c r="C47" s="32" t="inlineStr">
        <is>
          <t>VARCHAR</t>
        </is>
      </c>
      <c r="D47" s="33" t="n">
        <v>4532248</v>
      </c>
      <c r="E47" s="33" t="n">
        <v>2993250</v>
      </c>
      <c r="F47" s="44" t="n">
        <v>0.6022999999999999</v>
      </c>
      <c r="G47" s="32" t="inlineStr">
        <is>
          <t>WASHINGTON AVENUE</t>
        </is>
      </c>
      <c r="H47" s="32" t="inlineStr">
        <is>
          <t>临近地标建筑描述</t>
        </is>
      </c>
      <c r="I47" s="32" t="inlineStr">
        <is>
          <t>非必填描述字段，缺失率较高（约 90%），仅供定性参考</t>
        </is>
      </c>
    </row>
    <row r="48" ht="19" customHeight="1">
      <c r="A48" s="28" t="n">
        <v>19</v>
      </c>
      <c r="B48" s="30" t="inlineStr">
        <is>
          <t>facility_type</t>
        </is>
      </c>
      <c r="C48" s="30" t="inlineStr">
        <is>
          <t>VARCHAR</t>
        </is>
      </c>
      <c r="D48" s="29" t="n">
        <v>553722</v>
      </c>
      <c r="E48" s="29" t="n">
        <v>6971776</v>
      </c>
      <c r="F48" s="44" t="n">
        <v>0.0736</v>
      </c>
      <c r="G48" s="30" t="inlineStr">
        <is>
          <t>NULL</t>
        </is>
      </c>
      <c r="H48" s="30" t="inlineStr">
        <is>
          <t>设施管理归属类型</t>
        </is>
      </c>
      <c r="I48" s="30" t="inlineStr">
        <is>
          <t>主要用于公立学校、公园等专项设施打标</t>
        </is>
      </c>
    </row>
    <row r="49" ht="19" customHeight="1">
      <c r="A49" s="27" t="n">
        <v>20</v>
      </c>
      <c r="B49" s="32" t="inlineStr">
        <is>
          <t>status</t>
        </is>
      </c>
      <c r="C49" s="32" t="inlineStr">
        <is>
          <t>VARCHAR</t>
        </is>
      </c>
      <c r="D49" s="33" t="n">
        <v>7525498</v>
      </c>
      <c r="E49" s="33" t="n">
        <v>0</v>
      </c>
      <c r="F49" s="35" t="n">
        <v>1</v>
      </c>
      <c r="G49" s="32" t="inlineStr">
        <is>
          <t>Closed</t>
        </is>
      </c>
      <c r="H49" s="32" t="inlineStr">
        <is>
          <t>当前案件流转状态</t>
        </is>
      </c>
      <c r="I49" s="32" t="inlineStr">
        <is>
          <t>Closed, In Progress, Open 等，计算全市综合办结闭环率</t>
        </is>
      </c>
    </row>
    <row r="50" ht="19" customHeight="1">
      <c r="A50" s="28" t="n">
        <v>21</v>
      </c>
      <c r="B50" s="30" t="inlineStr">
        <is>
          <t>due_date</t>
        </is>
      </c>
      <c r="C50" s="30" t="inlineStr">
        <is>
          <t>VARCHAR</t>
        </is>
      </c>
      <c r="D50" s="29" t="n">
        <v>33445</v>
      </c>
      <c r="E50" s="29" t="n">
        <v>7492053</v>
      </c>
      <c r="F50" s="44" t="n">
        <v>0.0044</v>
      </c>
      <c r="G50" s="30" t="inlineStr">
        <is>
          <t>NULL</t>
        </is>
      </c>
      <c r="H50" s="30" t="inlineStr">
        <is>
          <t>法定要求办结截止时间</t>
        </is>
      </c>
      <c r="I50" s="30" t="inlineStr">
        <is>
          <t>部门考核基准，大面积为空，不作为核心履约评价依据</t>
        </is>
      </c>
    </row>
    <row r="51" ht="19" customHeight="1">
      <c r="A51" s="27" t="n">
        <v>22</v>
      </c>
      <c r="B51" s="32" t="inlineStr">
        <is>
          <t>resolution_description</t>
        </is>
      </c>
      <c r="C51" s="32" t="inlineStr">
        <is>
          <t>VARCHAR</t>
        </is>
      </c>
      <c r="D51" s="33" t="n">
        <v>7413511</v>
      </c>
      <c r="E51" s="33" t="n">
        <v>111987</v>
      </c>
      <c r="F51" s="35" t="n">
        <v>0.9851000000000001</v>
      </c>
      <c r="G51" s="32" t="inlineStr">
        <is>
          <t>The Department of Health and Mental Hygi</t>
        </is>
      </c>
      <c r="H51" s="32" t="inlineStr">
        <is>
          <t>结案处置官方文字记录</t>
        </is>
      </c>
      <c r="I51" s="32" t="inlineStr">
        <is>
          <t>极为关键！NLP文本清洗提取现场执法实质（开罚单/人已离开/未见违规）</t>
        </is>
      </c>
    </row>
    <row r="52" ht="19" customHeight="1">
      <c r="A52" s="28" t="n">
        <v>23</v>
      </c>
      <c r="B52" s="30" t="inlineStr">
        <is>
          <t>resolution_action_updated_date</t>
        </is>
      </c>
      <c r="C52" s="30" t="inlineStr">
        <is>
          <t>VARCHAR</t>
        </is>
      </c>
      <c r="D52" s="29" t="n">
        <v>7437515</v>
      </c>
      <c r="E52" s="29" t="n">
        <v>87983</v>
      </c>
      <c r="F52" s="37" t="n">
        <v>0.9883</v>
      </c>
      <c r="G52" s="30" t="inlineStr">
        <is>
          <t>2025-01-13T11:31:22.000</t>
        </is>
      </c>
      <c r="H52" s="30" t="inlineStr">
        <is>
          <t>处置动态最后更新时间</t>
        </is>
      </c>
      <c r="I52" s="30" t="inlineStr">
        <is>
          <t>流程状态更新时间戳，辅助跟踪案件流转生命周期</t>
        </is>
      </c>
    </row>
    <row r="53" ht="19" customHeight="1">
      <c r="A53" s="27" t="n">
        <v>24</v>
      </c>
      <c r="B53" s="32" t="inlineStr">
        <is>
          <t>community_board</t>
        </is>
      </c>
      <c r="C53" s="32" t="inlineStr">
        <is>
          <t>VARCHAR</t>
        </is>
      </c>
      <c r="D53" s="33" t="n">
        <v>7525498</v>
      </c>
      <c r="E53" s="33" t="n">
        <v>0</v>
      </c>
      <c r="F53" s="35" t="n">
        <v>1</v>
      </c>
      <c r="G53" s="32" t="inlineStr">
        <is>
          <t>08 BROOKLYN</t>
        </is>
      </c>
      <c r="H53" s="32" t="inlineStr">
        <is>
          <t>社区委员会行政区划代码</t>
        </is>
      </c>
      <c r="I53" s="32" t="inlineStr">
        <is>
          <t>纽约基层社区自治委员会编号，细粒度行政区划</t>
        </is>
      </c>
    </row>
    <row r="54" ht="19" customHeight="1">
      <c r="A54" s="28" t="n">
        <v>25</v>
      </c>
      <c r="B54" s="30" t="inlineStr">
        <is>
          <t>bbl</t>
        </is>
      </c>
      <c r="C54" s="30" t="inlineStr">
        <is>
          <t>VARCHAR</t>
        </is>
      </c>
      <c r="D54" s="29" t="n">
        <v>6678602</v>
      </c>
      <c r="E54" s="29" t="n">
        <v>846896</v>
      </c>
      <c r="F54" s="44" t="n">
        <v>0.8875</v>
      </c>
      <c r="G54" s="30" t="inlineStr">
        <is>
          <t>3011730050</t>
        </is>
      </c>
      <c r="H54" s="30" t="inlineStr">
        <is>
          <t>纽约建筑税号 (Boro-Block-Lot)</t>
        </is>
      </c>
      <c r="I54" s="30" t="inlineStr">
        <is>
          <t>建筑不动产唯一编码，用于多户公寓与房屋维修跨表关联</t>
        </is>
      </c>
    </row>
    <row r="55" ht="19" customHeight="1">
      <c r="A55" s="27" t="n">
        <v>26</v>
      </c>
      <c r="B55" s="32" t="inlineStr">
        <is>
          <t>borough</t>
        </is>
      </c>
      <c r="C55" s="32" t="inlineStr">
        <is>
          <t>VARCHAR</t>
        </is>
      </c>
      <c r="D55" s="33" t="n">
        <v>7525498</v>
      </c>
      <c r="E55" s="33" t="n">
        <v>0</v>
      </c>
      <c r="F55" s="35" t="n">
        <v>1</v>
      </c>
      <c r="G55" s="32" t="inlineStr">
        <is>
          <t>BROOKLYN</t>
        </is>
      </c>
      <c r="H55" s="32" t="inlineStr">
        <is>
          <t>所属五大行政区名称</t>
        </is>
      </c>
      <c r="I55" s="32" t="inlineStr">
        <is>
          <t>MANHATTAN, BRONX, BROOKLYN, QUEENS, STATEN ISLAND，核心空间维度</t>
        </is>
      </c>
    </row>
    <row r="56" ht="19" customHeight="1">
      <c r="A56" s="28" t="n">
        <v>27</v>
      </c>
      <c r="B56" s="30" t="inlineStr">
        <is>
          <t>council_district</t>
        </is>
      </c>
      <c r="C56" s="30" t="inlineStr">
        <is>
          <t>VARCHAR</t>
        </is>
      </c>
      <c r="D56" s="29" t="n">
        <v>7361327</v>
      </c>
      <c r="E56" s="29" t="n">
        <v>164171</v>
      </c>
      <c r="F56" s="37" t="n">
        <v>0.9782</v>
      </c>
      <c r="G56" s="30" t="inlineStr">
        <is>
          <t>35</t>
        </is>
      </c>
      <c r="H56" s="30" t="inlineStr">
        <is>
          <t>市议员选区编号</t>
        </is>
      </c>
      <c r="I56" s="30" t="inlineStr">
        <is>
          <t>地方政治与民生代表选区，辅助区域政策研究</t>
        </is>
      </c>
    </row>
    <row r="57" ht="19" customHeight="1">
      <c r="A57" s="27" t="n">
        <v>28</v>
      </c>
      <c r="B57" s="32" t="inlineStr">
        <is>
          <t>police_precinct</t>
        </is>
      </c>
      <c r="C57" s="32" t="inlineStr">
        <is>
          <t>VARCHAR</t>
        </is>
      </c>
      <c r="D57" s="33" t="n">
        <v>7525498</v>
      </c>
      <c r="E57" s="33" t="n">
        <v>0</v>
      </c>
      <c r="F57" s="35" t="n">
        <v>1</v>
      </c>
      <c r="G57" s="32" t="inlineStr">
        <is>
          <t>Precinct 77</t>
        </is>
      </c>
      <c r="H57" s="32" t="inlineStr">
        <is>
          <t>所属警察管辖分局代号</t>
        </is>
      </c>
      <c r="I57" s="32" t="inlineStr">
        <is>
          <t>NYPD 辖区代号（Precinct 1-123），用于警力响应效率考核</t>
        </is>
      </c>
    </row>
    <row r="58" ht="19" customHeight="1">
      <c r="A58" s="28" t="n">
        <v>29</v>
      </c>
      <c r="B58" s="30" t="inlineStr">
        <is>
          <t>descriptor_2</t>
        </is>
      </c>
      <c r="C58" s="30" t="inlineStr">
        <is>
          <t>VARCHAR</t>
        </is>
      </c>
      <c r="D58" s="29" t="n">
        <v>3555197</v>
      </c>
      <c r="E58" s="29" t="n">
        <v>3970301</v>
      </c>
      <c r="F58" s="44" t="n">
        <v>0.4724</v>
      </c>
      <c r="G58" s="30" t="inlineStr">
        <is>
          <t>NULL</t>
        </is>
      </c>
      <c r="H58" s="30" t="inlineStr">
        <is>
          <t>辅助扩展细分描述</t>
        </is>
      </c>
      <c r="I58" s="30" t="inlineStr">
        <is>
          <t>部分专项部门的扩充字段，缺失率高</t>
        </is>
      </c>
    </row>
    <row r="59" ht="19" customHeight="1">
      <c r="A59" s="27" t="n">
        <v>30</v>
      </c>
      <c r="B59" s="32" t="inlineStr">
        <is>
          <t>x_coordinate_state_plane</t>
        </is>
      </c>
      <c r="C59" s="32" t="inlineStr">
        <is>
          <t>VARCHAR</t>
        </is>
      </c>
      <c r="D59" s="33" t="n">
        <v>7395876</v>
      </c>
      <c r="E59" s="33" t="n">
        <v>129622</v>
      </c>
      <c r="F59" s="35" t="n">
        <v>0.9828</v>
      </c>
      <c r="G59" s="32" t="inlineStr">
        <is>
          <t>994493</t>
        </is>
      </c>
      <c r="H59" s="32" t="inlineStr">
        <is>
          <t>纽约州平面坐标系 X</t>
        </is>
      </c>
      <c r="I59" s="32" t="inlineStr">
        <is>
          <t>投影坐标，用于 GIS 精确测距与投影底图绘制</t>
        </is>
      </c>
    </row>
    <row r="60" ht="19" customHeight="1">
      <c r="A60" s="28" t="n">
        <v>31</v>
      </c>
      <c r="B60" s="30" t="inlineStr">
        <is>
          <t>y_coordinate_state_plane</t>
        </is>
      </c>
      <c r="C60" s="30" t="inlineStr">
        <is>
          <t>VARCHAR</t>
        </is>
      </c>
      <c r="D60" s="29" t="n">
        <v>7396230</v>
      </c>
      <c r="E60" s="29" t="n">
        <v>129268</v>
      </c>
      <c r="F60" s="37" t="n">
        <v>0.9828</v>
      </c>
      <c r="G60" s="30" t="inlineStr">
        <is>
          <t>184896</t>
        </is>
      </c>
      <c r="H60" s="30" t="inlineStr">
        <is>
          <t>纽约州平面坐标系 Y</t>
        </is>
      </c>
      <c r="I60" s="30" t="inlineStr">
        <is>
          <t>投影坐标，用于 GIS 精确测距与投影底图绘制</t>
        </is>
      </c>
    </row>
    <row r="61" ht="19" customHeight="1">
      <c r="A61" s="27" t="n">
        <v>32</v>
      </c>
      <c r="B61" s="32" t="inlineStr">
        <is>
          <t>open_data_channel_type</t>
        </is>
      </c>
      <c r="C61" s="32" t="inlineStr">
        <is>
          <t>VARCHAR</t>
        </is>
      </c>
      <c r="D61" s="33" t="n">
        <v>7525498</v>
      </c>
      <c r="E61" s="33" t="n">
        <v>0</v>
      </c>
      <c r="F61" s="35" t="n">
        <v>1</v>
      </c>
      <c r="G61" s="32" t="inlineStr">
        <is>
          <t>ONLINE</t>
        </is>
      </c>
      <c r="H61" s="32" t="inlineStr">
        <is>
          <t>市民接入申报渠道类型</t>
        </is>
      </c>
      <c r="I61" s="32" t="inlineStr">
        <is>
          <t>ONLINE, PHONE, MOBILE 等，用于数字化转型与市民行为偏好分析</t>
        </is>
      </c>
    </row>
    <row r="62" ht="19" customHeight="1">
      <c r="A62" s="28" t="n">
        <v>33</v>
      </c>
      <c r="B62" s="30" t="inlineStr">
        <is>
          <t>park_facility_name</t>
        </is>
      </c>
      <c r="C62" s="30" t="inlineStr">
        <is>
          <t>VARCHAR</t>
        </is>
      </c>
      <c r="D62" s="29" t="n">
        <v>7525498</v>
      </c>
      <c r="E62" s="29" t="n">
        <v>0</v>
      </c>
      <c r="F62" s="37" t="n">
        <v>1</v>
      </c>
      <c r="G62" s="30" t="inlineStr">
        <is>
          <t>Unspecified</t>
        </is>
      </c>
      <c r="H62" s="30" t="inlineStr">
        <is>
          <t>公园设施名称</t>
        </is>
      </c>
      <c r="I62" s="30" t="inlineStr">
        <is>
          <t>DPR 公园局专属设施名，非公园诉求为空</t>
        </is>
      </c>
    </row>
    <row r="63" ht="19" customHeight="1">
      <c r="A63" s="27" t="n">
        <v>34</v>
      </c>
      <c r="B63" s="32" t="inlineStr">
        <is>
          <t>park_borough</t>
        </is>
      </c>
      <c r="C63" s="32" t="inlineStr">
        <is>
          <t>VARCHAR</t>
        </is>
      </c>
      <c r="D63" s="33" t="n">
        <v>7525498</v>
      </c>
      <c r="E63" s="33" t="n">
        <v>0</v>
      </c>
      <c r="F63" s="35" t="n">
        <v>1</v>
      </c>
      <c r="G63" s="32" t="inlineStr">
        <is>
          <t>BROOKLYN</t>
        </is>
      </c>
      <c r="H63" s="32" t="inlineStr">
        <is>
          <t>公园所属行政区</t>
        </is>
      </c>
      <c r="I63" s="32" t="inlineStr">
        <is>
          <t>公园专属行政区打标</t>
        </is>
      </c>
    </row>
    <row r="64" ht="19" customHeight="1">
      <c r="A64" s="28" t="n">
        <v>35</v>
      </c>
      <c r="B64" s="30" t="inlineStr">
        <is>
          <t>vehicle_type</t>
        </is>
      </c>
      <c r="C64" s="30" t="inlineStr">
        <is>
          <t>VARCHAR</t>
        </is>
      </c>
      <c r="D64" s="29" t="n">
        <v>329829</v>
      </c>
      <c r="E64" s="29" t="n">
        <v>7195669</v>
      </c>
      <c r="F64" s="44" t="n">
        <v>0.0438</v>
      </c>
      <c r="G64" s="30" t="inlineStr">
        <is>
          <t>NULL</t>
        </is>
      </c>
      <c r="H64" s="30" t="inlineStr">
        <is>
          <t>涉案车辆类型</t>
        </is>
      </c>
      <c r="I64" s="30" t="inlineStr">
        <is>
          <t>仅在机动车/出租车诉求中有值</t>
        </is>
      </c>
    </row>
    <row r="65" ht="19" customHeight="1">
      <c r="A65" s="27" t="n">
        <v>36</v>
      </c>
      <c r="B65" s="32" t="inlineStr">
        <is>
          <t>taxi_company_borough</t>
        </is>
      </c>
      <c r="C65" s="32" t="inlineStr">
        <is>
          <t>VARCHAR</t>
        </is>
      </c>
      <c r="D65" s="33" t="n">
        <v>5132</v>
      </c>
      <c r="E65" s="33" t="n">
        <v>7520366</v>
      </c>
      <c r="F65" s="44" t="n">
        <v>0.0007000000000000001</v>
      </c>
      <c r="G65" s="32" t="inlineStr">
        <is>
          <t>NULL</t>
        </is>
      </c>
      <c r="H65" s="32" t="inlineStr">
        <is>
          <t>出租车运营公司归属区</t>
        </is>
      </c>
      <c r="I65" s="32" t="inlineStr">
        <is>
          <t>TLC 出租车监管局专属字段</t>
        </is>
      </c>
    </row>
    <row r="66" ht="19" customHeight="1">
      <c r="A66" s="28" t="n">
        <v>37</v>
      </c>
      <c r="B66" s="30" t="inlineStr">
        <is>
          <t>taxi_pick_up_location</t>
        </is>
      </c>
      <c r="C66" s="30" t="inlineStr">
        <is>
          <t>VARCHAR</t>
        </is>
      </c>
      <c r="D66" s="29" t="n">
        <v>73976</v>
      </c>
      <c r="E66" s="29" t="n">
        <v>7451522</v>
      </c>
      <c r="F66" s="44" t="n">
        <v>0.0098</v>
      </c>
      <c r="G66" s="30" t="inlineStr">
        <is>
          <t>NULL</t>
        </is>
      </c>
      <c r="H66" s="30" t="inlineStr">
        <is>
          <t>出租车上车乘车地点</t>
        </is>
      </c>
      <c r="I66" s="30" t="inlineStr">
        <is>
          <t>TLC 违规打车诉求专属字段</t>
        </is>
      </c>
    </row>
    <row r="67" ht="19" customHeight="1">
      <c r="A67" s="27" t="n">
        <v>38</v>
      </c>
      <c r="B67" s="32" t="inlineStr">
        <is>
          <t>bridge_highway_name</t>
        </is>
      </c>
      <c r="C67" s="32" t="inlineStr">
        <is>
          <t>VARCHAR</t>
        </is>
      </c>
      <c r="D67" s="33" t="n">
        <v>40544</v>
      </c>
      <c r="E67" s="33" t="n">
        <v>7484954</v>
      </c>
      <c r="F67" s="44" t="n">
        <v>0.0054</v>
      </c>
      <c r="G67" s="32" t="inlineStr">
        <is>
          <t>NULL</t>
        </is>
      </c>
      <c r="H67" s="32" t="inlineStr">
        <is>
          <t>大桥/高速公路名称</t>
        </is>
      </c>
      <c r="I67" s="32" t="inlineStr">
        <is>
          <t>DOT 交通局路桥设施专属字段</t>
        </is>
      </c>
    </row>
    <row r="68" ht="19" customHeight="1">
      <c r="A68" s="28" t="n">
        <v>39</v>
      </c>
      <c r="B68" s="30" t="inlineStr">
        <is>
          <t>bridge_highway_direction</t>
        </is>
      </c>
      <c r="C68" s="30" t="inlineStr">
        <is>
          <t>VARCHAR</t>
        </is>
      </c>
      <c r="D68" s="29" t="n">
        <v>22859</v>
      </c>
      <c r="E68" s="29" t="n">
        <v>7502639</v>
      </c>
      <c r="F68" s="44" t="n">
        <v>0.003</v>
      </c>
      <c r="G68" s="30" t="inlineStr">
        <is>
          <t>NULL</t>
        </is>
      </c>
      <c r="H68" s="30" t="inlineStr">
        <is>
          <t>路段行驶方向</t>
        </is>
      </c>
      <c r="I68" s="30" t="inlineStr">
        <is>
          <t>高速路上下行方向</t>
        </is>
      </c>
    </row>
    <row r="69" ht="19" customHeight="1">
      <c r="A69" s="27" t="n">
        <v>40</v>
      </c>
      <c r="B69" s="32" t="inlineStr">
        <is>
          <t>road_ramp</t>
        </is>
      </c>
      <c r="C69" s="32" t="inlineStr">
        <is>
          <t>VARCHAR</t>
        </is>
      </c>
      <c r="D69" s="33" t="n">
        <v>20192</v>
      </c>
      <c r="E69" s="33" t="n">
        <v>7505306</v>
      </c>
      <c r="F69" s="44" t="n">
        <v>0.0027</v>
      </c>
      <c r="G69" s="32" t="inlineStr">
        <is>
          <t>NULL</t>
        </is>
      </c>
      <c r="H69" s="32" t="inlineStr">
        <is>
          <t>匝道引桥标识</t>
        </is>
      </c>
      <c r="I69" s="32" t="inlineStr">
        <is>
          <t>路桥专属字段</t>
        </is>
      </c>
    </row>
    <row r="70" ht="19" customHeight="1">
      <c r="A70" s="28" t="n">
        <v>41</v>
      </c>
      <c r="B70" s="30" t="inlineStr">
        <is>
          <t>bridge_highway_segment</t>
        </is>
      </c>
      <c r="C70" s="30" t="inlineStr">
        <is>
          <t>VARCHAR</t>
        </is>
      </c>
      <c r="D70" s="29" t="n">
        <v>40556</v>
      </c>
      <c r="E70" s="29" t="n">
        <v>7484942</v>
      </c>
      <c r="F70" s="44" t="n">
        <v>0.0054</v>
      </c>
      <c r="G70" s="30" t="inlineStr">
        <is>
          <t>NULL</t>
        </is>
      </c>
      <c r="H70" s="30" t="inlineStr">
        <is>
          <t>路段具体桩号区间</t>
        </is>
      </c>
      <c r="I70" s="30" t="inlineStr">
        <is>
          <t>路网精准维护定位</t>
        </is>
      </c>
    </row>
    <row r="71" ht="19" customHeight="1">
      <c r="A71" s="27" t="n">
        <v>42</v>
      </c>
      <c r="B71" s="32" t="inlineStr">
        <is>
          <t>latitude</t>
        </is>
      </c>
      <c r="C71" s="32" t="inlineStr">
        <is>
          <t>VARCHAR</t>
        </is>
      </c>
      <c r="D71" s="33" t="n">
        <v>7395802</v>
      </c>
      <c r="E71" s="33" t="n">
        <v>129696</v>
      </c>
      <c r="F71" s="35" t="n">
        <v>0.9828</v>
      </c>
      <c r="G71" s="32" t="inlineStr">
        <is>
          <t>40.674167635030464</t>
        </is>
      </c>
      <c r="H71" s="32" t="inlineStr">
        <is>
          <t>事发地 WGS84 纬度</t>
        </is>
      </c>
      <c r="I71" s="32" t="inlineStr">
        <is>
          <t>空间聚类与热力图分析，缺失率仅 1.72%</t>
        </is>
      </c>
    </row>
    <row r="72" ht="19" customHeight="1">
      <c r="A72" s="28" t="n">
        <v>43</v>
      </c>
      <c r="B72" s="30" t="inlineStr">
        <is>
          <t>longitude</t>
        </is>
      </c>
      <c r="C72" s="30" t="inlineStr">
        <is>
          <t>VARCHAR</t>
        </is>
      </c>
      <c r="D72" s="29" t="n">
        <v>7395802</v>
      </c>
      <c r="E72" s="29" t="n">
        <v>129696</v>
      </c>
      <c r="F72" s="37" t="n">
        <v>0.9828</v>
      </c>
      <c r="G72" s="30" t="inlineStr">
        <is>
          <t>-73.96307341921734</t>
        </is>
      </c>
      <c r="H72" s="30" t="inlineStr">
        <is>
          <t>事发地 WGS84 经度</t>
        </is>
      </c>
      <c r="I72" s="30" t="inlineStr">
        <is>
          <t>空间聚类与热力图分析，缺失率仅 1.72%</t>
        </is>
      </c>
    </row>
    <row r="73" ht="19" customHeight="1">
      <c r="A73" s="27" t="n">
        <v>44</v>
      </c>
      <c r="B73" s="32" t="inlineStr">
        <is>
          <t>location</t>
        </is>
      </c>
      <c r="C73" s="32" t="inlineStr">
        <is>
          <t>VARCHAR</t>
        </is>
      </c>
      <c r="D73" s="33" t="n">
        <v>7395802</v>
      </c>
      <c r="E73" s="33" t="n">
        <v>129696</v>
      </c>
      <c r="F73" s="35" t="n">
        <v>0.9828</v>
      </c>
      <c r="G73" s="32" t="inlineStr">
        <is>
          <t>{"coordinates": [-73.963073419217, 40.67</t>
        </is>
      </c>
      <c r="H73" s="32" t="inlineStr">
        <is>
          <t>组合经纬度地理坐标</t>
        </is>
      </c>
      <c r="I73" s="32" t="inlineStr">
        <is>
          <t>POINT 格式，便于直接导入空间数据库</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1"/>
  <sheetViews>
    <sheetView showGridLines="1" workbookViewId="0">
      <selection activeCell="A1" sqref="A1"/>
    </sheetView>
  </sheetViews>
  <sheetFormatPr baseColWidth="8" defaultRowHeight="15"/>
  <cols>
    <col width="8" customWidth="1" min="1" max="1"/>
    <col width="28" customWidth="1" min="2" max="2"/>
    <col width="14" customWidth="1" min="3" max="3"/>
    <col width="10" customWidth="1" min="4" max="4"/>
    <col width="14" customWidth="1" min="5" max="5"/>
    <col width="13" customWidth="1" min="6" max="6"/>
    <col width="13" customWidth="1" min="7" max="7"/>
    <col width="13" customWidth="1" min="8" max="8"/>
    <col width="12" customWidth="1" min="9" max="9"/>
    <col width="12" customWidth="1" min="10" max="10"/>
    <col width="12" customWidth="1" min="11" max="11"/>
    <col width="46" customWidth="1" min="12" max="12"/>
  </cols>
  <sheetData>
    <row r="1" ht="28" customHeight="1">
      <c r="A1" s="1" t="inlineStr">
        <is>
          <t>核心发现 1：记录数 ≠ 现实事件 —— 极端“超级报告者”与地址高集中度剖析</t>
        </is>
      </c>
    </row>
    <row r="2" ht="18" customHeight="1">
      <c r="A2" s="2" t="inlineStr">
        <is>
          <t>核心结论：全市仅 0.02% 地址贡献了 10.9% 工单；第一大极值点单地址产生 17.2 万工单，导致该区统计指标严重失真</t>
        </is>
      </c>
    </row>
    <row r="3"/>
    <row r="4">
      <c r="A4" s="21" t="inlineStr">
        <is>
          <t>【表 3-1 全市工单投诉频次极值地址 TOP 20 深度画像】</t>
        </is>
      </c>
    </row>
    <row r="5" ht="24" customHeight="1">
      <c r="A5" s="22" t="inlineStr">
        <is>
          <t>排名</t>
        </is>
      </c>
      <c r="B5" s="22" t="inlineStr">
        <is>
          <t>事发详细门牌地址 (Address)</t>
        </is>
      </c>
      <c r="C5" s="22" t="inlineStr">
        <is>
          <t>所属行政区</t>
        </is>
      </c>
      <c r="D5" s="22" t="inlineStr">
        <is>
          <t>邮编</t>
        </is>
      </c>
      <c r="E5" s="22" t="inlineStr">
        <is>
          <t>工单总量 (件)</t>
        </is>
      </c>
      <c r="F5" s="22" t="inlineStr">
        <is>
          <t>噪音工单</t>
        </is>
      </c>
      <c r="G5" s="22" t="inlineStr">
        <is>
          <t>违停工单</t>
        </is>
      </c>
      <c r="H5" s="22" t="inlineStr">
        <is>
          <t>供暖工单</t>
        </is>
      </c>
      <c r="I5" s="22" t="inlineStr">
        <is>
          <t>APP移动端%</t>
        </is>
      </c>
      <c r="J5" s="22" t="inlineStr">
        <is>
          <t>网页端%</t>
        </is>
      </c>
      <c r="K5" s="22" t="inlineStr">
        <is>
          <t>电话端%</t>
        </is>
      </c>
      <c r="L5" s="22" t="inlineStr">
        <is>
          <t>极端异常特征诊断与研判</t>
        </is>
      </c>
    </row>
    <row r="6" ht="20" customHeight="1">
      <c r="A6" s="28" t="n">
        <v>1</v>
      </c>
      <c r="B6" s="45" t="inlineStr">
        <is>
          <t>655 EAST  230 STREET</t>
        </is>
      </c>
      <c r="C6" s="28" t="inlineStr">
        <is>
          <t>BRONX</t>
        </is>
      </c>
      <c r="D6" s="28" t="inlineStr">
        <is>
          <t>10466</t>
        </is>
      </c>
      <c r="E6" s="46" t="n">
        <v>167703</v>
      </c>
      <c r="F6" s="29" t="n">
        <v>167078</v>
      </c>
      <c r="G6" s="29" t="n">
        <v>463</v>
      </c>
      <c r="H6" s="29" t="n">
        <v>51</v>
      </c>
      <c r="I6" s="47" t="n">
        <v>0.996</v>
      </c>
      <c r="J6" s="47" t="n">
        <v>0.001</v>
      </c>
      <c r="K6" s="47" t="n">
        <v>0.003</v>
      </c>
      <c r="L6" s="45" t="inlineStr">
        <is>
          <t>【超级报告者暴击点】个人App高频刷单，24小时持续报送派对噪音，日均 348 件</t>
        </is>
      </c>
    </row>
    <row r="7" ht="20" customHeight="1">
      <c r="A7" s="27" t="n">
        <v>2</v>
      </c>
      <c r="B7" s="32" t="inlineStr">
        <is>
          <t>78-15 PARSONS BOULEVARD</t>
        </is>
      </c>
      <c r="C7" s="27" t="inlineStr">
        <is>
          <t>QUEENS</t>
        </is>
      </c>
      <c r="D7" s="27" t="inlineStr">
        <is>
          <t>11366</t>
        </is>
      </c>
      <c r="E7" s="33" t="n">
        <v>23077</v>
      </c>
      <c r="F7" s="33" t="n">
        <v>12479</v>
      </c>
      <c r="G7" s="33" t="n">
        <v>885</v>
      </c>
      <c r="H7" s="33" t="n">
        <v>0</v>
      </c>
      <c r="I7" s="48" t="n">
        <v>0</v>
      </c>
      <c r="J7" s="48" t="n">
        <v>1</v>
      </c>
      <c r="K7" s="48" t="n">
        <v>0</v>
      </c>
      <c r="L7" s="32" t="inlineStr">
        <is>
          <t>【多户大型综合体】住户基数大与设施老化引发的诉求叠加</t>
        </is>
      </c>
    </row>
    <row r="8" ht="20" customHeight="1">
      <c r="A8" s="28" t="n">
        <v>3</v>
      </c>
      <c r="B8" s="30" t="inlineStr">
        <is>
          <t>5-47 50 AVENUE</t>
        </is>
      </c>
      <c r="C8" s="28" t="inlineStr">
        <is>
          <t>QUEENS</t>
        </is>
      </c>
      <c r="D8" s="28" t="inlineStr">
        <is>
          <t>11101</t>
        </is>
      </c>
      <c r="E8" s="29" t="n">
        <v>14504</v>
      </c>
      <c r="F8" s="29" t="n">
        <v>1</v>
      </c>
      <c r="G8" s="29" t="n">
        <v>14491</v>
      </c>
      <c r="H8" s="29" t="n">
        <v>0</v>
      </c>
      <c r="I8" s="47" t="n">
        <v>0.068</v>
      </c>
      <c r="J8" s="47" t="n">
        <v>0.9320000000000001</v>
      </c>
      <c r="K8" s="47" t="n">
        <v>0</v>
      </c>
      <c r="L8" s="30" t="inlineStr">
        <is>
          <t>【路权争夺黑洞】商业装卸货区/私家车道被占高频报案，日均多轮重复举报</t>
        </is>
      </c>
    </row>
    <row r="9" ht="20" customHeight="1">
      <c r="A9" s="27" t="n">
        <v>4</v>
      </c>
      <c r="B9" s="32" t="inlineStr">
        <is>
          <t>661 EAST  230 STREET</t>
        </is>
      </c>
      <c r="C9" s="27" t="inlineStr">
        <is>
          <t>BRONX</t>
        </is>
      </c>
      <c r="D9" s="27" t="inlineStr">
        <is>
          <t>10466</t>
        </is>
      </c>
      <c r="E9" s="33" t="n">
        <v>13836</v>
      </c>
      <c r="F9" s="33" t="n">
        <v>13833</v>
      </c>
      <c r="G9" s="33" t="n">
        <v>2</v>
      </c>
      <c r="H9" s="33" t="n">
        <v>0</v>
      </c>
      <c r="I9" s="48" t="n">
        <v>1</v>
      </c>
      <c r="J9" s="48" t="n">
        <v>0</v>
      </c>
      <c r="K9" s="48" t="n">
        <v>0</v>
      </c>
      <c r="L9" s="32" t="inlineStr">
        <is>
          <t>【超级报告者暴击点】个人App高频刷单，24小时持续报送派对噪音，日均 348 件</t>
        </is>
      </c>
    </row>
    <row r="10" ht="20" customHeight="1">
      <c r="A10" s="28" t="n">
        <v>5</v>
      </c>
      <c r="B10" s="30" t="inlineStr">
        <is>
          <t>82-68 164 STREET</t>
        </is>
      </c>
      <c r="C10" s="28" t="inlineStr">
        <is>
          <t>QUEENS</t>
        </is>
      </c>
      <c r="D10" s="28" t="inlineStr">
        <is>
          <t>11432</t>
        </is>
      </c>
      <c r="E10" s="29" t="n">
        <v>10585</v>
      </c>
      <c r="F10" s="29" t="n">
        <v>3048</v>
      </c>
      <c r="G10" s="29" t="n">
        <v>25</v>
      </c>
      <c r="H10" s="29" t="n">
        <v>0</v>
      </c>
      <c r="I10" s="47" t="n">
        <v>0</v>
      </c>
      <c r="J10" s="47" t="n">
        <v>0.997</v>
      </c>
      <c r="K10" s="47" t="n">
        <v>0.003</v>
      </c>
      <c r="L10" s="30" t="inlineStr">
        <is>
          <t>【多户大型综合体】住户基数大与设施老化引发的诉求叠加</t>
        </is>
      </c>
    </row>
    <row r="11" ht="20" customHeight="1">
      <c r="A11" s="27" t="n">
        <v>6</v>
      </c>
      <c r="B11" s="32" t="inlineStr">
        <is>
          <t>100 MESEROLE AVENUE</t>
        </is>
      </c>
      <c r="C11" s="27" t="inlineStr">
        <is>
          <t>BROOKLYN</t>
        </is>
      </c>
      <c r="D11" s="27" t="inlineStr">
        <is>
          <t>11222</t>
        </is>
      </c>
      <c r="E11" s="33" t="n">
        <v>10443</v>
      </c>
      <c r="F11" s="33" t="n">
        <v>1</v>
      </c>
      <c r="G11" s="33" t="n">
        <v>10432</v>
      </c>
      <c r="H11" s="33" t="n">
        <v>0</v>
      </c>
      <c r="I11" s="48" t="n">
        <v>0.127</v>
      </c>
      <c r="J11" s="48" t="n">
        <v>0.873</v>
      </c>
      <c r="K11" s="48" t="n">
        <v>0</v>
      </c>
      <c r="L11" s="32" t="inlineStr">
        <is>
          <t>【路权争夺黑洞】商业装卸货区/私家车道被占高频报案，日均多轮重复举报</t>
        </is>
      </c>
    </row>
    <row r="12" ht="20" customHeight="1">
      <c r="A12" s="28" t="n">
        <v>7</v>
      </c>
      <c r="B12" s="30" t="inlineStr">
        <is>
          <t>1465 WASHINGTON AVENUE</t>
        </is>
      </c>
      <c r="C12" s="28" t="inlineStr">
        <is>
          <t>BRONX</t>
        </is>
      </c>
      <c r="D12" s="28" t="inlineStr">
        <is>
          <t>10456</t>
        </is>
      </c>
      <c r="E12" s="29" t="n">
        <v>10046</v>
      </c>
      <c r="F12" s="29" t="n">
        <v>8618</v>
      </c>
      <c r="G12" s="29" t="n">
        <v>11</v>
      </c>
      <c r="H12" s="29" t="n">
        <v>0</v>
      </c>
      <c r="I12" s="47" t="n">
        <v>0.001</v>
      </c>
      <c r="J12" s="47" t="n">
        <v>0.996</v>
      </c>
      <c r="K12" s="47" t="n">
        <v>0.001</v>
      </c>
      <c r="L12" s="30" t="inlineStr">
        <is>
          <t>【邻里恶性矛盾】针对特定住宅的重复噪音投诉，存在人为主观执念放大</t>
        </is>
      </c>
    </row>
    <row r="13" ht="20" customHeight="1">
      <c r="A13" s="27" t="n">
        <v>8</v>
      </c>
      <c r="B13" s="32" t="inlineStr">
        <is>
          <t>1869 83 STREET</t>
        </is>
      </c>
      <c r="C13" s="27" t="inlineStr">
        <is>
          <t>BROOKLYN</t>
        </is>
      </c>
      <c r="D13" s="27" t="inlineStr">
        <is>
          <t>11214</t>
        </is>
      </c>
      <c r="E13" s="33" t="n">
        <v>9570</v>
      </c>
      <c r="F13" s="33" t="n">
        <v>9541</v>
      </c>
      <c r="G13" s="33" t="n">
        <v>10</v>
      </c>
      <c r="H13" s="33" t="n">
        <v>9</v>
      </c>
      <c r="I13" s="48" t="n">
        <v>0.001</v>
      </c>
      <c r="J13" s="48" t="n">
        <v>0.483</v>
      </c>
      <c r="K13" s="48" t="n">
        <v>0.516</v>
      </c>
      <c r="L13" s="32" t="inlineStr">
        <is>
          <t>【邻里恶性矛盾】针对特定住宅的重复噪音投诉，存在人为主观执念放大</t>
        </is>
      </c>
    </row>
    <row r="14" ht="20" customHeight="1">
      <c r="A14" s="28" t="n">
        <v>9</v>
      </c>
      <c r="B14" s="30" t="inlineStr">
        <is>
          <t>191 UNION STREET</t>
        </is>
      </c>
      <c r="C14" s="28" t="inlineStr">
        <is>
          <t>BROOKLYN</t>
        </is>
      </c>
      <c r="D14" s="28" t="inlineStr">
        <is>
          <t>11231</t>
        </is>
      </c>
      <c r="E14" s="29" t="n">
        <v>9157</v>
      </c>
      <c r="F14" s="29" t="n">
        <v>3</v>
      </c>
      <c r="G14" s="29" t="n">
        <v>9139</v>
      </c>
      <c r="H14" s="29" t="n">
        <v>1</v>
      </c>
      <c r="I14" s="47" t="n">
        <v>0</v>
      </c>
      <c r="J14" s="47" t="n">
        <v>1</v>
      </c>
      <c r="K14" s="47" t="n">
        <v>0</v>
      </c>
      <c r="L14" s="30" t="inlineStr">
        <is>
          <t>【路权争夺黑洞】商业装卸货区/私家车道被占高频报案，日均多轮重复举报</t>
        </is>
      </c>
    </row>
    <row r="15" ht="20" customHeight="1">
      <c r="A15" s="27" t="n">
        <v>10</v>
      </c>
      <c r="B15" s="32" t="inlineStr">
        <is>
          <t>298 CLASSON AVENUE</t>
        </is>
      </c>
      <c r="C15" s="27" t="inlineStr">
        <is>
          <t>BROOKLYN</t>
        </is>
      </c>
      <c r="D15" s="27" t="inlineStr">
        <is>
          <t>11205</t>
        </is>
      </c>
      <c r="E15" s="33" t="n">
        <v>8182</v>
      </c>
      <c r="F15" s="33" t="n">
        <v>1</v>
      </c>
      <c r="G15" s="33" t="n">
        <v>8170</v>
      </c>
      <c r="H15" s="33" t="n">
        <v>0</v>
      </c>
      <c r="I15" s="48" t="n">
        <v>0</v>
      </c>
      <c r="J15" s="48" t="n">
        <v>0.9990000000000001</v>
      </c>
      <c r="K15" s="48" t="n">
        <v>0</v>
      </c>
      <c r="L15" s="32" t="inlineStr">
        <is>
          <t>【路权争夺黑洞】商业装卸货区/私家车道被占高频报案，日均多轮重复举报</t>
        </is>
      </c>
    </row>
    <row r="16" ht="20" customHeight="1">
      <c r="A16" s="28" t="n">
        <v>11</v>
      </c>
      <c r="B16" s="30" t="inlineStr">
        <is>
          <t>957 WOODYCREST AVENUE</t>
        </is>
      </c>
      <c r="C16" s="28" t="inlineStr">
        <is>
          <t>BRONX</t>
        </is>
      </c>
      <c r="D16" s="28" t="inlineStr">
        <is>
          <t>10452</t>
        </is>
      </c>
      <c r="E16" s="29" t="n">
        <v>6911</v>
      </c>
      <c r="F16" s="29" t="n">
        <v>1191</v>
      </c>
      <c r="G16" s="29" t="n">
        <v>22</v>
      </c>
      <c r="H16" s="29" t="n">
        <v>1096</v>
      </c>
      <c r="I16" s="47" t="n">
        <v>0.001</v>
      </c>
      <c r="J16" s="47" t="n">
        <v>0.205</v>
      </c>
      <c r="K16" s="47" t="n">
        <v>0.6879999999999999</v>
      </c>
      <c r="L16" s="30" t="inlineStr">
        <is>
          <t>【多户大型综合体】住户基数大与设施老化引发的诉求叠加</t>
        </is>
      </c>
    </row>
    <row r="17" ht="20" customHeight="1">
      <c r="A17" s="27" t="n">
        <v>12</v>
      </c>
      <c r="B17" s="32" t="inlineStr">
        <is>
          <t>1040B EAST  217 STREET</t>
        </is>
      </c>
      <c r="C17" s="27" t="inlineStr">
        <is>
          <t>BRONX</t>
        </is>
      </c>
      <c r="D17" s="27" t="inlineStr">
        <is>
          <t>10469</t>
        </is>
      </c>
      <c r="E17" s="33" t="n">
        <v>6061</v>
      </c>
      <c r="F17" s="33" t="n">
        <v>17</v>
      </c>
      <c r="G17" s="33" t="n">
        <v>0</v>
      </c>
      <c r="H17" s="33" t="n">
        <v>6034</v>
      </c>
      <c r="I17" s="48" t="n">
        <v>0.998</v>
      </c>
      <c r="J17" s="48" t="n">
        <v>0.001</v>
      </c>
      <c r="K17" s="48" t="n">
        <v>0</v>
      </c>
      <c r="L17" s="32" t="inlineStr">
        <is>
          <t>【多户大型综合体】住户基数大与设施老化引发的诉求叠加</t>
        </is>
      </c>
    </row>
    <row r="18" ht="20" customHeight="1">
      <c r="A18" s="28" t="n">
        <v>13</v>
      </c>
      <c r="B18" s="30" t="inlineStr">
        <is>
          <t>JOHN F KENNEDY AIRPORT</t>
        </is>
      </c>
      <c r="C18" s="28" t="inlineStr">
        <is>
          <t>QUEENS</t>
        </is>
      </c>
      <c r="D18" s="28" t="inlineStr">
        <is>
          <t>11430</t>
        </is>
      </c>
      <c r="E18" s="29" t="n">
        <v>5629</v>
      </c>
      <c r="F18" s="29" t="n">
        <v>2</v>
      </c>
      <c r="G18" s="29" t="n">
        <v>20</v>
      </c>
      <c r="H18" s="29" t="n">
        <v>0</v>
      </c>
      <c r="I18" s="47" t="n">
        <v>0.01</v>
      </c>
      <c r="J18" s="47" t="n">
        <v>0.657</v>
      </c>
      <c r="K18" s="47" t="n">
        <v>0.294</v>
      </c>
      <c r="L18" s="30" t="inlineStr">
        <is>
          <t>【交通枢纽聚合】肯尼迪机场大型公共设施天然集中诉求点</t>
        </is>
      </c>
    </row>
    <row r="19" ht="20" customHeight="1">
      <c r="A19" s="27" t="n">
        <v>14</v>
      </c>
      <c r="B19" s="32" t="inlineStr">
        <is>
          <t>34-16 ASTORIA BOULEVARD SOUTH</t>
        </is>
      </c>
      <c r="C19" s="27" t="inlineStr">
        <is>
          <t>QUEENS</t>
        </is>
      </c>
      <c r="D19" s="27" t="inlineStr">
        <is>
          <t>11103</t>
        </is>
      </c>
      <c r="E19" s="33" t="n">
        <v>5192</v>
      </c>
      <c r="F19" s="33" t="n">
        <v>0</v>
      </c>
      <c r="G19" s="33" t="n">
        <v>5174</v>
      </c>
      <c r="H19" s="33" t="n">
        <v>0</v>
      </c>
      <c r="I19" s="48" t="n">
        <v>0</v>
      </c>
      <c r="J19" s="48" t="n">
        <v>1</v>
      </c>
      <c r="K19" s="48" t="n">
        <v>0</v>
      </c>
      <c r="L19" s="32" t="inlineStr">
        <is>
          <t>【路权争夺黑洞】商业装卸货区/私家车道被占高频报案，日均多轮重复举报</t>
        </is>
      </c>
    </row>
    <row r="20" ht="20" customHeight="1">
      <c r="A20" s="28" t="n">
        <v>15</v>
      </c>
      <c r="B20" s="30" t="inlineStr">
        <is>
          <t>301 GOLD STREET</t>
        </is>
      </c>
      <c r="C20" s="28" t="inlineStr">
        <is>
          <t>BROOKLYN</t>
        </is>
      </c>
      <c r="D20" s="28" t="inlineStr">
        <is>
          <t>11201</t>
        </is>
      </c>
      <c r="E20" s="29" t="n">
        <v>4897</v>
      </c>
      <c r="F20" s="29" t="n">
        <v>1</v>
      </c>
      <c r="G20" s="29" t="n">
        <v>4865</v>
      </c>
      <c r="H20" s="29" t="n">
        <v>0</v>
      </c>
      <c r="I20" s="47" t="n">
        <v>0</v>
      </c>
      <c r="J20" s="47" t="n">
        <v>0.9990000000000001</v>
      </c>
      <c r="K20" s="47" t="n">
        <v>0</v>
      </c>
      <c r="L20" s="30" t="inlineStr">
        <is>
          <t>【路权争夺黑洞】商业装卸货区/私家车道被占高频报案，日均多轮重复举报</t>
        </is>
      </c>
    </row>
    <row r="21" ht="20" customHeight="1">
      <c r="A21" s="27" t="n">
        <v>16</v>
      </c>
      <c r="B21" s="32" t="inlineStr">
        <is>
          <t>158-33 78 AVENUE</t>
        </is>
      </c>
      <c r="C21" s="27" t="inlineStr">
        <is>
          <t>QUEENS</t>
        </is>
      </c>
      <c r="D21" s="27" t="inlineStr">
        <is>
          <t>11366</t>
        </is>
      </c>
      <c r="E21" s="33" t="n">
        <v>4787</v>
      </c>
      <c r="F21" s="33" t="n">
        <v>1850</v>
      </c>
      <c r="G21" s="33" t="n">
        <v>0</v>
      </c>
      <c r="H21" s="33" t="n">
        <v>0</v>
      </c>
      <c r="I21" s="48" t="n">
        <v>0</v>
      </c>
      <c r="J21" s="48" t="n">
        <v>1</v>
      </c>
      <c r="K21" s="48" t="n">
        <v>0</v>
      </c>
      <c r="L21" s="32" t="inlineStr">
        <is>
          <t>【多户大型综合体】住户基数大与设施老化引发的诉求叠加</t>
        </is>
      </c>
    </row>
    <row r="22" ht="20" customHeight="1">
      <c r="A22" s="28" t="n">
        <v>17</v>
      </c>
      <c r="B22" s="30" t="inlineStr">
        <is>
          <t>34-16 ASTORIA BLVD SOUTH</t>
        </is>
      </c>
      <c r="C22" s="28" t="inlineStr">
        <is>
          <t>QUEENS</t>
        </is>
      </c>
      <c r="D22" s="28" t="inlineStr">
        <is>
          <t>11103</t>
        </is>
      </c>
      <c r="E22" s="29" t="n">
        <v>4743</v>
      </c>
      <c r="F22" s="29" t="n">
        <v>0</v>
      </c>
      <c r="G22" s="29" t="n">
        <v>4731</v>
      </c>
      <c r="H22" s="29" t="n">
        <v>0</v>
      </c>
      <c r="I22" s="47" t="n">
        <v>0.002</v>
      </c>
      <c r="J22" s="47" t="n">
        <v>0.998</v>
      </c>
      <c r="K22" s="47" t="n">
        <v>0</v>
      </c>
      <c r="L22" s="30" t="inlineStr">
        <is>
          <t>【路权争夺黑洞】商业装卸货区/私家车道被占高频报案，日均多轮重复举报</t>
        </is>
      </c>
    </row>
    <row r="23" ht="20" customHeight="1">
      <c r="A23" s="27" t="n">
        <v>18</v>
      </c>
      <c r="B23" s="32" t="inlineStr">
        <is>
          <t>1000 5 AVENUE</t>
        </is>
      </c>
      <c r="C23" s="27" t="inlineStr">
        <is>
          <t>MANHATTAN</t>
        </is>
      </c>
      <c r="D23" s="27" t="inlineStr">
        <is>
          <t>10028</t>
        </is>
      </c>
      <c r="E23" s="33" t="n">
        <v>4545</v>
      </c>
      <c r="F23" s="33" t="n">
        <v>425</v>
      </c>
      <c r="G23" s="33" t="n">
        <v>3</v>
      </c>
      <c r="H23" s="33" t="n">
        <v>0</v>
      </c>
      <c r="I23" s="48" t="n">
        <v>0.052</v>
      </c>
      <c r="J23" s="48" t="n">
        <v>0.618</v>
      </c>
      <c r="K23" s="48" t="n">
        <v>0.219</v>
      </c>
      <c r="L23" s="32" t="inlineStr">
        <is>
          <t>【多户大型综合体】住户基数大与设施老化引发的诉求叠加</t>
        </is>
      </c>
    </row>
    <row r="24" ht="20" customHeight="1">
      <c r="A24" s="28" t="n">
        <v>19</v>
      </c>
      <c r="B24" s="30" t="inlineStr">
        <is>
          <t>655 EAST 230 STREET</t>
        </is>
      </c>
      <c r="C24" s="28" t="inlineStr">
        <is>
          <t>BRONX</t>
        </is>
      </c>
      <c r="D24" s="28" t="inlineStr">
        <is>
          <t>10466</t>
        </is>
      </c>
      <c r="E24" s="29" t="n">
        <v>4509</v>
      </c>
      <c r="F24" s="29" t="n">
        <v>4481</v>
      </c>
      <c r="G24" s="29" t="n">
        <v>28</v>
      </c>
      <c r="H24" s="29" t="n">
        <v>0</v>
      </c>
      <c r="I24" s="47" t="n">
        <v>0.998</v>
      </c>
      <c r="J24" s="47" t="n">
        <v>0.002</v>
      </c>
      <c r="K24" s="47" t="n">
        <v>0</v>
      </c>
      <c r="L24" s="30" t="inlineStr">
        <is>
          <t>【超级报告者暴击点】个人App高频刷单，24小时持续报送派对噪音，日均 348 件</t>
        </is>
      </c>
    </row>
    <row r="25" ht="20" customHeight="1">
      <c r="A25" s="27" t="n">
        <v>20</v>
      </c>
      <c r="B25" s="32" t="inlineStr">
        <is>
          <t>516 SCHROEDERS AVENUE</t>
        </is>
      </c>
      <c r="C25" s="27" t="inlineStr">
        <is>
          <t>BROOKLYN</t>
        </is>
      </c>
      <c r="D25" s="27" t="inlineStr">
        <is>
          <t>11239</t>
        </is>
      </c>
      <c r="E25" s="33" t="n">
        <v>4169</v>
      </c>
      <c r="F25" s="33" t="n">
        <v>3</v>
      </c>
      <c r="G25" s="33" t="n">
        <v>1845</v>
      </c>
      <c r="H25" s="33" t="n">
        <v>0</v>
      </c>
      <c r="I25" s="48" t="n">
        <v>0</v>
      </c>
      <c r="J25" s="48" t="n">
        <v>0.998</v>
      </c>
      <c r="K25" s="48" t="n">
        <v>0.002</v>
      </c>
      <c r="L25" s="32" t="inlineStr">
        <is>
          <t>【多户大型综合体】住户基数大与设施老化引发的诉求叠加</t>
        </is>
      </c>
    </row>
    <row r="26"/>
    <row r="27"/>
    <row r="28">
      <c r="A28" s="21" t="inlineStr">
        <is>
          <t>【表 3-2 全市 86.5 万个独立地址投诉频次阶梯集中度分布】</t>
        </is>
      </c>
    </row>
    <row r="29" ht="22" customHeight="1">
      <c r="A29" s="26" t="inlineStr">
        <is>
          <t>频次分层区间</t>
        </is>
      </c>
      <c r="B29" s="26" t="inlineStr">
        <is>
          <t>独立地址数 (个)</t>
        </is>
      </c>
      <c r="C29" s="26" t="inlineStr">
        <is>
          <t>地址占比 (%)</t>
        </is>
      </c>
      <c r="D29" s="26" t="inlineStr">
        <is>
          <t>贡献工单总量 (件)</t>
        </is>
      </c>
      <c r="E29" s="26" t="inlineStr">
        <is>
          <t>工单占比 (%)</t>
        </is>
      </c>
      <c r="F29" s="26" t="inlineStr">
        <is>
          <t>平均每地址工单数</t>
        </is>
      </c>
      <c r="G29" s="26" t="inlineStr">
        <is>
          <t>最小工单</t>
        </is>
      </c>
      <c r="H29" s="26" t="inlineStr">
        <is>
          <t>最大工单</t>
        </is>
      </c>
      <c r="I29" s="26" t="inlineStr">
        <is>
          <t>业务特征与治理启示</t>
        </is>
      </c>
    </row>
    <row r="30" ht="20" customHeight="1">
      <c r="A30" s="30" t="inlineStr">
        <is>
          <t>1. 仅投诉 1 次 (单发长尾)</t>
        </is>
      </c>
      <c r="B30" s="29" t="n">
        <v>330396</v>
      </c>
      <c r="C30" s="37" t="n">
        <v>0.3819</v>
      </c>
      <c r="D30" s="29" t="n">
        <v>330396</v>
      </c>
      <c r="E30" s="37" t="n">
        <v>0.04389999999999999</v>
      </c>
      <c r="F30" s="38" t="n">
        <v>1</v>
      </c>
      <c r="G30" s="29" t="n">
        <v>1</v>
      </c>
      <c r="H30" s="29" t="n">
        <v>1</v>
      </c>
      <c r="I30" s="30" t="inlineStr">
        <is>
          <t>普通市民一次性偶然报修，典型的健康长尾诉求</t>
        </is>
      </c>
    </row>
    <row r="31" ht="20" customHeight="1">
      <c r="A31" s="32" t="inlineStr">
        <is>
          <t>2. 投诉 2 - 5 次 (偶发诉求)</t>
        </is>
      </c>
      <c r="B31" s="33" t="n">
        <v>330125</v>
      </c>
      <c r="C31" s="35" t="n">
        <v>0.3815999999999999</v>
      </c>
      <c r="D31" s="33" t="n">
        <v>980034</v>
      </c>
      <c r="E31" s="35" t="n">
        <v>0.1302</v>
      </c>
      <c r="F31" s="36" t="n">
        <v>3</v>
      </c>
      <c r="G31" s="33" t="n">
        <v>2</v>
      </c>
      <c r="H31" s="33" t="n">
        <v>5</v>
      </c>
      <c r="I31" s="32" t="inlineStr">
        <is>
          <t>偶发生活摩擦或家庭设施小修，处置闭环率最高</t>
        </is>
      </c>
    </row>
    <row r="32" ht="20" customHeight="1">
      <c r="A32" s="30" t="inlineStr">
        <is>
          <t>3. 投诉 6 - 20 次 (低频复发)</t>
        </is>
      </c>
      <c r="B32" s="29" t="n">
        <v>148530</v>
      </c>
      <c r="C32" s="37" t="n">
        <v>0.1717</v>
      </c>
      <c r="D32" s="29" t="n">
        <v>1494296</v>
      </c>
      <c r="E32" s="37" t="n">
        <v>0.1986</v>
      </c>
      <c r="F32" s="38" t="n">
        <v>10.1</v>
      </c>
      <c r="G32" s="29" t="n">
        <v>6</v>
      </c>
      <c r="H32" s="29" t="n">
        <v>20</v>
      </c>
      <c r="I32" s="30" t="inlineStr">
        <is>
          <t>低频复发性问题，存在轻微邻里摩擦或建筑局部瑕疵</t>
        </is>
      </c>
    </row>
    <row r="33" ht="20" customHeight="1">
      <c r="A33" s="32" t="inlineStr">
        <is>
          <t>4. 投诉 21 - 99 次 (中频集中)</t>
        </is>
      </c>
      <c r="B33" s="33" t="n">
        <v>46569</v>
      </c>
      <c r="C33" s="35" t="n">
        <v>0.0538</v>
      </c>
      <c r="D33" s="33" t="n">
        <v>1912492</v>
      </c>
      <c r="E33" s="35" t="n">
        <v>0.2541</v>
      </c>
      <c r="F33" s="36" t="n">
        <v>41.1</v>
      </c>
      <c r="G33" s="33" t="n">
        <v>21</v>
      </c>
      <c r="H33" s="33" t="n">
        <v>99</v>
      </c>
      <c r="I33" s="32" t="inlineStr">
        <is>
          <t>中频矛盾集中点，多为老旧多户租赁公寓或商住混合街区</t>
        </is>
      </c>
    </row>
    <row r="34" ht="20" customHeight="1">
      <c r="A34" s="30" t="inlineStr">
        <is>
          <t>5. 投诉 100 - 999 次 (高频热点)</t>
        </is>
      </c>
      <c r="B34" s="29" t="n">
        <v>9441</v>
      </c>
      <c r="C34" s="37" t="n">
        <v>0.0109</v>
      </c>
      <c r="D34" s="29" t="n">
        <v>1984324</v>
      </c>
      <c r="E34" s="37" t="n">
        <v>0.2637</v>
      </c>
      <c r="F34" s="38" t="n">
        <v>210.2</v>
      </c>
      <c r="G34" s="29" t="n">
        <v>100</v>
      </c>
      <c r="H34" s="29" t="n">
        <v>992</v>
      </c>
      <c r="I34" s="30" t="inlineStr">
        <is>
          <t>高频重点治理对象，已具备微观黑点特征，消耗大量基层警力</t>
        </is>
      </c>
    </row>
    <row r="35" ht="20" customHeight="1">
      <c r="A35" s="45" t="inlineStr">
        <is>
          <t>6. 投诉 &gt;= 1000 次 (极端超级报告者)</t>
        </is>
      </c>
      <c r="B35" s="46" t="n">
        <v>151</v>
      </c>
      <c r="C35" s="49" t="n">
        <v>0.0002</v>
      </c>
      <c r="D35" s="46" t="n">
        <v>823956</v>
      </c>
      <c r="E35" s="49" t="n">
        <v>0.1095</v>
      </c>
      <c r="F35" s="50" t="n">
        <v>5456.7</v>
      </c>
      <c r="G35" s="46" t="n">
        <v>1000</v>
      </c>
      <c r="H35" s="46" t="n">
        <v>270483</v>
      </c>
      <c r="I35" s="45" t="inlineStr">
        <is>
          <t>极端超级报告者与异常刷单点！仅 151 个地址吞噬全市 11% 资源！</t>
        </is>
      </c>
    </row>
    <row r="36">
      <c r="A36" s="39" t="inlineStr">
        <is>
          <t>全市汇总 (Total)</t>
        </is>
      </c>
      <c r="B36" s="40">
        <f>SUM(B30:B35)</f>
        <v/>
      </c>
      <c r="C36" s="41">
        <f>SUM(C30:C35)</f>
        <v/>
      </c>
      <c r="D36" s="40">
        <f>SUM(D30:D35)</f>
        <v/>
      </c>
      <c r="E36" s="41">
        <f>SUM(E30:E35)</f>
        <v/>
      </c>
      <c r="F36" s="42" t="n">
        <v>8.699999999999999</v>
      </c>
      <c r="G36" s="51" t="n">
        <v>1</v>
      </c>
      <c r="H36" s="40" t="n">
        <v>270483</v>
      </c>
      <c r="I36" s="43" t="inlineStr">
        <is>
          <t>严重幂律分布：1% 地址占 37% 工单，0.02% 占 11% 工单</t>
        </is>
      </c>
    </row>
    <row r="37"/>
    <row r="38">
      <c r="A38" s="21" t="inlineStr">
        <is>
          <t>【表 3-3 畸变案例解剖：布朗克斯 10466 邮区在剔除单一刷单地址前后的对照】</t>
        </is>
      </c>
    </row>
    <row r="39" ht="22" customHeight="1">
      <c r="A39" s="22" t="inlineStr">
        <is>
          <t>统计场景口径</t>
        </is>
      </c>
      <c r="B39" s="22" t="inlineStr">
        <is>
          <t>工单总量 (件)</t>
        </is>
      </c>
      <c r="C39" s="22" t="inlineStr">
        <is>
          <t>噪音工单 (件)</t>
        </is>
      </c>
      <c r="D39" s="22" t="inlineStr">
        <is>
          <t>噪音占比 (%)</t>
        </is>
      </c>
      <c r="E39" s="22" t="inlineStr">
        <is>
          <t>供暖工单 (件)</t>
        </is>
      </c>
      <c r="F39" s="22" t="inlineStr">
        <is>
          <t>违停工单 (件)</t>
        </is>
      </c>
      <c r="G39" s="22" t="inlineStr">
        <is>
          <t>全市邮区排名变化</t>
        </is>
      </c>
      <c r="H39" s="22" t="inlineStr">
        <is>
          <t>统计失真诊断与政策启示</t>
        </is>
      </c>
    </row>
    <row r="40" ht="24" customHeight="1">
      <c r="A40" s="52" t="inlineStr">
        <is>
          <t>1. 原始全量口径 (含 655 E 230 St)</t>
        </is>
      </c>
      <c r="B40" s="29" t="n">
        <v>247699</v>
      </c>
      <c r="C40" s="29" t="n">
        <v>194448</v>
      </c>
      <c r="D40" s="53" t="n">
        <v>0.785</v>
      </c>
      <c r="E40" s="29" t="n">
        <v>8160</v>
      </c>
      <c r="F40" s="29" t="n">
        <v>15128</v>
      </c>
      <c r="G40" s="28" t="inlineStr">
        <is>
          <t>全市第 1 名 (名义投诉之王)</t>
        </is>
      </c>
      <c r="H40" s="30" t="inlineStr">
        <is>
          <t>被单一移动端刷单账号严重污染，虚假造成‘全市治安/噪音最差街区’假象</t>
        </is>
      </c>
    </row>
    <row r="41" ht="24" customHeight="1">
      <c r="A41" s="54" t="inlineStr">
        <is>
          <t>2. 剔除极值单点口径 (修正后)</t>
        </is>
      </c>
      <c r="B41" s="55" t="n">
        <v>74042</v>
      </c>
      <c r="C41" s="55" t="n">
        <v>22881</v>
      </c>
      <c r="D41" s="56" t="n">
        <v>0.309</v>
      </c>
      <c r="E41" s="55" t="n">
        <v>8109</v>
      </c>
      <c r="F41" s="55" t="n">
        <v>14637</v>
      </c>
      <c r="G41" s="57" t="inlineStr">
        <is>
          <t>跌出全市前 15 名 (回落至真实水平)</t>
        </is>
      </c>
      <c r="H41" s="58" t="inlineStr">
        <is>
          <t>噪音占比骤降 47.6 个百分点，回归普通混合居住街区正常水平，避免了警力错配</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65"/>
  <sheetViews>
    <sheetView showGridLines="1" workbookViewId="0">
      <selection activeCell="A1" sqref="A1"/>
    </sheetView>
  </sheetViews>
  <sheetFormatPr baseColWidth="8" defaultRowHeight="15"/>
  <cols>
    <col width="14" customWidth="1" min="1" max="1"/>
    <col width="16" customWidth="1" min="2" max="2"/>
    <col width="16" customWidth="1" min="3" max="3"/>
    <col width="18" customWidth="1" min="4" max="4"/>
    <col width="24" customWidth="1" min="5" max="5"/>
    <col width="20" customWidth="1" min="6" max="6"/>
    <col width="20" customWidth="1" min="7" max="7"/>
    <col width="46" customWidth="1" min="8" max="8"/>
  </cols>
  <sheetData>
    <row r="1" ht="28" customHeight="1">
      <c r="A1" s="1" t="inlineStr">
        <is>
          <t>核心发现 2：空间不平等与极端民生痛点 —— 冬季供暖危机的空间断层与阶层鸿沟</t>
        </is>
      </c>
    </row>
    <row r="2" ht="18" customHeight="1">
      <c r="A2" s="2" t="inlineStr">
        <is>
          <t>核心结论：供暖热水夏冬极差高达 25 倍；布朗克斯万人投诉率高达 155.1 件，是皇后区 4.4 倍、史泰登岛 11.1 倍，占全城 35% 供暖诉求</t>
        </is>
      </c>
    </row>
    <row r="3"/>
    <row r="4">
      <c r="A4" s="21" t="inlineStr">
        <is>
          <t>【表 4-1 全市供暖与热水诉求 25 个月时序走势 (2024.09 - 2026.09)】</t>
        </is>
      </c>
    </row>
    <row r="5" ht="22" customHeight="1">
      <c r="A5" s="22" t="inlineStr">
        <is>
          <t>年月 (Month)</t>
        </is>
      </c>
      <c r="B5" s="22" t="inlineStr">
        <is>
          <t>全市民生工单总数</t>
        </is>
      </c>
      <c r="C5" s="22" t="inlineStr">
        <is>
          <t>供暖与热水工单数</t>
        </is>
      </c>
      <c r="D5" s="22" t="inlineStr">
        <is>
          <t>占当月总工单比例 (%)</t>
        </is>
      </c>
      <c r="E5" s="22" t="inlineStr">
        <is>
          <t>季节属性划分</t>
        </is>
      </c>
      <c r="F5" s="22" t="inlineStr">
        <is>
          <t>季节运行特征与民生体征</t>
        </is>
      </c>
    </row>
    <row r="6" ht="19" customHeight="1">
      <c r="A6" s="28" t="inlineStr">
        <is>
          <t>2024-09</t>
        </is>
      </c>
      <c r="B6" s="29" t="n">
        <v>248139</v>
      </c>
      <c r="C6" s="29" t="n">
        <v>2696</v>
      </c>
      <c r="D6" s="47" t="n">
        <v>0.01086487815297071</v>
      </c>
      <c r="E6" s="28" t="inlineStr">
        <is>
          <t>非供暖季 (夏季尾声)</t>
        </is>
      </c>
      <c r="F6" s="30" t="inlineStr">
        <is>
          <t>基准低位，月均不足 3 千件</t>
        </is>
      </c>
    </row>
    <row r="7" ht="19" customHeight="1">
      <c r="A7" s="27" t="inlineStr">
        <is>
          <t>2024-10</t>
        </is>
      </c>
      <c r="B7" s="33" t="n">
        <v>306803</v>
      </c>
      <c r="C7" s="33" t="n">
        <v>19650</v>
      </c>
      <c r="D7" s="48" t="n">
        <v>0.06404761361525148</v>
      </c>
      <c r="E7" s="27" t="inlineStr">
        <is>
          <t>供暖季启动期</t>
        </is>
      </c>
      <c r="F7" s="32" t="inlineStr">
        <is>
          <t>法定供暖季自 10 月 1 日开启，报修量破万</t>
        </is>
      </c>
    </row>
    <row r="8" ht="19" customHeight="1">
      <c r="A8" s="28" t="inlineStr">
        <is>
          <t>2024-11</t>
        </is>
      </c>
      <c r="B8" s="29" t="n">
        <v>293515</v>
      </c>
      <c r="C8" s="29" t="n">
        <v>39368</v>
      </c>
      <c r="D8" s="47" t="n">
        <v>0.1341260242236342</v>
      </c>
      <c r="E8" s="28" t="inlineStr">
        <is>
          <t>初冬升温期</t>
        </is>
      </c>
      <c r="F8" s="30" t="inlineStr">
        <is>
          <t>气温明显下降，老旧锅炉故障集中爆发</t>
        </is>
      </c>
    </row>
    <row r="9" ht="19" customHeight="1">
      <c r="A9" s="27" t="inlineStr">
        <is>
          <t>2024-12</t>
        </is>
      </c>
      <c r="B9" s="33" t="n">
        <v>313949</v>
      </c>
      <c r="C9" s="33" t="n">
        <v>62918</v>
      </c>
      <c r="D9" s="59" t="n">
        <v>0.2004083465785844</v>
      </c>
      <c r="E9" s="27" t="inlineStr">
        <is>
          <t>深冬高峰期</t>
        </is>
      </c>
      <c r="F9" s="32" t="inlineStr">
        <is>
          <t>寒潮来袭，报修突破 6 万件</t>
        </is>
      </c>
    </row>
    <row r="10" ht="19" customHeight="1">
      <c r="A10" s="28" t="inlineStr">
        <is>
          <t>2025-01</t>
        </is>
      </c>
      <c r="B10" s="29" t="n">
        <v>348180</v>
      </c>
      <c r="C10" s="29" t="n">
        <v>67229</v>
      </c>
      <c r="D10" s="59" t="n">
        <v>0.1930869090700212</v>
      </c>
      <c r="E10" s="28" t="inlineStr">
        <is>
          <t>严冬极值期 (峰值)</t>
        </is>
      </c>
      <c r="F10" s="30" t="inlineStr">
        <is>
          <t>全年供暖诉求最高峰，单月达 6.7 万件</t>
        </is>
      </c>
    </row>
    <row r="11" ht="19" customHeight="1">
      <c r="A11" s="27" t="inlineStr">
        <is>
          <t>2025-02</t>
        </is>
      </c>
      <c r="B11" s="33" t="n">
        <v>255364</v>
      </c>
      <c r="C11" s="33" t="n">
        <v>40699</v>
      </c>
      <c r="D11" s="59" t="n">
        <v>0.1593764195423004</v>
      </c>
      <c r="E11" s="27" t="inlineStr">
        <is>
          <t>隆冬持续期</t>
        </is>
      </c>
      <c r="F11" s="32" t="inlineStr">
        <is>
          <t>严寒持续，报修维持 4 万件高位</t>
        </is>
      </c>
    </row>
    <row r="12" ht="19" customHeight="1">
      <c r="A12" s="28" t="inlineStr">
        <is>
          <t>2025-03</t>
        </is>
      </c>
      <c r="B12" s="29" t="n">
        <v>281221</v>
      </c>
      <c r="C12" s="29" t="n">
        <v>26276</v>
      </c>
      <c r="D12" s="47" t="n">
        <v>0.09343541200692694</v>
      </c>
      <c r="E12" s="28" t="inlineStr">
        <is>
          <t>初春过渡期</t>
        </is>
      </c>
      <c r="F12" s="30" t="inlineStr">
        <is>
          <t>气温逐步回暖，诉求逐步回落至 2.6 万件</t>
        </is>
      </c>
    </row>
    <row r="13" ht="19" customHeight="1">
      <c r="A13" s="27" t="inlineStr">
        <is>
          <t>2025-04</t>
        </is>
      </c>
      <c r="B13" s="33" t="n">
        <v>272549</v>
      </c>
      <c r="C13" s="33" t="n">
        <v>16824</v>
      </c>
      <c r="D13" s="48" t="n">
        <v>0.06172834976462948</v>
      </c>
      <c r="E13" s="27" t="inlineStr">
        <is>
          <t>供暖季收尾期</t>
        </is>
      </c>
      <c r="F13" s="32" t="inlineStr">
        <is>
          <t>春季气温平稳，报修降至 1.6 万件</t>
        </is>
      </c>
    </row>
    <row r="14" ht="19" customHeight="1">
      <c r="A14" s="28" t="inlineStr">
        <is>
          <t>2025-05</t>
        </is>
      </c>
      <c r="B14" s="29" t="n">
        <v>295058</v>
      </c>
      <c r="C14" s="29" t="n">
        <v>7463</v>
      </c>
      <c r="D14" s="47" t="n">
        <v>0.02529333215842309</v>
      </c>
      <c r="E14" s="28" t="inlineStr">
        <is>
          <t>供暖季结束</t>
        </is>
      </c>
      <c r="F14" s="30" t="inlineStr">
        <is>
          <t>5 月 31 日法定供暖季结束</t>
        </is>
      </c>
    </row>
    <row r="15" ht="19" customHeight="1">
      <c r="A15" s="27" t="inlineStr">
        <is>
          <t>2025-06</t>
        </is>
      </c>
      <c r="B15" s="33" t="n">
        <v>306442</v>
      </c>
      <c r="C15" s="33" t="n">
        <v>4217</v>
      </c>
      <c r="D15" s="48" t="n">
        <v>0.01376116850823321</v>
      </c>
      <c r="E15" s="27" t="inlineStr">
        <is>
          <t>夏季低谷期</t>
        </is>
      </c>
      <c r="F15" s="32" t="inlineStr">
        <is>
          <t>仅剩零星生活热水报修</t>
        </is>
      </c>
    </row>
    <row r="16" ht="19" customHeight="1">
      <c r="A16" s="28" t="inlineStr">
        <is>
          <t>2025-07</t>
        </is>
      </c>
      <c r="B16" s="29" t="n">
        <v>315883</v>
      </c>
      <c r="C16" s="29" t="n">
        <v>3008</v>
      </c>
      <c r="D16" s="47" t="n">
        <v>0.009522513082375436</v>
      </c>
      <c r="E16" s="28" t="inlineStr">
        <is>
          <t>盛夏低谷期</t>
        </is>
      </c>
      <c r="F16" s="30" t="inlineStr">
        <is>
          <t>年内最低点，仅 3,008 件</t>
        </is>
      </c>
    </row>
    <row r="17" ht="19" customHeight="1">
      <c r="A17" s="27" t="inlineStr">
        <is>
          <t>2025-08</t>
        </is>
      </c>
      <c r="B17" s="33" t="n">
        <v>304039</v>
      </c>
      <c r="C17" s="33" t="n">
        <v>2929</v>
      </c>
      <c r="D17" s="48" t="n">
        <v>0.009633632527406023</v>
      </c>
      <c r="E17" s="27" t="inlineStr">
        <is>
          <t>盛夏低谷期</t>
        </is>
      </c>
      <c r="F17" s="32" t="inlineStr">
        <is>
          <t>年内最低点，仅 2,929 件</t>
        </is>
      </c>
    </row>
    <row r="18" ht="19" customHeight="1">
      <c r="A18" s="28" t="inlineStr">
        <is>
          <t>2025-09</t>
        </is>
      </c>
      <c r="B18" s="29" t="n">
        <v>302684</v>
      </c>
      <c r="C18" s="29" t="n">
        <v>3595</v>
      </c>
      <c r="D18" s="47" t="n">
        <v>0.01187707311916058</v>
      </c>
      <c r="E18" s="28" t="inlineStr">
        <is>
          <t>非供暖季 (夏季)</t>
        </is>
      </c>
      <c r="F18" s="30" t="inlineStr">
        <is>
          <t>维持夏季基准低位</t>
        </is>
      </c>
    </row>
    <row r="19" ht="19" customHeight="1">
      <c r="A19" s="27" t="inlineStr">
        <is>
          <t>2025-10</t>
        </is>
      </c>
      <c r="B19" s="33" t="n">
        <v>336612</v>
      </c>
      <c r="C19" s="33" t="n">
        <v>31858</v>
      </c>
      <c r="D19" s="48" t="n">
        <v>0.09464309056123965</v>
      </c>
      <c r="E19" s="27" t="inlineStr">
        <is>
          <t>供暖季启动期</t>
        </is>
      </c>
      <c r="F19" s="32" t="inlineStr">
        <is>
          <t>报修跳升至 3.1 万件</t>
        </is>
      </c>
    </row>
    <row r="20" ht="19" customHeight="1">
      <c r="A20" s="28" t="inlineStr">
        <is>
          <t>2025-11</t>
        </is>
      </c>
      <c r="B20" s="29" t="n">
        <v>304905</v>
      </c>
      <c r="C20" s="29" t="n">
        <v>47946</v>
      </c>
      <c r="D20" s="59" t="n">
        <v>0.1572489791902396</v>
      </c>
      <c r="E20" s="28" t="inlineStr">
        <is>
          <t>初冬升温期</t>
        </is>
      </c>
      <c r="F20" s="30" t="inlineStr">
        <is>
          <t>报修升至 4.7 万件</t>
        </is>
      </c>
    </row>
    <row r="21" ht="19" customHeight="1">
      <c r="A21" s="27" t="inlineStr">
        <is>
          <t>2025-12</t>
        </is>
      </c>
      <c r="B21" s="33" t="n">
        <v>332103</v>
      </c>
      <c r="C21" s="33" t="n">
        <v>63902</v>
      </c>
      <c r="D21" s="59" t="n">
        <v>0.1924162082245569</v>
      </c>
      <c r="E21" s="27" t="inlineStr">
        <is>
          <t>深冬高峰期</t>
        </is>
      </c>
      <c r="F21" s="32" t="inlineStr">
        <is>
          <t>报修突破 6.3 万件</t>
        </is>
      </c>
    </row>
    <row r="22" ht="19" customHeight="1">
      <c r="A22" s="28" t="inlineStr">
        <is>
          <t>2026-01</t>
        </is>
      </c>
      <c r="B22" s="29" t="n">
        <v>348511</v>
      </c>
      <c r="C22" s="29" t="n">
        <v>79928</v>
      </c>
      <c r="D22" s="59" t="n">
        <v>0.2293413981194281</v>
      </c>
      <c r="E22" s="28" t="inlineStr">
        <is>
          <t>严冬极值期 (峰值)</t>
        </is>
      </c>
      <c r="F22" s="30" t="inlineStr">
        <is>
          <t>次年最高峰，达 79,928 件，占总工单 23%！</t>
        </is>
      </c>
    </row>
    <row r="23" ht="19" customHeight="1">
      <c r="A23" s="27" t="inlineStr">
        <is>
          <t>2026-02</t>
        </is>
      </c>
      <c r="B23" s="33" t="n">
        <v>334690</v>
      </c>
      <c r="C23" s="33" t="n">
        <v>59031</v>
      </c>
      <c r="D23" s="59" t="n">
        <v>0.176375153126774</v>
      </c>
      <c r="E23" s="27" t="inlineStr">
        <is>
          <t>隆冬持续期</t>
        </is>
      </c>
      <c r="F23" s="32" t="inlineStr">
        <is>
          <t>报修高达 5.9 万件</t>
        </is>
      </c>
    </row>
    <row r="24" ht="19" customHeight="1">
      <c r="A24" s="28" t="inlineStr">
        <is>
          <t>2026-03</t>
        </is>
      </c>
      <c r="B24" s="29" t="n">
        <v>342387</v>
      </c>
      <c r="C24" s="29" t="n">
        <v>29783</v>
      </c>
      <c r="D24" s="47" t="n">
        <v>0.08698636338412381</v>
      </c>
      <c r="E24" s="28" t="inlineStr">
        <is>
          <t>初春过渡期</t>
        </is>
      </c>
      <c r="F24" s="30" t="inlineStr">
        <is>
          <t>降至 2.9 万件</t>
        </is>
      </c>
    </row>
    <row r="25" ht="19" customHeight="1">
      <c r="A25" s="27" t="inlineStr">
        <is>
          <t>2026-04</t>
        </is>
      </c>
      <c r="B25" s="33" t="n">
        <v>302190</v>
      </c>
      <c r="C25" s="33" t="n">
        <v>19553</v>
      </c>
      <c r="D25" s="48" t="n">
        <v>0.06470432509348423</v>
      </c>
      <c r="E25" s="27" t="inlineStr">
        <is>
          <t>供暖季收尾期</t>
        </is>
      </c>
      <c r="F25" s="32" t="inlineStr">
        <is>
          <t>降至 1.9 万件</t>
        </is>
      </c>
    </row>
    <row r="26" ht="19" customHeight="1">
      <c r="A26" s="28" t="inlineStr">
        <is>
          <t>2026-05</t>
        </is>
      </c>
      <c r="B26" s="29" t="n">
        <v>331978</v>
      </c>
      <c r="C26" s="29" t="n">
        <v>9823</v>
      </c>
      <c r="D26" s="47" t="n">
        <v>0.02958931013500895</v>
      </c>
      <c r="E26" s="28" t="inlineStr">
        <is>
          <t>供暖季结束</t>
        </is>
      </c>
      <c r="F26" s="30" t="inlineStr">
        <is>
          <t>降至不足 1 万件</t>
        </is>
      </c>
    </row>
    <row r="27" ht="19" customHeight="1">
      <c r="A27" s="27" t="inlineStr">
        <is>
          <t>2026-06</t>
        </is>
      </c>
      <c r="B27" s="33" t="n">
        <v>334833</v>
      </c>
      <c r="C27" s="33" t="n">
        <v>4388</v>
      </c>
      <c r="D27" s="48" t="n">
        <v>0.01310504042313631</v>
      </c>
      <c r="E27" s="27" t="inlineStr">
        <is>
          <t>夏季低谷期</t>
        </is>
      </c>
      <c r="F27" s="32" t="inlineStr">
        <is>
          <t>恢复夏季低谷</t>
        </is>
      </c>
    </row>
    <row r="28" ht="19" customHeight="1">
      <c r="A28" s="28" t="inlineStr">
        <is>
          <t>2026-07</t>
        </is>
      </c>
      <c r="B28" s="29" t="n">
        <v>343043</v>
      </c>
      <c r="C28" s="29" t="n">
        <v>4331</v>
      </c>
      <c r="D28" s="47" t="n">
        <v>0.01262523940147445</v>
      </c>
      <c r="E28" s="28" t="inlineStr">
        <is>
          <t>盛夏低谷期</t>
        </is>
      </c>
      <c r="F28" s="30" t="inlineStr">
        <is>
          <t>恢复夏季低谷</t>
        </is>
      </c>
    </row>
    <row r="29" ht="19" customHeight="1">
      <c r="A29" s="27" t="inlineStr">
        <is>
          <t>2026-08</t>
        </is>
      </c>
      <c r="B29" s="33" t="n">
        <v>328446</v>
      </c>
      <c r="C29" s="33" t="n">
        <v>3682</v>
      </c>
      <c r="D29" s="48" t="n">
        <v>0.01121036639204009</v>
      </c>
      <c r="E29" s="27" t="inlineStr">
        <is>
          <t>盛夏低谷期</t>
        </is>
      </c>
      <c r="F29" s="32" t="inlineStr">
        <is>
          <t>恢复夏季低谷</t>
        </is>
      </c>
    </row>
    <row r="30" ht="19" customHeight="1">
      <c r="A30" s="28" t="inlineStr">
        <is>
          <t>2026-09</t>
        </is>
      </c>
      <c r="B30" s="29" t="n">
        <v>41974</v>
      </c>
      <c r="C30" s="29" t="n">
        <v>497</v>
      </c>
      <c r="D30" s="47" t="n">
        <v>0.01184066326773717</v>
      </c>
      <c r="E30" s="28" t="inlineStr">
        <is>
          <t>数据截止月</t>
        </is>
      </c>
      <c r="F30" s="30" t="inlineStr">
        <is>
          <t>仅覆盖前 5 天记录</t>
        </is>
      </c>
    </row>
    <row r="31">
      <c r="A31" s="39" t="inlineStr">
        <is>
          <t>全周期汇总 (Total)</t>
        </is>
      </c>
      <c r="B31" s="40">
        <f>SUM(B6:B30)</f>
        <v/>
      </c>
      <c r="C31" s="40">
        <f>SUM(C6:C30)</f>
        <v/>
      </c>
      <c r="D31" s="60">
        <f>C31/B31</f>
        <v/>
      </c>
      <c r="E31" s="39" t="inlineStr">
        <is>
          <t>25 个月跨度</t>
        </is>
      </c>
      <c r="F31" s="43" t="inlineStr">
        <is>
          <t>全市民生诉求中供暖热水占 8.7%，冬夏两季呈现 25 倍极差震荡</t>
        </is>
      </c>
    </row>
    <row r="32"/>
    <row r="33"/>
    <row r="34">
      <c r="A34" s="21" t="inlineStr">
        <is>
          <t>【表 4-2 五大行政区供暖诉求人口标准化对比与空间不平等分析】</t>
        </is>
      </c>
    </row>
    <row r="35" ht="22" customHeight="1">
      <c r="A35" s="26" t="inlineStr">
        <is>
          <t>所属行政区 (Borough)</t>
        </is>
      </c>
      <c r="B35" s="26" t="inlineStr">
        <is>
          <t>供暖工单总量 (件)</t>
        </is>
      </c>
      <c r="C35" s="26" t="inlineStr">
        <is>
          <t>占全市供暖比重 (%)</t>
        </is>
      </c>
      <c r="D35" s="26" t="inlineStr">
        <is>
          <t>常住人口 (2020普查)</t>
        </is>
      </c>
      <c r="E35" s="26" t="inlineStr">
        <is>
          <t>万人供暖投诉率 (件/万人)</t>
        </is>
      </c>
      <c r="F35" s="26" t="inlineStr">
        <is>
          <t>年化万人供暖投诉率</t>
        </is>
      </c>
      <c r="G35" s="26" t="inlineStr">
        <is>
          <t>相对史泰登岛倍数</t>
        </is>
      </c>
      <c r="H35" s="26" t="inlineStr">
        <is>
          <t>区域供暖脆弱度评价</t>
        </is>
      </c>
    </row>
    <row r="36" ht="22" customHeight="1">
      <c r="A36" s="61" t="inlineStr">
        <is>
          <t>BRONX</t>
        </is>
      </c>
      <c r="B36" s="29" t="n">
        <v>228475</v>
      </c>
      <c r="C36" s="37" t="n">
        <v>0.3506401225302873</v>
      </c>
      <c r="D36" s="29" t="n">
        <v>1472654</v>
      </c>
      <c r="E36" s="62" t="n">
        <v>1551.450646248202</v>
      </c>
      <c r="F36" s="62" t="n">
        <v>775.7253231241011</v>
      </c>
      <c r="G36" s="61" t="inlineStr">
        <is>
          <t>11.1 倍</t>
        </is>
      </c>
      <c r="H36" s="30" t="inlineStr">
        <is>
          <t>【极高危脆弱区】占全城超 1/3 供暖报修，租户供暖困境极为尖锐</t>
        </is>
      </c>
    </row>
    <row r="37" ht="22" customHeight="1">
      <c r="A37" s="27" t="inlineStr">
        <is>
          <t>BROOKLYN</t>
        </is>
      </c>
      <c r="B37" s="33" t="n">
        <v>174565</v>
      </c>
      <c r="C37" s="35" t="n">
        <v>0.267904554062806</v>
      </c>
      <c r="D37" s="33" t="n">
        <v>2736074</v>
      </c>
      <c r="E37" s="63" t="n">
        <v>638.0127145683925</v>
      </c>
      <c r="F37" s="63" t="n">
        <v>319.0063572841963</v>
      </c>
      <c r="G37" s="27" t="inlineStr">
        <is>
          <t>4.6 倍</t>
        </is>
      </c>
      <c r="H37" s="32" t="inlineStr">
        <is>
          <t>【中高危集中区】人口基数最大，老旧公寓与新建住宅并存，总量第二</t>
        </is>
      </c>
    </row>
    <row r="38" ht="22" customHeight="1">
      <c r="A38" s="28" t="inlineStr">
        <is>
          <t>MANHATTAN</t>
        </is>
      </c>
      <c r="B38" s="29" t="n">
        <v>156329</v>
      </c>
      <c r="C38" s="37" t="n">
        <v>0.2399178015758279</v>
      </c>
      <c r="D38" s="29" t="n">
        <v>1694251</v>
      </c>
      <c r="E38" s="64" t="n">
        <v>922.7027164215929</v>
      </c>
      <c r="F38" s="64" t="n">
        <v>461.3513582107964</v>
      </c>
      <c r="G38" s="28" t="inlineStr">
        <is>
          <t>6.6 倍</t>
        </is>
      </c>
      <c r="H38" s="30" t="inlineStr">
        <is>
          <t>【高位承压区】战前老楼集中，出租公寓供暖管网老化，每万人诉求次高</t>
        </is>
      </c>
    </row>
    <row r="39" ht="22" customHeight="1">
      <c r="A39" s="27" t="inlineStr">
        <is>
          <t>QUEENS</t>
        </is>
      </c>
      <c r="B39" s="33" t="n">
        <v>85284</v>
      </c>
      <c r="C39" s="35" t="n">
        <v>0.1308851831048168</v>
      </c>
      <c r="D39" s="33" t="n">
        <v>2405464</v>
      </c>
      <c r="E39" s="63" t="n">
        <v>354.5428241703056</v>
      </c>
      <c r="F39" s="63" t="n">
        <v>177.2714120851528</v>
      </c>
      <c r="G39" s="27" t="inlineStr">
        <is>
          <t>2.5 倍</t>
        </is>
      </c>
      <c r="H39" s="32" t="inlineStr">
        <is>
          <t>【中低位平稳区】独立别墅与一户独栋比例高，自主供暖比例大</t>
        </is>
      </c>
    </row>
    <row r="40" ht="22" customHeight="1">
      <c r="A40" s="28" t="inlineStr">
        <is>
          <t>STATEN ISLAND</t>
        </is>
      </c>
      <c r="B40" s="29" t="n">
        <v>6939</v>
      </c>
      <c r="C40" s="37" t="n">
        <v>0.01064926933028849</v>
      </c>
      <c r="D40" s="29" t="n">
        <v>495747</v>
      </c>
      <c r="E40" s="64" t="n">
        <v>139.9705898371548</v>
      </c>
      <c r="F40" s="64" t="n">
        <v>69.98529491857742</v>
      </c>
      <c r="G40" s="28" t="inlineStr">
        <is>
          <t>1.0 倍</t>
        </is>
      </c>
      <c r="H40" s="30" t="inlineStr">
        <is>
          <t>【低危平稳区】低密度独栋住宅为主，极少依赖多户集中供暖系统</t>
        </is>
      </c>
    </row>
    <row r="41">
      <c r="A41" s="39" t="inlineStr">
        <is>
          <t>全市合计 / 平均</t>
        </is>
      </c>
      <c r="B41" s="40">
        <f>SUM(B36:B40)</f>
        <v/>
      </c>
      <c r="C41" s="41">
        <f>SUM(C36:C40)</f>
        <v/>
      </c>
      <c r="D41" s="40">
        <f>SUM(D36:D40)</f>
        <v/>
      </c>
      <c r="E41" s="65">
        <f>B41/D41*10000</f>
        <v/>
      </c>
      <c r="F41" s="65">
        <f>E41/2</f>
        <v/>
      </c>
      <c r="G41" s="39" t="inlineStr">
        <is>
          <t>基准 1.0 倍</t>
        </is>
      </c>
      <c r="H41" s="43" t="inlineStr">
        <is>
          <t>布朗克斯万人投诉率高出全市平均水平一倍以上，不平等性显著</t>
        </is>
      </c>
    </row>
    <row r="42"/>
    <row r="43"/>
    <row r="44">
      <c r="A44" s="21" t="inlineStr">
        <is>
          <t>【表 4-3 全市冬季供暖危机最严重的 TOP 20 核心脆弱邮区画像】</t>
        </is>
      </c>
    </row>
    <row r="45" ht="22" customHeight="1">
      <c r="A45" s="22" t="inlineStr">
        <is>
          <t>排名</t>
        </is>
      </c>
      <c r="B45" s="22" t="inlineStr">
        <is>
          <t>邮编 (ZIP)</t>
        </is>
      </c>
      <c r="C45" s="22" t="inlineStr">
        <is>
          <t>所属行政区</t>
        </is>
      </c>
      <c r="D45" s="22" t="inlineStr">
        <is>
          <t>供暖工单量 (件)</t>
        </is>
      </c>
      <c r="E45" s="22" t="inlineStr">
        <is>
          <t>涉及独立建筑数 (栋)</t>
        </is>
      </c>
      <c r="F45" s="22" t="inlineStr">
        <is>
          <t>单建筑平均报修频次</t>
        </is>
      </c>
      <c r="G45" s="22" t="inlineStr">
        <is>
          <t>核心代表街区 / 社区</t>
        </is>
      </c>
    </row>
    <row r="46" ht="19" customHeight="1">
      <c r="A46" s="28" t="n">
        <v>1</v>
      </c>
      <c r="B46" s="28" t="inlineStr">
        <is>
          <t>11226</t>
        </is>
      </c>
      <c r="C46" s="28" t="inlineStr">
        <is>
          <t>BROOKLYN</t>
        </is>
      </c>
      <c r="D46" s="29" t="n">
        <v>19378</v>
      </c>
      <c r="E46" s="29" t="n">
        <v>1148</v>
      </c>
      <c r="F46" s="38" t="n">
        <v>16.9</v>
      </c>
      <c r="G46" s="30" t="inlineStr">
        <is>
          <t>Flatbush / Ditmas Park (布鲁克林传统老旧多户租赁区)</t>
        </is>
      </c>
    </row>
    <row r="47" ht="19" customHeight="1">
      <c r="A47" s="27" t="n">
        <v>2</v>
      </c>
      <c r="B47" s="27" t="inlineStr">
        <is>
          <t>10458</t>
        </is>
      </c>
      <c r="C47" s="61" t="inlineStr">
        <is>
          <t>BRONX</t>
        </is>
      </c>
      <c r="D47" s="33" t="n">
        <v>19354</v>
      </c>
      <c r="E47" s="33" t="n">
        <v>1051</v>
      </c>
      <c r="F47" s="36" t="n">
        <v>18.4</v>
      </c>
      <c r="G47" s="32" t="inlineStr">
        <is>
          <t>Belmont / Fordham (福特汉姆大学周边高密老房区)</t>
        </is>
      </c>
    </row>
    <row r="48" ht="19" customHeight="1">
      <c r="A48" s="28" t="n">
        <v>3</v>
      </c>
      <c r="B48" s="28" t="inlineStr">
        <is>
          <t>10467</t>
        </is>
      </c>
      <c r="C48" s="61" t="inlineStr">
        <is>
          <t>BRONX</t>
        </is>
      </c>
      <c r="D48" s="29" t="n">
        <v>19333</v>
      </c>
      <c r="E48" s="29" t="n">
        <v>1115</v>
      </c>
      <c r="F48" s="38" t="n">
        <v>17.3</v>
      </c>
      <c r="G48" s="30" t="inlineStr">
        <is>
          <t>Norwood / Williamsbridge (布朗克斯核心租赁集聚区)</t>
        </is>
      </c>
    </row>
    <row r="49" ht="19" customHeight="1">
      <c r="A49" s="27" t="n">
        <v>4</v>
      </c>
      <c r="B49" s="27" t="inlineStr">
        <is>
          <t>10468</t>
        </is>
      </c>
      <c r="C49" s="61" t="inlineStr">
        <is>
          <t>BRONX</t>
        </is>
      </c>
      <c r="D49" s="33" t="n">
        <v>19082</v>
      </c>
      <c r="E49" s="33" t="n">
        <v>709</v>
      </c>
      <c r="F49" s="36" t="n">
        <v>26.9</v>
      </c>
      <c r="G49" s="32" t="inlineStr">
        <is>
          <t>Jerome Park / Kingsbridge (高层战前多单元老公寓区)</t>
        </is>
      </c>
    </row>
    <row r="50" ht="19" customHeight="1">
      <c r="A50" s="28" t="n">
        <v>5</v>
      </c>
      <c r="B50" s="28" t="inlineStr">
        <is>
          <t>10452</t>
        </is>
      </c>
      <c r="C50" s="61" t="inlineStr">
        <is>
          <t>BRONX</t>
        </is>
      </c>
      <c r="D50" s="29" t="n">
        <v>18261</v>
      </c>
      <c r="E50" s="29" t="n">
        <v>683</v>
      </c>
      <c r="F50" s="38" t="n">
        <v>26.7</v>
      </c>
      <c r="G50" s="30" t="inlineStr">
        <is>
          <t>Highbridge / Concourse (高桥/大中央走廊密集街区)</t>
        </is>
      </c>
    </row>
    <row r="51" ht="19" customHeight="1">
      <c r="A51" s="27" t="n">
        <v>6</v>
      </c>
      <c r="B51" s="27" t="inlineStr">
        <is>
          <t>10453</t>
        </is>
      </c>
      <c r="C51" s="61" t="inlineStr">
        <is>
          <t>BRONX</t>
        </is>
      </c>
      <c r="D51" s="33" t="n">
        <v>16600</v>
      </c>
      <c r="E51" s="33" t="n">
        <v>715</v>
      </c>
      <c r="F51" s="36" t="n">
        <v>23.2</v>
      </c>
      <c r="G51" s="32" t="inlineStr">
        <is>
          <t>Morris Heights / Mount Hope (高密度多户集合住宅区)</t>
        </is>
      </c>
    </row>
    <row r="52" ht="19" customHeight="1">
      <c r="A52" s="28" t="n">
        <v>7</v>
      </c>
      <c r="B52" s="28" t="inlineStr">
        <is>
          <t>10457</t>
        </is>
      </c>
      <c r="C52" s="61" t="inlineStr">
        <is>
          <t>BRONX</t>
        </is>
      </c>
      <c r="D52" s="29" t="n">
        <v>14396</v>
      </c>
      <c r="E52" s="29" t="n">
        <v>851</v>
      </c>
      <c r="F52" s="38" t="n">
        <v>16.9</v>
      </c>
      <c r="G52" s="30" t="inlineStr">
        <is>
          <t>Tremont / Belmont (高失修率租凭公寓聚集带)</t>
        </is>
      </c>
    </row>
    <row r="53" ht="19" customHeight="1">
      <c r="A53" s="27" t="n">
        <v>8</v>
      </c>
      <c r="B53" s="27" t="inlineStr">
        <is>
          <t>10456</t>
        </is>
      </c>
      <c r="C53" s="61" t="inlineStr">
        <is>
          <t>BRONX</t>
        </is>
      </c>
      <c r="D53" s="33" t="n">
        <v>14161</v>
      </c>
      <c r="E53" s="33" t="n">
        <v>903</v>
      </c>
      <c r="F53" s="36" t="n">
        <v>15.7</v>
      </c>
      <c r="G53" s="32" t="inlineStr">
        <is>
          <t>Morrisania / Melrose (南布朗克斯老旧公共/平价住房区)</t>
        </is>
      </c>
    </row>
    <row r="54" ht="19" customHeight="1">
      <c r="A54" s="28" t="n">
        <v>9</v>
      </c>
      <c r="B54" s="28" t="inlineStr">
        <is>
          <t>10462</t>
        </is>
      </c>
      <c r="C54" s="61" t="inlineStr">
        <is>
          <t>BRONX</t>
        </is>
      </c>
      <c r="D54" s="29" t="n">
        <v>12901</v>
      </c>
      <c r="E54" s="29" t="n">
        <v>617</v>
      </c>
      <c r="F54" s="38" t="n">
        <v>20.9</v>
      </c>
      <c r="G54" s="30" t="inlineStr">
        <is>
          <t>Parkchester / Pelham Parkway (东布朗克斯多户大型社区)</t>
        </is>
      </c>
    </row>
    <row r="55" ht="19" customHeight="1">
      <c r="A55" s="27" t="n">
        <v>10</v>
      </c>
      <c r="B55" s="27" t="inlineStr">
        <is>
          <t>10032</t>
        </is>
      </c>
      <c r="C55" s="27" t="inlineStr">
        <is>
          <t>MANHATTAN</t>
        </is>
      </c>
      <c r="D55" s="33" t="n">
        <v>12805</v>
      </c>
      <c r="E55" s="33" t="n">
        <v>607</v>
      </c>
      <c r="F55" s="36" t="n">
        <v>21.1</v>
      </c>
      <c r="G55" s="32" t="inlineStr">
        <is>
          <t>Washington Heights South (曼哈顿华盛顿高地南部)</t>
        </is>
      </c>
    </row>
    <row r="56" ht="19" customHeight="1">
      <c r="A56" s="28" t="n">
        <v>11</v>
      </c>
      <c r="B56" s="28" t="inlineStr">
        <is>
          <t>10031</t>
        </is>
      </c>
      <c r="C56" s="28" t="inlineStr">
        <is>
          <t>MANHATTAN</t>
        </is>
      </c>
      <c r="D56" s="29" t="n">
        <v>12777</v>
      </c>
      <c r="E56" s="29" t="n">
        <v>668</v>
      </c>
      <c r="F56" s="38" t="n">
        <v>19.1</v>
      </c>
      <c r="G56" s="30" t="inlineStr">
        <is>
          <t>Hamilton Heights / West Harlem (曼哈顿西哈林老旧街区)</t>
        </is>
      </c>
    </row>
    <row r="57" ht="19" customHeight="1">
      <c r="A57" s="27" t="n">
        <v>12</v>
      </c>
      <c r="B57" s="27" t="inlineStr">
        <is>
          <t>11213</t>
        </is>
      </c>
      <c r="C57" s="27" t="inlineStr">
        <is>
          <t>BROOKLYN</t>
        </is>
      </c>
      <c r="D57" s="33" t="n">
        <v>10929</v>
      </c>
      <c r="E57" s="33" t="n">
        <v>784</v>
      </c>
      <c r="F57" s="36" t="n">
        <v>13.9</v>
      </c>
      <c r="G57" s="32" t="inlineStr">
        <is>
          <t>Crown Heights North (皇冠高地多户排屋与租赁公寓)</t>
        </is>
      </c>
    </row>
    <row r="58" ht="19" customHeight="1">
      <c r="A58" s="28" t="n">
        <v>13</v>
      </c>
      <c r="B58" s="28" t="inlineStr">
        <is>
          <t>11225</t>
        </is>
      </c>
      <c r="C58" s="28" t="inlineStr">
        <is>
          <t>BROOKLYN</t>
        </is>
      </c>
      <c r="D58" s="29" t="n">
        <v>10485</v>
      </c>
      <c r="E58" s="29" t="n">
        <v>569</v>
      </c>
      <c r="F58" s="38" t="n">
        <v>18.4</v>
      </c>
      <c r="G58" s="30" t="inlineStr">
        <is>
          <t>Prospect Lefferts Gardens (展望莱弗茨花园公寓带)</t>
        </is>
      </c>
    </row>
    <row r="59" ht="19" customHeight="1">
      <c r="A59" s="27" t="n">
        <v>14</v>
      </c>
      <c r="B59" s="27" t="inlineStr">
        <is>
          <t>10033</t>
        </is>
      </c>
      <c r="C59" s="27" t="inlineStr">
        <is>
          <t>MANHATTAN</t>
        </is>
      </c>
      <c r="D59" s="33" t="n">
        <v>10410</v>
      </c>
      <c r="E59" s="33" t="n">
        <v>486</v>
      </c>
      <c r="F59" s="36" t="n">
        <v>21.4</v>
      </c>
      <c r="G59" s="32" t="inlineStr">
        <is>
          <t>Washington Heights North (华盛顿高地北部)</t>
        </is>
      </c>
    </row>
    <row r="60" ht="19" customHeight="1">
      <c r="A60" s="28" t="n">
        <v>15</v>
      </c>
      <c r="B60" s="28" t="inlineStr">
        <is>
          <t>10451</t>
        </is>
      </c>
      <c r="C60" s="28" t="inlineStr">
        <is>
          <t>BRONX</t>
        </is>
      </c>
      <c r="D60" s="29" t="n">
        <v>10360</v>
      </c>
      <c r="E60" s="29" t="n">
        <v>376</v>
      </c>
      <c r="F60" s="38" t="n">
        <v>27.6</v>
      </c>
      <c r="G60" s="30" t="inlineStr">
        <is>
          <t>Concourse / Mott Haven (南布朗克斯门户街区)</t>
        </is>
      </c>
    </row>
    <row r="61" ht="19" customHeight="1">
      <c r="A61" s="27" t="n">
        <v>16</v>
      </c>
      <c r="B61" s="27" t="inlineStr">
        <is>
          <t>10463</t>
        </is>
      </c>
      <c r="C61" s="27" t="inlineStr">
        <is>
          <t>BRONX</t>
        </is>
      </c>
      <c r="D61" s="33" t="n">
        <v>9688</v>
      </c>
      <c r="E61" s="33" t="n">
        <v>378</v>
      </c>
      <c r="F61" s="36" t="n">
        <v>25.6</v>
      </c>
      <c r="G61" s="32" t="inlineStr">
        <is>
          <t>Kingsbridge / Marble Hill (横跨曼哈顿与布朗克斯)</t>
        </is>
      </c>
    </row>
    <row r="62" ht="19" customHeight="1">
      <c r="A62" s="28" t="n">
        <v>17</v>
      </c>
      <c r="B62" s="28" t="inlineStr">
        <is>
          <t>10460</t>
        </is>
      </c>
      <c r="C62" s="28" t="inlineStr">
        <is>
          <t>BRONX</t>
        </is>
      </c>
      <c r="D62" s="29" t="n">
        <v>9677</v>
      </c>
      <c r="E62" s="29" t="n">
        <v>669</v>
      </c>
      <c r="F62" s="38" t="n">
        <v>14.5</v>
      </c>
      <c r="G62" s="30" t="inlineStr">
        <is>
          <t>West Farms / Charlotte Gardens (中布朗克斯租赁街区)</t>
        </is>
      </c>
    </row>
    <row r="63" ht="19" customHeight="1">
      <c r="A63" s="27" t="n">
        <v>18</v>
      </c>
      <c r="B63" s="27" t="inlineStr">
        <is>
          <t>10459</t>
        </is>
      </c>
      <c r="C63" s="27" t="inlineStr">
        <is>
          <t>BRONX</t>
        </is>
      </c>
      <c r="D63" s="33" t="n">
        <v>9582</v>
      </c>
      <c r="E63" s="33" t="n">
        <v>625</v>
      </c>
      <c r="F63" s="36" t="n">
        <v>15.3</v>
      </c>
      <c r="G63" s="32" t="inlineStr">
        <is>
          <t>Longwood / Hunts Point (亨茨点周边低收入社区)</t>
        </is>
      </c>
    </row>
    <row r="64" ht="19" customHeight="1">
      <c r="A64" s="28" t="n">
        <v>19</v>
      </c>
      <c r="B64" s="28" t="inlineStr">
        <is>
          <t>10040</t>
        </is>
      </c>
      <c r="C64" s="28" t="inlineStr">
        <is>
          <t>MANHATTAN</t>
        </is>
      </c>
      <c r="D64" s="29" t="n">
        <v>9577</v>
      </c>
      <c r="E64" s="29" t="n">
        <v>312</v>
      </c>
      <c r="F64" s="38" t="n">
        <v>30.7</v>
      </c>
      <c r="G64" s="30" t="inlineStr">
        <is>
          <t>Inwood / Fort George (曼哈顿最北部老旧出租公寓带)</t>
        </is>
      </c>
    </row>
    <row r="65" ht="19" customHeight="1">
      <c r="A65" s="27" t="n">
        <v>20</v>
      </c>
      <c r="B65" s="27" t="inlineStr">
        <is>
          <t>10469</t>
        </is>
      </c>
      <c r="C65" s="27" t="inlineStr">
        <is>
          <t>BRONX</t>
        </is>
      </c>
      <c r="D65" s="33" t="n">
        <v>9481</v>
      </c>
      <c r="E65" s="33" t="n">
        <v>641</v>
      </c>
      <c r="F65" s="36" t="n">
        <v>14.8</v>
      </c>
      <c r="G65" s="32" t="inlineStr">
        <is>
          <t>BRONX 居民区</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57"/>
  <sheetViews>
    <sheetView showGridLines="1"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46" customWidth="1" min="8" max="8"/>
  </cols>
  <sheetData>
    <row r="1" ht="28" customHeight="1">
      <c r="A1" s="1" t="inlineStr">
        <is>
          <t>核心发现 3：城市摩擦的双面性 —— 违章停车与各类噪音的昼夜与周末交错节律</t>
        </is>
      </c>
    </row>
    <row r="2" ht="18" customHeight="1">
      <c r="A2" s="2" t="inlineStr">
        <is>
          <t>核心结论：噪音与违停合计占全市 41% 诉求；噪音呈‘夜间与周末派对爆发型’，违停呈‘早晚通勤潮汐型’，交替挤占城市执法资源</t>
        </is>
      </c>
    </row>
    <row r="3"/>
    <row r="4">
      <c r="A4" s="21" t="inlineStr">
        <is>
          <t>【表 5-1 城市民生诉求 24 小时昼夜交替节律全景表】</t>
        </is>
      </c>
    </row>
    <row r="5" ht="22" customHeight="1">
      <c r="A5" s="22" t="inlineStr">
        <is>
          <t>时段 (整点)</t>
        </is>
      </c>
      <c r="B5" s="22" t="inlineStr">
        <is>
          <t>全市民生工单量</t>
        </is>
      </c>
      <c r="C5" s="22" t="inlineStr">
        <is>
          <t>各类噪音工单</t>
        </is>
      </c>
      <c r="D5" s="22" t="inlineStr">
        <is>
          <t>违停阻道工单</t>
        </is>
      </c>
      <c r="E5" s="22" t="inlineStr">
        <is>
          <t>供暖热水工单</t>
        </is>
      </c>
      <c r="F5" s="22" t="inlineStr">
        <is>
          <t>噪音占该时段比重</t>
        </is>
      </c>
      <c r="G5" s="22" t="inlineStr">
        <is>
          <t>违停占该时段比重</t>
        </is>
      </c>
      <c r="H5" s="22" t="inlineStr">
        <is>
          <t>主导城市运行摩擦特征</t>
        </is>
      </c>
    </row>
    <row r="6" ht="19" customHeight="1">
      <c r="A6" s="28" t="inlineStr">
        <is>
          <t>00:00 - 00:59</t>
        </is>
      </c>
      <c r="B6" s="29" t="n">
        <v>264126</v>
      </c>
      <c r="C6" s="29" t="n">
        <v>134900</v>
      </c>
      <c r="D6" s="29" t="n">
        <v>49506</v>
      </c>
      <c r="E6" s="29" t="n">
        <v>18260</v>
      </c>
      <c r="F6" s="59" t="n">
        <v>0.510741085693949</v>
      </c>
      <c r="G6" s="47" t="n">
        <v>0.1874332704845415</v>
      </c>
      <c r="H6" s="30" t="inlineStr">
        <is>
          <t>【夜间噪音极值爆发期】居民音乐/派对扰民达顶峰，噪音占比接近或超过 50%！</t>
        </is>
      </c>
    </row>
    <row r="7" ht="19" customHeight="1">
      <c r="A7" s="27" t="inlineStr">
        <is>
          <t>01:00 - 01:59</t>
        </is>
      </c>
      <c r="B7" s="33" t="n">
        <v>176837</v>
      </c>
      <c r="C7" s="33" t="n">
        <v>93281</v>
      </c>
      <c r="D7" s="33" t="n">
        <v>31208</v>
      </c>
      <c r="E7" s="33" t="n">
        <v>13248</v>
      </c>
      <c r="F7" s="66" t="n">
        <v>0.5274970735762312</v>
      </c>
      <c r="G7" s="48" t="n">
        <v>0.1764789043017016</v>
      </c>
      <c r="H7" s="32" t="inlineStr">
        <is>
          <t>【深夜安静期】全城诉求总量降至全天谷底，偶发夜间酒吧与街头噪音</t>
        </is>
      </c>
    </row>
    <row r="8" ht="19" customHeight="1">
      <c r="A8" s="28" t="inlineStr">
        <is>
          <t>02:00 - 02:59</t>
        </is>
      </c>
      <c r="B8" s="29" t="n">
        <v>121078</v>
      </c>
      <c r="C8" s="29" t="n">
        <v>60511</v>
      </c>
      <c r="D8" s="29" t="n">
        <v>22851</v>
      </c>
      <c r="E8" s="29" t="n">
        <v>10019</v>
      </c>
      <c r="F8" s="59" t="n">
        <v>0.4997687441153637</v>
      </c>
      <c r="G8" s="47" t="n">
        <v>0.1887295792794727</v>
      </c>
      <c r="H8" s="30" t="inlineStr">
        <is>
          <t>【深夜安静期】全城诉求总量降至全天谷底，偶发夜间酒吧与街头噪音</t>
        </is>
      </c>
    </row>
    <row r="9" ht="19" customHeight="1">
      <c r="A9" s="27" t="inlineStr">
        <is>
          <t>03:00 - 03:59</t>
        </is>
      </c>
      <c r="B9" s="33" t="n">
        <v>95315</v>
      </c>
      <c r="C9" s="33" t="n">
        <v>43895</v>
      </c>
      <c r="D9" s="33" t="n">
        <v>19558</v>
      </c>
      <c r="E9" s="33" t="n">
        <v>9144</v>
      </c>
      <c r="F9" s="66" t="n">
        <v>0.4605256255573624</v>
      </c>
      <c r="G9" s="66" t="n">
        <v>0.2051933064050779</v>
      </c>
      <c r="H9" s="32" t="inlineStr">
        <is>
          <t>【深夜安静期】全城诉求总量降至全天谷底，偶发夜间酒吧与街头噪音</t>
        </is>
      </c>
    </row>
    <row r="10" ht="19" customHeight="1">
      <c r="A10" s="28" t="inlineStr">
        <is>
          <t>04:00 - 04:59</t>
        </is>
      </c>
      <c r="B10" s="29" t="n">
        <v>88918</v>
      </c>
      <c r="C10" s="29" t="n">
        <v>34238</v>
      </c>
      <c r="D10" s="29" t="n">
        <v>21212</v>
      </c>
      <c r="E10" s="29" t="n">
        <v>10240</v>
      </c>
      <c r="F10" s="47" t="n">
        <v>0.3850513956679187</v>
      </c>
      <c r="G10" s="56" t="n">
        <v>0.2385568726242156</v>
      </c>
      <c r="H10" s="30" t="inlineStr">
        <is>
          <t>【深夜安静期】全城诉求总量降至全天谷底，偶发夜间酒吧与街头噪音</t>
        </is>
      </c>
    </row>
    <row r="11" ht="19" customHeight="1">
      <c r="A11" s="27" t="inlineStr">
        <is>
          <t>05:00 - 05:59</t>
        </is>
      </c>
      <c r="B11" s="33" t="n">
        <v>103495</v>
      </c>
      <c r="C11" s="33" t="n">
        <v>27794</v>
      </c>
      <c r="D11" s="33" t="n">
        <v>29815</v>
      </c>
      <c r="E11" s="33" t="n">
        <v>13338</v>
      </c>
      <c r="F11" s="48" t="n">
        <v>0.2685540364268805</v>
      </c>
      <c r="G11" s="66" t="n">
        <v>0.2880815498333253</v>
      </c>
      <c r="H11" s="32" t="inlineStr">
        <is>
          <t>【过渡转换期】诉求结构平稳轮转</t>
        </is>
      </c>
    </row>
    <row r="12" ht="19" customHeight="1">
      <c r="A12" s="28" t="inlineStr">
        <is>
          <t>06:00 - 06:59</t>
        </is>
      </c>
      <c r="B12" s="29" t="n">
        <v>169144</v>
      </c>
      <c r="C12" s="29" t="n">
        <v>28912</v>
      </c>
      <c r="D12" s="29" t="n">
        <v>49741</v>
      </c>
      <c r="E12" s="29" t="n">
        <v>20159</v>
      </c>
      <c r="F12" s="47" t="n">
        <v>0.1709312774913683</v>
      </c>
      <c r="G12" s="56" t="n">
        <v>0.2940748711157357</v>
      </c>
      <c r="H12" s="30" t="inlineStr">
        <is>
          <t>【过渡转换期】诉求结构平稳轮转</t>
        </is>
      </c>
    </row>
    <row r="13" ht="19" customHeight="1">
      <c r="A13" s="27" t="inlineStr">
        <is>
          <t>07:00 - 07:59</t>
        </is>
      </c>
      <c r="B13" s="33" t="n">
        <v>283274</v>
      </c>
      <c r="C13" s="33" t="n">
        <v>31634</v>
      </c>
      <c r="D13" s="33" t="n">
        <v>78046</v>
      </c>
      <c r="E13" s="33" t="n">
        <v>31742</v>
      </c>
      <c r="F13" s="48" t="n">
        <v>0.1116727973622712</v>
      </c>
      <c r="G13" s="66" t="n">
        <v>0.2755141664960427</v>
      </c>
      <c r="H13" s="32" t="inlineStr">
        <is>
          <t>【早通勤违停高峰期】上班送学车流启动，堵塞私家车道、占消防栓投诉剧增</t>
        </is>
      </c>
    </row>
    <row r="14" ht="19" customHeight="1">
      <c r="A14" s="28" t="inlineStr">
        <is>
          <t>08:00 - 08:59</t>
        </is>
      </c>
      <c r="B14" s="29" t="n">
        <v>391414</v>
      </c>
      <c r="C14" s="29" t="n">
        <v>34854</v>
      </c>
      <c r="D14" s="29" t="n">
        <v>95591</v>
      </c>
      <c r="E14" s="29" t="n">
        <v>36010</v>
      </c>
      <c r="F14" s="47" t="n">
        <v>0.08904638055869234</v>
      </c>
      <c r="G14" s="56" t="n">
        <v>0.2442196753309795</v>
      </c>
      <c r="H14" s="30" t="inlineStr">
        <is>
          <t>【早通勤违停高峰期】上班送学车流启动，堵塞私家车道、占消防栓投诉剧增</t>
        </is>
      </c>
    </row>
    <row r="15" ht="19" customHeight="1">
      <c r="A15" s="27" t="inlineStr">
        <is>
          <t>09:00 - 09:59</t>
        </is>
      </c>
      <c r="B15" s="33" t="n">
        <v>441696</v>
      </c>
      <c r="C15" s="33" t="n">
        <v>38220</v>
      </c>
      <c r="D15" s="33" t="n">
        <v>91346</v>
      </c>
      <c r="E15" s="33" t="n">
        <v>39290</v>
      </c>
      <c r="F15" s="48" t="n">
        <v>0.08653010215170615</v>
      </c>
      <c r="G15" s="66" t="n">
        <v>0.2068073969426936</v>
      </c>
      <c r="H15" s="32" t="inlineStr">
        <is>
          <t>【早通勤违停高峰期】上班送学车流启动，堵塞私家车道、占消防栓投诉剧增</t>
        </is>
      </c>
    </row>
    <row r="16" ht="19" customHeight="1">
      <c r="A16" s="28" t="inlineStr">
        <is>
          <t>10:00 - 10:59</t>
        </is>
      </c>
      <c r="B16" s="29" t="n">
        <v>451303</v>
      </c>
      <c r="C16" s="29" t="n">
        <v>39622</v>
      </c>
      <c r="D16" s="29" t="n">
        <v>82198</v>
      </c>
      <c r="E16" s="29" t="n">
        <v>38999</v>
      </c>
      <c r="F16" s="47" t="n">
        <v>0.08779467453130159</v>
      </c>
      <c r="G16" s="47" t="n">
        <v>0.1821348406724529</v>
      </c>
      <c r="H16" s="30" t="inlineStr">
        <is>
          <t>【日间常规运行期】市政综合巡查与日常维修诉求平稳释放</t>
        </is>
      </c>
    </row>
    <row r="17" ht="19" customHeight="1">
      <c r="A17" s="27" t="inlineStr">
        <is>
          <t>11:00 - 11:59</t>
        </is>
      </c>
      <c r="B17" s="33" t="n">
        <v>443603</v>
      </c>
      <c r="C17" s="33" t="n">
        <v>40994</v>
      </c>
      <c r="D17" s="33" t="n">
        <v>80897</v>
      </c>
      <c r="E17" s="33" t="n">
        <v>36080</v>
      </c>
      <c r="F17" s="48" t="n">
        <v>0.09241145799284495</v>
      </c>
      <c r="G17" s="48" t="n">
        <v>0.1823635097147675</v>
      </c>
      <c r="H17" s="32" t="inlineStr">
        <is>
          <t>【日间常规运行期】市政综合巡查与日常维修诉求平稳释放</t>
        </is>
      </c>
    </row>
    <row r="18" ht="19" customHeight="1">
      <c r="A18" s="28" t="inlineStr">
        <is>
          <t>12:00 - 12:59</t>
        </is>
      </c>
      <c r="B18" s="29" t="n">
        <v>423714</v>
      </c>
      <c r="C18" s="29" t="n">
        <v>42657</v>
      </c>
      <c r="D18" s="29" t="n">
        <v>77108</v>
      </c>
      <c r="E18" s="29" t="n">
        <v>34212</v>
      </c>
      <c r="F18" s="47" t="n">
        <v>0.1006740395644232</v>
      </c>
      <c r="G18" s="47" t="n">
        <v>0.1819812420642226</v>
      </c>
      <c r="H18" s="30" t="inlineStr">
        <is>
          <t>【日间常规运行期】市政综合巡查与日常维修诉求平稳释放</t>
        </is>
      </c>
    </row>
    <row r="19" ht="19" customHeight="1">
      <c r="A19" s="27" t="inlineStr">
        <is>
          <t>13:00 - 13:59</t>
        </is>
      </c>
      <c r="B19" s="33" t="n">
        <v>411619</v>
      </c>
      <c r="C19" s="33" t="n">
        <v>43797</v>
      </c>
      <c r="D19" s="33" t="n">
        <v>73109</v>
      </c>
      <c r="E19" s="33" t="n">
        <v>32296</v>
      </c>
      <c r="F19" s="48" t="n">
        <v>0.1064017938919243</v>
      </c>
      <c r="G19" s="48" t="n">
        <v>0.1776132782986208</v>
      </c>
      <c r="H19" s="32" t="inlineStr">
        <is>
          <t>【日间常规运行期】市政综合巡查与日常维修诉求平稳释放</t>
        </is>
      </c>
    </row>
    <row r="20" ht="19" customHeight="1">
      <c r="A20" s="28" t="inlineStr">
        <is>
          <t>14:00 - 14:59</t>
        </is>
      </c>
      <c r="B20" s="29" t="n">
        <v>407554</v>
      </c>
      <c r="C20" s="29" t="n">
        <v>46060</v>
      </c>
      <c r="D20" s="29" t="n">
        <v>68979</v>
      </c>
      <c r="E20" s="29" t="n">
        <v>29853</v>
      </c>
      <c r="F20" s="47" t="n">
        <v>0.1130156985332005</v>
      </c>
      <c r="G20" s="47" t="n">
        <v>0.1692511912531836</v>
      </c>
      <c r="H20" s="30" t="inlineStr">
        <is>
          <t>【日间常规运行期】市政综合巡查与日常维修诉求平稳释放</t>
        </is>
      </c>
    </row>
    <row r="21" ht="19" customHeight="1">
      <c r="A21" s="27" t="inlineStr">
        <is>
          <t>15:00 - 15:59</t>
        </is>
      </c>
      <c r="B21" s="33" t="n">
        <v>398884</v>
      </c>
      <c r="C21" s="33" t="n">
        <v>51059</v>
      </c>
      <c r="D21" s="33" t="n">
        <v>66475</v>
      </c>
      <c r="E21" s="33" t="n">
        <v>30536</v>
      </c>
      <c r="F21" s="48" t="n">
        <v>0.1280046329258632</v>
      </c>
      <c r="G21" s="48" t="n">
        <v>0.1666524603644167</v>
      </c>
      <c r="H21" s="32" t="inlineStr">
        <is>
          <t>【过渡转换期】诉求结构平稳轮转</t>
        </is>
      </c>
    </row>
    <row r="22" ht="19" customHeight="1">
      <c r="A22" s="28" t="inlineStr">
        <is>
          <t>16:00 - 16:59</t>
        </is>
      </c>
      <c r="B22" s="29" t="n">
        <v>384526</v>
      </c>
      <c r="C22" s="29" t="n">
        <v>56151</v>
      </c>
      <c r="D22" s="29" t="n">
        <v>65339</v>
      </c>
      <c r="E22" s="29" t="n">
        <v>32848</v>
      </c>
      <c r="F22" s="47" t="n">
        <v>0.1460265365670982</v>
      </c>
      <c r="G22" s="47" t="n">
        <v>0.1699208896147465</v>
      </c>
      <c r="H22" s="30" t="inlineStr">
        <is>
          <t>【过渡转换期】诉求结构平稳轮转</t>
        </is>
      </c>
    </row>
    <row r="23" ht="19" customHeight="1">
      <c r="A23" s="27" t="inlineStr">
        <is>
          <t>17:00 - 17:59</t>
        </is>
      </c>
      <c r="B23" s="33" t="n">
        <v>363769</v>
      </c>
      <c r="C23" s="33" t="n">
        <v>62270</v>
      </c>
      <c r="D23" s="33" t="n">
        <v>70873</v>
      </c>
      <c r="E23" s="33" t="n">
        <v>31895</v>
      </c>
      <c r="F23" s="48" t="n">
        <v>0.1711800620723591</v>
      </c>
      <c r="G23" s="48" t="n">
        <v>0.1948296858720782</v>
      </c>
      <c r="H23" s="32" t="inlineStr">
        <is>
          <t>【过渡转换期】诉求结构平稳轮转</t>
        </is>
      </c>
    </row>
    <row r="24" ht="19" customHeight="1">
      <c r="A24" s="28" t="inlineStr">
        <is>
          <t>18:00 - 18:59</t>
        </is>
      </c>
      <c r="B24" s="29" t="n">
        <v>351925</v>
      </c>
      <c r="C24" s="29" t="n">
        <v>71722</v>
      </c>
      <c r="D24" s="29" t="n">
        <v>74668</v>
      </c>
      <c r="E24" s="29" t="n">
        <v>32546</v>
      </c>
      <c r="F24" s="47" t="n">
        <v>0.2037991049229239</v>
      </c>
      <c r="G24" s="56" t="n">
        <v>0.2121702067201819</v>
      </c>
      <c r="H24" s="30" t="inlineStr">
        <is>
          <t>【晚通勤归家潮】下班抢车位纠纷上升，夜生活社交活动开启</t>
        </is>
      </c>
    </row>
    <row r="25" ht="19" customHeight="1">
      <c r="A25" s="27" t="inlineStr">
        <is>
          <t>19:00 - 19:59</t>
        </is>
      </c>
      <c r="B25" s="33" t="n">
        <v>345626</v>
      </c>
      <c r="C25" s="33" t="n">
        <v>84805</v>
      </c>
      <c r="D25" s="33" t="n">
        <v>73701</v>
      </c>
      <c r="E25" s="33" t="n">
        <v>33507</v>
      </c>
      <c r="F25" s="48" t="n">
        <v>0.2453663786867886</v>
      </c>
      <c r="G25" s="66" t="n">
        <v>0.2132391660349627</v>
      </c>
      <c r="H25" s="32" t="inlineStr">
        <is>
          <t>【晚通勤归家潮】下班抢车位纠纷上升，夜生活社交活动开启</t>
        </is>
      </c>
    </row>
    <row r="26" ht="19" customHeight="1">
      <c r="A26" s="28" t="inlineStr">
        <is>
          <t>20:00 - 20:59</t>
        </is>
      </c>
      <c r="B26" s="29" t="n">
        <v>345543</v>
      </c>
      <c r="C26" s="29" t="n">
        <v>102033</v>
      </c>
      <c r="D26" s="29" t="n">
        <v>76855</v>
      </c>
      <c r="E26" s="29" t="n">
        <v>34335</v>
      </c>
      <c r="F26" s="47" t="n">
        <v>0.2952830762018041</v>
      </c>
      <c r="G26" s="56" t="n">
        <v>0.2224180492731729</v>
      </c>
      <c r="H26" s="30" t="inlineStr">
        <is>
          <t>【晚通勤归家潮】下班抢车位纠纷上升，夜生活社交活动开启</t>
        </is>
      </c>
    </row>
    <row r="27" ht="19" customHeight="1">
      <c r="A27" s="27" t="inlineStr">
        <is>
          <t>21:00 - 21:59</t>
        </is>
      </c>
      <c r="B27" s="33" t="n">
        <v>366653</v>
      </c>
      <c r="C27" s="33" t="n">
        <v>127177</v>
      </c>
      <c r="D27" s="33" t="n">
        <v>86041</v>
      </c>
      <c r="E27" s="33" t="n">
        <v>32312</v>
      </c>
      <c r="F27" s="48" t="n">
        <v>0.3468592920281574</v>
      </c>
      <c r="G27" s="66" t="n">
        <v>0.2346660193698129</v>
      </c>
      <c r="H27" s="32" t="inlineStr">
        <is>
          <t>【过渡转换期】诉求结构平稳轮转</t>
        </is>
      </c>
    </row>
    <row r="28" ht="19" customHeight="1">
      <c r="A28" s="28" t="inlineStr">
        <is>
          <t>22:00 - 22:59</t>
        </is>
      </c>
      <c r="B28" s="29" t="n">
        <v>377071</v>
      </c>
      <c r="C28" s="29" t="n">
        <v>169315</v>
      </c>
      <c r="D28" s="29" t="n">
        <v>77141</v>
      </c>
      <c r="E28" s="29" t="n">
        <v>27461</v>
      </c>
      <c r="F28" s="59" t="n">
        <v>0.4490268410988912</v>
      </c>
      <c r="G28" s="56" t="n">
        <v>0.2045795088988546</v>
      </c>
      <c r="H28" s="30" t="inlineStr">
        <is>
          <t>【夜间噪音极值爆发期】居民音乐/派对扰民达顶峰，噪音占比接近或超过 50%！</t>
        </is>
      </c>
    </row>
    <row r="29" ht="19" customHeight="1">
      <c r="A29" s="27" t="inlineStr">
        <is>
          <t>23:00 - 23:59</t>
        </is>
      </c>
      <c r="B29" s="33" t="n">
        <v>318411</v>
      </c>
      <c r="C29" s="33" t="n">
        <v>159323</v>
      </c>
      <c r="D29" s="33" t="n">
        <v>59437</v>
      </c>
      <c r="E29" s="33" t="n">
        <v>23264</v>
      </c>
      <c r="F29" s="66" t="n">
        <v>0.500369019914513</v>
      </c>
      <c r="G29" s="48" t="n">
        <v>0.1866675460332715</v>
      </c>
      <c r="H29" s="32" t="inlineStr">
        <is>
          <t>【夜间噪音极值爆发期】居民音乐/派对扰民达顶峰，噪音占比接近或超过 50%！</t>
        </is>
      </c>
    </row>
    <row r="30">
      <c r="A30" s="39" t="inlineStr">
        <is>
          <t>全天 24 小时汇总</t>
        </is>
      </c>
      <c r="B30" s="40">
        <f>SUM(B6:B29)</f>
        <v/>
      </c>
      <c r="C30" s="40">
        <f>SUM(C6:C29)</f>
        <v/>
      </c>
      <c r="D30" s="40">
        <f>SUM(D6:D29)</f>
        <v/>
      </c>
      <c r="E30" s="40">
        <f>SUM(E6:E29)</f>
        <v/>
      </c>
      <c r="F30" s="60">
        <f>C30/B30</f>
        <v/>
      </c>
      <c r="G30" s="60">
        <f>D30/B30</f>
        <v/>
      </c>
      <c r="H30" s="43" t="inlineStr">
        <is>
          <t>全天昼夜互补：白昼违停争路权，夜晚噪音扰清梦</t>
        </is>
      </c>
    </row>
    <row r="31"/>
    <row r="32"/>
    <row r="33">
      <c r="A33" s="21" t="inlineStr">
        <is>
          <t>【表 5-2 星期周中与周末生活节律对比表】</t>
        </is>
      </c>
    </row>
    <row r="34" ht="22" customHeight="1">
      <c r="A34" s="26" t="inlineStr">
        <is>
          <t>星期 (Day of Week)</t>
        </is>
      </c>
      <c r="B34" s="26" t="inlineStr">
        <is>
          <t>全市民生工单量</t>
        </is>
      </c>
      <c r="C34" s="26" t="inlineStr">
        <is>
          <t>各类噪音工单</t>
        </is>
      </c>
      <c r="D34" s="26" t="inlineStr">
        <is>
          <t>违停阻道工单</t>
        </is>
      </c>
      <c r="E34" s="26" t="inlineStr">
        <is>
          <t>供暖热水工单</t>
        </is>
      </c>
      <c r="F34" s="26" t="inlineStr">
        <is>
          <t>噪音占当日比重</t>
        </is>
      </c>
      <c r="G34" s="26" t="inlineStr">
        <is>
          <t>较周中平均的周末增幅</t>
        </is>
      </c>
      <c r="H34" s="26" t="inlineStr">
        <is>
          <t>周中周末运行特征研判</t>
        </is>
      </c>
    </row>
    <row r="35" ht="20" customHeight="1">
      <c r="A35" s="32" t="inlineStr">
        <is>
          <t>星期一 (Monday)</t>
        </is>
      </c>
      <c r="B35" s="33" t="n">
        <v>1148117</v>
      </c>
      <c r="C35" s="33" t="n">
        <v>203070</v>
      </c>
      <c r="D35" s="33" t="n">
        <v>219010</v>
      </c>
      <c r="E35" s="33" t="n">
        <v>102039</v>
      </c>
      <c r="F35" s="48" t="n">
        <v>0.176872217726939</v>
      </c>
      <c r="G35" s="27" t="inlineStr">
        <is>
          <t>+4.7%</t>
        </is>
      </c>
      <c r="H35" s="32" t="inlineStr">
        <is>
          <t>【工作日平稳期】以通勤违停、市容环卫及房屋报修为主流</t>
        </is>
      </c>
    </row>
    <row r="36" ht="20" customHeight="1">
      <c r="A36" s="30" t="inlineStr">
        <is>
          <t>星期二 (Tuesday)</t>
        </is>
      </c>
      <c r="B36" s="29" t="n">
        <v>1141458</v>
      </c>
      <c r="C36" s="29" t="n">
        <v>186281</v>
      </c>
      <c r="D36" s="29" t="n">
        <v>225578</v>
      </c>
      <c r="E36" s="29" t="n">
        <v>98765</v>
      </c>
      <c r="F36" s="47" t="n">
        <v>0.1631956672956867</v>
      </c>
      <c r="G36" s="28" t="inlineStr">
        <is>
          <t>-3.9%</t>
        </is>
      </c>
      <c r="H36" s="30" t="inlineStr">
        <is>
          <t>【工作日平稳期】以通勤违停、市容环卫及房屋报修为主流</t>
        </is>
      </c>
    </row>
    <row r="37" ht="20" customHeight="1">
      <c r="A37" s="32" t="inlineStr">
        <is>
          <t>星期三 (Wednesday)</t>
        </is>
      </c>
      <c r="B37" s="33" t="n">
        <v>1084833</v>
      </c>
      <c r="C37" s="33" t="n">
        <v>177211</v>
      </c>
      <c r="D37" s="33" t="n">
        <v>217488</v>
      </c>
      <c r="E37" s="33" t="n">
        <v>90387</v>
      </c>
      <c r="F37" s="48" t="n">
        <v>0.1633532534500702</v>
      </c>
      <c r="G37" s="27" t="inlineStr">
        <is>
          <t>-8.6%</t>
        </is>
      </c>
      <c r="H37" s="32" t="inlineStr">
        <is>
          <t>【工作日平稳期】以通勤违停、市容环卫及房屋报修为主流</t>
        </is>
      </c>
    </row>
    <row r="38" ht="20" customHeight="1">
      <c r="A38" s="30" t="inlineStr">
        <is>
          <t>星期四 (Thursday)</t>
        </is>
      </c>
      <c r="B38" s="29" t="n">
        <v>1074354</v>
      </c>
      <c r="C38" s="29" t="n">
        <v>181020</v>
      </c>
      <c r="D38" s="29" t="n">
        <v>218346</v>
      </c>
      <c r="E38" s="29" t="n">
        <v>91172</v>
      </c>
      <c r="F38" s="47" t="n">
        <v>0.1684919495808644</v>
      </c>
      <c r="G38" s="28" t="inlineStr">
        <is>
          <t>-6.6%</t>
        </is>
      </c>
      <c r="H38" s="30" t="inlineStr">
        <is>
          <t>【工作日平稳期】以通勤违停、市容环卫及房屋报修为主流</t>
        </is>
      </c>
    </row>
    <row r="39" ht="20" customHeight="1">
      <c r="A39" s="32" t="inlineStr">
        <is>
          <t>星期五 (Friday)</t>
        </is>
      </c>
      <c r="B39" s="33" t="n">
        <v>1085159</v>
      </c>
      <c r="C39" s="33" t="n">
        <v>221947</v>
      </c>
      <c r="D39" s="33" t="n">
        <v>220005</v>
      </c>
      <c r="E39" s="33" t="n">
        <v>90973</v>
      </c>
      <c r="F39" s="48" t="n">
        <v>0.2045294744825413</v>
      </c>
      <c r="G39" s="27" t="inlineStr">
        <is>
          <t>+14.5%</t>
        </is>
      </c>
      <c r="H39" s="32" t="inlineStr">
        <is>
          <t>【周末前哨战】周五傍晚起噪音投诉开始抬头</t>
        </is>
      </c>
    </row>
    <row r="40" ht="20" customHeight="1">
      <c r="A40" s="45" t="inlineStr">
        <is>
          <t>星期六 (Saturday)</t>
        </is>
      </c>
      <c r="B40" s="29" t="n">
        <v>982454</v>
      </c>
      <c r="C40" s="46" t="n">
        <v>320094</v>
      </c>
      <c r="D40" s="29" t="n">
        <v>206815</v>
      </c>
      <c r="E40" s="29" t="n">
        <v>86350</v>
      </c>
      <c r="F40" s="59" t="n">
        <v>0.32581067408754</v>
      </c>
      <c r="G40" s="61" t="inlineStr">
        <is>
          <t>+65.1%</t>
        </is>
      </c>
      <c r="H40" s="30" t="inlineStr">
        <is>
          <t>【周末狂欢潮】较周中激增 65.1%，夜间派对与街头聚会密集爆发</t>
        </is>
      </c>
    </row>
    <row r="41" ht="20" customHeight="1">
      <c r="A41" s="45" t="inlineStr">
        <is>
          <t>星期日 (Sunday)</t>
        </is>
      </c>
      <c r="B41" s="33" t="n">
        <v>1009123</v>
      </c>
      <c r="C41" s="46" t="n">
        <v>335601</v>
      </c>
      <c r="D41" s="33" t="n">
        <v>214453</v>
      </c>
      <c r="E41" s="33" t="n">
        <v>91908</v>
      </c>
      <c r="F41" s="59" t="n">
        <v>0.3325669913380232</v>
      </c>
      <c r="G41" s="61" t="inlineStr">
        <is>
          <t>+73.1%</t>
        </is>
      </c>
      <c r="H41" s="32" t="inlineStr">
        <is>
          <t>【周末狂欢潮】较周中激增 73.1%，夜间派对与街头聚会密集爆发</t>
        </is>
      </c>
    </row>
    <row r="42"/>
    <row r="43"/>
    <row r="44">
      <c r="A44" s="21" t="inlineStr">
        <is>
          <t>【表 5-3 警务局 (NYPD) 现场处置结果深度解构：违停与噪音的执法实质】</t>
        </is>
      </c>
    </row>
    <row r="45" ht="22" customHeight="1">
      <c r="A45" s="22" t="inlineStr">
        <is>
          <t>诉求主类别</t>
        </is>
      </c>
      <c r="B45" s="22" t="inlineStr">
        <is>
          <t>现场处置官方认定结果大类</t>
        </is>
      </c>
      <c r="C45" s="22" t="inlineStr">
        <is>
          <t>处置案件量 (件)</t>
        </is>
      </c>
      <c r="D45" s="22" t="inlineStr">
        <is>
          <t>类内占比 (%)</t>
        </is>
      </c>
      <c r="E45" s="22" t="inlineStr">
        <is>
          <t>现场执法实质评价与空转研判</t>
        </is>
      </c>
    </row>
    <row r="46" ht="20" customHeight="1">
      <c r="A46" s="67" t="inlineStr">
        <is>
          <t>违章停车 (Illegal Parking)</t>
        </is>
      </c>
      <c r="B46" s="30" t="inlineStr">
        <is>
          <t>未发现违规证据 (No Evidence Observed)</t>
        </is>
      </c>
      <c r="C46" s="29" t="n">
        <v>299892</v>
      </c>
      <c r="D46" s="37" t="n">
        <v>0.2588</v>
      </c>
      <c r="E46" s="30" t="inlineStr">
        <is>
          <t>车主已挪车、车辆停放合规或报送地址有误 (占 25.9%)</t>
        </is>
      </c>
    </row>
    <row r="47" ht="20" customHeight="1">
      <c r="A47" s="27" t="inlineStr">
        <is>
          <t>违章停车 (Illegal Parking)</t>
        </is>
      </c>
      <c r="B47" s="32" t="inlineStr">
        <is>
          <t>开具传票/罚单 (Summons Issued)</t>
        </is>
      </c>
      <c r="C47" s="33" t="n">
        <v>260745</v>
      </c>
      <c r="D47" s="35" t="n">
        <v>0.225</v>
      </c>
      <c r="E47" s="32" t="inlineStr">
        <is>
          <t>【实质执法】警方确认违章并现场张贴停车罚单 (占 22.5%)</t>
        </is>
      </c>
    </row>
    <row r="48" ht="20" customHeight="1">
      <c r="A48" s="28" t="inlineStr">
        <is>
          <t>违章停车 (Illegal Parking)</t>
        </is>
      </c>
      <c r="B48" s="30" t="inlineStr">
        <is>
          <t>判定无需警察执法 (Action Not Necessary)</t>
        </is>
      </c>
      <c r="C48" s="29" t="n">
        <v>187557</v>
      </c>
      <c r="D48" s="37" t="n">
        <v>0.1619</v>
      </c>
      <c r="E48" s="30" t="inlineStr">
        <is>
          <t>不属于即时拖车或违规范畴，判定不予处置</t>
        </is>
      </c>
    </row>
    <row r="49" ht="20" customHeight="1">
      <c r="A49" s="27" t="inlineStr">
        <is>
          <t>违章停车 (Illegal Parking)</t>
        </is>
      </c>
      <c r="B49" s="32" t="inlineStr">
        <is>
          <t>到达现场时当事人已离开 (Condition/Party Gone)</t>
        </is>
      </c>
      <c r="C49" s="33" t="n">
        <v>156117</v>
      </c>
      <c r="D49" s="35" t="n">
        <v>0.1347</v>
      </c>
      <c r="E49" s="32" t="inlineStr">
        <is>
          <t>【时间差空转】违停车辆在巡警到场前已驶离，扑空率 13.5%</t>
        </is>
      </c>
    </row>
    <row r="50" ht="20" customHeight="1">
      <c r="A50" s="28" t="inlineStr">
        <is>
          <t>违章停车 (Illegal Parking)</t>
        </is>
      </c>
      <c r="B50" s="30" t="inlineStr">
        <is>
          <t>已采取处置措施修复 (Action Taken to Fix)</t>
        </is>
      </c>
      <c r="C50" s="29" t="n">
        <v>132647</v>
      </c>
      <c r="D50" s="37" t="n">
        <v>0.1145</v>
      </c>
      <c r="E50" s="30" t="inlineStr">
        <is>
          <t>口头警告车主立即驶离，消除了道路阻滞</t>
        </is>
      </c>
    </row>
    <row r="51" ht="20" customHeight="1">
      <c r="A51" s="27" t="inlineStr">
        <is>
          <t>违章停车 (Illegal Parking)</t>
        </is>
      </c>
      <c r="B51" s="32" t="inlineStr">
        <is>
          <t>其他处理结果 (Other Resolutions)</t>
        </is>
      </c>
      <c r="C51" s="33" t="n">
        <v>121853</v>
      </c>
      <c r="D51" s="35" t="n">
        <v>0.1052</v>
      </c>
      <c r="E51" s="32" t="inlineStr">
        <is>
          <t>转交交通局拖车管理处或因天气暂缓执法</t>
        </is>
      </c>
    </row>
    <row r="52" ht="20" customHeight="1">
      <c r="A52" s="67" t="inlineStr">
        <is>
          <t>住宅噪音 (Noise - Residential)</t>
        </is>
      </c>
      <c r="B52" s="30" t="inlineStr">
        <is>
          <t>未发现违规证据 (No Evidence Observed)</t>
        </is>
      </c>
      <c r="C52" s="29" t="n">
        <v>395799</v>
      </c>
      <c r="D52" s="37" t="n">
        <v>0.4492</v>
      </c>
      <c r="E52" s="30" t="inlineStr">
        <is>
          <t>【典型空转】警察到场时噪音已停息，或声响未达法定噪音分贝标准 (占 44.9%)</t>
        </is>
      </c>
    </row>
    <row r="53" ht="20" customHeight="1">
      <c r="A53" s="27" t="inlineStr">
        <is>
          <t>住宅噪音 (Noise - Residential)</t>
        </is>
      </c>
      <c r="B53" s="32" t="inlineStr">
        <is>
          <t>其他处理结果 (Other Resolutions)</t>
        </is>
      </c>
      <c r="C53" s="33" t="n">
        <v>208423</v>
      </c>
      <c r="D53" s="35" t="n">
        <v>0.2365</v>
      </c>
      <c r="E53" s="32" t="inlineStr">
        <is>
          <t>包括转交辖区社区事务组(Community Affairs)或无管辖权解释</t>
        </is>
      </c>
    </row>
    <row r="54" ht="20" customHeight="1">
      <c r="A54" s="28" t="inlineStr">
        <is>
          <t>住宅噪音 (Noise - Residential)</t>
        </is>
      </c>
      <c r="B54" s="30" t="inlineStr">
        <is>
          <t>已采取处置措施修复 (Action Taken to Fix)</t>
        </is>
      </c>
      <c r="C54" s="29" t="n">
        <v>152343</v>
      </c>
      <c r="D54" s="37" t="n">
        <v>0.1729</v>
      </c>
      <c r="E54" s="30" t="inlineStr">
        <is>
          <t>【有效干预】口头告诫劝导、勒令降低音量或劝散聚会人员 (占 17.3%)</t>
        </is>
      </c>
    </row>
    <row r="55" ht="20" customHeight="1">
      <c r="A55" s="27" t="inlineStr">
        <is>
          <t>住宅噪音 (Noise - Residential)</t>
        </is>
      </c>
      <c r="B55" s="32" t="inlineStr">
        <is>
          <t>判定无需警察执法 (Action Not Necessary)</t>
        </is>
      </c>
      <c r="C55" s="33" t="n">
        <v>113235</v>
      </c>
      <c r="D55" s="35" t="n">
        <v>0.1285</v>
      </c>
      <c r="E55" s="32" t="inlineStr">
        <is>
          <t>判定属于正常生活起居声响（如脚步声、儿童玩闹），无需公权力介入</t>
        </is>
      </c>
    </row>
    <row r="56" ht="20" customHeight="1">
      <c r="A56" s="28" t="inlineStr">
        <is>
          <t>住宅噪音 (Noise - Residential)</t>
        </is>
      </c>
      <c r="B56" s="30" t="inlineStr">
        <is>
          <t>到达现场时当事人已离开 (Condition/Party Gone)</t>
        </is>
      </c>
      <c r="C56" s="29" t="n">
        <v>8190</v>
      </c>
      <c r="D56" s="37" t="n">
        <v>0.009300000000000001</v>
      </c>
      <c r="E56" s="30" t="inlineStr">
        <is>
          <t>多见于楼下流动喧哗，巡警到场前已自行散去</t>
        </is>
      </c>
    </row>
    <row r="57" ht="20" customHeight="1">
      <c r="A57" s="27" t="inlineStr">
        <is>
          <t>住宅噪音 (Noise - Residential)</t>
        </is>
      </c>
      <c r="B57" s="32" t="inlineStr">
        <is>
          <t>开具传票/罚单 (Summons Issued)</t>
        </is>
      </c>
      <c r="C57" s="33" t="n">
        <v>3147</v>
      </c>
      <c r="D57" s="68" t="n">
        <v>0.0036</v>
      </c>
      <c r="E57" s="32" t="inlineStr">
        <is>
          <t>【极低概率】仅 0.36% 的恶劣屡教不改案例才会由警方开出刑事传票或民事罚单！</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K45"/>
  <sheetViews>
    <sheetView showGridLines="1" workbookViewId="0">
      <selection activeCell="A1" sqref="A1"/>
    </sheetView>
  </sheetViews>
  <sheetFormatPr baseColWidth="8" defaultRowHeight="15"/>
  <cols>
    <col width="10" customWidth="1" min="1" max="1"/>
    <col width="30" customWidth="1" min="2" max="2"/>
    <col width="12" customWidth="1" min="3" max="3"/>
    <col width="15" customWidth="1" min="4" max="4"/>
    <col width="13" customWidth="1" min="5" max="5"/>
    <col width="15" customWidth="1" min="6" max="6"/>
    <col width="14" customWidth="1" min="7" max="7"/>
    <col width="46" customWidth="1" min="8" max="8"/>
  </cols>
  <sheetData>
    <row r="1" ht="28" customHeight="1">
      <c r="A1" s="1" t="inlineStr">
        <is>
          <t>核心发现 4：市政部门履约效能画像 —— 警务敏捷响应 vs 住建长期滞后与处置落差</t>
        </is>
      </c>
    </row>
    <row r="2" ht="18" customHeight="1">
      <c r="A2" s="2" t="inlineStr">
        <is>
          <t>核心结论：NYPD 处置中位数仅 1.3 小时（但未见违规率达 45%）；HPD 与 DOB 涉及复杂房屋维修中位数需 3.6-6.6 天，P90 耗时超 37-145 天</t>
        </is>
      </c>
    </row>
    <row r="3"/>
    <row r="4">
      <c r="A4" s="21" t="inlineStr">
        <is>
          <t>【表 6-1 市政主要承办部门履约时效与流转效率总榜】</t>
        </is>
      </c>
    </row>
    <row r="5" ht="22" customHeight="1">
      <c r="A5" s="22" t="inlineStr">
        <is>
          <t>承办部门 (Agency)</t>
        </is>
      </c>
      <c r="B5" s="22" t="inlineStr">
        <is>
          <t>机构全称与核心管辖业务</t>
        </is>
      </c>
      <c r="C5" s="22" t="inlineStr">
        <is>
          <t>全周期受理量</t>
        </is>
      </c>
      <c r="D5" s="22" t="inlineStr">
        <is>
          <t>闭环结案量</t>
        </is>
      </c>
      <c r="E5" s="22" t="inlineStr">
        <is>
          <t>综合办结率</t>
        </is>
      </c>
      <c r="F5" s="22" t="inlineStr">
        <is>
          <t>处置中位数 (小时)</t>
        </is>
      </c>
      <c r="G5" s="22" t="inlineStr">
        <is>
          <t>P75 分位数 (小时)</t>
        </is>
      </c>
      <c r="H5" s="22" t="inlineStr">
        <is>
          <t>P90 分位数 (小时)</t>
        </is>
      </c>
      <c r="I5" s="22" t="inlineStr">
        <is>
          <t>平均耗时 (小时)</t>
        </is>
      </c>
      <c r="J5" s="22" t="inlineStr">
        <is>
          <t>折合工作日 (天)</t>
        </is>
      </c>
      <c r="K5" s="22" t="inlineStr">
        <is>
          <t>履约敏捷度画像</t>
        </is>
      </c>
    </row>
    <row r="6" ht="20" customHeight="1">
      <c r="A6" s="69" t="inlineStr">
        <is>
          <t>NYPD</t>
        </is>
      </c>
      <c r="B6" s="30" t="inlineStr">
        <is>
          <t>New York City Police Department (纽约市警察局)</t>
        </is>
      </c>
      <c r="C6" s="29" t="n">
        <v>3403951</v>
      </c>
      <c r="D6" s="29" t="n">
        <v>3402808</v>
      </c>
      <c r="E6" s="47" t="n">
        <v>0.9997</v>
      </c>
      <c r="F6" s="70" t="n">
        <v>1.3</v>
      </c>
      <c r="G6" s="64" t="n">
        <v>3.3</v>
      </c>
      <c r="H6" s="64" t="n">
        <v>7</v>
      </c>
      <c r="I6" s="64" t="n">
        <v>3</v>
      </c>
      <c r="J6" s="64" t="n">
        <v>0.125</v>
      </c>
      <c r="K6" s="30" t="inlineStr">
        <is>
          <t>【即时敏捷型】警车街头巡逻就近指派，1.3 小时极速处置噪音违停</t>
        </is>
      </c>
    </row>
    <row r="7" ht="20" customHeight="1">
      <c r="A7" s="71" t="inlineStr">
        <is>
          <t>HPD</t>
        </is>
      </c>
      <c r="B7" s="32" t="inlineStr">
        <is>
          <t>Department of Housing Preservation and Development (房屋维护局)</t>
        </is>
      </c>
      <c r="C7" s="33" t="n">
        <v>1633583</v>
      </c>
      <c r="D7" s="33" t="n">
        <v>1573865</v>
      </c>
      <c r="E7" s="48" t="n">
        <v>0.9634</v>
      </c>
      <c r="F7" s="63" t="n">
        <v>87.5</v>
      </c>
      <c r="G7" s="63" t="n">
        <v>319.8</v>
      </c>
      <c r="H7" s="63" t="n">
        <v>890</v>
      </c>
      <c r="I7" s="63" t="n">
        <v>348.8</v>
      </c>
      <c r="J7" s="63" t="n">
        <v>14.53333333333333</v>
      </c>
      <c r="K7" s="32" t="inlineStr">
        <is>
          <t>【中长周期维修型】供暖优先(41h)，但结构/虫害修缮多需数周</t>
        </is>
      </c>
    </row>
    <row r="8" ht="20" customHeight="1">
      <c r="A8" s="57" t="inlineStr">
        <is>
          <t>DSNY</t>
        </is>
      </c>
      <c r="B8" s="30" t="inlineStr">
        <is>
          <t>Department of Sanitation (纽约市环卫局)</t>
        </is>
      </c>
      <c r="C8" s="29" t="n">
        <v>686438</v>
      </c>
      <c r="D8" s="29" t="n">
        <v>676580</v>
      </c>
      <c r="E8" s="47" t="n">
        <v>0.9856</v>
      </c>
      <c r="F8" s="64" t="n">
        <v>33.8</v>
      </c>
      <c r="G8" s="64" t="n">
        <v>79</v>
      </c>
      <c r="H8" s="64" t="n">
        <v>170</v>
      </c>
      <c r="I8" s="64" t="n">
        <v>86.8</v>
      </c>
      <c r="J8" s="64" t="n">
        <v>3.616666666666667</v>
      </c>
      <c r="K8" s="30" t="inlineStr">
        <is>
          <t>【定班清扫型】垃圾清运、街头违章抛洒，常规 1.4 天清运完毕</t>
        </is>
      </c>
    </row>
    <row r="9" ht="20" customHeight="1">
      <c r="A9" s="71" t="inlineStr">
        <is>
          <t>DOT</t>
        </is>
      </c>
      <c r="B9" s="32" t="inlineStr">
        <is>
          <t>Department of Transportation (纽约市交通局)</t>
        </is>
      </c>
      <c r="C9" s="33" t="n">
        <v>485140</v>
      </c>
      <c r="D9" s="33" t="n">
        <v>456425</v>
      </c>
      <c r="E9" s="48" t="n">
        <v>0.9408</v>
      </c>
      <c r="F9" s="63" t="n">
        <v>46.2</v>
      </c>
      <c r="G9" s="63" t="n">
        <v>187</v>
      </c>
      <c r="H9" s="63" t="n">
        <v>397.4</v>
      </c>
      <c r="I9" s="63" t="n">
        <v>217.9</v>
      </c>
      <c r="J9" s="63" t="n">
        <v>9.079166666666667</v>
      </c>
      <c r="K9" s="32" t="inlineStr">
        <is>
          <t>【两极分化型】红绿灯故障 2.2h 极速修，道路坑洼需数周摊铺</t>
        </is>
      </c>
    </row>
    <row r="10" ht="20" customHeight="1">
      <c r="A10" s="57" t="inlineStr">
        <is>
          <t>DEP</t>
        </is>
      </c>
      <c r="B10" s="30" t="inlineStr">
        <is>
          <t>Department of Environmental Protection (环境保护局)</t>
        </is>
      </c>
      <c r="C10" s="29" t="n">
        <v>424101</v>
      </c>
      <c r="D10" s="29" t="n">
        <v>413478</v>
      </c>
      <c r="E10" s="47" t="n">
        <v>0.975</v>
      </c>
      <c r="F10" s="64" t="n">
        <v>22.4</v>
      </c>
      <c r="G10" s="64" t="n">
        <v>90.40000000000001</v>
      </c>
      <c r="H10" s="64" t="n">
        <v>227.9</v>
      </c>
      <c r="I10" s="64" t="n">
        <v>103.3</v>
      </c>
      <c r="J10" s="64" t="n">
        <v>4.304166666666666</v>
      </c>
      <c r="K10" s="30" t="inlineStr">
        <is>
          <t>【专业水务型】自来水爆管 3.3h 抢修，商业油烟与噪音需多日检测</t>
        </is>
      </c>
    </row>
    <row r="11" ht="20" customHeight="1">
      <c r="A11" s="71" t="inlineStr">
        <is>
          <t>DPR</t>
        </is>
      </c>
      <c r="B11" s="32" t="inlineStr">
        <is>
          <t>Department of Parks and Recreation (公园与休闲局)</t>
        </is>
      </c>
      <c r="C11" s="33" t="n">
        <v>244023</v>
      </c>
      <c r="D11" s="33" t="n">
        <v>186384</v>
      </c>
      <c r="E11" s="48" t="n">
        <v>0.7637999999999999</v>
      </c>
      <c r="F11" s="63" t="n">
        <v>165.3</v>
      </c>
      <c r="G11" s="63" t="n">
        <v>933.7</v>
      </c>
      <c r="H11" s="63" t="n">
        <v>3429.3</v>
      </c>
      <c r="I11" s="63" t="n">
        <v>1040.9</v>
      </c>
      <c r="J11" s="63" t="n">
        <v>43.37083333333334</v>
      </c>
      <c r="K11" s="32" t="inlineStr">
        <is>
          <t>【季节滞后型】树木修剪与倒伏清理，非紧急诉求积压严重</t>
        </is>
      </c>
    </row>
    <row r="12" ht="20" customHeight="1">
      <c r="A12" s="61" t="inlineStr">
        <is>
          <t>DOB</t>
        </is>
      </c>
      <c r="B12" s="30" t="inlineStr">
        <is>
          <t>Department of Buildings (楼宇管理局)</t>
        </is>
      </c>
      <c r="C12" s="29" t="n">
        <v>218945</v>
      </c>
      <c r="D12" s="29" t="n">
        <v>200462</v>
      </c>
      <c r="E12" s="47" t="n">
        <v>0.9156</v>
      </c>
      <c r="F12" s="72" t="n">
        <v>158.9</v>
      </c>
      <c r="G12" s="64" t="n">
        <v>1230.8</v>
      </c>
      <c r="H12" s="64" t="n">
        <v>3492.8</v>
      </c>
      <c r="I12" s="64" t="n">
        <v>1060.7</v>
      </c>
      <c r="J12" s="64" t="n">
        <v>44.19583333333333</v>
      </c>
      <c r="K12" s="30" t="inlineStr">
        <is>
          <t>【法定长周期型】违法加建、电梯与脚手架安全，涉及法定调查程序</t>
        </is>
      </c>
    </row>
    <row r="13" ht="20" customHeight="1">
      <c r="A13" s="71" t="inlineStr">
        <is>
          <t>DOHMH</t>
        </is>
      </c>
      <c r="B13" s="32" t="inlineStr">
        <is>
          <t>Department of Health and Mental Hygiene (卫生与心理健康局)</t>
        </is>
      </c>
      <c r="C13" s="33" t="n">
        <v>169118</v>
      </c>
      <c r="D13" s="33" t="n">
        <v>154030</v>
      </c>
      <c r="E13" s="48" t="n">
        <v>0.9107999999999999</v>
      </c>
      <c r="F13" s="63" t="n">
        <v>62.6</v>
      </c>
      <c r="G13" s="63" t="n">
        <v>1439.2</v>
      </c>
      <c r="H13" s="63" t="n">
        <v>1441.1</v>
      </c>
      <c r="I13" s="63" t="n">
        <v>530.4</v>
      </c>
      <c r="J13" s="63" t="n">
        <v>22.1</v>
      </c>
      <c r="K13" s="32" t="inlineStr">
        <is>
          <t>【检验专业型】餐厅卫生、鼠患调查，需专业卫生检查员上门</t>
        </is>
      </c>
    </row>
    <row r="14" ht="20" customHeight="1">
      <c r="A14" s="57" t="inlineStr">
        <is>
          <t>DHS</t>
        </is>
      </c>
      <c r="B14" s="30" t="inlineStr">
        <is>
          <t>Department of Homeless Services (无家可归者服务局)</t>
        </is>
      </c>
      <c r="C14" s="29" t="n">
        <v>101425</v>
      </c>
      <c r="D14" s="29" t="n">
        <v>99338</v>
      </c>
      <c r="E14" s="47" t="n">
        <v>0.9793999999999999</v>
      </c>
      <c r="F14" s="64" t="n">
        <v>7.4</v>
      </c>
      <c r="G14" s="64" t="n">
        <v>25.8</v>
      </c>
      <c r="H14" s="64" t="n">
        <v>221</v>
      </c>
      <c r="I14" s="64" t="n">
        <v>102.7</v>
      </c>
      <c r="J14" s="64" t="n">
        <v>4.279166666666667</v>
      </c>
      <c r="K14" s="30" t="inlineStr">
        <is>
          <t>【社工寻访型】街头流浪救助，外勤社工 7.4 小时上门寻访评估</t>
        </is>
      </c>
    </row>
    <row r="15" ht="20" customHeight="1">
      <c r="A15" s="71" t="inlineStr">
        <is>
          <t>TLC</t>
        </is>
      </c>
      <c r="B15" s="32" t="inlineStr">
        <is>
          <t>Taxi and Limousine Commission (出租车管理委员会)</t>
        </is>
      </c>
      <c r="C15" s="33" t="n">
        <v>75453</v>
      </c>
      <c r="D15" s="33" t="n">
        <v>50144</v>
      </c>
      <c r="E15" s="48" t="n">
        <v>0.6646</v>
      </c>
      <c r="F15" s="63" t="n">
        <v>970.7</v>
      </c>
      <c r="G15" s="63" t="n">
        <v>2861.1</v>
      </c>
      <c r="H15" s="63" t="n">
        <v>4836.4</v>
      </c>
      <c r="I15" s="63" t="n">
        <v>1787.4</v>
      </c>
      <c r="J15" s="63" t="n">
        <v>74.47500000000001</v>
      </c>
      <c r="K15" s="32" t="inlineStr">
        <is>
          <t>【漫长行政审理型】针对网约车/出租车拒载投诉，需举证听证(中位40天)</t>
        </is>
      </c>
    </row>
    <row r="16" ht="20" customHeight="1">
      <c r="A16" s="57" t="inlineStr">
        <is>
          <t>DCWP</t>
        </is>
      </c>
      <c r="B16" s="30" t="inlineStr">
        <is>
          <t>Department of Consumer and Worker Protection (消费者保护局)</t>
        </is>
      </c>
      <c r="C16" s="29" t="n">
        <v>38580</v>
      </c>
      <c r="D16" s="29" t="n">
        <v>37054</v>
      </c>
      <c r="E16" s="47" t="n">
        <v>0.9604</v>
      </c>
      <c r="F16" s="72" t="n">
        <v>123.8</v>
      </c>
      <c r="G16" s="64" t="n">
        <v>735.3</v>
      </c>
      <c r="H16" s="64" t="n">
        <v>785.3</v>
      </c>
      <c r="I16" s="64" t="n">
        <v>391.5</v>
      </c>
      <c r="J16" s="64" t="n">
        <v>16.3125</v>
      </c>
      <c r="K16" s="30" t="inlineStr">
        <is>
          <t>【纠纷调解型】商家欺诈与劳工纠纷，中位 5.2 天调解结案</t>
        </is>
      </c>
    </row>
    <row r="17" ht="20" customHeight="1">
      <c r="A17" s="71" t="inlineStr">
        <is>
          <t>EDC</t>
        </is>
      </c>
      <c r="B17" s="32" t="inlineStr">
        <is>
          <t>New York City Economic Development Corporation (经济开发署)</t>
        </is>
      </c>
      <c r="C17" s="33" t="n">
        <v>36776</v>
      </c>
      <c r="D17" s="33" t="n">
        <v>17550</v>
      </c>
      <c r="E17" s="48" t="n">
        <v>0.4772</v>
      </c>
      <c r="F17" s="63" t="n">
        <v>6296.5</v>
      </c>
      <c r="G17" s="63" t="n">
        <v>8130.1</v>
      </c>
      <c r="H17" s="63" t="n">
        <v>8639.1</v>
      </c>
      <c r="I17" s="63" t="n">
        <v>5610.1</v>
      </c>
      <c r="J17" s="63" t="n">
        <v>233.7541666666667</v>
      </c>
      <c r="K17" s="32" t="inlineStr">
        <is>
          <t>【重资产工程型】滨水码头与工业设施维保，耗时极长(中位262天)</t>
        </is>
      </c>
    </row>
    <row r="18" ht="20" customHeight="1">
      <c r="A18" s="57" t="inlineStr">
        <is>
          <t>OOS</t>
        </is>
      </c>
      <c r="B18" s="30" t="inlineStr">
        <is>
          <t>Office of Special Enforcement (特别执法办公室)</t>
        </is>
      </c>
      <c r="C18" s="29" t="n">
        <v>4196</v>
      </c>
      <c r="D18" s="29" t="n">
        <v>3488</v>
      </c>
      <c r="E18" s="47" t="n">
        <v>0.8312999999999999</v>
      </c>
      <c r="F18" s="72" t="n">
        <v>1030.9</v>
      </c>
      <c r="G18" s="64" t="n">
        <v>1322.3</v>
      </c>
      <c r="H18" s="64" t="n">
        <v>1877.9</v>
      </c>
      <c r="I18" s="64" t="n">
        <v>1094.9</v>
      </c>
      <c r="J18" s="64" t="n">
        <v>45.62083333333334</v>
      </c>
      <c r="K18" s="30" t="inlineStr">
        <is>
          <t>【专项执法型】非法短租与民宿专项整治</t>
        </is>
      </c>
    </row>
    <row r="19" ht="20" customHeight="1">
      <c r="A19" s="71" t="inlineStr">
        <is>
          <t>DOE</t>
        </is>
      </c>
      <c r="B19" s="32" t="inlineStr">
        <is>
          <t>Department of Education (纽约市教育局)</t>
        </is>
      </c>
      <c r="C19" s="33" t="n">
        <v>2962</v>
      </c>
      <c r="D19" s="33" t="n">
        <v>2962</v>
      </c>
      <c r="E19" s="48" t="n">
        <v>1</v>
      </c>
      <c r="F19" s="63" t="n">
        <v>449.7</v>
      </c>
      <c r="G19" s="63" t="n">
        <v>2698.2</v>
      </c>
      <c r="H19" s="63" t="n">
        <v>5679</v>
      </c>
      <c r="I19" s="63" t="n">
        <v>1936</v>
      </c>
      <c r="J19" s="63" t="n">
        <v>80.66666666666667</v>
      </c>
      <c r="K19" s="32" t="inlineStr">
        <is>
          <t>【校园设施型】公立学校校舍与周边环境诉求</t>
        </is>
      </c>
    </row>
    <row r="20">
      <c r="A20" s="39" t="inlineStr">
        <is>
          <t>主要部门汇总</t>
        </is>
      </c>
      <c r="B20" s="43" t="inlineStr">
        <is>
          <t>覆盖全市 99.9% 工单承办部门</t>
        </is>
      </c>
      <c r="C20" s="40">
        <f>SUM(C6:C19)</f>
        <v/>
      </c>
      <c r="D20" s="40">
        <f>SUM(D6:D19)</f>
        <v/>
      </c>
      <c r="E20" s="60">
        <f>D20/C20</f>
        <v/>
      </c>
      <c r="F20" s="42" t="n">
        <v>2.2</v>
      </c>
      <c r="G20" s="39" t="inlineStr">
        <is>
          <t>-</t>
        </is>
      </c>
      <c r="H20" s="39" t="inlineStr">
        <is>
          <t>-</t>
        </is>
      </c>
      <c r="I20" s="39" t="inlineStr">
        <is>
          <t>-</t>
        </is>
      </c>
      <c r="J20" s="39" t="inlineStr">
        <is>
          <t>-</t>
        </is>
      </c>
      <c r="K20" s="43" t="inlineStr">
        <is>
          <t>部门间响应速度极差高达百倍以上，呈现鲜明专业分工特征</t>
        </is>
      </c>
    </row>
    <row r="21"/>
    <row r="22"/>
    <row r="23"/>
    <row r="24">
      <c r="A24" s="21" t="inlineStr">
        <is>
          <t>【表 6-2 全市 TOP 20 核心民生诉求处置时效明细表】</t>
        </is>
      </c>
    </row>
    <row r="25" ht="22" customHeight="1">
      <c r="A25" s="26" t="inlineStr">
        <is>
          <t>排名</t>
        </is>
      </c>
      <c r="B25" s="26" t="inlineStr">
        <is>
          <t>民生诉求类型 (Complaint Type)</t>
        </is>
      </c>
      <c r="C25" s="26" t="inlineStr">
        <is>
          <t>主责承办部门</t>
        </is>
      </c>
      <c r="D25" s="26" t="inlineStr">
        <is>
          <t>结案总量 (件)</t>
        </is>
      </c>
      <c r="E25" s="26" t="inlineStr">
        <is>
          <t>占全市总比重</t>
        </is>
      </c>
      <c r="F25" s="26" t="inlineStr">
        <is>
          <t>中位数耗时 (小时)</t>
        </is>
      </c>
      <c r="G25" s="26" t="inlineStr">
        <is>
          <t>平均耗时 (天)</t>
        </is>
      </c>
      <c r="H25" s="26" t="inlineStr">
        <is>
          <t>业务处置特征与公众感知</t>
        </is>
      </c>
    </row>
    <row r="26" ht="19" customHeight="1">
      <c r="A26" s="28" t="n">
        <v>1</v>
      </c>
      <c r="B26" s="58" t="inlineStr">
        <is>
          <t>Illegal Parking</t>
        </is>
      </c>
      <c r="C26" s="28" t="inlineStr">
        <is>
          <t>NYPD</t>
        </is>
      </c>
      <c r="D26" s="29" t="n">
        <v>1159053</v>
      </c>
      <c r="E26" s="37" t="n">
        <v>0.154</v>
      </c>
      <c r="F26" s="70" t="n">
        <v>1.5</v>
      </c>
      <c r="G26" s="64" t="n">
        <v>0.1</v>
      </c>
      <c r="H26" s="30" t="inlineStr">
        <is>
          <t>【极速处置】巡警现场开罚单或劝离，1.5 小时结案</t>
        </is>
      </c>
    </row>
    <row r="27" ht="19" customHeight="1">
      <c r="A27" s="27" t="n">
        <v>2</v>
      </c>
      <c r="B27" s="73" t="inlineStr">
        <is>
          <t>Noise - Residential</t>
        </is>
      </c>
      <c r="C27" s="27" t="inlineStr">
        <is>
          <t>NYPD</t>
        </is>
      </c>
      <c r="D27" s="33" t="n">
        <v>881548</v>
      </c>
      <c r="E27" s="35" t="n">
        <v>0.1171</v>
      </c>
      <c r="F27" s="63" t="n">
        <v>1.3</v>
      </c>
      <c r="G27" s="63" t="n">
        <v>0.1</v>
      </c>
      <c r="H27" s="32" t="inlineStr">
        <is>
          <t>【极速处置】民警上门走访告诫，1.3 小时结案（45% 未见违规）</t>
        </is>
      </c>
    </row>
    <row r="28" ht="19" customHeight="1">
      <c r="A28" s="28" t="n">
        <v>3</v>
      </c>
      <c r="B28" s="58" t="inlineStr">
        <is>
          <t>HEAT/HOT WATER</t>
        </is>
      </c>
      <c r="C28" s="28" t="inlineStr">
        <is>
          <t>HPD</t>
        </is>
      </c>
      <c r="D28" s="29" t="n">
        <v>651594</v>
      </c>
      <c r="E28" s="37" t="n">
        <v>0.0866</v>
      </c>
      <c r="F28" s="64" t="n">
        <v>41.8</v>
      </c>
      <c r="G28" s="64" t="n">
        <v>1.9</v>
      </c>
      <c r="H28" s="30" t="inlineStr">
        <is>
          <t>【优先攻坚】涉及冬季基本生存权，住建局优先于其他报修（中位 1.7 天）</t>
        </is>
      </c>
    </row>
    <row r="29" ht="19" customHeight="1">
      <c r="A29" s="27" t="n">
        <v>4</v>
      </c>
      <c r="B29" s="73" t="inlineStr">
        <is>
          <t>Blocked Driveway</t>
        </is>
      </c>
      <c r="C29" s="27" t="inlineStr">
        <is>
          <t>NYPD</t>
        </is>
      </c>
      <c r="D29" s="33" t="n">
        <v>362642</v>
      </c>
      <c r="E29" s="35" t="n">
        <v>0.0482</v>
      </c>
      <c r="F29" s="63" t="n">
        <v>1.8</v>
      </c>
      <c r="G29" s="63" t="n">
        <v>0.1</v>
      </c>
      <c r="H29" s="32" t="inlineStr">
        <is>
          <t>【快速疏通】车道被堵严重影响居民出行，巡警 1.8 小时内到场</t>
        </is>
      </c>
    </row>
    <row r="30" ht="19" customHeight="1">
      <c r="A30" s="28" t="n">
        <v>5</v>
      </c>
      <c r="B30" s="58" t="inlineStr">
        <is>
          <t>Noise - Street/Sidewalk</t>
        </is>
      </c>
      <c r="C30" s="28" t="inlineStr">
        <is>
          <t>NYPD</t>
        </is>
      </c>
      <c r="D30" s="29" t="n">
        <v>349299</v>
      </c>
      <c r="E30" s="37" t="n">
        <v>0.0464</v>
      </c>
      <c r="F30" s="70" t="n">
        <v>1</v>
      </c>
      <c r="G30" s="64" t="n">
        <v>0.1</v>
      </c>
      <c r="H30" s="30" t="inlineStr">
        <is>
          <t>【极速响应】街头流动噪音，巡警 1.0 小时即时巡查</t>
        </is>
      </c>
    </row>
    <row r="31" ht="19" customHeight="1">
      <c r="A31" s="27" t="n">
        <v>6</v>
      </c>
      <c r="B31" s="73" t="inlineStr">
        <is>
          <t>UNSANITARY CONDITION</t>
        </is>
      </c>
      <c r="C31" s="27" t="inlineStr">
        <is>
          <t>HPD</t>
        </is>
      </c>
      <c r="D31" s="33" t="n">
        <v>249446</v>
      </c>
      <c r="E31" s="35" t="n">
        <v>0.0331</v>
      </c>
      <c r="F31" s="63" t="n">
        <v>250.1</v>
      </c>
      <c r="G31" s="63" t="n">
        <v>22.9</v>
      </c>
      <c r="H31" s="32" t="inlineStr">
        <is>
          <t>【长期拖延】发霉、鼠患、垃圾堆积，需预约入户核查（中位 10.4 天，平均 22.9 天）</t>
        </is>
      </c>
    </row>
    <row r="32" ht="19" customHeight="1">
      <c r="A32" s="28" t="n">
        <v>7</v>
      </c>
      <c r="B32" s="58" t="inlineStr">
        <is>
          <t>Street Condition</t>
        </is>
      </c>
      <c r="C32" s="28" t="inlineStr">
        <is>
          <t>DOT</t>
        </is>
      </c>
      <c r="D32" s="29" t="n">
        <v>187361</v>
      </c>
      <c r="E32" s="37" t="n">
        <v>0.0249</v>
      </c>
      <c r="F32" s="64" t="n">
        <v>27.7</v>
      </c>
      <c r="G32" s="64" t="n">
        <v>4</v>
      </c>
      <c r="H32" s="30" t="inlineStr">
        <is>
          <t>【批量排期】路面破损、坑洼修补，交通局工程队统一排期（中位 1.2 天）</t>
        </is>
      </c>
    </row>
    <row r="33" ht="19" customHeight="1">
      <c r="A33" s="27" t="n">
        <v>8</v>
      </c>
      <c r="B33" s="73" t="inlineStr">
        <is>
          <t>Water System</t>
        </is>
      </c>
      <c r="C33" s="27" t="inlineStr">
        <is>
          <t>DEP</t>
        </is>
      </c>
      <c r="D33" s="33" t="n">
        <v>152736</v>
      </c>
      <c r="E33" s="35" t="n">
        <v>0.0203</v>
      </c>
      <c r="F33" s="63" t="n">
        <v>3.3</v>
      </c>
      <c r="G33" s="63" t="n">
        <v>4.3</v>
      </c>
      <c r="H33" s="32" t="inlineStr">
        <is>
          <t>【紧急抢修】水管爆裂/水压骤降，DEP 防汛抢修队 3.3 小时火速排查</t>
        </is>
      </c>
    </row>
    <row r="34" ht="19" customHeight="1">
      <c r="A34" s="28" t="n">
        <v>9</v>
      </c>
      <c r="B34" s="58" t="inlineStr">
        <is>
          <t>PLUMBING</t>
        </is>
      </c>
      <c r="C34" s="28" t="inlineStr">
        <is>
          <t>HPD</t>
        </is>
      </c>
      <c r="D34" s="29" t="n">
        <v>150696</v>
      </c>
      <c r="E34" s="37" t="n">
        <v>0.02</v>
      </c>
      <c r="F34" s="72" t="n">
        <v>189.9</v>
      </c>
      <c r="G34" s="64" t="n">
        <v>21.5</v>
      </c>
      <c r="H34" s="30" t="inlineStr">
        <is>
          <t>【慢速维修】下水管道堵塞/反水，涉及入户开工与房东交涉（中位 7.9 天）</t>
        </is>
      </c>
    </row>
    <row r="35" ht="19" customHeight="1">
      <c r="A35" s="27" t="n">
        <v>10</v>
      </c>
      <c r="B35" s="73" t="inlineStr">
        <is>
          <t>Abandoned Vehicle</t>
        </is>
      </c>
      <c r="C35" s="27" t="inlineStr">
        <is>
          <t>NYPD</t>
        </is>
      </c>
      <c r="D35" s="33" t="n">
        <v>139896</v>
      </c>
      <c r="E35" s="35" t="n">
        <v>0.0186</v>
      </c>
      <c r="F35" s="63" t="n">
        <v>2.2</v>
      </c>
      <c r="G35" s="63" t="n">
        <v>0.2</v>
      </c>
      <c r="H35" s="32" t="inlineStr">
        <is>
          <t>【核查拖移】废弃无牌车辆，警方现场贴条核实（中位 2.2 小时）</t>
        </is>
      </c>
    </row>
    <row r="36" ht="19" customHeight="1">
      <c r="A36" s="28" t="n">
        <v>11</v>
      </c>
      <c r="B36" s="58" t="inlineStr">
        <is>
          <t>Dirty Condition</t>
        </is>
      </c>
      <c r="C36" s="28" t="inlineStr">
        <is>
          <t>DSNY</t>
        </is>
      </c>
      <c r="D36" s="29" t="n">
        <v>129570</v>
      </c>
      <c r="E36" s="37" t="n">
        <v>0.0172</v>
      </c>
      <c r="F36" s="64" t="n">
        <v>24.7</v>
      </c>
      <c r="G36" s="64" t="n">
        <v>1.8</v>
      </c>
      <c r="H36" s="30" t="inlineStr">
        <is>
          <t>【保洁清运】环卫工人定点清扫清运，中位 24.7 小时（约 1 天）</t>
        </is>
      </c>
    </row>
    <row r="37" ht="19" customHeight="1">
      <c r="A37" s="27" t="n">
        <v>12</v>
      </c>
      <c r="B37" s="73" t="inlineStr">
        <is>
          <t>Noise - Commercial</t>
        </is>
      </c>
      <c r="C37" s="27" t="inlineStr">
        <is>
          <t>NYPD</t>
        </is>
      </c>
      <c r="D37" s="33" t="n">
        <v>126247</v>
      </c>
      <c r="E37" s="35" t="n">
        <v>0.0168</v>
      </c>
      <c r="F37" s="63" t="n">
        <v>0.9</v>
      </c>
      <c r="G37" s="63" t="n">
        <v>0.1</v>
      </c>
      <c r="H37" s="32" t="inlineStr">
        <is>
          <t>【极速处理】酒吧餐厅音乐外溢，巡警到场警告（中位 0.9 小时）</t>
        </is>
      </c>
    </row>
    <row r="38" ht="19" customHeight="1">
      <c r="A38" s="28" t="n">
        <v>13</v>
      </c>
      <c r="B38" s="58" t="inlineStr">
        <is>
          <t>PAINT/PLASTER</t>
        </is>
      </c>
      <c r="C38" s="28" t="inlineStr">
        <is>
          <t>HPD</t>
        </is>
      </c>
      <c r="D38" s="29" t="n">
        <v>125565</v>
      </c>
      <c r="E38" s="37" t="n">
        <v>0.0167</v>
      </c>
      <c r="F38" s="72" t="n">
        <v>174.6</v>
      </c>
      <c r="G38" s="64" t="n">
        <v>18.7</v>
      </c>
      <c r="H38" s="30" t="inlineStr">
        <is>
          <t>【室内整修】墙皮脱落、铅漆隐患，住建局要求房东整改（中位 7.3 天）</t>
        </is>
      </c>
    </row>
    <row r="39" ht="19" customHeight="1">
      <c r="A39" s="27" t="n">
        <v>14</v>
      </c>
      <c r="B39" s="73" t="inlineStr">
        <is>
          <t>Noise</t>
        </is>
      </c>
      <c r="C39" s="27" t="inlineStr">
        <is>
          <t>DEP</t>
        </is>
      </c>
      <c r="D39" s="33" t="n">
        <v>114654</v>
      </c>
      <c r="E39" s="35" t="n">
        <v>0.0152</v>
      </c>
      <c r="F39" s="63" t="n">
        <v>67.59999999999999</v>
      </c>
      <c r="G39" s="63" t="n">
        <v>4.6</v>
      </c>
      <c r="H39" s="32" t="inlineStr">
        <is>
          <t>【专业降噪】DEP 负责的空调压缩机与建筑工地噪音（中位 2.8 天）</t>
        </is>
      </c>
    </row>
    <row r="40" ht="19" customHeight="1">
      <c r="A40" s="28" t="n">
        <v>15</v>
      </c>
      <c r="B40" s="58" t="inlineStr">
        <is>
          <t>Traffic Signal Condition</t>
        </is>
      </c>
      <c r="C40" s="28" t="inlineStr">
        <is>
          <t>DOT</t>
        </is>
      </c>
      <c r="D40" s="29" t="n">
        <v>104791</v>
      </c>
      <c r="E40" s="37" t="n">
        <v>0.0139</v>
      </c>
      <c r="F40" s="64" t="n">
        <v>2.2</v>
      </c>
      <c r="G40" s="64" t="n">
        <v>2.8</v>
      </c>
      <c r="H40" s="30" t="inlineStr">
        <is>
          <t>【生命线工程】交通红绿灯故障，DOT 紧急抢修队 2.2 小时修复！</t>
        </is>
      </c>
    </row>
    <row r="41" ht="19" customHeight="1">
      <c r="A41" s="27" t="n">
        <v>16</v>
      </c>
      <c r="B41" s="73" t="inlineStr">
        <is>
          <t>DOOR/WINDOW</t>
        </is>
      </c>
      <c r="C41" s="27" t="inlineStr">
        <is>
          <t>HPD</t>
        </is>
      </c>
      <c r="D41" s="33" t="n">
        <v>96879</v>
      </c>
      <c r="E41" s="35" t="n">
        <v>0.0129</v>
      </c>
      <c r="F41" s="63" t="n">
        <v>288.3</v>
      </c>
      <c r="G41" s="63" t="n">
        <v>26.1</v>
      </c>
      <c r="H41" s="32" t="inlineStr">
        <is>
          <t>【安防修缮】门窗损坏漏风，房东修缮周期长（中位 7.3 天）</t>
        </is>
      </c>
    </row>
    <row r="42" ht="19" customHeight="1">
      <c r="A42" s="28" t="n">
        <v>17</v>
      </c>
      <c r="B42" s="58" t="inlineStr">
        <is>
          <t>Noise - Vehicle</t>
        </is>
      </c>
      <c r="C42" s="28" t="inlineStr">
        <is>
          <t>NYPD</t>
        </is>
      </c>
      <c r="D42" s="29" t="n">
        <v>92971</v>
      </c>
      <c r="E42" s="37" t="n">
        <v>0.0124</v>
      </c>
      <c r="F42" s="70" t="n">
        <v>1</v>
      </c>
      <c r="G42" s="64" t="n">
        <v>0.1</v>
      </c>
      <c r="H42" s="30" t="inlineStr">
        <is>
          <t>【流动取证难】汽车警报器、改装排气管炸街（中位 1.1 小时）</t>
        </is>
      </c>
    </row>
    <row r="43" ht="19" customHeight="1">
      <c r="A43" s="27" t="n">
        <v>18</v>
      </c>
      <c r="B43" s="73" t="inlineStr">
        <is>
          <t>WATER LEAK</t>
        </is>
      </c>
      <c r="C43" s="27" t="inlineStr">
        <is>
          <t>HPD</t>
        </is>
      </c>
      <c r="D43" s="33" t="n">
        <v>83895</v>
      </c>
      <c r="E43" s="35" t="n">
        <v>0.0111</v>
      </c>
      <c r="F43" s="63" t="n">
        <v>243.5</v>
      </c>
      <c r="G43" s="63" t="n">
        <v>24.9</v>
      </c>
      <c r="H43" s="32" t="inlineStr">
        <is>
          <t>【漏水排查】楼上漏水渗水纠纷，预约入户中位 6.7 天</t>
        </is>
      </c>
    </row>
    <row r="44" ht="19" customHeight="1">
      <c r="A44" s="28" t="n">
        <v>19</v>
      </c>
      <c r="B44" s="58" t="inlineStr">
        <is>
          <t>Derelict Vehicles</t>
        </is>
      </c>
      <c r="C44" s="28" t="inlineStr">
        <is>
          <t>DSNY</t>
        </is>
      </c>
      <c r="D44" s="29" t="n">
        <v>82540</v>
      </c>
      <c r="E44" s="37" t="n">
        <v>0.011</v>
      </c>
      <c r="F44" s="64" t="n">
        <v>21</v>
      </c>
      <c r="G44" s="64" t="n">
        <v>1.4</v>
      </c>
      <c r="H44" s="30" t="inlineStr">
        <is>
          <t>【报废清理】环卫局收缴报废车辆，中位 41.5 小时</t>
        </is>
      </c>
    </row>
    <row r="45" ht="19" customHeight="1">
      <c r="A45" s="27" t="n">
        <v>20</v>
      </c>
      <c r="B45" s="73" t="inlineStr">
        <is>
          <t>Missed Collection</t>
        </is>
      </c>
      <c r="C45" s="27" t="inlineStr">
        <is>
          <t>DSNY</t>
        </is>
      </c>
      <c r="D45" s="33" t="n">
        <v>79134</v>
      </c>
      <c r="E45" s="35" t="n">
        <v>0.0105</v>
      </c>
      <c r="F45" s="63" t="n">
        <v>53</v>
      </c>
      <c r="G45" s="63" t="n">
        <v>3.7</v>
      </c>
      <c r="H45" s="32" t="inlineStr">
        <is>
          <t>标准工单处置流程</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2026-09-16T07:48:30Z</dcterms:created>
  <dcterms:modified xmlns:dcterms="http://purl.org/dc/terms/" xmlns:xsi="http://www.w3.org/2001/XMLSchema-instance" xsi:type="dcterms:W3CDTF">2026-09-16T07:48:30Z</dcterms:modified>
</cp:coreProperties>
</file>