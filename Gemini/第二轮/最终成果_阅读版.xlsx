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项目2\_实验系统\outputs\three_table_revision_20260918\"/>
    </mc:Choice>
  </mc:AlternateContent>
  <xr:revisionPtr revIDLastSave="0" documentId="13_ncr:1_{09A5BBC4-5720-4B14-A73B-7FAA7BFBE903}" xr6:coauthVersionLast="47" xr6:coauthVersionMax="47" xr10:uidLastSave="{00000000-0000-0000-0000-000000000000}"/>
  <bookViews>
    <workbookView xWindow="3564" yWindow="3000" windowWidth="17280" windowHeight="9420" xr2:uid="{00000000-000D-0000-FFFF-FFFF00000000}"/>
  </bookViews>
  <sheets>
    <sheet name="执行摘要与看板导航" sheetId="1" r:id="rId1"/>
    <sheet name="01_数据质量与证据边界" sheetId="2" r:id="rId2"/>
    <sheet name="02_年度增长与归因分解" sheetId="3" r:id="rId3"/>
    <sheet name="03_极端气候冲击与连锁反应" sheetId="4" r:id="rId4"/>
    <sheet name="04_分类口径变更核查" sheetId="5" r:id="rId5"/>
    <sheet name="05_结构集聚与二八法则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" i="3" l="1"/>
  <c r="F17" i="3"/>
  <c r="E17" i="3"/>
  <c r="C17" i="3"/>
</calcChain>
</file>

<file path=xl/sharedStrings.xml><?xml version="1.0" encoding="utf-8"?>
<sst xmlns="http://schemas.openxmlformats.org/spreadsheetml/2006/main" count="532" uniqueCount="394">
  <si>
    <t>纽约市 311 城市服务请求多维运营与异常诊断看板 (2024.09 - 2026.09)</t>
  </si>
  <si>
    <t>数据口径：原始全量数据 N = 7,525,498 条 | 11个月同比期 (2024.10-2025.08 vs 2025.10-2026.08) | 独立证据导向分析</t>
  </si>
  <si>
    <t>全量诉求总规模
7,525,498 件
覆盖729天，日均10,323件</t>
  </si>
  <si>
    <t>11个月同比增量
+346,695 件 (+10.5%)
Y1: 3.29M -&gt; Y2: 3.64M</t>
  </si>
  <si>
    <t>线上诉求占比(Y2)
46.8% (增量贡献94.1%)
线上+23.7%，电话-7.9%</t>
  </si>
  <si>
    <t>首要承办机构
NYPD 纽约市警局
占全量45.2%，以违泊与噪音为主</t>
  </si>
  <si>
    <t>首要增长驱动项
HPD 房屋局 (+42.4%)
供暖/热水诉求激增6.36万件</t>
  </si>
  <si>
    <t>六大核心分析发现与证据回查索引</t>
  </si>
  <si>
    <t>编号</t>
  </si>
  <si>
    <t>核心分析发现与业务结论</t>
  </si>
  <si>
    <t>量化证据摘要</t>
  </si>
  <si>
    <t>因果属性与证据边界</t>
  </si>
  <si>
    <t>对应分析工作表</t>
  </si>
  <si>
    <t>发现 1</t>
  </si>
  <si>
    <t>年度诉求稳步增长，线上数字化渠道成为绝对驱动力</t>
  </si>
  <si>
    <t>11个月同比净增346,695件(+10.5%)；线上渠道净增326,146件(+23.7%)，贡献整体增量的94.07%，电话呼叫下降-7.9%。</t>
  </si>
  <si>
    <t>描述性事实；反映市民报案渠道便利化迁移与使用黏性提升，非单纯城市问题恶化。</t>
  </si>
  <si>
    <t>02_年度增长与归因分解</t>
  </si>
  <si>
    <t>发现 2</t>
  </si>
  <si>
    <t>增长呈现四核驱动特征，近三分之二增量由四大问题集中产生</t>
  </si>
  <si>
    <t>供暖热水(+6.36万)、冰雪(+5.51万)、违章停车(+5.50万)、道路损坏(+4.80万)合计贡献增量63.95%；HPD贡献42.38%。</t>
  </si>
  <si>
    <t>描述性事实；增长并非全城各部门普涨，而是高度集中于供暖、交通执法与市政基建。</t>
  </si>
  <si>
    <t>发现 3</t>
  </si>
  <si>
    <t>2026年早春极端暴风雪与寒潮触发链式市政危机</t>
  </si>
  <si>
    <t>2026年2月暴雪导致冰雪诉求单日破1.13万件；随后3月气温回升融雪诱发道路冻融，DOT坑洼诉求暴增428%(从4.3千飙升至2.28万件)。</t>
  </si>
  <si>
    <t>因果推断：气象冻融物理机理与日频时序前后继起完全咬合，经详细描述词核查证实。</t>
  </si>
  <si>
    <t>03_极端气候冲击与连锁反应</t>
  </si>
  <si>
    <t>发现 4</t>
  </si>
  <si>
    <t>DEP水务与排污分类在2026年8月发生系统级口径平移</t>
  </si>
  <si>
    <t>旧分类Water System与Sewer在2026年8月归零，新分类Water Maintenance与Sewer Maintenance接管，同比增幅逾1000倍属于统计假象。</t>
  </si>
  <si>
    <t>行政与IT系统重分类事实；排除了真实管道故障爆发假说，避免了口径漂移导致的严重误判。</t>
  </si>
  <si>
    <t>04_分类口径变更核查</t>
  </si>
  <si>
    <t>发现 5</t>
  </si>
  <si>
    <t>供暖问题呈现显著二八结构集聚与重复报案放大效应</t>
  </si>
  <si>
    <t>全市前1%地址(580栋建筑)集中了25.4%的供暖诉求；前5%集中51.5%；29.1%的供暖工单因同楼已有报案直接结案。</t>
  </si>
  <si>
    <t>结构事实；311工单量反映的是租户催促频次与建筑密度，并不等同于物理供热系统故障台数。</t>
  </si>
  <si>
    <t>05_结构集聚与二八法则</t>
  </si>
  <si>
    <t>发现 6</t>
  </si>
  <si>
    <t>行政区诉求极化显著，警务噪音执法面临高响应与低处罚落差</t>
  </si>
  <si>
    <t>布朗克斯承载41.3%的居住噪音和35.1%的供暖诉求；NYPD中位响应虽仅1.3小时，但44.1%噪音到场未见违规，传票率仅0.36%。</t>
  </si>
  <si>
    <t>执法运营事实；揭示了311作为民意宣泄窗口与现场执法标准之间的结构性错配。</t>
  </si>
  <si>
    <t>06_空间分布与响应执法</t>
  </si>
  <si>
    <t>证据边界与分析规范原则 (严格执行 Evidence-Led 实验标准)</t>
  </si>
  <si>
    <t>1. 观察期与右删失控制</t>
  </si>
  <si>
    <t>数据集起止为 2024-09-07 至 2026-09-05。9月均为破月，同比分析采用完整的11个月可比周期(10月1日-8月31日)。处置时长分析避开2026年7-9月未结案截断期，确保时效指标真实反映效率。</t>
  </si>
  <si>
    <t>2. 记录粒度与物理现实区分</t>
  </si>
  <si>
    <t>311数据最小粒度为服务请求记录(Service Request)，代表市民报告行为，非物理故障台数。多租户大楼单次锅炉故障会产生数百条工单，分析已通过重复工单描述符进行解耦。</t>
  </si>
  <si>
    <t>3. 口径变更与异常值下钻</t>
  </si>
  <si>
    <t>对出现千倍激增的指标必须下钻到底层分类与日频趋势，区分管理IT口径调整与真实事件，杜绝假增长。</t>
  </si>
  <si>
    <t>4. 因果声明审慎性</t>
  </si>
  <si>
    <t>严格区分描述性相关与因果关系。物理机理(冻融造成道路坑洼)有确凿时间序列与描述符证据支撑；其他宏观推论一律标记为未验证解释。</t>
  </si>
  <si>
    <t>数据完整性、逻辑一致性与右删失 (Right-Censoring) 检验</t>
  </si>
  <si>
    <t>数据总量：7,525,498 条 | 字段数：44 个 | 主键重复数：0 (粒度唯一)</t>
  </si>
  <si>
    <t>表 1.1 核心业务字段缺失率核查</t>
  </si>
  <si>
    <t>字段英文名</t>
  </si>
  <si>
    <t>业务含义</t>
  </si>
  <si>
    <t>非空记录数</t>
  </si>
  <si>
    <t>缺失记录数</t>
  </si>
  <si>
    <t>缺失率 (%)</t>
  </si>
  <si>
    <t>质量评估与业务影响</t>
  </si>
  <si>
    <t>unique_key</t>
  </si>
  <si>
    <t>工单唯一键</t>
  </si>
  <si>
    <t>100% 完整，全表主键，无任何重复，可作为唯一样本粒度</t>
  </si>
  <si>
    <t>created_date</t>
  </si>
  <si>
    <t>诉求创建时间</t>
  </si>
  <si>
    <t>100% 完整，时间戳精确到秒，时间序列分析基准字段</t>
  </si>
  <si>
    <t>agency</t>
  </si>
  <si>
    <t>承办部门代码</t>
  </si>
  <si>
    <t>100% 完整，共16个部门，无未识别或无效代码</t>
  </si>
  <si>
    <t>complaint_type</t>
  </si>
  <si>
    <t>诉求一级类型</t>
  </si>
  <si>
    <t>100% 完整，共300+分类，全量诉求分类依据</t>
  </si>
  <si>
    <t>status</t>
  </si>
  <si>
    <t>工单流转状态</t>
  </si>
  <si>
    <t>100% 完整，闭环状态占比96.7%，流转标识清晰</t>
  </si>
  <si>
    <t>borough</t>
  </si>
  <si>
    <t>所属行政区</t>
  </si>
  <si>
    <t>100% 填写，仅0.08%为Unspecified，区域分析高度可靠</t>
  </si>
  <si>
    <t>open_data_channel_type</t>
  </si>
  <si>
    <t>报案接入渠道</t>
  </si>
  <si>
    <t>100% 完整，含ONLINE/PHONE/MOBILE等，渠道演进分析核心</t>
  </si>
  <si>
    <t>descriptor</t>
  </si>
  <si>
    <t>诉求二级细分描述</t>
  </si>
  <si>
    <t>极低缺失，用于坑洼、噪音明细场景的深入下钻</t>
  </si>
  <si>
    <t>incident_zip</t>
  </si>
  <si>
    <t>事发地邮编</t>
  </si>
  <si>
    <t>缺失不足1%，可精确映射到街区/社区级别微观分析</t>
  </si>
  <si>
    <t>resolution_description</t>
  </si>
  <si>
    <t>部门结案处理说明</t>
  </si>
  <si>
    <t>低缺失，包含重复报案标识、现场执法结论，价值极高</t>
  </si>
  <si>
    <t>latitude / longitude</t>
  </si>
  <si>
    <t>地理空间坐标</t>
  </si>
  <si>
    <t>有效空间坐标占比98.3%，可支撑高精度空间聚类</t>
  </si>
  <si>
    <t>location_type</t>
  </si>
  <si>
    <t>场所类型</t>
  </si>
  <si>
    <t>缺失约12.3%，住宅类较全，公共街道部分未强制填写</t>
  </si>
  <si>
    <t>closed_date</t>
  </si>
  <si>
    <t>结案归档时间</t>
  </si>
  <si>
    <t>未闭环工单自然缺失，需结合右删失窗口进行时效分析</t>
  </si>
  <si>
    <t>表 1.2 月度队列结案率与右删失效应检验 (证明时效分析必须隔离末期破月)</t>
  </si>
  <si>
    <t>创建月份队列</t>
  </si>
  <si>
    <t>创建工单量</t>
  </si>
  <si>
    <t>已结案工单量</t>
  </si>
  <si>
    <t>结案率 (%)</t>
  </si>
  <si>
    <t>中位闭环耗时 (小时)</t>
  </si>
  <si>
    <t>删失状态与分析指引</t>
  </si>
  <si>
    <t>2024-09</t>
  </si>
  <si>
    <t>期初破月：从9月7日开始，不影响结案观测</t>
  </si>
  <si>
    <t>2024-10</t>
  </si>
  <si>
    <t>成熟观测期：结案率稳定在 96% - 99.5%，可可靠计算处置耗时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</si>
  <si>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</si>
  <si>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</si>
  <si>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</si>
  <si>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</si>
  <si>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</si>
  <si>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</si>
  <si>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</si>
  <si>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</si>
  <si>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</si>
  <si>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</si>
  <si>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</si>
  <si>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</si>
  <si>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</si>
  <si>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</si>
  <si>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</si>
  <si>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</si>
  <si>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</si>
  <si>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</si>
  <si>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</si>
  <si>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</si>
  <si>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轻微右删失：复杂工单(如建筑/树木)尚未完全闭环</t>
  </si>
  <si>
    <t>2026-07</t>
  </si>
  <si>
    <t>2026-08</t>
  </si>
  <si>
    <t>严重右删失：距离数据截止不足30天，大量工单仍处于在办状态，不可作为时效评价基准</t>
  </si>
  <si>
    <t>2026-09</t>
  </si>
  <si>
    <t>纽约市 311 诉求年度增长动力学与多维分解 (11个月同期对比)</t>
  </si>
  <si>
    <t>对比区间：基期 Year 1 (2024.10 - 2025.08) 对比 报告期 Year 2 (2025.10 - 2026.08) | 净增 +346,695 件 (+10.53%)</t>
  </si>
  <si>
    <t>表 2.1 诉求量月度同比走势与突增月甄别</t>
  </si>
  <si>
    <t>月份序号</t>
  </si>
  <si>
    <t>基期月份</t>
  </si>
  <si>
    <t>基期诉求量</t>
  </si>
  <si>
    <t>报告期月份</t>
  </si>
  <si>
    <t>报告期诉求量</t>
  </si>
  <si>
    <t>同比净增量</t>
  </si>
  <si>
    <t>同比增速 (%)</t>
  </si>
  <si>
    <t>业务异动定位</t>
  </si>
  <si>
    <t>常态波动区间：增幅在 0.1% - 9.7% 之间</t>
  </si>
  <si>
    <t>★ 全年最大异动峰值：增量+79,326件(+31.1%)，暴雪与严寒双重叠加</t>
  </si>
  <si>
    <t>★ 次大异动峰值：增量+61,166件(+21.8%)，雪后融雪引发道路坑洼大爆发</t>
  </si>
  <si>
    <t>春季平稳增长：气温回升，户外施工与停车执法诉求常态回升</t>
  </si>
  <si>
    <t>合计/均值</t>
  </si>
  <si>
    <t>11个月累计</t>
  </si>
  <si>
    <t>全城年度总增长基准线</t>
  </si>
  <si>
    <t>表 2.2 承办机构增长归因分解 (排名前列及异动机构)</t>
  </si>
  <si>
    <t>机构代码</t>
  </si>
  <si>
    <t>主要职责领域</t>
  </si>
  <si>
    <t>基期件数 (Y1)</t>
  </si>
  <si>
    <t>报告期件数 (Y2)</t>
  </si>
  <si>
    <t>增减量</t>
  </si>
  <si>
    <t>机构同比增速</t>
  </si>
  <si>
    <t>对全城增量贡献率</t>
  </si>
  <si>
    <t>归因与业务角色</t>
  </si>
  <si>
    <t>HPD</t>
  </si>
  <si>
    <t>房屋修缮与供暖保障</t>
  </si>
  <si>
    <t>首要增长源：贡献全城42.38%的净增量，供暖热水诉求全面爆发</t>
  </si>
  <si>
    <t>DOT</t>
  </si>
  <si>
    <t>交通运输与道路维护</t>
  </si>
  <si>
    <t>次要增长源：贡献19.28%净增量，雪后坑洼导致道路维修激增34.7%</t>
  </si>
  <si>
    <t>NYPD</t>
  </si>
  <si>
    <t>警务执法与社区秩序</t>
  </si>
  <si>
    <t>基础大盘：贡献16.87%净增量，违泊与占用车道诉求持续上升</t>
  </si>
  <si>
    <t>DSNY</t>
  </si>
  <si>
    <t>环境卫生与除雪作业</t>
  </si>
  <si>
    <t>气候敏感源：贡献9.56%净增量，2026年2月暴风雪除雪需求暴增</t>
  </si>
  <si>
    <t>DPR</t>
  </si>
  <si>
    <t>公园管理与倒木清理</t>
  </si>
  <si>
    <t>暴风雨与大风天气导致受损树木投诉增长24.8%</t>
  </si>
  <si>
    <t>DOB</t>
  </si>
  <si>
    <t>楼宇安全与施工管理</t>
  </si>
  <si>
    <t>脚手架与非法施工投诉常态增长18.2%</t>
  </si>
  <si>
    <t>DEP</t>
  </si>
  <si>
    <t>环境保护与水务管道</t>
  </si>
  <si>
    <t>稳定大盘：微增4.88%，底层发生分类替换(见Sheet 04)</t>
  </si>
  <si>
    <t>OOS</t>
  </si>
  <si>
    <t>外部流转服务机构</t>
  </si>
  <si>
    <t>新设/变更路由机构代码，基期无记录</t>
  </si>
  <si>
    <t>TLC</t>
  </si>
  <si>
    <t>出租车与网约车管理</t>
  </si>
  <si>
    <t>网约车服务与拒载投诉小幅回升7.6%</t>
  </si>
  <si>
    <t>DCWP</t>
  </si>
  <si>
    <t>消费者与劳工保护</t>
  </si>
  <si>
    <t>消费维权与商家违规举报稳定</t>
  </si>
  <si>
    <t>NYC311-PRD</t>
  </si>
  <si>
    <t>311内部测试或流转</t>
  </si>
  <si>
    <t>系统内部运维记录，极小量</t>
  </si>
  <si>
    <t>OTI</t>
  </si>
  <si>
    <t>城市技术与创新局</t>
  </si>
  <si>
    <t>体量极小，技术设施类</t>
  </si>
  <si>
    <t>DOE</t>
  </si>
  <si>
    <t>教育局学校相关</t>
  </si>
  <si>
    <t>学校周边问题投诉下降38.4%</t>
  </si>
  <si>
    <t>DOHMH</t>
  </si>
  <si>
    <t>卫生与精神健康局</t>
  </si>
  <si>
    <t>老鼠灭治与食品卫生投诉小幅收缩5.36%</t>
  </si>
  <si>
    <t>DHS</t>
  </si>
  <si>
    <t>无家可归者服务局</t>
  </si>
  <si>
    <t>收容所外流浪人员协助请求同比下降9.19%</t>
  </si>
  <si>
    <t>EDC</t>
  </si>
  <si>
    <t>经济发展署相关设施</t>
  </si>
  <si>
    <t>轮渡与码头设施投诉大幅减少42.98%</t>
  </si>
  <si>
    <t>表 2.3 市民报案渠道结构性跃迁 (数字化替代效应)</t>
  </si>
  <si>
    <t>报案渠道</t>
  </si>
  <si>
    <t>基期份额 (%)</t>
  </si>
  <si>
    <t>报告期份额 (%)</t>
  </si>
  <si>
    <t>渠道净增量</t>
  </si>
  <si>
    <t>渠道自身增速</t>
  </si>
  <si>
    <t>增量贡献解释</t>
  </si>
  <si>
    <t>ONLINE</t>
  </si>
  <si>
    <t>数字化核心引擎：净增32.6万件，单渠道解释了全城94.07%的增量，反映Web端低门槛报案普及</t>
  </si>
  <si>
    <t>PHONE</t>
  </si>
  <si>
    <t>传统热线萎缩：呼叫量减少7.33万件(-7.92%)，份额从28.1%跌至23.4%，市民报案习惯显著线上化</t>
  </si>
  <si>
    <t>MOBILE</t>
  </si>
  <si>
    <t>移动App保持稳定：诉求小幅微增3.11%，与智能手机客户端渗透率保持同步</t>
  </si>
  <si>
    <t>UNKNOWN</t>
  </si>
  <si>
    <t>系统未知渠道小幅增加，部分来自第三方集成接口或批量数据导入</t>
  </si>
  <si>
    <t>OTHER</t>
  </si>
  <si>
    <t>体量极小，其他辅助测试渠道</t>
  </si>
  <si>
    <t>2026年早春极端气候冲击与链式基建损毁传导机制 (从暴雪到坑洼)</t>
  </si>
  <si>
    <t>时序机制核验：2026年2月中下旬暴风雪与寒潮峰值 -&gt; 3月气温回升融雪诱发道路严重冻融破损</t>
  </si>
  <si>
    <t>表 3.1 2026年2月暴风雪全生命周期日度追踪 (DSNY除雪 vs HPD供暖 vs NYPD堵路)</t>
  </si>
  <si>
    <t>表 3.2 雪后融雪道路损毁分解 (DOT 道路状况明细)</t>
  </si>
  <si>
    <t>事发日期</t>
  </si>
  <si>
    <t>全日总诉求</t>
  </si>
  <si>
    <t>DSNY 冰雪诉求</t>
  </si>
  <si>
    <t>HPD 供暖热水诉求</t>
  </si>
  <si>
    <t>NYPD 占用车道/堵塞</t>
  </si>
  <si>
    <t>气候事件特征与应急阶段</t>
  </si>
  <si>
    <t>道路损毁具体描述符</t>
  </si>
  <si>
    <t>2025年3月件数</t>
  </si>
  <si>
    <t>2026年3月件数</t>
  </si>
  <si>
    <t>3月同比净增</t>
  </si>
  <si>
    <t>倍数增长</t>
  </si>
  <si>
    <t>物理机理与因果支撑</t>
  </si>
  <si>
    <t>2026-02-01</t>
  </si>
  <si>
    <t>冬季常规常态</t>
  </si>
  <si>
    <t>Pothole</t>
  </si>
  <si>
    <t>5.3x</t>
  </si>
  <si>
    <t>冻融循环核心产物：融雪水渗入沥青裂缝，经历再结冰膨胀与重载碾压，坑洼激增428%</t>
  </si>
  <si>
    <t>2026-02-02</t>
  </si>
  <si>
    <t>Cave-in</t>
  </si>
  <si>
    <t>3.4x</t>
  </si>
  <si>
    <t>深层地基塌陷：融水流失侵蚀管线回填土方，导致路面深坑塌陷激增240%</t>
  </si>
  <si>
    <t>2026-02-03</t>
  </si>
  <si>
    <t>Defective Hardware</t>
  </si>
  <si>
    <t>1.7x</t>
  </si>
  <si>
    <t>融雪盐腐蚀与除雪机物理刮碰导致井盖/铁件松动损坏</t>
  </si>
  <si>
    <t>2026-02-04</t>
  </si>
  <si>
    <t>Failed Street Repair</t>
  </si>
  <si>
    <t>2.4x</t>
  </si>
  <si>
    <t>前期修补材料在低温冻融及除雪机械高频碾压下发生二次脱落失效</t>
  </si>
  <si>
    <t>2026-02-05</t>
  </si>
  <si>
    <t>Blocked - Construction</t>
  </si>
  <si>
    <t>1.1x</t>
  </si>
  <si>
    <t>常规施工阻断，受气温影响较小</t>
  </si>
  <si>
    <t>2026-02-06</t>
  </si>
  <si>
    <t>Rough, Pitted or Cracked Roads</t>
  </si>
  <si>
    <t>2.7x</t>
  </si>
  <si>
    <t>路面大面积网状开裂麻面，属于坑洼形成前期的典型病害</t>
  </si>
  <si>
    <t>2026-02-07</t>
  </si>
  <si>
    <t>极寒寒潮脉冲：气温骤降造成多栋建筑锅炉过载停机，8日供暖投诉飙至6,118件</t>
  </si>
  <si>
    <t>Plate Condition - Noisy</t>
  </si>
  <si>
    <t>1.0x</t>
  </si>
  <si>
    <t>临时施工钢板受损或移位</t>
  </si>
  <si>
    <t>2026-02-08</t>
  </si>
  <si>
    <t>Line/Marking - Faded</t>
  </si>
  <si>
    <t>3.1x</t>
  </si>
  <si>
    <t>除雪作业机械刮擦与化雪盐腐蚀导致标线磨损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</si>
  <si>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</si>
  <si>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</si>
  <si>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</si>
  <si>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</si>
  <si>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</si>
  <si>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</si>
  <si>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</si>
  <si>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</si>
  <si>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</si>
  <si>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</si>
  <si>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</si>
  <si>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</si>
  <si>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</si>
  <si>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</si>
  <si>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</si>
  <si>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★ 特大暴风雪主峰：积雪严重瘫痪道路，24日单日冰雪报案破1.13万件，创历史极值</t>
  </si>
  <si>
    <t>2026-02-24</t>
  </si>
  <si>
    <t>2026-02-25</t>
  </si>
  <si>
    <t>暴雪清理次生期：铲雪车作业后堆雪阻断私人车道与人行道，车道投诉持续</t>
  </si>
  <si>
    <t>2026-02-26</t>
  </si>
  <si>
    <t>2026-02-27</t>
  </si>
  <si>
    <t>2026-02-28</t>
  </si>
  <si>
    <t>环境保护局 (DEP) 水务与排污系统分类口径平移溯源 (Taxonomy Drift Case)</t>
  </si>
  <si>
    <t>方法规范核验：对数据中数万百分比激增的指标，必须下钻验证是否存在系统管理重命名，防止将口径假象误读为真实危机</t>
  </si>
  <si>
    <t>表 4.1 DEP 水务与排水核心分类月度全历史演变 (证明2026年8月分类系统无缝交接)</t>
  </si>
  <si>
    <t>表 4.2 口径假象与真实业务判别对照表</t>
  </si>
  <si>
    <t>业务月份</t>
  </si>
  <si>
    <t>旧: Water System</t>
  </si>
  <si>
    <t>新: Water Maintenance</t>
  </si>
  <si>
    <t>旧: Sewer</t>
  </si>
  <si>
    <t>新: Sewer Maintenance</t>
  </si>
  <si>
    <t>口径平移状态与管理审计诊断</t>
  </si>
  <si>
    <t>分析维度</t>
  </si>
  <si>
    <t>未经验证的初级误判 (表象陷阱)</t>
  </si>
  <si>
    <t>深度核查后的事实结论 (证据支撑)</t>
  </si>
  <si>
    <t>历史单一分类运行期：完全使用旧分类，新分类工单为零或个位数</t>
  </si>
  <si>
    <t>指标变动表象</t>
  </si>
  <si>
    <t>Water Maintenance 同比暴增 125,422%，Sewer Maintenance 暴增 73,233%</t>
  </si>
  <si>
    <t>旧分类与新分类在2026年7-8月发生一对一替换，总量平稳</t>
  </si>
  <si>
    <t>业务实质判断</t>
  </si>
  <si>
    <t>误判为纽约市供水与排污管道在2026年遭遇突发性、毁灭性系统坍塌</t>
  </si>
  <si>
    <t>实为DEP在2026年夏季对其工单管理系统或OpenData分类字典进行正规化升级</t>
  </si>
  <si>
    <t>真实运维负荷</t>
  </si>
  <si>
    <t>误判为市政维修工作量膨胀千倍，需要紧急巨额预算干预</t>
  </si>
  <si>
    <t>水务与下水道总诉求量同比仅温和变动，反映正常季节性波动</t>
  </si>
  <si>
    <t>数据分析戒律</t>
  </si>
  <si>
    <t>直接将分组聚合的Top增量列表当作业务结论输出，未做时序溯源</t>
  </si>
  <si>
    <t>落实Evidence-Led准则，逢异动必查时序连续性，查明分类交替节点</t>
  </si>
  <si>
    <t>系统试点小批量测试：新分类偶发数件至百件测试单</t>
  </si>
  <si>
    <t>双轨并行过渡期：新分类开始出现千件级录入，开展系统割接联调</t>
  </si>
  <si>
    <t>★ 正式彻底交接：旧分类(Water System/Sewer)突降为0，新分类(Maintenance)全额承接</t>
  </si>
  <si>
    <t>供暖与热水诉求的微观二八法则分布与重复报案解耦</t>
  </si>
  <si>
    <t>分析样本：HPD HEAT/HOT WATER 共 651,594 条 | 涵盖全市 58,083 个独立建筑地址 | 深度剖析结构集聚与治理抓手</t>
  </si>
  <si>
    <t>表 5.1 供暖诉求地址级帕累托 (Pareto) 集中度分层</t>
  </si>
  <si>
    <t>表 5.3 HPD 供暖诉求结案处置方式与重复报案实证</t>
  </si>
  <si>
    <t>建筑地址分层</t>
  </si>
  <si>
    <t>涉及建筑数</t>
  </si>
  <si>
    <t>占全市建筑比 (%)</t>
  </si>
  <si>
    <t>累计诉求件数</t>
  </si>
  <si>
    <t>占全市诉求比 (%)</t>
  </si>
  <si>
    <t>栋均诉求量</t>
  </si>
  <si>
    <t>治理特征与政策启示</t>
  </si>
  <si>
    <t>结案处置结论类别</t>
  </si>
  <si>
    <t>涉及工单数</t>
  </si>
  <si>
    <t>占比 (%)</t>
  </si>
  <si>
    <t>管理含义与业务解读</t>
  </si>
  <si>
    <t>1. Top 1% Addresses</t>
  </si>
  <si>
    <t>极度重度问题建筑：仅580栋大楼，霸占全城超过四分之一诉求，属于慢性劣质老旧住宅</t>
  </si>
  <si>
    <t>整栋已有报案(重复单)</t>
  </si>
  <si>
    <t>近三成工单为同栋楼其他租户对同一事件的重复提交，表明真实停暖事件数需除以约 1.41</t>
  </si>
  <si>
    <t>2. Top 1-5% Addresses</t>
  </si>
  <si>
    <t>重度问题建筑：2,324栋大楼，前5%大楼合计吸纳全城 51.47% 的供暖投诉，集中治理抓手极清晰</t>
  </si>
  <si>
    <t>无法进入建筑/单元核查</t>
  </si>
  <si>
    <t>租户不在家或物业拒绝配合开门，制约现场执法规制落地</t>
  </si>
  <si>
    <t>3. Top 5-10% Addresses</t>
  </si>
  <si>
    <t>中度问题建筑：多为采暖季短期故障或个别单元供暖管网水力失调</t>
  </si>
  <si>
    <t>到场核实已恢复供暖</t>
  </si>
  <si>
    <t>房东在检查员抵达前临时点火加温，或阶段性恢复</t>
  </si>
  <si>
    <t>4. Top 10-20% Addresses</t>
  </si>
  <si>
    <t>轻度偶发问题建筑：采暖季偶发1-2次报修</t>
  </si>
  <si>
    <t>电话回访确认已修复</t>
  </si>
  <si>
    <t>通过电话远程回访闭环，未实际出动现场执法人员</t>
  </si>
  <si>
    <t>5. Remaining 80% Addresses</t>
  </si>
  <si>
    <t>广泛长尾散户：全市4.6万栋大楼仅产生19.57%投诉，平均每栋大楼不足3件</t>
  </si>
  <si>
    <t>已开展检查待出结果</t>
  </si>
  <si>
    <t>现场勘验已完成，流转至文书与违规核定流程</t>
  </si>
  <si>
    <t>与租户核实已恢复</t>
  </si>
  <si>
    <t>与报案租户直接沟通确认温度达标</t>
  </si>
  <si>
    <t>现场勘验未见违规</t>
  </si>
  <si>
    <t>实测室内温度符合法定采暖期最低标准(白天68度/夜间62度)</t>
  </si>
  <si>
    <t>表 5.2 全市供暖投诉量最高的前10栋慢性问题住宅</t>
  </si>
  <si>
    <t>核实违规并下达罚单</t>
  </si>
  <si>
    <t>仅 3.87% 的工单直接闭环于行政处罚，反映从诉求到实质处罚的漫长门槛</t>
  </si>
  <si>
    <t>排名</t>
  </si>
  <si>
    <t>涉案住宅详细地址</t>
  </si>
  <si>
    <t>两年累计供暖诉求</t>
  </si>
  <si>
    <t>日均诉求量 (全期)</t>
  </si>
  <si>
    <t>重点监管与修缮建议</t>
  </si>
  <si>
    <t>其他情形与气温不满足</t>
  </si>
  <si>
    <t>室外气温高于法定采暖要求(&gt;55华氏度)等其他结案情形</t>
  </si>
  <si>
    <t>1040B EAST  217 STREET</t>
  </si>
  <si>
    <t>BRONX</t>
  </si>
  <si>
    <t>全城之冠：两年超6,000次投诉，平均每天8次以上，属于严重的房东失职或中央锅炉全面瘫痪</t>
  </si>
  <si>
    <t>707 EAST  242 STREET</t>
  </si>
  <si>
    <t>重点稽查对象：两年超1,800次投诉，应纳入HPD替代执法项目(AEP)实施强制性政府代修</t>
  </si>
  <si>
    <t>225 CENTRAL PARK NORTH</t>
  </si>
  <si>
    <t>MANHATTAN</t>
  </si>
  <si>
    <t>2800 CRESTON AVENUE</t>
  </si>
  <si>
    <t>1120 GLENMORE AVENUE</t>
  </si>
  <si>
    <t>BROOKLYN</t>
  </si>
  <si>
    <t>重点督办物业：高频重复投诉集中，建议联合房管局下达行政纠正令与罚单</t>
  </si>
  <si>
    <t>2410 WASHINGTON AVENUE</t>
  </si>
  <si>
    <t>25 HILLSIDE AVENUE</t>
  </si>
  <si>
    <t>9101 CHURCH AVENUE</t>
  </si>
  <si>
    <t>31-35 CRESCENT STREET</t>
  </si>
  <si>
    <t>QUEENS</t>
  </si>
  <si>
    <t>2588 7 AVENUE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</si>
</sst>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"/>
    <numFmt numFmtId="177" formatCode="0.0"/>
  </numFmts>
  <fonts count="8" x14ac:knownFonts="1">
    <font>
      <sz val="11"/>
      <color theme="1"/>
      <name val="宋体"/>
      <family val="2"/>
      <scheme val="minor"/>
    </font>
    <font>
      <b/>
      <sz val="16"/>
      <color rgb="FF1F4E78"/>
      <name val="Calibri"/>
      <family val="2"/>
    </font>
    <font>
      <i/>
      <sz val="9"/>
      <color rgb="FF595959"/>
      <name val="Calibri"/>
      <family val="2"/>
    </font>
    <font>
      <b/>
      <sz val="10"/>
      <color rgb="FF000000"/>
      <name val="Calibri"/>
      <family val="2"/>
    </font>
    <font>
      <b/>
      <sz val="12"/>
      <color rgb="FF1F4E78"/>
      <name val="Calibri"/>
      <family val="2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sz val="9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AEEF7"/>
        <bgColor rgb="FFEAEEF7"/>
      </patternFill>
    </fill>
    <fill>
      <patternFill patternType="solid">
        <fgColor rgb="FF1F4E78"/>
        <bgColor rgb="FF1F4E78"/>
      </patternFill>
    </fill>
    <fill>
      <patternFill patternType="solid">
        <fgColor rgb="FFF9FAFB"/>
        <bgColor rgb="FFF9FAFB"/>
      </patternFill>
    </fill>
    <fill>
      <patternFill patternType="solid">
        <fgColor rgb="FFD9E1F2"/>
        <bgColor rgb="FFD9E1F2"/>
      </patternFill>
    </fill>
    <fill>
      <patternFill patternType="solid">
        <fgColor rgb="FF2F5597"/>
        <bgColor rgb="FF2F5597"/>
      </patternFill>
    </fill>
    <fill>
      <patternFill patternType="solid">
        <fgColor rgb="FFFCE4D6"/>
        <bgColor rgb="FFFCE4D6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E78"/>
      </bottom>
      <diagonal/>
    </border>
    <border>
      <left/>
      <right/>
      <top style="thin">
        <color rgb="FF1F4E78"/>
      </top>
      <bottom style="double">
        <color rgb="FF1F4E78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1" xfId="0" applyFill="1" applyBorder="1"/>
    <xf numFmtId="0" fontId="4" fillId="0" borderId="0" xfId="0" applyFont="1"/>
    <xf numFmtId="0" fontId="5" fillId="3" borderId="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3" fontId="6" fillId="0" borderId="1" xfId="0" applyNumberFormat="1" applyFont="1" applyBorder="1" applyAlignment="1">
      <alignment horizontal="right" vertical="center"/>
    </xf>
    <xf numFmtId="10" fontId="6" fillId="0" borderId="1" xfId="0" applyNumberFormat="1" applyFont="1" applyBorder="1" applyAlignment="1">
      <alignment horizontal="right" vertical="center"/>
    </xf>
    <xf numFmtId="0" fontId="6" fillId="4" borderId="1" xfId="0" applyFont="1" applyFill="1" applyBorder="1" applyAlignment="1">
      <alignment horizontal="left" vertical="center"/>
    </xf>
    <xf numFmtId="3" fontId="6" fillId="4" borderId="1" xfId="0" applyNumberFormat="1" applyFont="1" applyFill="1" applyBorder="1" applyAlignment="1">
      <alignment horizontal="right" vertical="center"/>
    </xf>
    <xf numFmtId="10" fontId="6" fillId="4" borderId="1" xfId="0" applyNumberFormat="1" applyFont="1" applyFill="1" applyBorder="1" applyAlignment="1">
      <alignment horizontal="right" vertical="center"/>
    </xf>
    <xf numFmtId="0" fontId="5" fillId="6" borderId="2" xfId="0" applyFont="1" applyFill="1" applyBorder="1" applyAlignment="1">
      <alignment horizontal="center" vertical="center"/>
    </xf>
    <xf numFmtId="176" fontId="6" fillId="4" borderId="1" xfId="0" applyNumberFormat="1" applyFont="1" applyFill="1" applyBorder="1" applyAlignment="1">
      <alignment horizontal="right" vertical="center"/>
    </xf>
    <xf numFmtId="176" fontId="6" fillId="0" borderId="1" xfId="0" applyNumberFormat="1" applyFont="1" applyBorder="1" applyAlignment="1">
      <alignment horizontal="right" vertical="center"/>
    </xf>
    <xf numFmtId="0" fontId="6" fillId="7" borderId="1" xfId="0" applyFont="1" applyFill="1" applyBorder="1" applyAlignment="1">
      <alignment horizontal="center" vertical="center"/>
    </xf>
    <xf numFmtId="3" fontId="6" fillId="7" borderId="1" xfId="0" applyNumberFormat="1" applyFont="1" applyFill="1" applyBorder="1" applyAlignment="1">
      <alignment horizontal="right" vertical="center"/>
    </xf>
    <xf numFmtId="10" fontId="6" fillId="7" borderId="1" xfId="0" applyNumberFormat="1" applyFont="1" applyFill="1" applyBorder="1" applyAlignment="1">
      <alignment horizontal="right" vertical="center"/>
    </xf>
    <xf numFmtId="176" fontId="6" fillId="7" borderId="1" xfId="0" applyNumberFormat="1" applyFont="1" applyFill="1" applyBorder="1" applyAlignment="1">
      <alignment horizontal="right" vertical="center"/>
    </xf>
    <xf numFmtId="0" fontId="6" fillId="7" borderId="1" xfId="0" applyFont="1" applyFill="1" applyBorder="1" applyAlignment="1">
      <alignment horizontal="left" vertical="center"/>
    </xf>
    <xf numFmtId="0" fontId="3" fillId="5" borderId="3" xfId="0" applyFont="1" applyFill="1" applyBorder="1"/>
    <xf numFmtId="3" fontId="3" fillId="5" borderId="3" xfId="0" applyNumberFormat="1" applyFont="1" applyFill="1" applyBorder="1"/>
    <xf numFmtId="10" fontId="3" fillId="5" borderId="3" xfId="0" applyNumberFormat="1" applyFont="1" applyFill="1" applyBorder="1"/>
    <xf numFmtId="0" fontId="3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3" fontId="6" fillId="5" borderId="1" xfId="0" applyNumberFormat="1" applyFont="1" applyFill="1" applyBorder="1" applyAlignment="1">
      <alignment horizontal="right" vertical="center"/>
    </xf>
    <xf numFmtId="10" fontId="6" fillId="5" borderId="1" xfId="0" applyNumberFormat="1" applyFont="1" applyFill="1" applyBorder="1" applyAlignment="1">
      <alignment horizontal="right" vertical="center"/>
    </xf>
    <xf numFmtId="0" fontId="3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176" fontId="6" fillId="5" borderId="1" xfId="0" applyNumberFormat="1" applyFont="1" applyFill="1" applyBorder="1" applyAlignment="1">
      <alignment horizontal="right" vertical="center"/>
    </xf>
    <xf numFmtId="177" fontId="6" fillId="7" borderId="1" xfId="0" applyNumberFormat="1" applyFont="1" applyFill="1" applyBorder="1" applyAlignment="1">
      <alignment horizontal="right" vertical="center"/>
    </xf>
    <xf numFmtId="177" fontId="6" fillId="0" borderId="1" xfId="0" applyNumberFormat="1" applyFont="1" applyBorder="1" applyAlignment="1">
      <alignment horizontal="right" vertical="center"/>
    </xf>
    <xf numFmtId="177" fontId="6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 wrapText="1"/>
    </xf>
    <xf numFmtId="0" fontId="0" fillId="0" borderId="1" xfId="0" applyBorder="1"/>
    <xf numFmtId="0" fontId="3" fillId="2" borderId="0" xfId="0" applyFont="1" applyFill="1" applyAlignment="1">
      <alignment horizontal="center" vertical="center" wrapText="1"/>
    </xf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2" borderId="1" xfId="0" applyFill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10"/>
  <c:chart>
    <c:title>
      <c:tx>
        <c:rich>
          <a:bodyPr/>
          <a:lstStyle/>
          <a:p>
            <a:pPr>
              <a:defRPr/>
            </a:pPr>
            <a:r>
              <a:t>诉求报案渠道同比结构变动 (Y1 vs Y2)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'02_年度增长与归因分解'!$B$40</c:f>
              <c:strCache>
                <c:ptCount val="1"/>
                <c:pt idx="0">
                  <c:v>基期件数 (Y1)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'02_年度增长与归因分解'!$A$41:$A$43</c:f>
              <c:strCache>
                <c:ptCount val="3"/>
                <c:pt idx="0">
                  <c:v>ONLINE</c:v>
                </c:pt>
                <c:pt idx="1">
                  <c:v>PHONE</c:v>
                </c:pt>
                <c:pt idx="2">
                  <c:v>MOBILE</c:v>
                </c:pt>
              </c:strCache>
            </c:strRef>
          </c:cat>
          <c:val>
            <c:numRef>
              <c:f>'02_年度增长与归因分解'!$B$41:$B$43</c:f>
              <c:numCache>
                <c:formatCode>#,##0</c:formatCode>
                <c:ptCount val="3"/>
                <c:pt idx="0">
                  <c:v>1377738</c:v>
                </c:pt>
                <c:pt idx="1">
                  <c:v>926181</c:v>
                </c:pt>
                <c:pt idx="2">
                  <c:v>748613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10-4FAF-9F79-55D300D5FAC7}"/>
            </c:ext>
          </c:extLst>
        </c:ser>
        <c:ser>
          <c:idx val="1"/>
          <c:order val="1"/>
          <c:tx>
            <c:strRef>
              <c:f>'02_年度增长与归因分解'!$C$40</c:f>
              <c:strCache>
                <c:ptCount val="1"/>
                <c:pt idx="0">
                  <c:v>基期份额 (%)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'02_年度增长与归因分解'!$A$41:$A$43</c:f>
              <c:strCache>
                <c:ptCount val="3"/>
                <c:pt idx="0">
                  <c:v>ONLINE</c:v>
                </c:pt>
                <c:pt idx="1">
                  <c:v>PHONE</c:v>
                </c:pt>
                <c:pt idx="2">
                  <c:v>MOBILE</c:v>
                </c:pt>
              </c:strCache>
            </c:strRef>
          </c:cat>
          <c:val>
            <c:numRef>
              <c:f>'02_年度增长与归因分解'!$C$41:$C$43</c:f>
              <c:numCache>
                <c:formatCode>0.00%</c:formatCode>
                <c:ptCount val="3"/>
                <c:pt idx="0">
                  <c:v>0.41839999999999999</c:v>
                </c:pt>
                <c:pt idx="1">
                  <c:v>0.28129999999999999</c:v>
                </c:pt>
                <c:pt idx="2">
                  <c:v>0.2273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10-4FAF-9F79-55D300D5FAC7}"/>
            </c:ext>
          </c:extLst>
        </c:ser>
        <c:ser>
          <c:idx val="2"/>
          <c:order val="2"/>
          <c:tx>
            <c:strRef>
              <c:f>'02_年度增长与归因分解'!$D$40</c:f>
              <c:strCache>
                <c:ptCount val="1"/>
                <c:pt idx="0">
                  <c:v>报告期件数 (Y2)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'02_年度增长与归因分解'!$A$41:$A$43</c:f>
              <c:strCache>
                <c:ptCount val="3"/>
                <c:pt idx="0">
                  <c:v>ONLINE</c:v>
                </c:pt>
                <c:pt idx="1">
                  <c:v>PHONE</c:v>
                </c:pt>
                <c:pt idx="2">
                  <c:v>MOBILE</c:v>
                </c:pt>
              </c:strCache>
            </c:strRef>
          </c:cat>
          <c:val>
            <c:numRef>
              <c:f>'02_年度增长与归因分解'!$D$41:$D$43</c:f>
              <c:numCache>
                <c:formatCode>#,##0</c:formatCode>
                <c:ptCount val="3"/>
                <c:pt idx="0">
                  <c:v>1703884</c:v>
                </c:pt>
                <c:pt idx="1">
                  <c:v>852847</c:v>
                </c:pt>
                <c:pt idx="2">
                  <c:v>771901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10-4FAF-9F79-55D300D5FA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报案渠道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工单量 (件)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13"/>
  <c:chart>
    <c:title>
      <c:tx>
        <c:rich>
          <a:bodyPr/>
          <a:lstStyle/>
          <a:p>
            <a:pPr>
              <a:defRPr/>
            </a:pPr>
            <a:r>
              <a:t>2026年2月暴雪与极寒日度诉求脉冲追踪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'03_极端气候冲击与连锁反应'!$C$5</c:f>
              <c:strCache>
                <c:ptCount val="1"/>
                <c:pt idx="0">
                  <c:v>DSNY 冰雪诉求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'03_极端气候冲击与连锁反应'!$A$6:$A$33</c:f>
              <c:strCache>
                <c:ptCount val="28"/>
                <c:pt idx="0">
                  <c:v>2026-02-01</c:v>
                </c:pt>
                <c:pt idx="1">
                  <c:v>2026-02-02</c:v>
                </c:pt>
                <c:pt idx="2">
                  <c:v>2026-02-03</c:v>
                </c:pt>
                <c:pt idx="3">
                  <c:v>2026-02-04</c:v>
                </c:pt>
                <c:pt idx="4">
                  <c:v>2026-02-05</c:v>
                </c:pt>
                <c:pt idx="5">
                  <c:v>2026-02-06</c:v>
                </c:pt>
                <c:pt idx="6">
                  <c:v>2026-02-07</c:v>
                </c:pt>
                <c:pt idx="7">
                  <c:v>2026-02-08</c:v>
                </c:pt>
                <c:pt idx="8">
                  <c:v>2026-02-09</c:v>
                </c:pt>
                <c:pt idx="9">
                  <c:v>2026-02-10</c:v>
                </c:pt>
                <c:pt idx="10">
                  <c:v>2026-02-11</c:v>
                </c:pt>
                <c:pt idx="11">
                  <c:v>2026-02-12</c:v>
                </c:pt>
                <c:pt idx="12">
                  <c:v>2026-02-13</c:v>
                </c:pt>
                <c:pt idx="13">
                  <c:v>2026-02-14</c:v>
                </c:pt>
                <c:pt idx="14">
                  <c:v>2026-02-15</c:v>
                </c:pt>
                <c:pt idx="15">
                  <c:v>2026-02-16</c:v>
                </c:pt>
                <c:pt idx="16">
                  <c:v>2026-02-17</c:v>
                </c:pt>
                <c:pt idx="17">
                  <c:v>2026-02-18</c:v>
                </c:pt>
                <c:pt idx="18">
                  <c:v>2026-02-19</c:v>
                </c:pt>
                <c:pt idx="19">
                  <c:v>2026-02-20</c:v>
                </c:pt>
                <c:pt idx="20">
                  <c:v>2026-02-21</c:v>
                </c:pt>
                <c:pt idx="21">
                  <c:v>2026-02-22</c:v>
                </c:pt>
                <c:pt idx="22">
                  <c:v>2026-02-23</c:v>
                </c:pt>
                <c:pt idx="23">
                  <c:v>2026-02-24</c:v>
                </c:pt>
                <c:pt idx="24">
                  <c:v>2026-02-25</c:v>
                </c:pt>
                <c:pt idx="25">
                  <c:v>2026-02-26</c:v>
                </c:pt>
                <c:pt idx="26">
                  <c:v>2026-02-27</c:v>
                </c:pt>
                <c:pt idx="27">
                  <c:v>2026-02-28</c:v>
                </c:pt>
              </c:strCache>
            </c:strRef>
          </c:cat>
          <c:val>
            <c:numRef>
              <c:f>'03_极端气候冲击与连锁反应'!$C$6:$C$33</c:f>
              <c:numCache>
                <c:formatCode>#,##0</c:formatCode>
                <c:ptCount val="28"/>
                <c:pt idx="0">
                  <c:v>722</c:v>
                </c:pt>
                <c:pt idx="1">
                  <c:v>1240</c:v>
                </c:pt>
                <c:pt idx="2">
                  <c:v>1022</c:v>
                </c:pt>
                <c:pt idx="3">
                  <c:v>889</c:v>
                </c:pt>
                <c:pt idx="4">
                  <c:v>770</c:v>
                </c:pt>
                <c:pt idx="5">
                  <c:v>543</c:v>
                </c:pt>
                <c:pt idx="6">
                  <c:v>241</c:v>
                </c:pt>
                <c:pt idx="7">
                  <c:v>243</c:v>
                </c:pt>
                <c:pt idx="8">
                  <c:v>383</c:v>
                </c:pt>
                <c:pt idx="9">
                  <c:v>470</c:v>
                </c:pt>
                <c:pt idx="10">
                  <c:v>407</c:v>
                </c:pt>
                <c:pt idx="11">
                  <c:v>297</c:v>
                </c:pt>
                <c:pt idx="12">
                  <c:v>210</c:v>
                </c:pt>
                <c:pt idx="13">
                  <c:v>123</c:v>
                </c:pt>
                <c:pt idx="14">
                  <c:v>120</c:v>
                </c:pt>
                <c:pt idx="15">
                  <c:v>127</c:v>
                </c:pt>
                <c:pt idx="16">
                  <c:v>89</c:v>
                </c:pt>
                <c:pt idx="17">
                  <c:v>38</c:v>
                </c:pt>
                <c:pt idx="18">
                  <c:v>42</c:v>
                </c:pt>
                <c:pt idx="19">
                  <c:v>21</c:v>
                </c:pt>
                <c:pt idx="20">
                  <c:v>8</c:v>
                </c:pt>
                <c:pt idx="21">
                  <c:v>106</c:v>
                </c:pt>
                <c:pt idx="22">
                  <c:v>6524</c:v>
                </c:pt>
                <c:pt idx="23">
                  <c:v>11370</c:v>
                </c:pt>
                <c:pt idx="24">
                  <c:v>3012</c:v>
                </c:pt>
                <c:pt idx="25">
                  <c:v>1266</c:v>
                </c:pt>
                <c:pt idx="26">
                  <c:v>476</c:v>
                </c:pt>
                <c:pt idx="27">
                  <c:v>184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48D-4AD2-9BCC-442D89D75BBD}"/>
            </c:ext>
          </c:extLst>
        </c:ser>
        <c:ser>
          <c:idx val="1"/>
          <c:order val="1"/>
          <c:tx>
            <c:strRef>
              <c:f>'03_极端气候冲击与连锁反应'!$D$5</c:f>
              <c:strCache>
                <c:ptCount val="1"/>
                <c:pt idx="0">
                  <c:v>HPD 供暖热水诉求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'03_极端气候冲击与连锁反应'!$A$6:$A$33</c:f>
              <c:strCache>
                <c:ptCount val="28"/>
                <c:pt idx="0">
                  <c:v>2026-02-01</c:v>
                </c:pt>
                <c:pt idx="1">
                  <c:v>2026-02-02</c:v>
                </c:pt>
                <c:pt idx="2">
                  <c:v>2026-02-03</c:v>
                </c:pt>
                <c:pt idx="3">
                  <c:v>2026-02-04</c:v>
                </c:pt>
                <c:pt idx="4">
                  <c:v>2026-02-05</c:v>
                </c:pt>
                <c:pt idx="5">
                  <c:v>2026-02-06</c:v>
                </c:pt>
                <c:pt idx="6">
                  <c:v>2026-02-07</c:v>
                </c:pt>
                <c:pt idx="7">
                  <c:v>2026-02-08</c:v>
                </c:pt>
                <c:pt idx="8">
                  <c:v>2026-02-09</c:v>
                </c:pt>
                <c:pt idx="9">
                  <c:v>2026-02-10</c:v>
                </c:pt>
                <c:pt idx="10">
                  <c:v>2026-02-11</c:v>
                </c:pt>
                <c:pt idx="11">
                  <c:v>2026-02-12</c:v>
                </c:pt>
                <c:pt idx="12">
                  <c:v>2026-02-13</c:v>
                </c:pt>
                <c:pt idx="13">
                  <c:v>2026-02-14</c:v>
                </c:pt>
                <c:pt idx="14">
                  <c:v>2026-02-15</c:v>
                </c:pt>
                <c:pt idx="15">
                  <c:v>2026-02-16</c:v>
                </c:pt>
                <c:pt idx="16">
                  <c:v>2026-02-17</c:v>
                </c:pt>
                <c:pt idx="17">
                  <c:v>2026-02-18</c:v>
                </c:pt>
                <c:pt idx="18">
                  <c:v>2026-02-19</c:v>
                </c:pt>
                <c:pt idx="19">
                  <c:v>2026-02-20</c:v>
                </c:pt>
                <c:pt idx="20">
                  <c:v>2026-02-21</c:v>
                </c:pt>
                <c:pt idx="21">
                  <c:v>2026-02-22</c:v>
                </c:pt>
                <c:pt idx="22">
                  <c:v>2026-02-23</c:v>
                </c:pt>
                <c:pt idx="23">
                  <c:v>2026-02-24</c:v>
                </c:pt>
                <c:pt idx="24">
                  <c:v>2026-02-25</c:v>
                </c:pt>
                <c:pt idx="25">
                  <c:v>2026-02-26</c:v>
                </c:pt>
                <c:pt idx="26">
                  <c:v>2026-02-27</c:v>
                </c:pt>
                <c:pt idx="27">
                  <c:v>2026-02-28</c:v>
                </c:pt>
              </c:strCache>
            </c:strRef>
          </c:cat>
          <c:val>
            <c:numRef>
              <c:f>'03_极端气候冲击与连锁反应'!$D$6:$D$33</c:f>
              <c:numCache>
                <c:formatCode>#,##0</c:formatCode>
                <c:ptCount val="28"/>
                <c:pt idx="0">
                  <c:v>4688</c:v>
                </c:pt>
                <c:pt idx="1">
                  <c:v>3685</c:v>
                </c:pt>
                <c:pt idx="2">
                  <c:v>2531</c:v>
                </c:pt>
                <c:pt idx="3">
                  <c:v>1973</c:v>
                </c:pt>
                <c:pt idx="4">
                  <c:v>2155</c:v>
                </c:pt>
                <c:pt idx="5">
                  <c:v>1999</c:v>
                </c:pt>
                <c:pt idx="6">
                  <c:v>3843</c:v>
                </c:pt>
                <c:pt idx="7">
                  <c:v>6118</c:v>
                </c:pt>
                <c:pt idx="8">
                  <c:v>4227</c:v>
                </c:pt>
                <c:pt idx="9">
                  <c:v>2594</c:v>
                </c:pt>
                <c:pt idx="10">
                  <c:v>1659</c:v>
                </c:pt>
                <c:pt idx="11">
                  <c:v>1599</c:v>
                </c:pt>
                <c:pt idx="12">
                  <c:v>1541</c:v>
                </c:pt>
                <c:pt idx="13">
                  <c:v>1135</c:v>
                </c:pt>
                <c:pt idx="14">
                  <c:v>1153</c:v>
                </c:pt>
                <c:pt idx="15">
                  <c:v>1413</c:v>
                </c:pt>
                <c:pt idx="16">
                  <c:v>1200</c:v>
                </c:pt>
                <c:pt idx="17">
                  <c:v>1216</c:v>
                </c:pt>
                <c:pt idx="18">
                  <c:v>1383</c:v>
                </c:pt>
                <c:pt idx="19">
                  <c:v>1379</c:v>
                </c:pt>
                <c:pt idx="20">
                  <c:v>987</c:v>
                </c:pt>
                <c:pt idx="21">
                  <c:v>1913</c:v>
                </c:pt>
                <c:pt idx="22">
                  <c:v>2256</c:v>
                </c:pt>
                <c:pt idx="23">
                  <c:v>1641</c:v>
                </c:pt>
                <c:pt idx="24">
                  <c:v>1440</c:v>
                </c:pt>
                <c:pt idx="25">
                  <c:v>1142</c:v>
                </c:pt>
                <c:pt idx="26">
                  <c:v>1197</c:v>
                </c:pt>
                <c:pt idx="27">
                  <c:v>964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48D-4AD2-9BCC-442D89D75B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日诉求件数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39</xdr:row>
      <xdr:rowOff>0</xdr:rowOff>
    </xdr:from>
    <xdr:ext cx="576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15</xdr:row>
      <xdr:rowOff>0</xdr:rowOff>
    </xdr:from>
    <xdr:ext cx="648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K20"/>
  <sheetViews>
    <sheetView tabSelected="1" workbookViewId="0"/>
  </sheetViews>
  <sheetFormatPr defaultRowHeight="14.4" x14ac:dyDescent="0.25"/>
  <cols>
    <col min="1" max="1" width="4" customWidth="1"/>
    <col min="2" max="2" width="16" customWidth="1"/>
    <col min="3" max="3" width="38" customWidth="1"/>
    <col min="4" max="4" width="46" customWidth="1"/>
    <col min="5" max="5" width="38" customWidth="1"/>
    <col min="6" max="6" width="28" customWidth="1"/>
  </cols>
  <sheetData>
    <row r="1" spans="1:11" ht="21" x14ac:dyDescent="0.4">
      <c r="A1" s="1" t="s">
        <v>0</v>
      </c>
    </row>
    <row r="2" spans="1:11" x14ac:dyDescent="0.25">
      <c r="A2" s="2" t="s">
        <v>1</v>
      </c>
      <c r="D2" s="3"/>
      <c r="E2" s="3"/>
    </row>
    <row r="3" spans="1:11" x14ac:dyDescent="0.25">
      <c r="D3" s="3"/>
      <c r="E3" s="3"/>
    </row>
    <row r="4" spans="1:11" x14ac:dyDescent="0.25">
      <c r="B4" s="45" t="s">
        <v>2</v>
      </c>
      <c r="C4" s="46"/>
      <c r="D4" s="47" t="s">
        <v>3</v>
      </c>
      <c r="E4" s="48"/>
      <c r="F4" s="45" t="s">
        <v>4</v>
      </c>
      <c r="G4" s="46"/>
      <c r="H4" s="45" t="s">
        <v>5</v>
      </c>
      <c r="I4" s="46"/>
      <c r="J4" s="45" t="s">
        <v>6</v>
      </c>
      <c r="K4" s="46"/>
    </row>
    <row r="5" spans="1:11" x14ac:dyDescent="0.25">
      <c r="B5" s="46"/>
      <c r="C5" s="46"/>
      <c r="D5" s="48"/>
      <c r="E5" s="48"/>
      <c r="F5" s="46"/>
      <c r="G5" s="46"/>
      <c r="H5" s="46"/>
      <c r="I5" s="46"/>
      <c r="J5" s="46"/>
      <c r="K5" s="46"/>
    </row>
    <row r="6" spans="1:11" x14ac:dyDescent="0.25">
      <c r="D6" s="3"/>
      <c r="E6" s="3"/>
    </row>
    <row r="7" spans="1:11" ht="15.6" x14ac:dyDescent="0.3">
      <c r="B7" s="4" t="s">
        <v>7</v>
      </c>
      <c r="D7" s="3"/>
      <c r="E7" s="3"/>
    </row>
    <row r="8" spans="1:11" x14ac:dyDescent="0.25"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</row>
    <row r="9" spans="1:11" ht="42" customHeight="1" x14ac:dyDescent="0.25">
      <c r="B9" s="6" t="s">
        <v>13</v>
      </c>
      <c r="C9" s="7" t="s">
        <v>14</v>
      </c>
      <c r="D9" s="7" t="s">
        <v>15</v>
      </c>
      <c r="E9" s="7" t="s">
        <v>16</v>
      </c>
      <c r="F9" s="8" t="s">
        <v>17</v>
      </c>
    </row>
    <row r="10" spans="1:11" ht="42" customHeight="1" x14ac:dyDescent="0.25">
      <c r="B10" s="9" t="s">
        <v>18</v>
      </c>
      <c r="C10" s="10" t="s">
        <v>19</v>
      </c>
      <c r="D10" s="10" t="s">
        <v>20</v>
      </c>
      <c r="E10" s="10" t="s">
        <v>21</v>
      </c>
      <c r="F10" s="11" t="s">
        <v>17</v>
      </c>
    </row>
    <row r="11" spans="1:11" ht="42" customHeight="1" x14ac:dyDescent="0.25">
      <c r="B11" s="6" t="s">
        <v>22</v>
      </c>
      <c r="C11" s="7" t="s">
        <v>23</v>
      </c>
      <c r="D11" s="7" t="s">
        <v>24</v>
      </c>
      <c r="E11" s="7" t="s">
        <v>25</v>
      </c>
      <c r="F11" s="8" t="s">
        <v>26</v>
      </c>
    </row>
    <row r="12" spans="1:11" ht="42" customHeight="1" x14ac:dyDescent="0.25">
      <c r="B12" s="9" t="s">
        <v>27</v>
      </c>
      <c r="C12" s="10" t="s">
        <v>28</v>
      </c>
      <c r="D12" s="10" t="s">
        <v>29</v>
      </c>
      <c r="E12" s="10" t="s">
        <v>30</v>
      </c>
      <c r="F12" s="11" t="s">
        <v>31</v>
      </c>
    </row>
    <row r="13" spans="1:11" ht="42" customHeight="1" x14ac:dyDescent="0.25">
      <c r="B13" s="6" t="s">
        <v>32</v>
      </c>
      <c r="C13" s="7" t="s">
        <v>33</v>
      </c>
      <c r="D13" s="7" t="s">
        <v>34</v>
      </c>
      <c r="E13" s="7" t="s">
        <v>35</v>
      </c>
      <c r="F13" s="8" t="s">
        <v>36</v>
      </c>
    </row>
    <row r="14" spans="1:11" ht="42" customHeight="1" x14ac:dyDescent="0.25">
      <c r="B14" s="9" t="s">
        <v>37</v>
      </c>
      <c r="C14" s="10" t="s">
        <v>38</v>
      </c>
      <c r="D14" s="10" t="s">
        <v>39</v>
      </c>
      <c r="E14" s="10" t="s">
        <v>40</v>
      </c>
      <c r="F14" s="11" t="s">
        <v>41</v>
      </c>
    </row>
    <row r="16" spans="1:11" ht="15.6" x14ac:dyDescent="0.3">
      <c r="B16" s="4" t="s">
        <v>42</v>
      </c>
    </row>
    <row r="17" spans="2:6" ht="36" customHeight="1" x14ac:dyDescent="0.25">
      <c r="B17" s="12" t="s">
        <v>43</v>
      </c>
      <c r="C17" s="43" t="s">
        <v>44</v>
      </c>
      <c r="D17" s="44"/>
      <c r="E17" s="44"/>
      <c r="F17" s="44"/>
    </row>
    <row r="18" spans="2:6" ht="36" customHeight="1" x14ac:dyDescent="0.25">
      <c r="B18" s="12" t="s">
        <v>45</v>
      </c>
      <c r="C18" s="43" t="s">
        <v>46</v>
      </c>
      <c r="D18" s="44"/>
      <c r="E18" s="44"/>
      <c r="F18" s="44"/>
    </row>
    <row r="19" spans="2:6" ht="36" customHeight="1" x14ac:dyDescent="0.25">
      <c r="B19" s="12" t="s">
        <v>47</v>
      </c>
      <c r="C19" s="43" t="s">
        <v>48</v>
      </c>
      <c r="D19" s="44"/>
      <c r="E19" s="44"/>
      <c r="F19" s="44"/>
    </row>
    <row r="20" spans="2:6" ht="36" customHeight="1" x14ac:dyDescent="0.25">
      <c r="B20" s="12" t="s">
        <v>49</v>
      </c>
      <c r="C20" s="43" t="s">
        <v>50</v>
      </c>
      <c r="D20" s="44"/>
      <c r="E20" s="44"/>
      <c r="F20" s="44"/>
    </row>
  </sheetData>
  <mergeCells count="9">
    <mergeCell ref="C20:F20"/>
    <mergeCell ref="C19:F19"/>
    <mergeCell ref="B4:C5"/>
    <mergeCell ref="C18:F18"/>
    <mergeCell ref="F4:G5"/>
    <mergeCell ref="D4:E5"/>
    <mergeCell ref="J4:K5"/>
    <mergeCell ref="H4:I5"/>
    <mergeCell ref="C17:F17"/>
  </mergeCells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B6F96"/>
  </sheetPr>
  <dimension ref="A1:F47"/>
  <sheetViews>
    <sheetView workbookViewId="0"/>
  </sheetViews>
  <sheetFormatPr defaultRowHeight="14.4" x14ac:dyDescent="0.25"/>
  <cols>
    <col min="1" max="1" width="42" customWidth="1"/>
    <col min="2" max="3" width="14" customWidth="1"/>
    <col min="4" max="4" width="22" customWidth="1"/>
    <col min="5" max="5" width="15" customWidth="1"/>
    <col min="6" max="6" width="56" customWidth="1"/>
  </cols>
  <sheetData>
    <row r="1" spans="1:6" ht="21" x14ac:dyDescent="0.4">
      <c r="A1" s="1" t="s">
        <v>51</v>
      </c>
    </row>
    <row r="2" spans="1:6" x14ac:dyDescent="0.25">
      <c r="A2" s="2" t="s">
        <v>52</v>
      </c>
    </row>
    <row r="4" spans="1:6" ht="15.6" x14ac:dyDescent="0.3">
      <c r="A4" s="4" t="s">
        <v>53</v>
      </c>
    </row>
    <row r="5" spans="1:6" x14ac:dyDescent="0.25">
      <c r="A5" s="5" t="s">
        <v>54</v>
      </c>
      <c r="B5" s="5" t="s">
        <v>55</v>
      </c>
      <c r="C5" s="5" t="s">
        <v>56</v>
      </c>
      <c r="D5" s="5" t="s">
        <v>57</v>
      </c>
      <c r="E5" s="5" t="s">
        <v>58</v>
      </c>
      <c r="F5" s="5" t="s">
        <v>59</v>
      </c>
    </row>
    <row r="6" spans="1:6" x14ac:dyDescent="0.25">
      <c r="A6" s="13" t="s">
        <v>60</v>
      </c>
      <c r="B6" s="13" t="s">
        <v>61</v>
      </c>
      <c r="C6" s="14">
        <v>7525498</v>
      </c>
      <c r="D6" s="14">
        <v>0</v>
      </c>
      <c r="E6" s="15">
        <v>0</v>
      </c>
      <c r="F6" s="13" t="s">
        <v>62</v>
      </c>
    </row>
    <row r="7" spans="1:6" x14ac:dyDescent="0.25">
      <c r="A7" s="16" t="s">
        <v>63</v>
      </c>
      <c r="B7" s="16" t="s">
        <v>64</v>
      </c>
      <c r="C7" s="17">
        <v>7525498</v>
      </c>
      <c r="D7" s="17">
        <v>0</v>
      </c>
      <c r="E7" s="18">
        <v>0</v>
      </c>
      <c r="F7" s="16" t="s">
        <v>65</v>
      </c>
    </row>
    <row r="8" spans="1:6" x14ac:dyDescent="0.25">
      <c r="A8" s="13" t="s">
        <v>66</v>
      </c>
      <c r="B8" s="13" t="s">
        <v>67</v>
      </c>
      <c r="C8" s="14">
        <v>7525498</v>
      </c>
      <c r="D8" s="14">
        <v>0</v>
      </c>
      <c r="E8" s="15">
        <v>0</v>
      </c>
      <c r="F8" s="13" t="s">
        <v>68</v>
      </c>
    </row>
    <row r="9" spans="1:6" x14ac:dyDescent="0.25">
      <c r="A9" s="16" t="s">
        <v>69</v>
      </c>
      <c r="B9" s="16" t="s">
        <v>70</v>
      </c>
      <c r="C9" s="17">
        <v>7525498</v>
      </c>
      <c r="D9" s="17">
        <v>0</v>
      </c>
      <c r="E9" s="18">
        <v>0</v>
      </c>
      <c r="F9" s="16" t="s">
        <v>71</v>
      </c>
    </row>
    <row r="10" spans="1:6" x14ac:dyDescent="0.25">
      <c r="A10" s="13" t="s">
        <v>72</v>
      </c>
      <c r="B10" s="13" t="s">
        <v>73</v>
      </c>
      <c r="C10" s="14">
        <v>7525498</v>
      </c>
      <c r="D10" s="14">
        <v>0</v>
      </c>
      <c r="E10" s="15">
        <v>0</v>
      </c>
      <c r="F10" s="13" t="s">
        <v>74</v>
      </c>
    </row>
    <row r="11" spans="1:6" x14ac:dyDescent="0.25">
      <c r="A11" s="16" t="s">
        <v>75</v>
      </c>
      <c r="B11" s="16" t="s">
        <v>76</v>
      </c>
      <c r="C11" s="17">
        <v>7525498</v>
      </c>
      <c r="D11" s="17">
        <v>0</v>
      </c>
      <c r="E11" s="18">
        <v>0</v>
      </c>
      <c r="F11" s="16" t="s">
        <v>77</v>
      </c>
    </row>
    <row r="12" spans="1:6" x14ac:dyDescent="0.25">
      <c r="A12" s="13" t="s">
        <v>78</v>
      </c>
      <c r="B12" s="13" t="s">
        <v>79</v>
      </c>
      <c r="C12" s="14">
        <v>7525498</v>
      </c>
      <c r="D12" s="14">
        <v>0</v>
      </c>
      <c r="E12" s="15">
        <v>0</v>
      </c>
      <c r="F12" s="13" t="s">
        <v>80</v>
      </c>
    </row>
    <row r="13" spans="1:6" x14ac:dyDescent="0.25">
      <c r="A13" s="16" t="s">
        <v>81</v>
      </c>
      <c r="B13" s="16" t="s">
        <v>82</v>
      </c>
      <c r="C13" s="17">
        <v>7503670</v>
      </c>
      <c r="D13" s="17">
        <v>21828</v>
      </c>
      <c r="E13" s="18">
        <v>2.8999999999999998E-3</v>
      </c>
      <c r="F13" s="16" t="s">
        <v>83</v>
      </c>
    </row>
    <row r="14" spans="1:6" x14ac:dyDescent="0.25">
      <c r="A14" s="13" t="s">
        <v>84</v>
      </c>
      <c r="B14" s="13" t="s">
        <v>85</v>
      </c>
      <c r="C14" s="14">
        <v>7459939</v>
      </c>
      <c r="D14" s="14">
        <v>65559</v>
      </c>
      <c r="E14" s="15">
        <v>8.6999999999999994E-3</v>
      </c>
      <c r="F14" s="13" t="s">
        <v>86</v>
      </c>
    </row>
    <row r="15" spans="1:6" x14ac:dyDescent="0.25">
      <c r="A15" s="16" t="s">
        <v>87</v>
      </c>
      <c r="B15" s="16" t="s">
        <v>88</v>
      </c>
      <c r="C15" s="17">
        <v>7413511</v>
      </c>
      <c r="D15" s="17">
        <v>111987</v>
      </c>
      <c r="E15" s="18">
        <v>1.49E-2</v>
      </c>
      <c r="F15" s="16" t="s">
        <v>89</v>
      </c>
    </row>
    <row r="16" spans="1:6" x14ac:dyDescent="0.25">
      <c r="A16" s="13" t="s">
        <v>90</v>
      </c>
      <c r="B16" s="13" t="s">
        <v>91</v>
      </c>
      <c r="C16" s="14">
        <v>7395802</v>
      </c>
      <c r="D16" s="14">
        <v>129696</v>
      </c>
      <c r="E16" s="15">
        <v>1.72E-2</v>
      </c>
      <c r="F16" s="13" t="s">
        <v>92</v>
      </c>
    </row>
    <row r="17" spans="1:6" x14ac:dyDescent="0.25">
      <c r="A17" s="16" t="s">
        <v>93</v>
      </c>
      <c r="B17" s="16" t="s">
        <v>94</v>
      </c>
      <c r="C17" s="17">
        <v>6600325</v>
      </c>
      <c r="D17" s="17">
        <v>925173</v>
      </c>
      <c r="E17" s="18">
        <v>0.1229</v>
      </c>
      <c r="F17" s="16" t="s">
        <v>95</v>
      </c>
    </row>
    <row r="18" spans="1:6" x14ac:dyDescent="0.25">
      <c r="A18" s="13" t="s">
        <v>96</v>
      </c>
      <c r="B18" s="13" t="s">
        <v>97</v>
      </c>
      <c r="C18" s="14">
        <v>7285194</v>
      </c>
      <c r="D18" s="14">
        <v>240304</v>
      </c>
      <c r="E18" s="15">
        <v>3.1899999999999998E-2</v>
      </c>
      <c r="F18" s="13" t="s">
        <v>98</v>
      </c>
    </row>
    <row r="21" spans="1:6" ht="15.6" x14ac:dyDescent="0.3">
      <c r="A21" s="4" t="s">
        <v>99</v>
      </c>
    </row>
    <row r="22" spans="1:6" x14ac:dyDescent="0.25">
      <c r="A22" s="19" t="s">
        <v>100</v>
      </c>
      <c r="B22" s="19" t="s">
        <v>101</v>
      </c>
      <c r="C22" s="19" t="s">
        <v>102</v>
      </c>
      <c r="D22" s="19" t="s">
        <v>103</v>
      </c>
      <c r="E22" s="19" t="s">
        <v>104</v>
      </c>
      <c r="F22" s="19" t="s">
        <v>105</v>
      </c>
    </row>
    <row r="23" spans="1:6" x14ac:dyDescent="0.25">
      <c r="A23" s="8" t="s">
        <v>106</v>
      </c>
      <c r="B23" s="17">
        <v>248139</v>
      </c>
      <c r="C23" s="17">
        <v>246067</v>
      </c>
      <c r="D23" s="18">
        <v>0.99159999999999993</v>
      </c>
      <c r="E23" s="20">
        <v>4.8499999999999996</v>
      </c>
      <c r="F23" s="16" t="s">
        <v>107</v>
      </c>
    </row>
    <row r="24" spans="1:6" x14ac:dyDescent="0.25">
      <c r="A24" s="11" t="s">
        <v>108</v>
      </c>
      <c r="B24" s="14">
        <v>306803</v>
      </c>
      <c r="C24" s="14">
        <v>302257</v>
      </c>
      <c r="D24" s="15">
        <v>0.98519999999999996</v>
      </c>
      <c r="E24" s="21">
        <v>7.49</v>
      </c>
      <c r="F24" s="13" t="s">
        <v>109</v>
      </c>
    </row>
    <row r="25" spans="1:6" x14ac:dyDescent="0.25">
      <c r="A25" s="8" t="s">
        <v>110</v>
      </c>
      <c r="B25" s="17">
        <v>293515</v>
      </c>
      <c r="C25" s="17">
        <v>289247</v>
      </c>
      <c r="D25" s="18">
        <v>0.98549999999999993</v>
      </c>
      <c r="E25" s="20">
        <v>12.68</v>
      </c>
      <c r="F25" s="16" t="s">
        <v>109</v>
      </c>
    </row>
    <row r="26" spans="1:6" x14ac:dyDescent="0.25">
      <c r="A26" s="11" t="s">
        <v>111</v>
      </c>
      <c r="B26" s="14">
        <v>313949</v>
      </c>
      <c r="C26" s="14">
        <v>311163</v>
      </c>
      <c r="D26" s="15">
        <v>0.99109999999999998</v>
      </c>
      <c r="E26" s="21">
        <v>18.28</v>
      </c>
      <c r="F26" s="13" t="s">
        <v>109</v>
      </c>
    </row>
    <row r="27" spans="1:6" x14ac:dyDescent="0.25">
      <c r="A27" s="8" t="s">
        <v>112</v>
      </c>
      <c r="B27" s="17">
        <v>348180</v>
      </c>
      <c r="C27" s="17">
        <v>346312</v>
      </c>
      <c r="D27" s="18">
        <v>0.99459999999999993</v>
      </c>
      <c r="E27" s="20">
        <v>15.1</v>
      </c>
      <c r="F27" s="16" t="s">
        <v>109</v>
      </c>
    </row>
    <row r="28" spans="1:6" x14ac:dyDescent="0.25">
      <c r="A28" s="11" t="s">
        <v>113</v>
      </c>
      <c r="B28" s="14">
        <v>255364</v>
      </c>
      <c r="C28" s="14">
        <v>252362</v>
      </c>
      <c r="D28" s="15">
        <v>0.98819999999999997</v>
      </c>
      <c r="E28" s="21">
        <v>13.8</v>
      </c>
      <c r="F28" s="13" t="s">
        <v>109</v>
      </c>
    </row>
    <row r="29" spans="1:6" x14ac:dyDescent="0.25">
      <c r="A29" s="8" t="s">
        <v>114</v>
      </c>
      <c r="B29" s="17">
        <v>281221</v>
      </c>
      <c r="C29" s="17">
        <v>278554</v>
      </c>
      <c r="D29" s="18">
        <v>0.99049999999999994</v>
      </c>
      <c r="E29" s="20">
        <v>8.42</v>
      </c>
      <c r="F29" s="16" t="s">
        <v>109</v>
      </c>
    </row>
    <row r="30" spans="1:6" x14ac:dyDescent="0.25">
      <c r="A30" s="11" t="s">
        <v>115</v>
      </c>
      <c r="B30" s="14">
        <v>272549</v>
      </c>
      <c r="C30" s="14">
        <v>269361</v>
      </c>
      <c r="D30" s="15">
        <v>0.98829999999999996</v>
      </c>
      <c r="E30" s="21">
        <v>6.99</v>
      </c>
      <c r="F30" s="13" t="s">
        <v>109</v>
      </c>
    </row>
    <row r="31" spans="1:6" x14ac:dyDescent="0.25">
      <c r="A31" s="8" t="s">
        <v>116</v>
      </c>
      <c r="B31" s="17">
        <v>295058</v>
      </c>
      <c r="C31" s="17">
        <v>290760</v>
      </c>
      <c r="D31" s="18">
        <v>0.98540000000000005</v>
      </c>
      <c r="E31" s="20">
        <v>4.1399999999999997</v>
      </c>
      <c r="F31" s="16" t="s">
        <v>109</v>
      </c>
    </row>
    <row r="32" spans="1:6" x14ac:dyDescent="0.25">
      <c r="A32" s="11" t="s">
        <v>117</v>
      </c>
      <c r="B32" s="14">
        <v>306442</v>
      </c>
      <c r="C32" s="14">
        <v>302485</v>
      </c>
      <c r="D32" s="15">
        <v>0.98709999999999998</v>
      </c>
      <c r="E32" s="21">
        <v>3.52</v>
      </c>
      <c r="F32" s="13" t="s">
        <v>109</v>
      </c>
    </row>
    <row r="33" spans="1:6" x14ac:dyDescent="0.25">
      <c r="A33" s="8" t="s">
        <v>118</v>
      </c>
      <c r="B33" s="17">
        <v>315883</v>
      </c>
      <c r="C33" s="17">
        <v>311380</v>
      </c>
      <c r="D33" s="18">
        <v>0.98569999999999991</v>
      </c>
      <c r="E33" s="20">
        <v>4.62</v>
      </c>
      <c r="F33" s="16" t="s">
        <v>109</v>
      </c>
    </row>
    <row r="34" spans="1:6" x14ac:dyDescent="0.25">
      <c r="A34" s="11" t="s">
        <v>119</v>
      </c>
      <c r="B34" s="14">
        <v>304039</v>
      </c>
      <c r="C34" s="14">
        <v>298173</v>
      </c>
      <c r="D34" s="15">
        <v>0.98069999999999991</v>
      </c>
      <c r="E34" s="21">
        <v>3.94</v>
      </c>
      <c r="F34" s="13" t="s">
        <v>109</v>
      </c>
    </row>
    <row r="35" spans="1:6" x14ac:dyDescent="0.25">
      <c r="A35" s="8" t="s">
        <v>120</v>
      </c>
      <c r="B35" s="17">
        <v>302684</v>
      </c>
      <c r="C35" s="17">
        <v>295526</v>
      </c>
      <c r="D35" s="18">
        <v>0.97640000000000005</v>
      </c>
      <c r="E35" s="20">
        <v>3.7</v>
      </c>
      <c r="F35" s="16" t="s">
        <v>109</v>
      </c>
    </row>
    <row r="36" spans="1:6" x14ac:dyDescent="0.25">
      <c r="A36" s="11" t="s">
        <v>121</v>
      </c>
      <c r="B36" s="14">
        <v>336612</v>
      </c>
      <c r="C36" s="14">
        <v>329071</v>
      </c>
      <c r="D36" s="15">
        <v>0.97760000000000002</v>
      </c>
      <c r="E36" s="21">
        <v>4.82</v>
      </c>
      <c r="F36" s="13" t="s">
        <v>109</v>
      </c>
    </row>
    <row r="37" spans="1:6" x14ac:dyDescent="0.25">
      <c r="A37" s="8" t="s">
        <v>122</v>
      </c>
      <c r="B37" s="17">
        <v>304905</v>
      </c>
      <c r="C37" s="17">
        <v>300014</v>
      </c>
      <c r="D37" s="18">
        <v>0.9840000000000001</v>
      </c>
      <c r="E37" s="20">
        <v>7.68</v>
      </c>
      <c r="F37" s="16" t="s">
        <v>109</v>
      </c>
    </row>
    <row r="38" spans="1:6" x14ac:dyDescent="0.25">
      <c r="A38" s="11" t="s">
        <v>123</v>
      </c>
      <c r="B38" s="14">
        <v>332103</v>
      </c>
      <c r="C38" s="14">
        <v>326704</v>
      </c>
      <c r="D38" s="15">
        <v>0.98370000000000002</v>
      </c>
      <c r="E38" s="21">
        <v>12.46</v>
      </c>
      <c r="F38" s="13" t="s">
        <v>109</v>
      </c>
    </row>
    <row r="39" spans="1:6" x14ac:dyDescent="0.25">
      <c r="A39" s="8" t="s">
        <v>124</v>
      </c>
      <c r="B39" s="17">
        <v>348511</v>
      </c>
      <c r="C39" s="17">
        <v>339180</v>
      </c>
      <c r="D39" s="18">
        <v>0.97319999999999995</v>
      </c>
      <c r="E39" s="20">
        <v>25.9</v>
      </c>
      <c r="F39" s="16" t="s">
        <v>109</v>
      </c>
    </row>
    <row r="40" spans="1:6" x14ac:dyDescent="0.25">
      <c r="A40" s="11" t="s">
        <v>125</v>
      </c>
      <c r="B40" s="14">
        <v>334690</v>
      </c>
      <c r="C40" s="14">
        <v>321588</v>
      </c>
      <c r="D40" s="15">
        <v>0.96090000000000009</v>
      </c>
      <c r="E40" s="21">
        <v>17.010000000000002</v>
      </c>
      <c r="F40" s="13" t="s">
        <v>109</v>
      </c>
    </row>
    <row r="41" spans="1:6" x14ac:dyDescent="0.25">
      <c r="A41" s="8" t="s">
        <v>126</v>
      </c>
      <c r="B41" s="17">
        <v>342387</v>
      </c>
      <c r="C41" s="17">
        <v>329466</v>
      </c>
      <c r="D41" s="18">
        <v>0.96230000000000004</v>
      </c>
      <c r="E41" s="20">
        <v>8.2100000000000009</v>
      </c>
      <c r="F41" s="16" t="s">
        <v>109</v>
      </c>
    </row>
    <row r="42" spans="1:6" x14ac:dyDescent="0.25">
      <c r="A42" s="11" t="s">
        <v>127</v>
      </c>
      <c r="B42" s="14">
        <v>302190</v>
      </c>
      <c r="C42" s="14">
        <v>290086</v>
      </c>
      <c r="D42" s="15">
        <v>0.95989999999999998</v>
      </c>
      <c r="E42" s="21">
        <v>6.41</v>
      </c>
      <c r="F42" s="13" t="s">
        <v>109</v>
      </c>
    </row>
    <row r="43" spans="1:6" x14ac:dyDescent="0.25">
      <c r="A43" s="8" t="s">
        <v>128</v>
      </c>
      <c r="B43" s="17">
        <v>331978</v>
      </c>
      <c r="C43" s="17">
        <v>316509</v>
      </c>
      <c r="D43" s="18">
        <v>0.95340000000000003</v>
      </c>
      <c r="E43" s="20">
        <v>5.0999999999999996</v>
      </c>
      <c r="F43" s="16" t="s">
        <v>109</v>
      </c>
    </row>
    <row r="44" spans="1:6" x14ac:dyDescent="0.25">
      <c r="A44" s="11" t="s">
        <v>129</v>
      </c>
      <c r="B44" s="14">
        <v>334833</v>
      </c>
      <c r="C44" s="14">
        <v>316170</v>
      </c>
      <c r="D44" s="15">
        <v>0.94430000000000003</v>
      </c>
      <c r="E44" s="21">
        <v>5.56</v>
      </c>
      <c r="F44" s="13" t="s">
        <v>130</v>
      </c>
    </row>
    <row r="45" spans="1:6" x14ac:dyDescent="0.25">
      <c r="A45" s="8" t="s">
        <v>131</v>
      </c>
      <c r="B45" s="17">
        <v>343043</v>
      </c>
      <c r="C45" s="17">
        <v>313088</v>
      </c>
      <c r="D45" s="18">
        <v>0.91269999999999996</v>
      </c>
      <c r="E45" s="20">
        <v>4.82</v>
      </c>
      <c r="F45" s="16" t="s">
        <v>130</v>
      </c>
    </row>
    <row r="46" spans="1:6" x14ac:dyDescent="0.25">
      <c r="A46" s="22" t="s">
        <v>132</v>
      </c>
      <c r="B46" s="23">
        <v>328446</v>
      </c>
      <c r="C46" s="23">
        <v>275267</v>
      </c>
      <c r="D46" s="24">
        <v>0.83810000000000007</v>
      </c>
      <c r="E46" s="25">
        <v>4.09</v>
      </c>
      <c r="F46" s="26" t="s">
        <v>133</v>
      </c>
    </row>
    <row r="47" spans="1:6" x14ac:dyDescent="0.25">
      <c r="A47" s="22" t="s">
        <v>134</v>
      </c>
      <c r="B47" s="23">
        <v>41974</v>
      </c>
      <c r="C47" s="23">
        <v>24559</v>
      </c>
      <c r="D47" s="24">
        <v>0.58509999999999995</v>
      </c>
      <c r="E47" s="25">
        <v>1.88</v>
      </c>
      <c r="F47" s="26" t="s">
        <v>133</v>
      </c>
    </row>
  </sheetData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F5597"/>
  </sheetPr>
  <dimension ref="A1:H45"/>
  <sheetViews>
    <sheetView workbookViewId="0"/>
  </sheetViews>
  <sheetFormatPr defaultRowHeight="14.4" x14ac:dyDescent="0.25"/>
  <cols>
    <col min="1" max="1" width="32" customWidth="1"/>
    <col min="2" max="2" width="14" customWidth="1"/>
    <col min="3" max="3" width="23" customWidth="1"/>
    <col min="4" max="4" width="14" customWidth="1"/>
    <col min="5" max="5" width="16" customWidth="1"/>
    <col min="6" max="6" width="24" customWidth="1"/>
    <col min="7" max="7" width="25" customWidth="1"/>
    <col min="8" max="8" width="52" customWidth="1"/>
  </cols>
  <sheetData>
    <row r="1" spans="1:8" ht="21" x14ac:dyDescent="0.4">
      <c r="A1" s="1" t="s">
        <v>135</v>
      </c>
    </row>
    <row r="2" spans="1:8" x14ac:dyDescent="0.25">
      <c r="A2" s="2" t="s">
        <v>136</v>
      </c>
    </row>
    <row r="4" spans="1:8" ht="15.6" x14ac:dyDescent="0.3">
      <c r="A4" s="4" t="s">
        <v>137</v>
      </c>
    </row>
    <row r="5" spans="1:8" x14ac:dyDescent="0.25">
      <c r="A5" s="5" t="s">
        <v>138</v>
      </c>
      <c r="B5" s="5" t="s">
        <v>139</v>
      </c>
      <c r="C5" s="5" t="s">
        <v>140</v>
      </c>
      <c r="D5" s="5" t="s">
        <v>141</v>
      </c>
      <c r="E5" s="5" t="s">
        <v>142</v>
      </c>
      <c r="F5" s="5" t="s">
        <v>143</v>
      </c>
      <c r="G5" s="5" t="s">
        <v>144</v>
      </c>
      <c r="H5" s="5" t="s">
        <v>145</v>
      </c>
    </row>
    <row r="6" spans="1:8" x14ac:dyDescent="0.25">
      <c r="A6" s="11">
        <v>1</v>
      </c>
      <c r="B6" s="11" t="s">
        <v>108</v>
      </c>
      <c r="C6" s="14">
        <v>306803</v>
      </c>
      <c r="D6" s="11" t="s">
        <v>121</v>
      </c>
      <c r="E6" s="14">
        <v>336612</v>
      </c>
      <c r="F6" s="14">
        <v>29809</v>
      </c>
      <c r="G6" s="15">
        <v>9.7200000000000009E-2</v>
      </c>
      <c r="H6" s="13" t="s">
        <v>146</v>
      </c>
    </row>
    <row r="7" spans="1:8" x14ac:dyDescent="0.25">
      <c r="A7" s="8">
        <v>2</v>
      </c>
      <c r="B7" s="8" t="s">
        <v>110</v>
      </c>
      <c r="C7" s="17">
        <v>293515</v>
      </c>
      <c r="D7" s="8" t="s">
        <v>122</v>
      </c>
      <c r="E7" s="17">
        <v>304905</v>
      </c>
      <c r="F7" s="17">
        <v>11390</v>
      </c>
      <c r="G7" s="18">
        <v>3.8800000000000001E-2</v>
      </c>
      <c r="H7" s="16" t="s">
        <v>146</v>
      </c>
    </row>
    <row r="8" spans="1:8" x14ac:dyDescent="0.25">
      <c r="A8" s="11">
        <v>3</v>
      </c>
      <c r="B8" s="11" t="s">
        <v>111</v>
      </c>
      <c r="C8" s="14">
        <v>313949</v>
      </c>
      <c r="D8" s="11" t="s">
        <v>123</v>
      </c>
      <c r="E8" s="14">
        <v>332103</v>
      </c>
      <c r="F8" s="14">
        <v>18154</v>
      </c>
      <c r="G8" s="15">
        <v>5.7799999999999997E-2</v>
      </c>
      <c r="H8" s="13" t="s">
        <v>146</v>
      </c>
    </row>
    <row r="9" spans="1:8" x14ac:dyDescent="0.25">
      <c r="A9" s="8">
        <v>4</v>
      </c>
      <c r="B9" s="8" t="s">
        <v>112</v>
      </c>
      <c r="C9" s="17">
        <v>348180</v>
      </c>
      <c r="D9" s="8" t="s">
        <v>124</v>
      </c>
      <c r="E9" s="17">
        <v>348511</v>
      </c>
      <c r="F9" s="17">
        <v>331</v>
      </c>
      <c r="G9" s="18">
        <v>1E-3</v>
      </c>
      <c r="H9" s="16" t="s">
        <v>146</v>
      </c>
    </row>
    <row r="10" spans="1:8" x14ac:dyDescent="0.25">
      <c r="A10" s="22">
        <v>5</v>
      </c>
      <c r="B10" s="22" t="s">
        <v>113</v>
      </c>
      <c r="C10" s="23">
        <v>255364</v>
      </c>
      <c r="D10" s="22" t="s">
        <v>125</v>
      </c>
      <c r="E10" s="23">
        <v>334690</v>
      </c>
      <c r="F10" s="23">
        <v>79326</v>
      </c>
      <c r="G10" s="24">
        <v>0.31059999999999999</v>
      </c>
      <c r="H10" s="26" t="s">
        <v>147</v>
      </c>
    </row>
    <row r="11" spans="1:8" x14ac:dyDescent="0.25">
      <c r="A11" s="22">
        <v>6</v>
      </c>
      <c r="B11" s="22" t="s">
        <v>114</v>
      </c>
      <c r="C11" s="23">
        <v>281221</v>
      </c>
      <c r="D11" s="22" t="s">
        <v>126</v>
      </c>
      <c r="E11" s="23">
        <v>342387</v>
      </c>
      <c r="F11" s="23">
        <v>61166</v>
      </c>
      <c r="G11" s="24">
        <v>0.2175</v>
      </c>
      <c r="H11" s="26" t="s">
        <v>148</v>
      </c>
    </row>
    <row r="12" spans="1:8" x14ac:dyDescent="0.25">
      <c r="A12" s="11">
        <v>7</v>
      </c>
      <c r="B12" s="11" t="s">
        <v>115</v>
      </c>
      <c r="C12" s="14">
        <v>272549</v>
      </c>
      <c r="D12" s="11" t="s">
        <v>127</v>
      </c>
      <c r="E12" s="14">
        <v>302190</v>
      </c>
      <c r="F12" s="14">
        <v>29641</v>
      </c>
      <c r="G12" s="15">
        <v>0.10879999999999999</v>
      </c>
      <c r="H12" s="13" t="s">
        <v>149</v>
      </c>
    </row>
    <row r="13" spans="1:8" x14ac:dyDescent="0.25">
      <c r="A13" s="8">
        <v>8</v>
      </c>
      <c r="B13" s="8" t="s">
        <v>116</v>
      </c>
      <c r="C13" s="17">
        <v>295058</v>
      </c>
      <c r="D13" s="8" t="s">
        <v>128</v>
      </c>
      <c r="E13" s="17">
        <v>331978</v>
      </c>
      <c r="F13" s="17">
        <v>36920</v>
      </c>
      <c r="G13" s="18">
        <v>0.12509999999999999</v>
      </c>
      <c r="H13" s="16" t="s">
        <v>149</v>
      </c>
    </row>
    <row r="14" spans="1:8" x14ac:dyDescent="0.25">
      <c r="A14" s="11">
        <v>9</v>
      </c>
      <c r="B14" s="11" t="s">
        <v>117</v>
      </c>
      <c r="C14" s="14">
        <v>306442</v>
      </c>
      <c r="D14" s="11" t="s">
        <v>129</v>
      </c>
      <c r="E14" s="14">
        <v>334833</v>
      </c>
      <c r="F14" s="14">
        <v>28391</v>
      </c>
      <c r="G14" s="15">
        <v>9.2600000000000002E-2</v>
      </c>
      <c r="H14" s="13" t="s">
        <v>146</v>
      </c>
    </row>
    <row r="15" spans="1:8" x14ac:dyDescent="0.25">
      <c r="A15" s="8">
        <v>10</v>
      </c>
      <c r="B15" s="8" t="s">
        <v>118</v>
      </c>
      <c r="C15" s="17">
        <v>315883</v>
      </c>
      <c r="D15" s="8" t="s">
        <v>131</v>
      </c>
      <c r="E15" s="17">
        <v>343043</v>
      </c>
      <c r="F15" s="17">
        <v>27160</v>
      </c>
      <c r="G15" s="18">
        <v>8.5999999999999993E-2</v>
      </c>
      <c r="H15" s="16" t="s">
        <v>146</v>
      </c>
    </row>
    <row r="16" spans="1:8" x14ac:dyDescent="0.25">
      <c r="A16" s="11">
        <v>11</v>
      </c>
      <c r="B16" s="11" t="s">
        <v>119</v>
      </c>
      <c r="C16" s="14">
        <v>304039</v>
      </c>
      <c r="D16" s="11" t="s">
        <v>132</v>
      </c>
      <c r="E16" s="14">
        <v>328446</v>
      </c>
      <c r="F16" s="14">
        <v>24407</v>
      </c>
      <c r="G16" s="15">
        <v>8.0299999999999996E-2</v>
      </c>
      <c r="H16" s="13" t="s">
        <v>146</v>
      </c>
    </row>
    <row r="17" spans="1:8" ht="15" x14ac:dyDescent="0.3">
      <c r="A17" s="27" t="s">
        <v>150</v>
      </c>
      <c r="B17" s="27" t="s">
        <v>151</v>
      </c>
      <c r="C17" s="28">
        <f>SUM(C6:C16)</f>
        <v>3293003</v>
      </c>
      <c r="D17" s="27" t="s">
        <v>151</v>
      </c>
      <c r="E17" s="28">
        <f>SUM(E6:E16)</f>
        <v>3639698</v>
      </c>
      <c r="F17" s="28">
        <f>E17-C17</f>
        <v>346695</v>
      </c>
      <c r="G17" s="29">
        <f>F17/C17</f>
        <v>0.10528232133405284</v>
      </c>
      <c r="H17" s="27" t="s">
        <v>152</v>
      </c>
    </row>
    <row r="19" spans="1:8" ht="15.6" x14ac:dyDescent="0.3">
      <c r="A19" s="4" t="s">
        <v>153</v>
      </c>
    </row>
    <row r="20" spans="1:8" x14ac:dyDescent="0.25">
      <c r="A20" s="19" t="s">
        <v>154</v>
      </c>
      <c r="B20" s="19" t="s">
        <v>155</v>
      </c>
      <c r="C20" s="19" t="s">
        <v>156</v>
      </c>
      <c r="D20" s="19" t="s">
        <v>157</v>
      </c>
      <c r="E20" s="19" t="s">
        <v>158</v>
      </c>
      <c r="F20" s="19" t="s">
        <v>159</v>
      </c>
      <c r="G20" s="19" t="s">
        <v>160</v>
      </c>
      <c r="H20" s="19" t="s">
        <v>161</v>
      </c>
    </row>
    <row r="21" spans="1:8" x14ac:dyDescent="0.25">
      <c r="A21" s="30" t="s">
        <v>162</v>
      </c>
      <c r="B21" s="31" t="s">
        <v>163</v>
      </c>
      <c r="C21" s="32">
        <v>701073</v>
      </c>
      <c r="D21" s="32">
        <v>848019</v>
      </c>
      <c r="E21" s="32">
        <v>146946</v>
      </c>
      <c r="F21" s="33">
        <v>0.20960000000000001</v>
      </c>
      <c r="G21" s="33">
        <v>0.42380000000000001</v>
      </c>
      <c r="H21" s="31" t="s">
        <v>164</v>
      </c>
    </row>
    <row r="22" spans="1:8" x14ac:dyDescent="0.25">
      <c r="A22" s="30" t="s">
        <v>165</v>
      </c>
      <c r="B22" s="31" t="s">
        <v>166</v>
      </c>
      <c r="C22" s="32">
        <v>192453</v>
      </c>
      <c r="D22" s="32">
        <v>259309</v>
      </c>
      <c r="E22" s="32">
        <v>66856</v>
      </c>
      <c r="F22" s="33">
        <v>0.34739999999999999</v>
      </c>
      <c r="G22" s="33">
        <v>0.1928</v>
      </c>
      <c r="H22" s="31" t="s">
        <v>167</v>
      </c>
    </row>
    <row r="23" spans="1:8" x14ac:dyDescent="0.25">
      <c r="A23" s="30" t="s">
        <v>168</v>
      </c>
      <c r="B23" s="31" t="s">
        <v>169</v>
      </c>
      <c r="C23" s="32">
        <v>1519410</v>
      </c>
      <c r="D23" s="32">
        <v>1577910</v>
      </c>
      <c r="E23" s="32">
        <v>58500</v>
      </c>
      <c r="F23" s="33">
        <v>3.85E-2</v>
      </c>
      <c r="G23" s="33">
        <v>0.16869999999999999</v>
      </c>
      <c r="H23" s="31" t="s">
        <v>170</v>
      </c>
    </row>
    <row r="24" spans="1:8" x14ac:dyDescent="0.25">
      <c r="A24" s="30" t="s">
        <v>171</v>
      </c>
      <c r="B24" s="31" t="s">
        <v>172</v>
      </c>
      <c r="C24" s="32">
        <v>297848</v>
      </c>
      <c r="D24" s="32">
        <v>330993</v>
      </c>
      <c r="E24" s="32">
        <v>33145</v>
      </c>
      <c r="F24" s="33">
        <v>0.1113</v>
      </c>
      <c r="G24" s="33">
        <v>9.5600000000000004E-2</v>
      </c>
      <c r="H24" s="31" t="s">
        <v>173</v>
      </c>
    </row>
    <row r="25" spans="1:8" x14ac:dyDescent="0.25">
      <c r="A25" s="6" t="s">
        <v>174</v>
      </c>
      <c r="B25" s="16" t="s">
        <v>175</v>
      </c>
      <c r="C25" s="17">
        <v>98166</v>
      </c>
      <c r="D25" s="17">
        <v>122517</v>
      </c>
      <c r="E25" s="17">
        <v>24351</v>
      </c>
      <c r="F25" s="18">
        <v>0.24809999999999999</v>
      </c>
      <c r="G25" s="18">
        <v>7.0199999999999999E-2</v>
      </c>
      <c r="H25" s="16" t="s">
        <v>176</v>
      </c>
    </row>
    <row r="26" spans="1:8" x14ac:dyDescent="0.25">
      <c r="A26" s="9" t="s">
        <v>177</v>
      </c>
      <c r="B26" s="13" t="s">
        <v>178</v>
      </c>
      <c r="C26" s="14">
        <v>92680</v>
      </c>
      <c r="D26" s="14">
        <v>109581</v>
      </c>
      <c r="E26" s="14">
        <v>16901</v>
      </c>
      <c r="F26" s="15">
        <v>0.18240000000000001</v>
      </c>
      <c r="G26" s="15">
        <v>4.87E-2</v>
      </c>
      <c r="H26" s="13" t="s">
        <v>179</v>
      </c>
    </row>
    <row r="27" spans="1:8" x14ac:dyDescent="0.25">
      <c r="A27" s="6" t="s">
        <v>180</v>
      </c>
      <c r="B27" s="16" t="s">
        <v>181</v>
      </c>
      <c r="C27" s="17">
        <v>192648</v>
      </c>
      <c r="D27" s="17">
        <v>202049</v>
      </c>
      <c r="E27" s="17">
        <v>9401</v>
      </c>
      <c r="F27" s="18">
        <v>4.8800000000000003E-2</v>
      </c>
      <c r="G27" s="18">
        <v>2.7099999999999999E-2</v>
      </c>
      <c r="H27" s="16" t="s">
        <v>182</v>
      </c>
    </row>
    <row r="28" spans="1:8" x14ac:dyDescent="0.25">
      <c r="A28" s="9" t="s">
        <v>183</v>
      </c>
      <c r="B28" s="13" t="s">
        <v>184</v>
      </c>
      <c r="C28" s="14">
        <v>0</v>
      </c>
      <c r="D28" s="14">
        <v>3958</v>
      </c>
      <c r="E28" s="14">
        <v>3958</v>
      </c>
      <c r="F28" s="15">
        <v>0</v>
      </c>
      <c r="G28" s="15">
        <v>1.14E-2</v>
      </c>
      <c r="H28" s="13" t="s">
        <v>185</v>
      </c>
    </row>
    <row r="29" spans="1:8" x14ac:dyDescent="0.25">
      <c r="A29" s="6" t="s">
        <v>186</v>
      </c>
      <c r="B29" s="16" t="s">
        <v>187</v>
      </c>
      <c r="C29" s="17">
        <v>33209</v>
      </c>
      <c r="D29" s="17">
        <v>35741</v>
      </c>
      <c r="E29" s="17">
        <v>2532</v>
      </c>
      <c r="F29" s="18">
        <v>7.6200000000000004E-2</v>
      </c>
      <c r="G29" s="18">
        <v>7.3000000000000001E-3</v>
      </c>
      <c r="H29" s="16" t="s">
        <v>188</v>
      </c>
    </row>
    <row r="30" spans="1:8" x14ac:dyDescent="0.25">
      <c r="A30" s="9" t="s">
        <v>189</v>
      </c>
      <c r="B30" s="13" t="s">
        <v>190</v>
      </c>
      <c r="C30" s="14">
        <v>16692</v>
      </c>
      <c r="D30" s="14">
        <v>18609</v>
      </c>
      <c r="E30" s="14">
        <v>1917</v>
      </c>
      <c r="F30" s="15">
        <v>0.1148</v>
      </c>
      <c r="G30" s="15">
        <v>5.5000000000000014E-3</v>
      </c>
      <c r="H30" s="13" t="s">
        <v>191</v>
      </c>
    </row>
    <row r="31" spans="1:8" x14ac:dyDescent="0.25">
      <c r="A31" s="6" t="s">
        <v>192</v>
      </c>
      <c r="B31" s="16" t="s">
        <v>193</v>
      </c>
      <c r="C31" s="17">
        <v>0</v>
      </c>
      <c r="D31" s="17">
        <v>371</v>
      </c>
      <c r="E31" s="17">
        <v>371</v>
      </c>
      <c r="F31" s="18">
        <v>0</v>
      </c>
      <c r="G31" s="18">
        <v>1.1000000000000001E-3</v>
      </c>
      <c r="H31" s="16" t="s">
        <v>194</v>
      </c>
    </row>
    <row r="32" spans="1:8" x14ac:dyDescent="0.25">
      <c r="A32" s="9" t="s">
        <v>195</v>
      </c>
      <c r="B32" s="13" t="s">
        <v>196</v>
      </c>
      <c r="C32" s="14">
        <v>175</v>
      </c>
      <c r="D32" s="14">
        <v>238</v>
      </c>
      <c r="E32" s="14">
        <v>63</v>
      </c>
      <c r="F32" s="15">
        <v>0.36</v>
      </c>
      <c r="G32" s="15">
        <v>2.0000000000000001E-4</v>
      </c>
      <c r="H32" s="13" t="s">
        <v>197</v>
      </c>
    </row>
    <row r="33" spans="1:8" x14ac:dyDescent="0.25">
      <c r="A33" s="6" t="s">
        <v>198</v>
      </c>
      <c r="B33" s="16" t="s">
        <v>199</v>
      </c>
      <c r="C33" s="17">
        <v>1695</v>
      </c>
      <c r="D33" s="17">
        <v>1045</v>
      </c>
      <c r="E33" s="17">
        <v>-650</v>
      </c>
      <c r="F33" s="18">
        <v>-0.38350000000000001</v>
      </c>
      <c r="G33" s="18">
        <v>-1.9E-3</v>
      </c>
      <c r="H33" s="16" t="s">
        <v>200</v>
      </c>
    </row>
    <row r="34" spans="1:8" x14ac:dyDescent="0.25">
      <c r="A34" s="9" t="s">
        <v>201</v>
      </c>
      <c r="B34" s="13" t="s">
        <v>202</v>
      </c>
      <c r="C34" s="14">
        <v>79042</v>
      </c>
      <c r="D34" s="14">
        <v>74809</v>
      </c>
      <c r="E34" s="14">
        <v>-4233</v>
      </c>
      <c r="F34" s="15">
        <v>-5.3600000000000002E-2</v>
      </c>
      <c r="G34" s="15">
        <v>-1.2200000000000001E-2</v>
      </c>
      <c r="H34" s="13" t="s">
        <v>203</v>
      </c>
    </row>
    <row r="35" spans="1:8" x14ac:dyDescent="0.25">
      <c r="A35" s="6" t="s">
        <v>204</v>
      </c>
      <c r="B35" s="16" t="s">
        <v>205</v>
      </c>
      <c r="C35" s="17">
        <v>46832</v>
      </c>
      <c r="D35" s="17">
        <v>42530</v>
      </c>
      <c r="E35" s="17">
        <v>-4302</v>
      </c>
      <c r="F35" s="18">
        <v>-9.1899999999999996E-2</v>
      </c>
      <c r="G35" s="18">
        <v>-1.24E-2</v>
      </c>
      <c r="H35" s="16" t="s">
        <v>206</v>
      </c>
    </row>
    <row r="36" spans="1:8" x14ac:dyDescent="0.25">
      <c r="A36" s="9" t="s">
        <v>207</v>
      </c>
      <c r="B36" s="13" t="s">
        <v>208</v>
      </c>
      <c r="C36" s="14">
        <v>21080</v>
      </c>
      <c r="D36" s="14">
        <v>12019</v>
      </c>
      <c r="E36" s="14">
        <v>-9061</v>
      </c>
      <c r="F36" s="15">
        <v>-0.42980000000000002</v>
      </c>
      <c r="G36" s="15">
        <v>-2.6100000000000002E-2</v>
      </c>
      <c r="H36" s="13" t="s">
        <v>209</v>
      </c>
    </row>
    <row r="39" spans="1:8" ht="15.6" x14ac:dyDescent="0.3">
      <c r="A39" s="4" t="s">
        <v>210</v>
      </c>
    </row>
    <row r="40" spans="1:8" x14ac:dyDescent="0.25">
      <c r="A40" s="5" t="s">
        <v>211</v>
      </c>
      <c r="B40" s="5" t="s">
        <v>156</v>
      </c>
      <c r="C40" s="5" t="s">
        <v>212</v>
      </c>
      <c r="D40" s="5" t="s">
        <v>157</v>
      </c>
      <c r="E40" s="5" t="s">
        <v>213</v>
      </c>
      <c r="F40" s="5" t="s">
        <v>214</v>
      </c>
      <c r="G40" s="5" t="s">
        <v>215</v>
      </c>
      <c r="H40" s="5" t="s">
        <v>216</v>
      </c>
    </row>
    <row r="41" spans="1:8" x14ac:dyDescent="0.25">
      <c r="A41" s="30" t="s">
        <v>217</v>
      </c>
      <c r="B41" s="32">
        <v>1377738</v>
      </c>
      <c r="C41" s="33">
        <v>0.41839999999999999</v>
      </c>
      <c r="D41" s="32">
        <v>1703884</v>
      </c>
      <c r="E41" s="33">
        <v>0.46810000000000002</v>
      </c>
      <c r="F41" s="32">
        <v>326146</v>
      </c>
      <c r="G41" s="33">
        <v>0.23669999999999999</v>
      </c>
      <c r="H41" s="31" t="s">
        <v>218</v>
      </c>
    </row>
    <row r="42" spans="1:8" x14ac:dyDescent="0.25">
      <c r="A42" s="9" t="s">
        <v>219</v>
      </c>
      <c r="B42" s="14">
        <v>926181</v>
      </c>
      <c r="C42" s="15">
        <v>0.28129999999999999</v>
      </c>
      <c r="D42" s="14">
        <v>852847</v>
      </c>
      <c r="E42" s="15">
        <v>0.23430000000000001</v>
      </c>
      <c r="F42" s="14">
        <v>-73334</v>
      </c>
      <c r="G42" s="15">
        <v>-7.9199999999999993E-2</v>
      </c>
      <c r="H42" s="13" t="s">
        <v>220</v>
      </c>
    </row>
    <row r="43" spans="1:8" x14ac:dyDescent="0.25">
      <c r="A43" s="6" t="s">
        <v>221</v>
      </c>
      <c r="B43" s="17">
        <v>748613</v>
      </c>
      <c r="C43" s="18">
        <v>0.2273</v>
      </c>
      <c r="D43" s="17">
        <v>771901</v>
      </c>
      <c r="E43" s="18">
        <v>0.21210000000000001</v>
      </c>
      <c r="F43" s="17">
        <v>23288</v>
      </c>
      <c r="G43" s="18">
        <v>3.1099999999999999E-2</v>
      </c>
      <c r="H43" s="16" t="s">
        <v>222</v>
      </c>
    </row>
    <row r="44" spans="1:8" x14ac:dyDescent="0.25">
      <c r="A44" s="9" t="s">
        <v>223</v>
      </c>
      <c r="B44" s="14">
        <v>240448</v>
      </c>
      <c r="C44" s="15">
        <v>7.2999999999999995E-2</v>
      </c>
      <c r="D44" s="14">
        <v>309137</v>
      </c>
      <c r="E44" s="15">
        <v>8.4900000000000003E-2</v>
      </c>
      <c r="F44" s="14">
        <v>68689</v>
      </c>
      <c r="G44" s="15">
        <v>0.28570000000000001</v>
      </c>
      <c r="H44" s="13" t="s">
        <v>224</v>
      </c>
    </row>
    <row r="45" spans="1:8" x14ac:dyDescent="0.25">
      <c r="A45" s="6" t="s">
        <v>225</v>
      </c>
      <c r="B45" s="17">
        <v>23</v>
      </c>
      <c r="C45" s="18">
        <v>0</v>
      </c>
      <c r="D45" s="17">
        <v>1929</v>
      </c>
      <c r="E45" s="18">
        <v>5.0000000000000001E-4</v>
      </c>
      <c r="F45" s="17">
        <v>1906</v>
      </c>
      <c r="G45" s="18">
        <v>82.869599999999991</v>
      </c>
      <c r="H45" s="16" t="s">
        <v>226</v>
      </c>
    </row>
  </sheetData>
  <phoneticPr fontId="7" type="noConversion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4E78"/>
  </sheetPr>
  <dimension ref="A1:M33"/>
  <sheetViews>
    <sheetView workbookViewId="0"/>
  </sheetViews>
  <sheetFormatPr defaultRowHeight="14.4" x14ac:dyDescent="0.25"/>
  <cols>
    <col min="1" max="1" width="57" customWidth="1"/>
    <col min="2" max="4" width="14" customWidth="1"/>
    <col min="5" max="5" width="16" customWidth="1"/>
    <col min="6" max="6" width="46" customWidth="1"/>
    <col min="7" max="7" width="14" customWidth="1"/>
    <col min="8" max="8" width="34" customWidth="1"/>
    <col min="9" max="12" width="14" customWidth="1"/>
    <col min="13" max="13" width="50" customWidth="1"/>
  </cols>
  <sheetData>
    <row r="1" spans="1:13" ht="21" x14ac:dyDescent="0.4">
      <c r="A1" s="1" t="s">
        <v>227</v>
      </c>
    </row>
    <row r="2" spans="1:13" x14ac:dyDescent="0.25">
      <c r="A2" s="2" t="s">
        <v>228</v>
      </c>
    </row>
    <row r="4" spans="1:13" ht="15.6" x14ac:dyDescent="0.3">
      <c r="A4" s="4" t="s">
        <v>229</v>
      </c>
      <c r="H4" s="4" t="s">
        <v>230</v>
      </c>
    </row>
    <row r="5" spans="1:13" x14ac:dyDescent="0.25">
      <c r="A5" s="5" t="s">
        <v>231</v>
      </c>
      <c r="B5" s="5" t="s">
        <v>232</v>
      </c>
      <c r="C5" s="5" t="s">
        <v>233</v>
      </c>
      <c r="D5" s="5" t="s">
        <v>234</v>
      </c>
      <c r="E5" s="5" t="s">
        <v>235</v>
      </c>
      <c r="F5" s="5" t="s">
        <v>236</v>
      </c>
      <c r="H5" s="19" t="s">
        <v>237</v>
      </c>
      <c r="I5" s="19" t="s">
        <v>238</v>
      </c>
      <c r="J5" s="19" t="s">
        <v>239</v>
      </c>
      <c r="K5" s="19" t="s">
        <v>240</v>
      </c>
      <c r="L5" s="19" t="s">
        <v>241</v>
      </c>
      <c r="M5" s="19" t="s">
        <v>242</v>
      </c>
    </row>
    <row r="6" spans="1:13" x14ac:dyDescent="0.25">
      <c r="A6" s="11" t="s">
        <v>243</v>
      </c>
      <c r="B6" s="14">
        <v>15684</v>
      </c>
      <c r="C6" s="14">
        <v>722</v>
      </c>
      <c r="D6" s="14">
        <v>4688</v>
      </c>
      <c r="E6" s="14">
        <v>1028</v>
      </c>
      <c r="F6" s="13" t="s">
        <v>244</v>
      </c>
      <c r="H6" s="34" t="s">
        <v>245</v>
      </c>
      <c r="I6" s="23">
        <v>4313</v>
      </c>
      <c r="J6" s="23">
        <v>22790</v>
      </c>
      <c r="K6" s="23">
        <v>18477</v>
      </c>
      <c r="L6" s="35" t="s">
        <v>246</v>
      </c>
      <c r="M6" s="26" t="s">
        <v>247</v>
      </c>
    </row>
    <row r="7" spans="1:13" x14ac:dyDescent="0.25">
      <c r="A7" s="8" t="s">
        <v>248</v>
      </c>
      <c r="B7" s="17">
        <v>14173</v>
      </c>
      <c r="C7" s="17">
        <v>1240</v>
      </c>
      <c r="D7" s="17">
        <v>3685</v>
      </c>
      <c r="E7" s="17">
        <v>988</v>
      </c>
      <c r="F7" s="16" t="s">
        <v>244</v>
      </c>
      <c r="H7" s="36" t="s">
        <v>249</v>
      </c>
      <c r="I7" s="17">
        <v>711</v>
      </c>
      <c r="J7" s="17">
        <v>2419</v>
      </c>
      <c r="K7" s="17">
        <v>1708</v>
      </c>
      <c r="L7" s="6" t="s">
        <v>250</v>
      </c>
      <c r="M7" s="16" t="s">
        <v>251</v>
      </c>
    </row>
    <row r="8" spans="1:13" x14ac:dyDescent="0.25">
      <c r="A8" s="11" t="s">
        <v>252</v>
      </c>
      <c r="B8" s="14">
        <v>12893</v>
      </c>
      <c r="C8" s="14">
        <v>1022</v>
      </c>
      <c r="D8" s="14">
        <v>2531</v>
      </c>
      <c r="E8" s="14">
        <v>943</v>
      </c>
      <c r="F8" s="13" t="s">
        <v>244</v>
      </c>
      <c r="H8" s="37" t="s">
        <v>253</v>
      </c>
      <c r="I8" s="14">
        <v>480</v>
      </c>
      <c r="J8" s="14">
        <v>806</v>
      </c>
      <c r="K8" s="14">
        <v>326</v>
      </c>
      <c r="L8" s="9" t="s">
        <v>254</v>
      </c>
      <c r="M8" s="13" t="s">
        <v>255</v>
      </c>
    </row>
    <row r="9" spans="1:13" x14ac:dyDescent="0.25">
      <c r="A9" s="8" t="s">
        <v>256</v>
      </c>
      <c r="B9" s="17">
        <v>11831</v>
      </c>
      <c r="C9" s="17">
        <v>889</v>
      </c>
      <c r="D9" s="17">
        <v>1973</v>
      </c>
      <c r="E9" s="17">
        <v>901</v>
      </c>
      <c r="F9" s="16" t="s">
        <v>244</v>
      </c>
      <c r="H9" s="36" t="s">
        <v>257</v>
      </c>
      <c r="I9" s="17">
        <v>300</v>
      </c>
      <c r="J9" s="17">
        <v>718</v>
      </c>
      <c r="K9" s="17">
        <v>418</v>
      </c>
      <c r="L9" s="6" t="s">
        <v>258</v>
      </c>
      <c r="M9" s="16" t="s">
        <v>259</v>
      </c>
    </row>
    <row r="10" spans="1:13" x14ac:dyDescent="0.25">
      <c r="A10" s="11" t="s">
        <v>260</v>
      </c>
      <c r="B10" s="14">
        <v>11589</v>
      </c>
      <c r="C10" s="14">
        <v>770</v>
      </c>
      <c r="D10" s="14">
        <v>2155</v>
      </c>
      <c r="E10" s="14">
        <v>941</v>
      </c>
      <c r="F10" s="13" t="s">
        <v>244</v>
      </c>
      <c r="H10" s="37" t="s">
        <v>261</v>
      </c>
      <c r="I10" s="14">
        <v>369</v>
      </c>
      <c r="J10" s="14">
        <v>417</v>
      </c>
      <c r="K10" s="14">
        <v>48</v>
      </c>
      <c r="L10" s="9" t="s">
        <v>262</v>
      </c>
      <c r="M10" s="13" t="s">
        <v>263</v>
      </c>
    </row>
    <row r="11" spans="1:13" x14ac:dyDescent="0.25">
      <c r="A11" s="8" t="s">
        <v>264</v>
      </c>
      <c r="B11" s="17">
        <v>10826</v>
      </c>
      <c r="C11" s="17">
        <v>543</v>
      </c>
      <c r="D11" s="17">
        <v>1999</v>
      </c>
      <c r="E11" s="17">
        <v>856</v>
      </c>
      <c r="F11" s="16" t="s">
        <v>244</v>
      </c>
      <c r="H11" s="36" t="s">
        <v>265</v>
      </c>
      <c r="I11" s="17">
        <v>255</v>
      </c>
      <c r="J11" s="17">
        <v>692</v>
      </c>
      <c r="K11" s="17">
        <v>437</v>
      </c>
      <c r="L11" s="6" t="s">
        <v>266</v>
      </c>
      <c r="M11" s="16" t="s">
        <v>267</v>
      </c>
    </row>
    <row r="12" spans="1:13" x14ac:dyDescent="0.25">
      <c r="A12" s="38" t="s">
        <v>268</v>
      </c>
      <c r="B12" s="32">
        <v>11153</v>
      </c>
      <c r="C12" s="32">
        <v>241</v>
      </c>
      <c r="D12" s="32">
        <v>3843</v>
      </c>
      <c r="E12" s="32">
        <v>831</v>
      </c>
      <c r="F12" s="31" t="s">
        <v>269</v>
      </c>
      <c r="H12" s="37" t="s">
        <v>270</v>
      </c>
      <c r="I12" s="14">
        <v>352</v>
      </c>
      <c r="J12" s="14">
        <v>365</v>
      </c>
      <c r="K12" s="14">
        <v>13</v>
      </c>
      <c r="L12" s="9" t="s">
        <v>271</v>
      </c>
      <c r="M12" s="13" t="s">
        <v>272</v>
      </c>
    </row>
    <row r="13" spans="1:13" x14ac:dyDescent="0.25">
      <c r="A13" s="38" t="s">
        <v>273</v>
      </c>
      <c r="B13" s="32">
        <v>14514</v>
      </c>
      <c r="C13" s="32">
        <v>243</v>
      </c>
      <c r="D13" s="32">
        <v>6118</v>
      </c>
      <c r="E13" s="32">
        <v>818</v>
      </c>
      <c r="F13" s="31" t="s">
        <v>269</v>
      </c>
      <c r="H13" s="36" t="s">
        <v>274</v>
      </c>
      <c r="I13" s="17">
        <v>42</v>
      </c>
      <c r="J13" s="17">
        <v>132</v>
      </c>
      <c r="K13" s="17">
        <v>90</v>
      </c>
      <c r="L13" s="6" t="s">
        <v>275</v>
      </c>
      <c r="M13" s="16" t="s">
        <v>276</v>
      </c>
    </row>
    <row r="14" spans="1:13" x14ac:dyDescent="0.25">
      <c r="A14" s="38" t="s">
        <v>277</v>
      </c>
      <c r="B14" s="32">
        <v>14842</v>
      </c>
      <c r="C14" s="32">
        <v>383</v>
      </c>
      <c r="D14" s="32">
        <v>4227</v>
      </c>
      <c r="E14" s="32">
        <v>812</v>
      </c>
      <c r="F14" s="31" t="s">
        <v>269</v>
      </c>
    </row>
    <row r="15" spans="1:13" x14ac:dyDescent="0.25">
      <c r="A15" s="8" t="s">
        <v>278</v>
      </c>
      <c r="B15" s="17">
        <v>12900</v>
      </c>
      <c r="C15" s="17">
        <v>470</v>
      </c>
      <c r="D15" s="17">
        <v>2594</v>
      </c>
      <c r="E15" s="17">
        <v>816</v>
      </c>
      <c r="F15" s="16" t="s">
        <v>244</v>
      </c>
    </row>
    <row r="16" spans="1:13" x14ac:dyDescent="0.25">
      <c r="A16" s="11" t="s">
        <v>279</v>
      </c>
      <c r="B16" s="14">
        <v>11509</v>
      </c>
      <c r="C16" s="14">
        <v>407</v>
      </c>
      <c r="D16" s="14">
        <v>1659</v>
      </c>
      <c r="E16" s="14">
        <v>756</v>
      </c>
      <c r="F16" s="13" t="s">
        <v>244</v>
      </c>
    </row>
    <row r="17" spans="1:6" x14ac:dyDescent="0.25">
      <c r="A17" s="8" t="s">
        <v>280</v>
      </c>
      <c r="B17" s="17">
        <v>10939</v>
      </c>
      <c r="C17" s="17">
        <v>297</v>
      </c>
      <c r="D17" s="17">
        <v>1599</v>
      </c>
      <c r="E17" s="17">
        <v>742</v>
      </c>
      <c r="F17" s="16" t="s">
        <v>244</v>
      </c>
    </row>
    <row r="18" spans="1:6" x14ac:dyDescent="0.25">
      <c r="A18" s="11" t="s">
        <v>281</v>
      </c>
      <c r="B18" s="14">
        <v>10573</v>
      </c>
      <c r="C18" s="14">
        <v>210</v>
      </c>
      <c r="D18" s="14">
        <v>1541</v>
      </c>
      <c r="E18" s="14">
        <v>667</v>
      </c>
      <c r="F18" s="13" t="s">
        <v>244</v>
      </c>
    </row>
    <row r="19" spans="1:6" x14ac:dyDescent="0.25">
      <c r="A19" s="8" t="s">
        <v>282</v>
      </c>
      <c r="B19" s="17">
        <v>8935</v>
      </c>
      <c r="C19" s="17">
        <v>123</v>
      </c>
      <c r="D19" s="17">
        <v>1135</v>
      </c>
      <c r="E19" s="17">
        <v>767</v>
      </c>
      <c r="F19" s="16" t="s">
        <v>244</v>
      </c>
    </row>
    <row r="20" spans="1:6" x14ac:dyDescent="0.25">
      <c r="A20" s="11" t="s">
        <v>283</v>
      </c>
      <c r="B20" s="14">
        <v>8890</v>
      </c>
      <c r="C20" s="14">
        <v>120</v>
      </c>
      <c r="D20" s="14">
        <v>1153</v>
      </c>
      <c r="E20" s="14">
        <v>695</v>
      </c>
      <c r="F20" s="13" t="s">
        <v>244</v>
      </c>
    </row>
    <row r="21" spans="1:6" x14ac:dyDescent="0.25">
      <c r="A21" s="8" t="s">
        <v>284</v>
      </c>
      <c r="B21" s="17">
        <v>9182</v>
      </c>
      <c r="C21" s="17">
        <v>127</v>
      </c>
      <c r="D21" s="17">
        <v>1413</v>
      </c>
      <c r="E21" s="17">
        <v>617</v>
      </c>
      <c r="F21" s="16" t="s">
        <v>244</v>
      </c>
    </row>
    <row r="22" spans="1:6" x14ac:dyDescent="0.25">
      <c r="A22" s="11" t="s">
        <v>285</v>
      </c>
      <c r="B22" s="14">
        <v>10146</v>
      </c>
      <c r="C22" s="14">
        <v>89</v>
      </c>
      <c r="D22" s="14">
        <v>1200</v>
      </c>
      <c r="E22" s="14">
        <v>528</v>
      </c>
      <c r="F22" s="13" t="s">
        <v>244</v>
      </c>
    </row>
    <row r="23" spans="1:6" x14ac:dyDescent="0.25">
      <c r="A23" s="8" t="s">
        <v>286</v>
      </c>
      <c r="B23" s="17">
        <v>10015</v>
      </c>
      <c r="C23" s="17">
        <v>38</v>
      </c>
      <c r="D23" s="17">
        <v>1216</v>
      </c>
      <c r="E23" s="17">
        <v>516</v>
      </c>
      <c r="F23" s="16" t="s">
        <v>244</v>
      </c>
    </row>
    <row r="24" spans="1:6" x14ac:dyDescent="0.25">
      <c r="A24" s="11" t="s">
        <v>287</v>
      </c>
      <c r="B24" s="14">
        <v>10761</v>
      </c>
      <c r="C24" s="14">
        <v>42</v>
      </c>
      <c r="D24" s="14">
        <v>1383</v>
      </c>
      <c r="E24" s="14">
        <v>476</v>
      </c>
      <c r="F24" s="13" t="s">
        <v>244</v>
      </c>
    </row>
    <row r="25" spans="1:6" x14ac:dyDescent="0.25">
      <c r="A25" s="8" t="s">
        <v>288</v>
      </c>
      <c r="B25" s="17">
        <v>10405</v>
      </c>
      <c r="C25" s="17">
        <v>21</v>
      </c>
      <c r="D25" s="17">
        <v>1379</v>
      </c>
      <c r="E25" s="17">
        <v>489</v>
      </c>
      <c r="F25" s="16" t="s">
        <v>244</v>
      </c>
    </row>
    <row r="26" spans="1:6" x14ac:dyDescent="0.25">
      <c r="A26" s="11" t="s">
        <v>289</v>
      </c>
      <c r="B26" s="14">
        <v>9523</v>
      </c>
      <c r="C26" s="14">
        <v>8</v>
      </c>
      <c r="D26" s="14">
        <v>987</v>
      </c>
      <c r="E26" s="14">
        <v>639</v>
      </c>
      <c r="F26" s="13" t="s">
        <v>244</v>
      </c>
    </row>
    <row r="27" spans="1:6" x14ac:dyDescent="0.25">
      <c r="A27" s="8" t="s">
        <v>290</v>
      </c>
      <c r="B27" s="17">
        <v>8888</v>
      </c>
      <c r="C27" s="17">
        <v>106</v>
      </c>
      <c r="D27" s="17">
        <v>1913</v>
      </c>
      <c r="E27" s="17">
        <v>557</v>
      </c>
      <c r="F27" s="16" t="s">
        <v>244</v>
      </c>
    </row>
    <row r="28" spans="1:6" x14ac:dyDescent="0.25">
      <c r="A28" s="22" t="s">
        <v>291</v>
      </c>
      <c r="B28" s="23">
        <v>15424</v>
      </c>
      <c r="C28" s="23">
        <v>6524</v>
      </c>
      <c r="D28" s="23">
        <v>2256</v>
      </c>
      <c r="E28" s="23">
        <v>254</v>
      </c>
      <c r="F28" s="26" t="s">
        <v>292</v>
      </c>
    </row>
    <row r="29" spans="1:6" x14ac:dyDescent="0.25">
      <c r="A29" s="22" t="s">
        <v>293</v>
      </c>
      <c r="B29" s="23">
        <v>22805</v>
      </c>
      <c r="C29" s="23">
        <v>11370</v>
      </c>
      <c r="D29" s="23">
        <v>1641</v>
      </c>
      <c r="E29" s="23">
        <v>592</v>
      </c>
      <c r="F29" s="26" t="s">
        <v>292</v>
      </c>
    </row>
    <row r="30" spans="1:6" x14ac:dyDescent="0.25">
      <c r="A30" s="38" t="s">
        <v>294</v>
      </c>
      <c r="B30" s="32">
        <v>13703</v>
      </c>
      <c r="C30" s="32">
        <v>3012</v>
      </c>
      <c r="D30" s="32">
        <v>1440</v>
      </c>
      <c r="E30" s="32">
        <v>730</v>
      </c>
      <c r="F30" s="31" t="s">
        <v>295</v>
      </c>
    </row>
    <row r="31" spans="1:6" x14ac:dyDescent="0.25">
      <c r="A31" s="38" t="s">
        <v>296</v>
      </c>
      <c r="B31" s="32">
        <v>12186</v>
      </c>
      <c r="C31" s="32">
        <v>1266</v>
      </c>
      <c r="D31" s="32">
        <v>1142</v>
      </c>
      <c r="E31" s="32">
        <v>627</v>
      </c>
      <c r="F31" s="31" t="s">
        <v>295</v>
      </c>
    </row>
    <row r="32" spans="1:6" x14ac:dyDescent="0.25">
      <c r="A32" s="11" t="s">
        <v>297</v>
      </c>
      <c r="B32" s="14">
        <v>11040</v>
      </c>
      <c r="C32" s="14">
        <v>476</v>
      </c>
      <c r="D32" s="14">
        <v>1197</v>
      </c>
      <c r="E32" s="14">
        <v>674</v>
      </c>
      <c r="F32" s="13" t="s">
        <v>244</v>
      </c>
    </row>
    <row r="33" spans="1:6" x14ac:dyDescent="0.25">
      <c r="A33" s="8" t="s">
        <v>298</v>
      </c>
      <c r="B33" s="17">
        <v>9361</v>
      </c>
      <c r="C33" s="17">
        <v>184</v>
      </c>
      <c r="D33" s="17">
        <v>964</v>
      </c>
      <c r="E33" s="17">
        <v>649</v>
      </c>
      <c r="F33" s="16" t="s">
        <v>244</v>
      </c>
    </row>
  </sheetData>
  <phoneticPr fontId="7" type="noConversion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F5597"/>
  </sheetPr>
  <dimension ref="A1:J30"/>
  <sheetViews>
    <sheetView workbookViewId="0"/>
  </sheetViews>
  <sheetFormatPr defaultRowHeight="14.4" x14ac:dyDescent="0.25"/>
  <cols>
    <col min="1" max="1" width="50" customWidth="1"/>
    <col min="2" max="2" width="19" customWidth="1"/>
    <col min="3" max="3" width="24" customWidth="1"/>
    <col min="4" max="4" width="14" customWidth="1"/>
    <col min="5" max="5" width="24" customWidth="1"/>
    <col min="6" max="6" width="54" customWidth="1"/>
    <col min="7" max="7" width="14" customWidth="1"/>
    <col min="8" max="8" width="24" customWidth="1"/>
    <col min="9" max="9" width="40" customWidth="1"/>
    <col min="10" max="10" width="46" customWidth="1"/>
  </cols>
  <sheetData>
    <row r="1" spans="1:10" ht="21" x14ac:dyDescent="0.4">
      <c r="A1" s="1" t="s">
        <v>299</v>
      </c>
    </row>
    <row r="2" spans="1:10" x14ac:dyDescent="0.25">
      <c r="A2" s="2" t="s">
        <v>300</v>
      </c>
    </row>
    <row r="4" spans="1:10" ht="15.6" x14ac:dyDescent="0.3">
      <c r="A4" s="4" t="s">
        <v>301</v>
      </c>
      <c r="H4" s="4" t="s">
        <v>302</v>
      </c>
    </row>
    <row r="5" spans="1:10" x14ac:dyDescent="0.25">
      <c r="A5" s="5" t="s">
        <v>303</v>
      </c>
      <c r="B5" s="5" t="s">
        <v>304</v>
      </c>
      <c r="C5" s="5" t="s">
        <v>305</v>
      </c>
      <c r="D5" s="5" t="s">
        <v>306</v>
      </c>
      <c r="E5" s="5" t="s">
        <v>307</v>
      </c>
      <c r="F5" s="5" t="s">
        <v>308</v>
      </c>
      <c r="H5" s="19" t="s">
        <v>309</v>
      </c>
      <c r="I5" s="19" t="s">
        <v>310</v>
      </c>
      <c r="J5" s="19" t="s">
        <v>311</v>
      </c>
    </row>
    <row r="6" spans="1:10" ht="42" customHeight="1" x14ac:dyDescent="0.25">
      <c r="A6" s="11" t="s">
        <v>106</v>
      </c>
      <c r="B6" s="14">
        <v>3387</v>
      </c>
      <c r="C6" s="14">
        <v>0</v>
      </c>
      <c r="D6" s="14">
        <v>1362</v>
      </c>
      <c r="E6" s="14">
        <v>0</v>
      </c>
      <c r="F6" s="13" t="s">
        <v>312</v>
      </c>
      <c r="H6" s="9" t="s">
        <v>313</v>
      </c>
      <c r="I6" s="10" t="s">
        <v>314</v>
      </c>
      <c r="J6" s="10" t="s">
        <v>315</v>
      </c>
    </row>
    <row r="7" spans="1:10" ht="42" customHeight="1" x14ac:dyDescent="0.25">
      <c r="A7" s="8" t="s">
        <v>108</v>
      </c>
      <c r="B7" s="17">
        <v>4453</v>
      </c>
      <c r="C7" s="17">
        <v>1</v>
      </c>
      <c r="D7" s="17">
        <v>1680</v>
      </c>
      <c r="E7" s="17">
        <v>0</v>
      </c>
      <c r="F7" s="16" t="s">
        <v>312</v>
      </c>
      <c r="H7" s="6" t="s">
        <v>316</v>
      </c>
      <c r="I7" s="7" t="s">
        <v>317</v>
      </c>
      <c r="J7" s="7" t="s">
        <v>318</v>
      </c>
    </row>
    <row r="8" spans="1:10" ht="42" customHeight="1" x14ac:dyDescent="0.25">
      <c r="A8" s="11" t="s">
        <v>110</v>
      </c>
      <c r="B8" s="14">
        <v>4835</v>
      </c>
      <c r="C8" s="14">
        <v>0</v>
      </c>
      <c r="D8" s="14">
        <v>1662</v>
      </c>
      <c r="E8" s="14">
        <v>0</v>
      </c>
      <c r="F8" s="13" t="s">
        <v>312</v>
      </c>
      <c r="H8" s="9" t="s">
        <v>319</v>
      </c>
      <c r="I8" s="10" t="s">
        <v>320</v>
      </c>
      <c r="J8" s="10" t="s">
        <v>321</v>
      </c>
    </row>
    <row r="9" spans="1:10" ht="42" customHeight="1" x14ac:dyDescent="0.25">
      <c r="A9" s="8" t="s">
        <v>111</v>
      </c>
      <c r="B9" s="17">
        <v>5631</v>
      </c>
      <c r="C9" s="17">
        <v>1</v>
      </c>
      <c r="D9" s="17">
        <v>1858</v>
      </c>
      <c r="E9" s="17">
        <v>1</v>
      </c>
      <c r="F9" s="16" t="s">
        <v>312</v>
      </c>
      <c r="H9" s="6" t="s">
        <v>322</v>
      </c>
      <c r="I9" s="7" t="s">
        <v>323</v>
      </c>
      <c r="J9" s="7" t="s">
        <v>324</v>
      </c>
    </row>
    <row r="10" spans="1:10" x14ac:dyDescent="0.25">
      <c r="A10" s="11" t="s">
        <v>112</v>
      </c>
      <c r="B10" s="14">
        <v>6670</v>
      </c>
      <c r="C10" s="14">
        <v>1</v>
      </c>
      <c r="D10" s="14">
        <v>1425</v>
      </c>
      <c r="E10" s="14">
        <v>0</v>
      </c>
      <c r="F10" s="13" t="s">
        <v>312</v>
      </c>
    </row>
    <row r="11" spans="1:10" x14ac:dyDescent="0.25">
      <c r="A11" s="8" t="s">
        <v>113</v>
      </c>
      <c r="B11" s="17">
        <v>5245</v>
      </c>
      <c r="C11" s="17">
        <v>2</v>
      </c>
      <c r="D11" s="17">
        <v>1604</v>
      </c>
      <c r="E11" s="17">
        <v>0</v>
      </c>
      <c r="F11" s="16" t="s">
        <v>312</v>
      </c>
    </row>
    <row r="12" spans="1:10" x14ac:dyDescent="0.25">
      <c r="A12" s="11" t="s">
        <v>114</v>
      </c>
      <c r="B12" s="14">
        <v>3979</v>
      </c>
      <c r="C12" s="14">
        <v>0</v>
      </c>
      <c r="D12" s="14">
        <v>2017</v>
      </c>
      <c r="E12" s="14">
        <v>0</v>
      </c>
      <c r="F12" s="13" t="s">
        <v>312</v>
      </c>
    </row>
    <row r="13" spans="1:10" x14ac:dyDescent="0.25">
      <c r="A13" s="8" t="s">
        <v>115</v>
      </c>
      <c r="B13" s="17">
        <v>3507</v>
      </c>
      <c r="C13" s="17">
        <v>0</v>
      </c>
      <c r="D13" s="17">
        <v>1741</v>
      </c>
      <c r="E13" s="17">
        <v>0</v>
      </c>
      <c r="F13" s="16" t="s">
        <v>312</v>
      </c>
    </row>
    <row r="14" spans="1:10" x14ac:dyDescent="0.25">
      <c r="A14" s="11" t="s">
        <v>116</v>
      </c>
      <c r="B14" s="14">
        <v>3574</v>
      </c>
      <c r="C14" s="14">
        <v>0</v>
      </c>
      <c r="D14" s="14">
        <v>2502</v>
      </c>
      <c r="E14" s="14">
        <v>1</v>
      </c>
      <c r="F14" s="13" t="s">
        <v>312</v>
      </c>
    </row>
    <row r="15" spans="1:10" x14ac:dyDescent="0.25">
      <c r="A15" s="8" t="s">
        <v>117</v>
      </c>
      <c r="B15" s="17">
        <v>15194</v>
      </c>
      <c r="C15" s="17">
        <v>3</v>
      </c>
      <c r="D15" s="17">
        <v>2020</v>
      </c>
      <c r="E15" s="17">
        <v>3</v>
      </c>
      <c r="F15" s="16" t="s">
        <v>312</v>
      </c>
    </row>
    <row r="16" spans="1:10" x14ac:dyDescent="0.25">
      <c r="A16" s="11" t="s">
        <v>118</v>
      </c>
      <c r="B16" s="14">
        <v>15103</v>
      </c>
      <c r="C16" s="14">
        <v>1</v>
      </c>
      <c r="D16" s="14">
        <v>2743</v>
      </c>
      <c r="E16" s="14">
        <v>2</v>
      </c>
      <c r="F16" s="13" t="s">
        <v>312</v>
      </c>
    </row>
    <row r="17" spans="1:6" x14ac:dyDescent="0.25">
      <c r="A17" s="8" t="s">
        <v>119</v>
      </c>
      <c r="B17" s="17">
        <v>7129</v>
      </c>
      <c r="C17" s="17">
        <v>0</v>
      </c>
      <c r="D17" s="17">
        <v>2477</v>
      </c>
      <c r="E17" s="17">
        <v>2</v>
      </c>
      <c r="F17" s="16" t="s">
        <v>312</v>
      </c>
    </row>
    <row r="18" spans="1:6" x14ac:dyDescent="0.25">
      <c r="A18" s="11" t="s">
        <v>120</v>
      </c>
      <c r="B18" s="14">
        <v>4196</v>
      </c>
      <c r="C18" s="14">
        <v>6</v>
      </c>
      <c r="D18" s="14">
        <v>1856</v>
      </c>
      <c r="E18" s="14">
        <v>5</v>
      </c>
      <c r="F18" s="13" t="s">
        <v>312</v>
      </c>
    </row>
    <row r="19" spans="1:6" x14ac:dyDescent="0.25">
      <c r="A19" s="8" t="s">
        <v>121</v>
      </c>
      <c r="B19" s="17">
        <v>5041</v>
      </c>
      <c r="C19" s="17">
        <v>3</v>
      </c>
      <c r="D19" s="17">
        <v>3562</v>
      </c>
      <c r="E19" s="17">
        <v>6</v>
      </c>
      <c r="F19" s="16" t="s">
        <v>312</v>
      </c>
    </row>
    <row r="20" spans="1:6" x14ac:dyDescent="0.25">
      <c r="A20" s="11" t="s">
        <v>122</v>
      </c>
      <c r="B20" s="14">
        <v>3656</v>
      </c>
      <c r="C20" s="14">
        <v>5</v>
      </c>
      <c r="D20" s="14">
        <v>2166</v>
      </c>
      <c r="E20" s="14">
        <v>1</v>
      </c>
      <c r="F20" s="13" t="s">
        <v>312</v>
      </c>
    </row>
    <row r="21" spans="1:6" x14ac:dyDescent="0.25">
      <c r="A21" s="8" t="s">
        <v>123</v>
      </c>
      <c r="B21" s="17">
        <v>4198</v>
      </c>
      <c r="C21" s="17">
        <v>5</v>
      </c>
      <c r="D21" s="17">
        <v>2003</v>
      </c>
      <c r="E21" s="17">
        <v>5</v>
      </c>
      <c r="F21" s="16" t="s">
        <v>312</v>
      </c>
    </row>
    <row r="22" spans="1:6" x14ac:dyDescent="0.25">
      <c r="A22" s="11" t="s">
        <v>124</v>
      </c>
      <c r="B22" s="14">
        <v>6308</v>
      </c>
      <c r="C22" s="14">
        <v>9</v>
      </c>
      <c r="D22" s="14">
        <v>1557</v>
      </c>
      <c r="E22" s="14">
        <v>4</v>
      </c>
      <c r="F22" s="13" t="s">
        <v>312</v>
      </c>
    </row>
    <row r="23" spans="1:6" x14ac:dyDescent="0.25">
      <c r="A23" s="8" t="s">
        <v>125</v>
      </c>
      <c r="B23" s="17">
        <v>7998</v>
      </c>
      <c r="C23" s="17">
        <v>18</v>
      </c>
      <c r="D23" s="17">
        <v>1785</v>
      </c>
      <c r="E23" s="17">
        <v>7</v>
      </c>
      <c r="F23" s="16" t="s">
        <v>312</v>
      </c>
    </row>
    <row r="24" spans="1:6" x14ac:dyDescent="0.25">
      <c r="A24" s="11" t="s">
        <v>126</v>
      </c>
      <c r="B24" s="14">
        <v>5473</v>
      </c>
      <c r="C24" s="14">
        <v>40</v>
      </c>
      <c r="D24" s="14">
        <v>3079</v>
      </c>
      <c r="E24" s="14">
        <v>20</v>
      </c>
      <c r="F24" s="13" t="s">
        <v>312</v>
      </c>
    </row>
    <row r="25" spans="1:6" x14ac:dyDescent="0.25">
      <c r="A25" s="8" t="s">
        <v>127</v>
      </c>
      <c r="B25" s="17">
        <v>5679</v>
      </c>
      <c r="C25" s="17">
        <v>44</v>
      </c>
      <c r="D25" s="17">
        <v>2019</v>
      </c>
      <c r="E25" s="17">
        <v>15</v>
      </c>
      <c r="F25" s="16" t="s">
        <v>325</v>
      </c>
    </row>
    <row r="26" spans="1:6" x14ac:dyDescent="0.25">
      <c r="A26" s="11" t="s">
        <v>128</v>
      </c>
      <c r="B26" s="14">
        <v>6308</v>
      </c>
      <c r="C26" s="14">
        <v>114</v>
      </c>
      <c r="D26" s="14">
        <v>4422</v>
      </c>
      <c r="E26" s="14">
        <v>62</v>
      </c>
      <c r="F26" s="13" t="s">
        <v>325</v>
      </c>
    </row>
    <row r="27" spans="1:6" x14ac:dyDescent="0.25">
      <c r="A27" s="8" t="s">
        <v>129</v>
      </c>
      <c r="B27" s="17">
        <v>8911</v>
      </c>
      <c r="C27" s="17">
        <v>242</v>
      </c>
      <c r="D27" s="17">
        <v>2783</v>
      </c>
      <c r="E27" s="17">
        <v>110</v>
      </c>
      <c r="F27" s="16" t="s">
        <v>325</v>
      </c>
    </row>
    <row r="28" spans="1:6" x14ac:dyDescent="0.25">
      <c r="A28" s="38" t="s">
        <v>131</v>
      </c>
      <c r="B28" s="32">
        <v>16261</v>
      </c>
      <c r="C28" s="32">
        <v>1892</v>
      </c>
      <c r="D28" s="32">
        <v>3131</v>
      </c>
      <c r="E28" s="32">
        <v>1310</v>
      </c>
      <c r="F28" s="31" t="s">
        <v>326</v>
      </c>
    </row>
    <row r="29" spans="1:6" x14ac:dyDescent="0.25">
      <c r="A29" s="22" t="s">
        <v>132</v>
      </c>
      <c r="B29" s="23">
        <v>0</v>
      </c>
      <c r="C29" s="23">
        <v>8925</v>
      </c>
      <c r="D29" s="23">
        <v>0</v>
      </c>
      <c r="E29" s="23">
        <v>5060</v>
      </c>
      <c r="F29" s="26" t="s">
        <v>327</v>
      </c>
    </row>
    <row r="30" spans="1:6" x14ac:dyDescent="0.25">
      <c r="A30" s="11" t="s">
        <v>134</v>
      </c>
      <c r="B30" s="14">
        <v>0</v>
      </c>
      <c r="C30" s="14">
        <v>740</v>
      </c>
      <c r="D30" s="14">
        <v>0</v>
      </c>
      <c r="E30" s="14">
        <v>481</v>
      </c>
      <c r="F30" s="13" t="s">
        <v>312</v>
      </c>
    </row>
  </sheetData>
  <phoneticPr fontId="7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B6F96"/>
  </sheetPr>
  <dimension ref="A1:K24"/>
  <sheetViews>
    <sheetView workbookViewId="0"/>
  </sheetViews>
  <sheetFormatPr defaultRowHeight="14.4" x14ac:dyDescent="0.25"/>
  <cols>
    <col min="1" max="1" width="35" customWidth="1"/>
    <col min="2" max="2" width="26" customWidth="1"/>
    <col min="3" max="4" width="14" customWidth="1"/>
    <col min="5" max="5" width="23" customWidth="1"/>
    <col min="6" max="6" width="49" customWidth="1"/>
    <col min="7" max="7" width="46" customWidth="1"/>
    <col min="8" max="8" width="31" customWidth="1"/>
    <col min="9" max="10" width="14" customWidth="1"/>
    <col min="11" max="11" width="50" customWidth="1"/>
  </cols>
  <sheetData>
    <row r="1" spans="1:11" ht="21" x14ac:dyDescent="0.4">
      <c r="A1" s="1" t="s">
        <v>328</v>
      </c>
    </row>
    <row r="2" spans="1:11" x14ac:dyDescent="0.25">
      <c r="A2" s="2" t="s">
        <v>329</v>
      </c>
    </row>
    <row r="4" spans="1:11" ht="15.6" x14ac:dyDescent="0.3">
      <c r="A4" s="4" t="s">
        <v>330</v>
      </c>
      <c r="H4" s="4" t="s">
        <v>331</v>
      </c>
    </row>
    <row r="5" spans="1:11" x14ac:dyDescent="0.25">
      <c r="A5" s="5" t="s">
        <v>332</v>
      </c>
      <c r="B5" s="5" t="s">
        <v>333</v>
      </c>
      <c r="C5" s="5" t="s">
        <v>334</v>
      </c>
      <c r="D5" s="5" t="s">
        <v>335</v>
      </c>
      <c r="E5" s="5" t="s">
        <v>336</v>
      </c>
      <c r="F5" s="5" t="s">
        <v>337</v>
      </c>
      <c r="G5" s="5" t="s">
        <v>338</v>
      </c>
      <c r="H5" s="5" t="s">
        <v>339</v>
      </c>
      <c r="I5" s="5" t="s">
        <v>340</v>
      </c>
      <c r="J5" s="5" t="s">
        <v>341</v>
      </c>
      <c r="K5" s="5" t="s">
        <v>342</v>
      </c>
    </row>
    <row r="6" spans="1:11" x14ac:dyDescent="0.25">
      <c r="A6" s="34" t="s">
        <v>343</v>
      </c>
      <c r="B6" s="23">
        <v>580</v>
      </c>
      <c r="C6" s="24">
        <v>0.01</v>
      </c>
      <c r="D6" s="23">
        <v>165723</v>
      </c>
      <c r="E6" s="24">
        <v>0.25430000000000003</v>
      </c>
      <c r="F6" s="25">
        <v>285.72931034482758</v>
      </c>
      <c r="G6" s="26" t="s">
        <v>344</v>
      </c>
      <c r="H6" s="34" t="s">
        <v>345</v>
      </c>
      <c r="I6" s="23">
        <v>189512</v>
      </c>
      <c r="J6" s="24">
        <v>0.2908</v>
      </c>
      <c r="K6" s="26" t="s">
        <v>346</v>
      </c>
    </row>
    <row r="7" spans="1:11" x14ac:dyDescent="0.25">
      <c r="A7" s="12" t="s">
        <v>347</v>
      </c>
      <c r="B7" s="32">
        <v>2324</v>
      </c>
      <c r="C7" s="33">
        <v>0.04</v>
      </c>
      <c r="D7" s="32">
        <v>169687</v>
      </c>
      <c r="E7" s="33">
        <v>0.26040000000000002</v>
      </c>
      <c r="F7" s="39">
        <v>73.015060240963862</v>
      </c>
      <c r="G7" s="31" t="s">
        <v>348</v>
      </c>
      <c r="H7" s="36" t="s">
        <v>349</v>
      </c>
      <c r="I7" s="17">
        <v>95048</v>
      </c>
      <c r="J7" s="18">
        <v>0.1459</v>
      </c>
      <c r="K7" s="16" t="s">
        <v>350</v>
      </c>
    </row>
    <row r="8" spans="1:11" x14ac:dyDescent="0.25">
      <c r="A8" s="37" t="s">
        <v>351</v>
      </c>
      <c r="B8" s="14">
        <v>2904</v>
      </c>
      <c r="C8" s="15">
        <v>0.05</v>
      </c>
      <c r="D8" s="14">
        <v>95370</v>
      </c>
      <c r="E8" s="15">
        <v>0.1464</v>
      </c>
      <c r="F8" s="21">
        <v>32.840909090909093</v>
      </c>
      <c r="G8" s="13" t="s">
        <v>352</v>
      </c>
      <c r="H8" s="37" t="s">
        <v>353</v>
      </c>
      <c r="I8" s="14">
        <v>90110</v>
      </c>
      <c r="J8" s="15">
        <v>0.13830000000000001</v>
      </c>
      <c r="K8" s="13" t="s">
        <v>354</v>
      </c>
    </row>
    <row r="9" spans="1:11" x14ac:dyDescent="0.25">
      <c r="A9" s="36" t="s">
        <v>355</v>
      </c>
      <c r="B9" s="17">
        <v>5808</v>
      </c>
      <c r="C9" s="18">
        <v>0.1</v>
      </c>
      <c r="D9" s="17">
        <v>93292</v>
      </c>
      <c r="E9" s="18">
        <v>0.14319999999999999</v>
      </c>
      <c r="F9" s="20">
        <v>16.062672176308538</v>
      </c>
      <c r="G9" s="16" t="s">
        <v>356</v>
      </c>
      <c r="H9" s="36" t="s">
        <v>357</v>
      </c>
      <c r="I9" s="17">
        <v>60802</v>
      </c>
      <c r="J9" s="18">
        <v>9.3299999999999994E-2</v>
      </c>
      <c r="K9" s="16" t="s">
        <v>358</v>
      </c>
    </row>
    <row r="10" spans="1:11" x14ac:dyDescent="0.25">
      <c r="A10" s="37" t="s">
        <v>359</v>
      </c>
      <c r="B10" s="14">
        <v>46467</v>
      </c>
      <c r="C10" s="15">
        <v>0.8</v>
      </c>
      <c r="D10" s="14">
        <v>127522</v>
      </c>
      <c r="E10" s="15">
        <v>0.19570000000000001</v>
      </c>
      <c r="F10" s="21">
        <v>2.744356209783287</v>
      </c>
      <c r="G10" s="13" t="s">
        <v>360</v>
      </c>
      <c r="H10" s="37" t="s">
        <v>361</v>
      </c>
      <c r="I10" s="14">
        <v>59081</v>
      </c>
      <c r="J10" s="15">
        <v>9.0700000000000003E-2</v>
      </c>
      <c r="K10" s="13" t="s">
        <v>362</v>
      </c>
    </row>
    <row r="11" spans="1:11" x14ac:dyDescent="0.25">
      <c r="H11" s="36" t="s">
        <v>363</v>
      </c>
      <c r="I11" s="17">
        <v>58784</v>
      </c>
      <c r="J11" s="18">
        <v>9.0200000000000002E-2</v>
      </c>
      <c r="K11" s="16" t="s">
        <v>364</v>
      </c>
    </row>
    <row r="12" spans="1:11" x14ac:dyDescent="0.25">
      <c r="H12" s="37" t="s">
        <v>365</v>
      </c>
      <c r="I12" s="14">
        <v>38597</v>
      </c>
      <c r="J12" s="15">
        <v>5.9200000000000003E-2</v>
      </c>
      <c r="K12" s="13" t="s">
        <v>366</v>
      </c>
    </row>
    <row r="13" spans="1:11" ht="15.6" x14ac:dyDescent="0.3">
      <c r="A13" s="4" t="s">
        <v>367</v>
      </c>
      <c r="H13" s="36" t="s">
        <v>368</v>
      </c>
      <c r="I13" s="17">
        <v>25187</v>
      </c>
      <c r="J13" s="18">
        <v>3.8699999999999998E-2</v>
      </c>
      <c r="K13" s="16" t="s">
        <v>369</v>
      </c>
    </row>
    <row r="14" spans="1:11" x14ac:dyDescent="0.25">
      <c r="A14" s="19" t="s">
        <v>370</v>
      </c>
      <c r="B14" s="19" t="s">
        <v>371</v>
      </c>
      <c r="C14" s="19" t="s">
        <v>76</v>
      </c>
      <c r="D14" s="19" t="s">
        <v>372</v>
      </c>
      <c r="E14" s="19" t="s">
        <v>373</v>
      </c>
      <c r="F14" s="19" t="s">
        <v>374</v>
      </c>
      <c r="H14" s="37" t="s">
        <v>375</v>
      </c>
      <c r="I14" s="14">
        <v>34473</v>
      </c>
      <c r="J14" s="15">
        <v>5.2900000000000003E-2</v>
      </c>
      <c r="K14" s="13" t="s">
        <v>376</v>
      </c>
    </row>
    <row r="15" spans="1:11" x14ac:dyDescent="0.25">
      <c r="A15" s="35">
        <v>1</v>
      </c>
      <c r="B15" s="26" t="s">
        <v>377</v>
      </c>
      <c r="C15" s="26" t="s">
        <v>378</v>
      </c>
      <c r="D15" s="23">
        <v>6034</v>
      </c>
      <c r="E15" s="40">
        <v>8.2770919067215356</v>
      </c>
      <c r="F15" s="26" t="s">
        <v>379</v>
      </c>
    </row>
    <row r="16" spans="1:11" x14ac:dyDescent="0.25">
      <c r="A16" s="9">
        <v>2</v>
      </c>
      <c r="B16" s="13" t="s">
        <v>380</v>
      </c>
      <c r="C16" s="13" t="s">
        <v>378</v>
      </c>
      <c r="D16" s="14">
        <v>2414</v>
      </c>
      <c r="E16" s="41">
        <v>3.3113854595336081</v>
      </c>
      <c r="F16" s="13" t="s">
        <v>381</v>
      </c>
    </row>
    <row r="17" spans="1:6" x14ac:dyDescent="0.25">
      <c r="A17" s="6">
        <v>3</v>
      </c>
      <c r="B17" s="16" t="s">
        <v>382</v>
      </c>
      <c r="C17" s="16" t="s">
        <v>383</v>
      </c>
      <c r="D17" s="17">
        <v>2405</v>
      </c>
      <c r="E17" s="42">
        <v>3.2990397805212619</v>
      </c>
      <c r="F17" s="16" t="s">
        <v>381</v>
      </c>
    </row>
    <row r="18" spans="1:6" x14ac:dyDescent="0.25">
      <c r="A18" s="9">
        <v>4</v>
      </c>
      <c r="B18" s="13" t="s">
        <v>384</v>
      </c>
      <c r="C18" s="13" t="s">
        <v>378</v>
      </c>
      <c r="D18" s="14">
        <v>1878</v>
      </c>
      <c r="E18" s="41">
        <v>2.576131687242798</v>
      </c>
      <c r="F18" s="13" t="s">
        <v>381</v>
      </c>
    </row>
    <row r="19" spans="1:6" x14ac:dyDescent="0.25">
      <c r="A19" s="6">
        <v>5</v>
      </c>
      <c r="B19" s="16" t="s">
        <v>385</v>
      </c>
      <c r="C19" s="16" t="s">
        <v>386</v>
      </c>
      <c r="D19" s="17">
        <v>1533</v>
      </c>
      <c r="E19" s="42">
        <v>2.1028806584362139</v>
      </c>
      <c r="F19" s="16" t="s">
        <v>387</v>
      </c>
    </row>
    <row r="20" spans="1:6" x14ac:dyDescent="0.25">
      <c r="A20" s="9">
        <v>6</v>
      </c>
      <c r="B20" s="13" t="s">
        <v>388</v>
      </c>
      <c r="C20" s="13" t="s">
        <v>378</v>
      </c>
      <c r="D20" s="14">
        <v>1442</v>
      </c>
      <c r="E20" s="41">
        <v>1.9780521262002739</v>
      </c>
      <c r="F20" s="13" t="s">
        <v>387</v>
      </c>
    </row>
    <row r="21" spans="1:6" x14ac:dyDescent="0.25">
      <c r="A21" s="6">
        <v>7</v>
      </c>
      <c r="B21" s="16" t="s">
        <v>389</v>
      </c>
      <c r="C21" s="16" t="s">
        <v>383</v>
      </c>
      <c r="D21" s="17">
        <v>1362</v>
      </c>
      <c r="E21" s="42">
        <v>1.868312757201646</v>
      </c>
      <c r="F21" s="16" t="s">
        <v>387</v>
      </c>
    </row>
    <row r="22" spans="1:6" x14ac:dyDescent="0.25">
      <c r="A22" s="9">
        <v>8</v>
      </c>
      <c r="B22" s="13" t="s">
        <v>390</v>
      </c>
      <c r="C22" s="13" t="s">
        <v>386</v>
      </c>
      <c r="D22" s="14">
        <v>1327</v>
      </c>
      <c r="E22" s="41">
        <v>1.8203017832647459</v>
      </c>
      <c r="F22" s="13" t="s">
        <v>387</v>
      </c>
    </row>
    <row r="23" spans="1:6" x14ac:dyDescent="0.25">
      <c r="A23" s="6">
        <v>9</v>
      </c>
      <c r="B23" s="16" t="s">
        <v>391</v>
      </c>
      <c r="C23" s="16" t="s">
        <v>392</v>
      </c>
      <c r="D23" s="17">
        <v>1316</v>
      </c>
      <c r="E23" s="42">
        <v>1.805212620027435</v>
      </c>
      <c r="F23" s="16" t="s">
        <v>387</v>
      </c>
    </row>
    <row r="24" spans="1:6" x14ac:dyDescent="0.25">
      <c r="A24" s="9">
        <v>10</v>
      </c>
      <c r="B24" s="13" t="s">
        <v>393</v>
      </c>
      <c r="C24" s="13" t="s">
        <v>383</v>
      </c>
      <c r="D24" s="14">
        <v>1312</v>
      </c>
      <c r="E24" s="41">
        <v>1.799725651577504</v>
      </c>
      <c r="F24" s="13" t="s">
        <v>387</v>
      </c>
    </row>
  </sheetData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执行摘要与看板导航</vt:lpstr>
      <vt:lpstr>01_数据质量与证据边界</vt:lpstr>
      <vt:lpstr>02_年度增长与归因分解</vt:lpstr>
      <vt:lpstr>03_极端气候冲击与连锁反应</vt:lpstr>
      <vt:lpstr>04_分类口径变更核查</vt:lpstr>
      <vt:lpstr>05_结构集聚与二八法则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尚鹏 张</cp:lastModifiedBy>
  <dcterms:created xsi:type="dcterms:W3CDTF">2026-09-17T05:58:21Z</dcterms:created>
  <dcterms:modified xsi:type="dcterms:W3CDTF">2026-09-18T02:27:52Z</dcterms:modified>
</cp:coreProperties>
</file>