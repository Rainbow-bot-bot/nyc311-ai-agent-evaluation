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与看板导航" sheetId="1" state="visible" r:id="rId1"/>
    <sheet xmlns:r="http://schemas.openxmlformats.org/officeDocument/2006/relationships" name="01_数据质量与证据边界" sheetId="2" state="visible" r:id="rId2"/>
    <sheet xmlns:r="http://schemas.openxmlformats.org/officeDocument/2006/relationships" name="02_年度增长与归因分解" sheetId="3" state="visible" r:id="rId3"/>
    <sheet xmlns:r="http://schemas.openxmlformats.org/officeDocument/2006/relationships" name="03_极端气候冲击与连锁反应" sheetId="4" state="visible" r:id="rId4"/>
    <sheet xmlns:r="http://schemas.openxmlformats.org/officeDocument/2006/relationships" name="04_分类口径变更核查" sheetId="5" state="visible" r:id="rId5"/>
    <sheet xmlns:r="http://schemas.openxmlformats.org/officeDocument/2006/relationships" name="05_结构集聚与二八法则" sheetId="6" state="visible" r:id="rId6"/>
    <sheet xmlns:r="http://schemas.openxmlformats.org/officeDocument/2006/relationships" name="06_空间分布与响应执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b val="1"/>
      <color rgb="001F4E78"/>
      <sz val="12"/>
    </font>
    <font>
      <name val="Calibri"/>
      <b val="1"/>
      <color rgb="00FFFFFF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EAEEF7"/>
        <bgColor rgb="00EAEEF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3" fillId="5" borderId="3" pivotButton="0" quotePrefix="0" xfId="0"/>
    <xf numFmtId="3" fontId="3" fillId="5" borderId="3" pivotButton="0" quotePrefix="0" xfId="0"/>
    <xf numFmtId="10" fontId="3" fillId="5" borderId="3" pivotButton="0" quotePrefix="0" xfId="0"/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诉求报案渠道同比结构变动 (Y1 vs Y2)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'02_年度增长与归因分解'!B40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'02_年度增长与归因分解'!$A$41:$A$43</f>
            </numRef>
          </cat>
          <val>
            <numRef>
              <f>'02_年度增长与归因分解'!$B$41:$B$43</f>
            </numRef>
          </val>
        </ser>
        <ser>
          <idx val="1"/>
          <order val="1"/>
          <tx>
            <strRef>
              <f>'02_年度增长与归因分解'!C40</f>
            </strRef>
          </tx>
          <spPr>
            <a:ln xmlns:a="http://schemas.openxmlformats.org/drawingml/2006/main">
              <a:prstDash val="solid"/>
            </a:ln>
          </spPr>
          <cat>
            <numRef>
              <f>'02_年度增长与归因分解'!$A$41:$A$43</f>
            </numRef>
          </cat>
          <val>
            <numRef>
              <f>'02_年度增长与归因分解'!$C$41:$C$43</f>
            </numRef>
          </val>
        </ser>
        <ser>
          <idx val="2"/>
          <order val="2"/>
          <tx>
            <strRef>
              <f>'02_年度增长与归因分解'!D40</f>
            </strRef>
          </tx>
          <spPr>
            <a:ln xmlns:a="http://schemas.openxmlformats.org/drawingml/2006/main">
              <a:prstDash val="solid"/>
            </a:ln>
          </spPr>
          <cat>
            <numRef>
              <f>'02_年度增长与归因分解'!$A$41:$A$43</f>
            </numRef>
          </cat>
          <val>
            <numRef>
              <f>'02_年度增长与归因分解'!$D$41:$D$43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报案渠道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工单量 (件)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2026年2月暴雪与极寒日度诉求脉冲追踪</a:t>
            </a:r>
          </a:p>
        </rich>
      </tx>
    </title>
    <plotArea>
      <lineChart>
        <grouping val="standard"/>
        <ser>
          <idx val="0"/>
          <order val="0"/>
          <tx>
            <strRef>
              <f>'03_极端气候冲击与连锁反应'!C5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'03_极端气候冲击与连锁反应'!$A$6:$A$33</f>
            </numRef>
          </cat>
          <val>
            <numRef>
              <f>'03_极端气候冲击与连锁反应'!$C$6:$C$33</f>
            </numRef>
          </val>
        </ser>
        <ser>
          <idx val="1"/>
          <order val="1"/>
          <tx>
            <strRef>
              <f>'03_极端气候冲击与连锁反应'!D5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'03_极端气候冲击与连锁反应'!$A$6:$A$33</f>
            </numRef>
          </cat>
          <val>
            <numRef>
              <f>'03_极端气候冲击与连锁反应'!$D$6:$D$33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日诉求件数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46" customWidth="1" min="4" max="4"/>
    <col width="38" customWidth="1" min="5" max="5"/>
    <col width="28" customWidth="1" min="6" max="6"/>
  </cols>
  <sheetData>
    <row r="1">
      <c r="A1" s="1" t="inlineStr">
        <is>
          <t>纽约市 311 城市服务请求多维运营与异常诊断看板 (2024.09 - 2026.09)</t>
        </is>
      </c>
    </row>
    <row r="2">
      <c r="A2" s="2" t="inlineStr">
        <is>
          <t>数据口径：原始全量数据 N = 7,525,498 条 | 11个月同比期 (2024.10-2025.08 vs 2025.10-2026.08) | 独立证据导向分析</t>
        </is>
      </c>
      <c r="D2" s="3" t="n"/>
      <c r="E2" s="3" t="n"/>
    </row>
    <row r="3">
      <c r="D3" s="3" t="n"/>
      <c r="E3" s="3" t="n"/>
    </row>
    <row r="4">
      <c r="B4" s="4" t="inlineStr">
        <is>
          <t>全量诉求总规模
7,525,498 件
覆盖729天，日均10,323件</t>
        </is>
      </c>
      <c r="D4" s="5" t="inlineStr">
        <is>
          <t>11个月同比增量
+346,695 件 (+10.5%)
Y1: 3.29M -&gt; Y2: 3.64M</t>
        </is>
      </c>
      <c r="E4" s="3" t="n"/>
      <c r="F4" s="4" t="inlineStr">
        <is>
          <t>线上诉求占比(Y2)
46.8% (增量贡献94.1%)
线上+23.7%，电话-7.9%</t>
        </is>
      </c>
      <c r="H4" s="4" t="inlineStr">
        <is>
          <t>首要承办机构
NYPD 纽约市警局
占全量45.2%，以违泊与噪音为主</t>
        </is>
      </c>
      <c r="J4" s="4" t="inlineStr">
        <is>
          <t>首要增长驱动项
HPD 房屋局 (+42.4%)
供暖/热水诉求激增6.36万件</t>
        </is>
      </c>
    </row>
    <row r="5">
      <c r="D5" s="3" t="n"/>
      <c r="E5" s="3" t="n"/>
    </row>
    <row r="6">
      <c r="D6" s="3" t="n"/>
      <c r="E6" s="3" t="n"/>
    </row>
    <row r="7">
      <c r="B7" s="6" t="inlineStr">
        <is>
          <t>六大核心分析发现与证据回查索引</t>
        </is>
      </c>
      <c r="D7" s="3" t="n"/>
      <c r="E7" s="3" t="n"/>
    </row>
    <row r="8">
      <c r="B8" s="7" t="inlineStr">
        <is>
          <t>编号</t>
        </is>
      </c>
      <c r="C8" s="7" t="inlineStr">
        <is>
          <t>核心分析发现与业务结论</t>
        </is>
      </c>
      <c r="D8" s="7" t="inlineStr">
        <is>
          <t>量化证据摘要</t>
        </is>
      </c>
      <c r="E8" s="7" t="inlineStr">
        <is>
          <t>因果属性与证据边界</t>
        </is>
      </c>
      <c r="F8" s="7" t="inlineStr">
        <is>
          <t>对应分析工作表</t>
        </is>
      </c>
    </row>
    <row r="9" ht="42" customHeight="1">
      <c r="B9" s="8" t="inlineStr">
        <is>
          <t>发现 1</t>
        </is>
      </c>
      <c r="C9" s="9" t="inlineStr">
        <is>
          <t>年度诉求稳步增长，线上数字化渠道成为绝对驱动力</t>
        </is>
      </c>
      <c r="D9" s="9" t="inlineStr">
        <is>
          <t>11个月同比净增346,695件(+10.5%)；线上渠道净增326,146件(+23.7%)，贡献整体增量的94.07%，电话呼叫下降-7.9%。</t>
        </is>
      </c>
      <c r="E9" s="9" t="inlineStr">
        <is>
          <t>描述性事实；反映市民报案渠道便利化迁移与使用黏性提升，非单纯城市问题恶化。</t>
        </is>
      </c>
      <c r="F9" s="10" t="inlineStr">
        <is>
          <t>02_年度增长与归因分解</t>
        </is>
      </c>
    </row>
    <row r="10" ht="42" customHeight="1">
      <c r="B10" s="11" t="inlineStr">
        <is>
          <t>发现 2</t>
        </is>
      </c>
      <c r="C10" s="12" t="inlineStr">
        <is>
          <t>增长呈现四核驱动特征，近三分之二增量由四大问题集中产生</t>
        </is>
      </c>
      <c r="D10" s="12" t="inlineStr">
        <is>
          <t>供暖热水(+6.36万)、冰雪(+5.51万)、违章停车(+5.50万)、道路损坏(+4.80万)合计贡献增量63.95%；HPD贡献42.38%。</t>
        </is>
      </c>
      <c r="E10" s="12" t="inlineStr">
        <is>
          <t>描述性事实；增长并非全城各部门普涨，而是高度集中于供暖、交通执法与市政基建。</t>
        </is>
      </c>
      <c r="F10" s="13" t="inlineStr">
        <is>
          <t>02_年度增长与归因分解</t>
        </is>
      </c>
    </row>
    <row r="11" ht="42" customHeight="1">
      <c r="B11" s="8" t="inlineStr">
        <is>
          <t>发现 3</t>
        </is>
      </c>
      <c r="C11" s="9" t="inlineStr">
        <is>
          <t>2026年早春极端暴风雪与寒潮触发链式市政危机</t>
        </is>
      </c>
      <c r="D11" s="9" t="inlineStr">
        <is>
          <t>2026年2月暴雪导致冰雪诉求单日破1.13万件；随后3月气温回升融雪诱发道路冻融，DOT坑洼诉求暴增428%(从4.3千飙升至2.28万件)。</t>
        </is>
      </c>
      <c r="E11" s="9" t="inlineStr">
        <is>
          <t>因果推断：气象冻融物理机理与日频时序前后继起完全咬合，经详细描述词核查证实。</t>
        </is>
      </c>
      <c r="F11" s="10" t="inlineStr">
        <is>
          <t>03_极端气候冲击与连锁反应</t>
        </is>
      </c>
    </row>
    <row r="12" ht="42" customHeight="1">
      <c r="B12" s="11" t="inlineStr">
        <is>
          <t>发现 4</t>
        </is>
      </c>
      <c r="C12" s="12" t="inlineStr">
        <is>
          <t>DEP水务与排污分类在2026年8月发生系统级口径平移</t>
        </is>
      </c>
      <c r="D12" s="12" t="inlineStr">
        <is>
          <t>旧分类Water System与Sewer在2026年8月归零，新分类Water Maintenance与Sewer Maintenance接管，同比增幅逾1000倍属于统计假象。</t>
        </is>
      </c>
      <c r="E12" s="12" t="inlineStr">
        <is>
          <t>行政与IT系统重分类事实；排除了真实管道故障爆发假说，避免了口径漂移导致的严重误判。</t>
        </is>
      </c>
      <c r="F12" s="13" t="inlineStr">
        <is>
          <t>04_分类口径变更核查</t>
        </is>
      </c>
    </row>
    <row r="13" ht="42" customHeight="1">
      <c r="B13" s="8" t="inlineStr">
        <is>
          <t>发现 5</t>
        </is>
      </c>
      <c r="C13" s="9" t="inlineStr">
        <is>
          <t>供暖问题呈现显著二八结构集聚与重复报案放大效应</t>
        </is>
      </c>
      <c r="D13" s="9" t="inlineStr">
        <is>
          <t>全市前1%地址(580栋建筑)集中了25.4%的供暖诉求；前5%集中51.5%；29.1%的供暖工单因同楼已有报案直接结案。</t>
        </is>
      </c>
      <c r="E13" s="9" t="inlineStr">
        <is>
          <t>结构事实；311工单量反映的是租户催促频次与建筑密度，并不等同于物理供热系统故障台数。</t>
        </is>
      </c>
      <c r="F13" s="10" t="inlineStr">
        <is>
          <t>05_结构集聚与二八法则</t>
        </is>
      </c>
    </row>
    <row r="14" ht="42" customHeight="1">
      <c r="B14" s="11" t="inlineStr">
        <is>
          <t>发现 6</t>
        </is>
      </c>
      <c r="C14" s="12" t="inlineStr">
        <is>
          <t>行政区诉求极化显著，警务噪音执法面临高响应与低处罚落差</t>
        </is>
      </c>
      <c r="D14" s="12" t="inlineStr">
        <is>
          <t>布朗克斯承载41.3%的居住噪音和35.1%的供暖诉求；NYPD中位响应虽仅1.3小时，但44.1%噪音到场未见违规，传票率仅0.36%。</t>
        </is>
      </c>
      <c r="E14" s="12" t="inlineStr">
        <is>
          <t>执法运营事实；揭示了311作为民意宣泄窗口与现场执法标准之间的结构性错配。</t>
        </is>
      </c>
      <c r="F14" s="13" t="inlineStr">
        <is>
          <t>06_空间分布与响应执法</t>
        </is>
      </c>
    </row>
    <row r="16">
      <c r="B16" s="6" t="inlineStr">
        <is>
          <t>证据边界与分析规范原则 (严格执行 Evidence-Led 实验标准)</t>
        </is>
      </c>
    </row>
    <row r="17" ht="36" customHeight="1">
      <c r="B17" s="14" t="inlineStr">
        <is>
          <t>1. 观察期与右删失控制</t>
        </is>
      </c>
      <c r="C17" s="12" t="inlineStr">
        <is>
          <t>数据集起止为 2024-09-07 至 2026-09-05。9月均为破月，同比分析采用完整的11个月可比周期(10月1日-8月31日)。处置时长分析避开2026年7-9月未结案截断期，确保时效指标真实反映效率。</t>
        </is>
      </c>
      <c r="D17" s="15" t="n"/>
      <c r="E17" s="15" t="n"/>
      <c r="F17" s="15" t="n"/>
    </row>
    <row r="18" ht="36" customHeight="1">
      <c r="B18" s="14" t="inlineStr">
        <is>
          <t>2. 记录粒度与物理现实区分</t>
        </is>
      </c>
      <c r="C18" s="12" t="inlineStr">
        <is>
          <t>311数据最小粒度为服务请求记录(Service Request)，代表市民报告行为，非物理故障台数。多租户大楼单次锅炉故障会产生数百条工单，分析已通过重复工单描述符进行解耦。</t>
        </is>
      </c>
      <c r="D18" s="15" t="n"/>
      <c r="E18" s="15" t="n"/>
      <c r="F18" s="15" t="n"/>
    </row>
    <row r="19" ht="36" customHeight="1">
      <c r="B19" s="14" t="inlineStr">
        <is>
          <t>3. 口径变更与异常值下钻</t>
        </is>
      </c>
      <c r="C19" s="12" t="inlineStr">
        <is>
          <t>对出现千倍激增的指标必须下钻到底层分类与日频趋势，区分管理IT口径调整与真实事件，杜绝假增长。</t>
        </is>
      </c>
      <c r="D19" s="15" t="n"/>
      <c r="E19" s="15" t="n"/>
      <c r="F19" s="15" t="n"/>
    </row>
    <row r="20" ht="36" customHeight="1">
      <c r="B20" s="14" t="inlineStr">
        <is>
          <t>4. 因果声明审慎性</t>
        </is>
      </c>
      <c r="C20" s="12" t="inlineStr">
        <is>
          <t>严格区分描述性相关与因果关系。物理机理(冻融造成道路坑洼)有确凿时间序列与描述符证据支撑；其他宏观推论一律标记为未验证解释。</t>
        </is>
      </c>
      <c r="D20" s="15" t="n"/>
      <c r="E20" s="15" t="n"/>
      <c r="F20" s="15" t="n"/>
    </row>
  </sheetData>
  <mergeCells count="9">
    <mergeCell ref="C18:F18"/>
    <mergeCell ref="F4:G5"/>
    <mergeCell ref="D4:E5"/>
    <mergeCell ref="J4:K5"/>
    <mergeCell ref="H4:I5"/>
    <mergeCell ref="C17:F17"/>
    <mergeCell ref="C20:F20"/>
    <mergeCell ref="C19:F19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B6F96"/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2" customWidth="1" min="4" max="4"/>
    <col width="15" customWidth="1" min="5" max="5"/>
    <col width="56" customWidth="1" min="6" max="6"/>
  </cols>
  <sheetData>
    <row r="1">
      <c r="A1" s="1" t="inlineStr">
        <is>
          <t>数据完整性、逻辑一致性与右删失 (Right-Censoring) 检验</t>
        </is>
      </c>
    </row>
    <row r="2">
      <c r="A2" s="2" t="inlineStr">
        <is>
          <t>数据总量：7,525,498 条 | 字段数：44 个 | 主键重复数：0 (粒度唯一)</t>
        </is>
      </c>
    </row>
    <row r="3"/>
    <row r="4">
      <c r="A4" s="6" t="inlineStr">
        <is>
          <t>表 1.1 核心业务字段缺失率核查</t>
        </is>
      </c>
    </row>
    <row r="5">
      <c r="A5" s="7" t="inlineStr">
        <is>
          <t>字段英文名</t>
        </is>
      </c>
      <c r="B5" s="7" t="inlineStr">
        <is>
          <t>业务含义</t>
        </is>
      </c>
      <c r="C5" s="7" t="inlineStr">
        <is>
          <t>非空记录数</t>
        </is>
      </c>
      <c r="D5" s="7" t="inlineStr">
        <is>
          <t>缺失记录数</t>
        </is>
      </c>
      <c r="E5" s="7" t="inlineStr">
        <is>
          <t>缺失率 (%)</t>
        </is>
      </c>
      <c r="F5" s="7" t="inlineStr">
        <is>
          <t>质量评估与业务影响</t>
        </is>
      </c>
    </row>
    <row r="6">
      <c r="A6" s="16" t="inlineStr">
        <is>
          <t>unique_key</t>
        </is>
      </c>
      <c r="B6" s="16" t="inlineStr">
        <is>
          <t>工单唯一键</t>
        </is>
      </c>
      <c r="C6" s="17" t="n">
        <v>7525498</v>
      </c>
      <c r="D6" s="17" t="n">
        <v>0</v>
      </c>
      <c r="E6" s="18" t="n">
        <v>0</v>
      </c>
      <c r="F6" s="16" t="inlineStr">
        <is>
          <t>100% 完整，全表主键，无任何重复，可作为唯一样本粒度</t>
        </is>
      </c>
    </row>
    <row r="7">
      <c r="A7" s="19" t="inlineStr">
        <is>
          <t>created_date</t>
        </is>
      </c>
      <c r="B7" s="19" t="inlineStr">
        <is>
          <t>诉求创建时间</t>
        </is>
      </c>
      <c r="C7" s="20" t="n">
        <v>7525498</v>
      </c>
      <c r="D7" s="20" t="n">
        <v>0</v>
      </c>
      <c r="E7" s="21" t="n">
        <v>0</v>
      </c>
      <c r="F7" s="19" t="inlineStr">
        <is>
          <t>100% 完整，时间戳精确到秒，时间序列分析基准字段</t>
        </is>
      </c>
    </row>
    <row r="8">
      <c r="A8" s="16" t="inlineStr">
        <is>
          <t>agency</t>
        </is>
      </c>
      <c r="B8" s="16" t="inlineStr">
        <is>
          <t>承办部门代码</t>
        </is>
      </c>
      <c r="C8" s="17" t="n">
        <v>7525498</v>
      </c>
      <c r="D8" s="17" t="n">
        <v>0</v>
      </c>
      <c r="E8" s="18" t="n">
        <v>0</v>
      </c>
      <c r="F8" s="16" t="inlineStr">
        <is>
          <t>100% 完整，共16个部门，无未识别或无效代码</t>
        </is>
      </c>
    </row>
    <row r="9">
      <c r="A9" s="19" t="inlineStr">
        <is>
          <t>complaint_type</t>
        </is>
      </c>
      <c r="B9" s="19" t="inlineStr">
        <is>
          <t>诉求一级类型</t>
        </is>
      </c>
      <c r="C9" s="20" t="n">
        <v>7525498</v>
      </c>
      <c r="D9" s="20" t="n">
        <v>0</v>
      </c>
      <c r="E9" s="21" t="n">
        <v>0</v>
      </c>
      <c r="F9" s="19" t="inlineStr">
        <is>
          <t>100% 完整，共300+分类，全量诉求分类依据</t>
        </is>
      </c>
    </row>
    <row r="10">
      <c r="A10" s="16" t="inlineStr">
        <is>
          <t>status</t>
        </is>
      </c>
      <c r="B10" s="16" t="inlineStr">
        <is>
          <t>工单流转状态</t>
        </is>
      </c>
      <c r="C10" s="17" t="n">
        <v>7525498</v>
      </c>
      <c r="D10" s="17" t="n">
        <v>0</v>
      </c>
      <c r="E10" s="18" t="n">
        <v>0</v>
      </c>
      <c r="F10" s="16" t="inlineStr">
        <is>
          <t>100% 完整，闭环状态占比96.7%，流转标识清晰</t>
        </is>
      </c>
    </row>
    <row r="11">
      <c r="A11" s="19" t="inlineStr">
        <is>
          <t>borough</t>
        </is>
      </c>
      <c r="B11" s="19" t="inlineStr">
        <is>
          <t>所属行政区</t>
        </is>
      </c>
      <c r="C11" s="20" t="n">
        <v>7525498</v>
      </c>
      <c r="D11" s="20" t="n">
        <v>0</v>
      </c>
      <c r="E11" s="21" t="n">
        <v>0</v>
      </c>
      <c r="F11" s="19" t="inlineStr">
        <is>
          <t>100% 填写，仅0.08%为Unspecified，区域分析高度可靠</t>
        </is>
      </c>
    </row>
    <row r="12">
      <c r="A12" s="16" t="inlineStr">
        <is>
          <t>open_data_channel_type</t>
        </is>
      </c>
      <c r="B12" s="16" t="inlineStr">
        <is>
          <t>报案接入渠道</t>
        </is>
      </c>
      <c r="C12" s="17" t="n">
        <v>7525498</v>
      </c>
      <c r="D12" s="17" t="n">
        <v>0</v>
      </c>
      <c r="E12" s="18" t="n">
        <v>0</v>
      </c>
      <c r="F12" s="16" t="inlineStr">
        <is>
          <t>100% 完整，含ONLINE/PHONE/MOBILE等，渠道演进分析核心</t>
        </is>
      </c>
    </row>
    <row r="13">
      <c r="A13" s="19" t="inlineStr">
        <is>
          <t>descriptor</t>
        </is>
      </c>
      <c r="B13" s="19" t="inlineStr">
        <is>
          <t>诉求二级细分描述</t>
        </is>
      </c>
      <c r="C13" s="20" t="n">
        <v>7503670</v>
      </c>
      <c r="D13" s="20" t="n">
        <v>21828</v>
      </c>
      <c r="E13" s="21" t="n">
        <v>0.0029</v>
      </c>
      <c r="F13" s="19" t="inlineStr">
        <is>
          <t>极低缺失，用于坑洼、噪音明细场景的深入下钻</t>
        </is>
      </c>
    </row>
    <row r="14">
      <c r="A14" s="16" t="inlineStr">
        <is>
          <t>incident_zip</t>
        </is>
      </c>
      <c r="B14" s="16" t="inlineStr">
        <is>
          <t>事发地邮编</t>
        </is>
      </c>
      <c r="C14" s="17" t="n">
        <v>7459939</v>
      </c>
      <c r="D14" s="17" t="n">
        <v>65559</v>
      </c>
      <c r="E14" s="18" t="n">
        <v>0.008699999999999999</v>
      </c>
      <c r="F14" s="16" t="inlineStr">
        <is>
          <t>缺失不足1%，可精确映射到街区/社区级别微观分析</t>
        </is>
      </c>
    </row>
    <row r="15">
      <c r="A15" s="19" t="inlineStr">
        <is>
          <t>resolution_description</t>
        </is>
      </c>
      <c r="B15" s="19" t="inlineStr">
        <is>
          <t>部门结案处理说明</t>
        </is>
      </c>
      <c r="C15" s="20" t="n">
        <v>7413511</v>
      </c>
      <c r="D15" s="20" t="n">
        <v>111987</v>
      </c>
      <c r="E15" s="21" t="n">
        <v>0.0149</v>
      </c>
      <c r="F15" s="19" t="inlineStr">
        <is>
          <t>低缺失，包含重复报案标识、现场执法结论，价值极高</t>
        </is>
      </c>
    </row>
    <row r="16">
      <c r="A16" s="16" t="inlineStr">
        <is>
          <t>latitude / longitude</t>
        </is>
      </c>
      <c r="B16" s="16" t="inlineStr">
        <is>
          <t>地理空间坐标</t>
        </is>
      </c>
      <c r="C16" s="17" t="n">
        <v>7395802</v>
      </c>
      <c r="D16" s="17" t="n">
        <v>129696</v>
      </c>
      <c r="E16" s="18" t="n">
        <v>0.0172</v>
      </c>
      <c r="F16" s="16" t="inlineStr">
        <is>
          <t>有效空间坐标占比98.3%，可支撑高精度空间聚类</t>
        </is>
      </c>
    </row>
    <row r="17">
      <c r="A17" s="19" t="inlineStr">
        <is>
          <t>location_type</t>
        </is>
      </c>
      <c r="B17" s="19" t="inlineStr">
        <is>
          <t>场所类型</t>
        </is>
      </c>
      <c r="C17" s="20" t="n">
        <v>6600325</v>
      </c>
      <c r="D17" s="20" t="n">
        <v>925173</v>
      </c>
      <c r="E17" s="21" t="n">
        <v>0.1229</v>
      </c>
      <c r="F17" s="19" t="inlineStr">
        <is>
          <t>缺失约12.3%，住宅类较全，公共街道部分未强制填写</t>
        </is>
      </c>
    </row>
    <row r="18">
      <c r="A18" s="16" t="inlineStr">
        <is>
          <t>closed_date</t>
        </is>
      </c>
      <c r="B18" s="16" t="inlineStr">
        <is>
          <t>结案归档时间</t>
        </is>
      </c>
      <c r="C18" s="17" t="n">
        <v>7285194</v>
      </c>
      <c r="D18" s="17" t="n">
        <v>240304</v>
      </c>
      <c r="E18" s="18" t="n">
        <v>0.0319</v>
      </c>
      <c r="F18" s="16" t="inlineStr">
        <is>
          <t>未闭环工单自然缺失，需结合右删失窗口进行时效分析</t>
        </is>
      </c>
    </row>
    <row r="19"/>
    <row r="20"/>
    <row r="21">
      <c r="A21" s="6" t="inlineStr">
        <is>
          <t>表 1.2 月度队列结案率与右删失效应检验 (证明时效分析必须隔离末期破月)</t>
        </is>
      </c>
    </row>
    <row r="22">
      <c r="A22" s="22" t="inlineStr">
        <is>
          <t>创建月份队列</t>
        </is>
      </c>
      <c r="B22" s="22" t="inlineStr">
        <is>
          <t>创建工单量</t>
        </is>
      </c>
      <c r="C22" s="22" t="inlineStr">
        <is>
          <t>已结案工单量</t>
        </is>
      </c>
      <c r="D22" s="22" t="inlineStr">
        <is>
          <t>结案率 (%)</t>
        </is>
      </c>
      <c r="E22" s="22" t="inlineStr">
        <is>
          <t>中位闭环耗时 (小时)</t>
        </is>
      </c>
      <c r="F22" s="22" t="inlineStr">
        <is>
          <t>删失状态与分析指引</t>
        </is>
      </c>
    </row>
    <row r="23">
      <c r="A23" s="10" t="inlineStr">
        <is>
          <t>2024-09</t>
        </is>
      </c>
      <c r="B23" s="20" t="n">
        <v>248139</v>
      </c>
      <c r="C23" s="20" t="n">
        <v>246067</v>
      </c>
      <c r="D23" s="21" t="n">
        <v>0.9915999999999999</v>
      </c>
      <c r="E23" s="23" t="n">
        <v>4.85</v>
      </c>
      <c r="F23" s="19" t="inlineStr">
        <is>
          <t>期初破月：从9月7日开始，不影响结案观测</t>
        </is>
      </c>
    </row>
    <row r="24">
      <c r="A24" s="13" t="inlineStr">
        <is>
          <t>2024-10</t>
        </is>
      </c>
      <c r="B24" s="17" t="n">
        <v>306803</v>
      </c>
      <c r="C24" s="17" t="n">
        <v>302257</v>
      </c>
      <c r="D24" s="18" t="n">
        <v>0.9852</v>
      </c>
      <c r="E24" s="24" t="n">
        <v>7.49</v>
      </c>
      <c r="F24" s="16" t="inlineStr">
        <is>
          <t>成熟观测期：结案率稳定在 96% - 99.5%，可可靠计算处置耗时</t>
        </is>
      </c>
    </row>
    <row r="25">
      <c r="A25" s="10" t="inlineStr">
        <is>
          <t>2024-11</t>
        </is>
      </c>
      <c r="B25" s="20" t="n">
        <v>293515</v>
      </c>
      <c r="C25" s="20" t="n">
        <v>289247</v>
      </c>
      <c r="D25" s="21" t="n">
        <v>0.9854999999999999</v>
      </c>
      <c r="E25" s="23" t="n">
        <v>12.68</v>
      </c>
      <c r="F25" s="19" t="inlineStr">
        <is>
          <t>成熟观测期：结案率稳定在 96% - 99.5%，可可靠计算处置耗时</t>
        </is>
      </c>
    </row>
    <row r="26">
      <c r="A26" s="13" t="inlineStr">
        <is>
          <t>2024-12</t>
        </is>
      </c>
      <c r="B26" s="17" t="n">
        <v>313949</v>
      </c>
      <c r="C26" s="17" t="n">
        <v>311163</v>
      </c>
      <c r="D26" s="18" t="n">
        <v>0.9911</v>
      </c>
      <c r="E26" s="24" t="n">
        <v>18.28</v>
      </c>
      <c r="F26" s="16" t="inlineStr">
        <is>
          <t>成熟观测期：结案率稳定在 96% - 99.5%，可可靠计算处置耗时</t>
        </is>
      </c>
    </row>
    <row r="27">
      <c r="A27" s="10" t="inlineStr">
        <is>
          <t>2025-01</t>
        </is>
      </c>
      <c r="B27" s="20" t="n">
        <v>348180</v>
      </c>
      <c r="C27" s="20" t="n">
        <v>346312</v>
      </c>
      <c r="D27" s="21" t="n">
        <v>0.9945999999999999</v>
      </c>
      <c r="E27" s="23" t="n">
        <v>15.1</v>
      </c>
      <c r="F27" s="19" t="inlineStr">
        <is>
          <t>成熟观测期：结案率稳定在 96% - 99.5%，可可靠计算处置耗时</t>
        </is>
      </c>
    </row>
    <row r="28">
      <c r="A28" s="13" t="inlineStr">
        <is>
          <t>2025-02</t>
        </is>
      </c>
      <c r="B28" s="17" t="n">
        <v>255364</v>
      </c>
      <c r="C28" s="17" t="n">
        <v>252362</v>
      </c>
      <c r="D28" s="18" t="n">
        <v>0.9882</v>
      </c>
      <c r="E28" s="24" t="n">
        <v>13.8</v>
      </c>
      <c r="F28" s="16" t="inlineStr">
        <is>
          <t>成熟观测期：结案率稳定在 96% - 99.5%，可可靠计算处置耗时</t>
        </is>
      </c>
    </row>
    <row r="29">
      <c r="A29" s="10" t="inlineStr">
        <is>
          <t>2025-03</t>
        </is>
      </c>
      <c r="B29" s="20" t="n">
        <v>281221</v>
      </c>
      <c r="C29" s="20" t="n">
        <v>278554</v>
      </c>
      <c r="D29" s="21" t="n">
        <v>0.9904999999999999</v>
      </c>
      <c r="E29" s="23" t="n">
        <v>8.42</v>
      </c>
      <c r="F29" s="19" t="inlineStr">
        <is>
          <t>成熟观测期：结案率稳定在 96% - 99.5%，可可靠计算处置耗时</t>
        </is>
      </c>
    </row>
    <row r="30">
      <c r="A30" s="13" t="inlineStr">
        <is>
          <t>2025-04</t>
        </is>
      </c>
      <c r="B30" s="17" t="n">
        <v>272549</v>
      </c>
      <c r="C30" s="17" t="n">
        <v>269361</v>
      </c>
      <c r="D30" s="18" t="n">
        <v>0.9883</v>
      </c>
      <c r="E30" s="24" t="n">
        <v>6.99</v>
      </c>
      <c r="F30" s="16" t="inlineStr">
        <is>
          <t>成熟观测期：结案率稳定在 96% - 99.5%，可可靠计算处置耗时</t>
        </is>
      </c>
    </row>
    <row r="31">
      <c r="A31" s="10" t="inlineStr">
        <is>
          <t>2025-05</t>
        </is>
      </c>
      <c r="B31" s="20" t="n">
        <v>295058</v>
      </c>
      <c r="C31" s="20" t="n">
        <v>290760</v>
      </c>
      <c r="D31" s="21" t="n">
        <v>0.9854000000000001</v>
      </c>
      <c r="E31" s="23" t="n">
        <v>4.14</v>
      </c>
      <c r="F31" s="19" t="inlineStr">
        <is>
          <t>成熟观测期：结案率稳定在 96% - 99.5%，可可靠计算处置耗时</t>
        </is>
      </c>
    </row>
    <row r="32">
      <c r="A32" s="13" t="inlineStr">
        <is>
          <t>2025-06</t>
        </is>
      </c>
      <c r="B32" s="17" t="n">
        <v>306442</v>
      </c>
      <c r="C32" s="17" t="n">
        <v>302485</v>
      </c>
      <c r="D32" s="18" t="n">
        <v>0.9871</v>
      </c>
      <c r="E32" s="24" t="n">
        <v>3.52</v>
      </c>
      <c r="F32" s="16" t="inlineStr">
        <is>
          <t>成熟观测期：结案率稳定在 96% - 99.5%，可可靠计算处置耗时</t>
        </is>
      </c>
    </row>
    <row r="33">
      <c r="A33" s="10" t="inlineStr">
        <is>
          <t>2025-07</t>
        </is>
      </c>
      <c r="B33" s="20" t="n">
        <v>315883</v>
      </c>
      <c r="C33" s="20" t="n">
        <v>311380</v>
      </c>
      <c r="D33" s="21" t="n">
        <v>0.9856999999999999</v>
      </c>
      <c r="E33" s="23" t="n">
        <v>4.62</v>
      </c>
      <c r="F33" s="19" t="inlineStr">
        <is>
          <t>成熟观测期：结案率稳定在 96% - 99.5%，可可靠计算处置耗时</t>
        </is>
      </c>
    </row>
    <row r="34">
      <c r="A34" s="13" t="inlineStr">
        <is>
          <t>2025-08</t>
        </is>
      </c>
      <c r="B34" s="17" t="n">
        <v>304039</v>
      </c>
      <c r="C34" s="17" t="n">
        <v>298173</v>
      </c>
      <c r="D34" s="18" t="n">
        <v>0.9806999999999999</v>
      </c>
      <c r="E34" s="24" t="n">
        <v>3.94</v>
      </c>
      <c r="F34" s="16" t="inlineStr">
        <is>
          <t>成熟观测期：结案率稳定在 96% - 99.5%，可可靠计算处置耗时</t>
        </is>
      </c>
    </row>
    <row r="35">
      <c r="A35" s="10" t="inlineStr">
        <is>
          <t>2025-09</t>
        </is>
      </c>
      <c r="B35" s="20" t="n">
        <v>302684</v>
      </c>
      <c r="C35" s="20" t="n">
        <v>295526</v>
      </c>
      <c r="D35" s="21" t="n">
        <v>0.9764</v>
      </c>
      <c r="E35" s="23" t="n">
        <v>3.7</v>
      </c>
      <c r="F35" s="19" t="inlineStr">
        <is>
          <t>成熟观测期：结案率稳定在 96% - 99.5%，可可靠计算处置耗时</t>
        </is>
      </c>
    </row>
    <row r="36">
      <c r="A36" s="13" t="inlineStr">
        <is>
          <t>2025-10</t>
        </is>
      </c>
      <c r="B36" s="17" t="n">
        <v>336612</v>
      </c>
      <c r="C36" s="17" t="n">
        <v>329071</v>
      </c>
      <c r="D36" s="18" t="n">
        <v>0.9776</v>
      </c>
      <c r="E36" s="24" t="n">
        <v>4.82</v>
      </c>
      <c r="F36" s="16" t="inlineStr">
        <is>
          <t>成熟观测期：结案率稳定在 96% - 99.5%，可可靠计算处置耗时</t>
        </is>
      </c>
    </row>
    <row r="37">
      <c r="A37" s="10" t="inlineStr">
        <is>
          <t>2025-11</t>
        </is>
      </c>
      <c r="B37" s="20" t="n">
        <v>304905</v>
      </c>
      <c r="C37" s="20" t="n">
        <v>300014</v>
      </c>
      <c r="D37" s="21" t="n">
        <v>0.9840000000000001</v>
      </c>
      <c r="E37" s="23" t="n">
        <v>7.68</v>
      </c>
      <c r="F37" s="19" t="inlineStr">
        <is>
          <t>成熟观测期：结案率稳定在 96% - 99.5%，可可靠计算处置耗时</t>
        </is>
      </c>
    </row>
    <row r="38">
      <c r="A38" s="13" t="inlineStr">
        <is>
          <t>2025-12</t>
        </is>
      </c>
      <c r="B38" s="17" t="n">
        <v>332103</v>
      </c>
      <c r="C38" s="17" t="n">
        <v>326704</v>
      </c>
      <c r="D38" s="18" t="n">
        <v>0.9837</v>
      </c>
      <c r="E38" s="24" t="n">
        <v>12.46</v>
      </c>
      <c r="F38" s="16" t="inlineStr">
        <is>
          <t>成熟观测期：结案率稳定在 96% - 99.5%，可可靠计算处置耗时</t>
        </is>
      </c>
    </row>
    <row r="39">
      <c r="A39" s="10" t="inlineStr">
        <is>
          <t>2026-01</t>
        </is>
      </c>
      <c r="B39" s="20" t="n">
        <v>348511</v>
      </c>
      <c r="C39" s="20" t="n">
        <v>339180</v>
      </c>
      <c r="D39" s="21" t="n">
        <v>0.9732</v>
      </c>
      <c r="E39" s="23" t="n">
        <v>25.9</v>
      </c>
      <c r="F39" s="19" t="inlineStr">
        <is>
          <t>成熟观测期：结案率稳定在 96% - 99.5%，可可靠计算处置耗时</t>
        </is>
      </c>
    </row>
    <row r="40">
      <c r="A40" s="13" t="inlineStr">
        <is>
          <t>2026-02</t>
        </is>
      </c>
      <c r="B40" s="17" t="n">
        <v>334690</v>
      </c>
      <c r="C40" s="17" t="n">
        <v>321588</v>
      </c>
      <c r="D40" s="18" t="n">
        <v>0.9609000000000001</v>
      </c>
      <c r="E40" s="24" t="n">
        <v>17.01</v>
      </c>
      <c r="F40" s="16" t="inlineStr">
        <is>
          <t>成熟观测期：结案率稳定在 96% - 99.5%，可可靠计算处置耗时</t>
        </is>
      </c>
    </row>
    <row r="41">
      <c r="A41" s="10" t="inlineStr">
        <is>
          <t>2026-03</t>
        </is>
      </c>
      <c r="B41" s="20" t="n">
        <v>342387</v>
      </c>
      <c r="C41" s="20" t="n">
        <v>329466</v>
      </c>
      <c r="D41" s="21" t="n">
        <v>0.9623</v>
      </c>
      <c r="E41" s="23" t="n">
        <v>8.210000000000001</v>
      </c>
      <c r="F41" s="19" t="inlineStr">
        <is>
          <t>成熟观测期：结案率稳定在 96% - 99.5%，可可靠计算处置耗时</t>
        </is>
      </c>
    </row>
    <row r="42">
      <c r="A42" s="13" t="inlineStr">
        <is>
          <t>2026-04</t>
        </is>
      </c>
      <c r="B42" s="17" t="n">
        <v>302190</v>
      </c>
      <c r="C42" s="17" t="n">
        <v>290086</v>
      </c>
      <c r="D42" s="18" t="n">
        <v>0.9599</v>
      </c>
      <c r="E42" s="24" t="n">
        <v>6.41</v>
      </c>
      <c r="F42" s="16" t="inlineStr">
        <is>
          <t>成熟观测期：结案率稳定在 96% - 99.5%，可可靠计算处置耗时</t>
        </is>
      </c>
    </row>
    <row r="43">
      <c r="A43" s="10" t="inlineStr">
        <is>
          <t>2026-05</t>
        </is>
      </c>
      <c r="B43" s="20" t="n">
        <v>331978</v>
      </c>
      <c r="C43" s="20" t="n">
        <v>316509</v>
      </c>
      <c r="D43" s="21" t="n">
        <v>0.9534</v>
      </c>
      <c r="E43" s="23" t="n">
        <v>5.1</v>
      </c>
      <c r="F43" s="19" t="inlineStr">
        <is>
          <t>成熟观测期：结案率稳定在 96% - 99.5%，可可靠计算处置耗时</t>
        </is>
      </c>
    </row>
    <row r="44">
      <c r="A44" s="13" t="inlineStr">
        <is>
          <t>2026-06</t>
        </is>
      </c>
      <c r="B44" s="17" t="n">
        <v>334833</v>
      </c>
      <c r="C44" s="17" t="n">
        <v>316170</v>
      </c>
      <c r="D44" s="18" t="n">
        <v>0.9443</v>
      </c>
      <c r="E44" s="24" t="n">
        <v>5.56</v>
      </c>
      <c r="F44" s="16" t="inlineStr">
        <is>
          <t>轻微右删失：复杂工单(如建筑/树木)尚未完全闭环</t>
        </is>
      </c>
    </row>
    <row r="45">
      <c r="A45" s="10" t="inlineStr">
        <is>
          <t>2026-07</t>
        </is>
      </c>
      <c r="B45" s="20" t="n">
        <v>343043</v>
      </c>
      <c r="C45" s="20" t="n">
        <v>313088</v>
      </c>
      <c r="D45" s="21" t="n">
        <v>0.9127</v>
      </c>
      <c r="E45" s="23" t="n">
        <v>4.82</v>
      </c>
      <c r="F45" s="19" t="inlineStr">
        <is>
          <t>轻微右删失：复杂工单(如建筑/树木)尚未完全闭环</t>
        </is>
      </c>
    </row>
    <row r="46">
      <c r="A46" s="25" t="inlineStr">
        <is>
          <t>2026-08</t>
        </is>
      </c>
      <c r="B46" s="26" t="n">
        <v>328446</v>
      </c>
      <c r="C46" s="26" t="n">
        <v>275267</v>
      </c>
      <c r="D46" s="27" t="n">
        <v>0.8381000000000001</v>
      </c>
      <c r="E46" s="28" t="n">
        <v>4.09</v>
      </c>
      <c r="F46" s="29" t="inlineStr">
        <is>
          <t>严重右删失：距离数据截止不足30天，大量工单仍处于在办状态，不可作为时效评价基准</t>
        </is>
      </c>
    </row>
    <row r="47">
      <c r="A47" s="25" t="inlineStr">
        <is>
          <t>2026-09</t>
        </is>
      </c>
      <c r="B47" s="26" t="n">
        <v>41974</v>
      </c>
      <c r="C47" s="26" t="n">
        <v>24559</v>
      </c>
      <c r="D47" s="27" t="n">
        <v>0.5851</v>
      </c>
      <c r="E47" s="28" t="n">
        <v>1.88</v>
      </c>
      <c r="F47" s="29" t="inlineStr">
        <is>
          <t>严重右删失：距离数据截止不足30天，大量工单仍处于在办状态，不可作为时效评价基准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3" customWidth="1" min="3" max="3"/>
    <col width="14" customWidth="1" min="4" max="4"/>
    <col width="16" customWidth="1" min="5" max="5"/>
    <col width="24" customWidth="1" min="6" max="6"/>
    <col width="25" customWidth="1" min="7" max="7"/>
    <col width="52" customWidth="1" min="8" max="8"/>
  </cols>
  <sheetData>
    <row r="1">
      <c r="A1" s="1" t="inlineStr">
        <is>
          <t>纽约市 311 诉求年度增长动力学与多维分解 (11个月同期对比)</t>
        </is>
      </c>
    </row>
    <row r="2">
      <c r="A2" s="2" t="inlineStr">
        <is>
          <t>对比区间：基期 Year 1 (2024.10 - 2025.08) 对比 报告期 Year 2 (2025.10 - 2026.08) | 净增 +346,695 件 (+10.53%)</t>
        </is>
      </c>
    </row>
    <row r="3"/>
    <row r="4">
      <c r="A4" s="6" t="inlineStr">
        <is>
          <t>表 2.1 诉求量月度同比走势与突增月甄别</t>
        </is>
      </c>
    </row>
    <row r="5">
      <c r="A5" s="7" t="inlineStr">
        <is>
          <t>月份序号</t>
        </is>
      </c>
      <c r="B5" s="7" t="inlineStr">
        <is>
          <t>基期月份</t>
        </is>
      </c>
      <c r="C5" s="7" t="inlineStr">
        <is>
          <t>基期诉求量</t>
        </is>
      </c>
      <c r="D5" s="7" t="inlineStr">
        <is>
          <t>报告期月份</t>
        </is>
      </c>
      <c r="E5" s="7" t="inlineStr">
        <is>
          <t>报告期诉求量</t>
        </is>
      </c>
      <c r="F5" s="7" t="inlineStr">
        <is>
          <t>同比净增量</t>
        </is>
      </c>
      <c r="G5" s="7" t="inlineStr">
        <is>
          <t>同比增速 (%)</t>
        </is>
      </c>
      <c r="H5" s="7" t="inlineStr">
        <is>
          <t>业务异动定位</t>
        </is>
      </c>
    </row>
    <row r="6">
      <c r="A6" s="13" t="n">
        <v>1</v>
      </c>
      <c r="B6" s="13" t="inlineStr">
        <is>
          <t>2024-10</t>
        </is>
      </c>
      <c r="C6" s="17" t="n">
        <v>306803</v>
      </c>
      <c r="D6" s="13" t="inlineStr">
        <is>
          <t>2025-10</t>
        </is>
      </c>
      <c r="E6" s="17" t="n">
        <v>336612</v>
      </c>
      <c r="F6" s="17" t="n">
        <v>29809</v>
      </c>
      <c r="G6" s="18" t="n">
        <v>0.09720000000000001</v>
      </c>
      <c r="H6" s="16" t="inlineStr">
        <is>
          <t>常态波动区间：增幅在 0.1% - 9.7% 之间</t>
        </is>
      </c>
    </row>
    <row r="7">
      <c r="A7" s="10" t="n">
        <v>2</v>
      </c>
      <c r="B7" s="10" t="inlineStr">
        <is>
          <t>2024-11</t>
        </is>
      </c>
      <c r="C7" s="20" t="n">
        <v>293515</v>
      </c>
      <c r="D7" s="10" t="inlineStr">
        <is>
          <t>2025-11</t>
        </is>
      </c>
      <c r="E7" s="20" t="n">
        <v>304905</v>
      </c>
      <c r="F7" s="20" t="n">
        <v>11390</v>
      </c>
      <c r="G7" s="21" t="n">
        <v>0.0388</v>
      </c>
      <c r="H7" s="19" t="inlineStr">
        <is>
          <t>常态波动区间：增幅在 0.1% - 9.7% 之间</t>
        </is>
      </c>
    </row>
    <row r="8">
      <c r="A8" s="13" t="n">
        <v>3</v>
      </c>
      <c r="B8" s="13" t="inlineStr">
        <is>
          <t>2024-12</t>
        </is>
      </c>
      <c r="C8" s="17" t="n">
        <v>313949</v>
      </c>
      <c r="D8" s="13" t="inlineStr">
        <is>
          <t>2025-12</t>
        </is>
      </c>
      <c r="E8" s="17" t="n">
        <v>332103</v>
      </c>
      <c r="F8" s="17" t="n">
        <v>18154</v>
      </c>
      <c r="G8" s="18" t="n">
        <v>0.0578</v>
      </c>
      <c r="H8" s="16" t="inlineStr">
        <is>
          <t>常态波动区间：增幅在 0.1% - 9.7% 之间</t>
        </is>
      </c>
    </row>
    <row r="9">
      <c r="A9" s="10" t="n">
        <v>4</v>
      </c>
      <c r="B9" s="10" t="inlineStr">
        <is>
          <t>2025-01</t>
        </is>
      </c>
      <c r="C9" s="20" t="n">
        <v>348180</v>
      </c>
      <c r="D9" s="10" t="inlineStr">
        <is>
          <t>2026-01</t>
        </is>
      </c>
      <c r="E9" s="20" t="n">
        <v>348511</v>
      </c>
      <c r="F9" s="20" t="n">
        <v>331</v>
      </c>
      <c r="G9" s="21" t="n">
        <v>0.001</v>
      </c>
      <c r="H9" s="19" t="inlineStr">
        <is>
          <t>常态波动区间：增幅在 0.1% - 9.7% 之间</t>
        </is>
      </c>
    </row>
    <row r="10">
      <c r="A10" s="25" t="n">
        <v>5</v>
      </c>
      <c r="B10" s="25" t="inlineStr">
        <is>
          <t>2025-02</t>
        </is>
      </c>
      <c r="C10" s="26" t="n">
        <v>255364</v>
      </c>
      <c r="D10" s="25" t="inlineStr">
        <is>
          <t>2026-02</t>
        </is>
      </c>
      <c r="E10" s="26" t="n">
        <v>334690</v>
      </c>
      <c r="F10" s="26" t="n">
        <v>79326</v>
      </c>
      <c r="G10" s="27" t="n">
        <v>0.3106</v>
      </c>
      <c r="H10" s="29" t="inlineStr">
        <is>
          <t>★ 全年最大异动峰值：增量+79,326件(+31.1%)，暴雪与严寒双重叠加</t>
        </is>
      </c>
    </row>
    <row r="11">
      <c r="A11" s="25" t="n">
        <v>6</v>
      </c>
      <c r="B11" s="25" t="inlineStr">
        <is>
          <t>2025-03</t>
        </is>
      </c>
      <c r="C11" s="26" t="n">
        <v>281221</v>
      </c>
      <c r="D11" s="25" t="inlineStr">
        <is>
          <t>2026-03</t>
        </is>
      </c>
      <c r="E11" s="26" t="n">
        <v>342387</v>
      </c>
      <c r="F11" s="26" t="n">
        <v>61166</v>
      </c>
      <c r="G11" s="27" t="n">
        <v>0.2175</v>
      </c>
      <c r="H11" s="29" t="inlineStr">
        <is>
          <t>★ 次大异动峰值：增量+61,166件(+21.8%)，雪后融雪引发道路坑洼大爆发</t>
        </is>
      </c>
    </row>
    <row r="12">
      <c r="A12" s="13" t="n">
        <v>7</v>
      </c>
      <c r="B12" s="13" t="inlineStr">
        <is>
          <t>2025-04</t>
        </is>
      </c>
      <c r="C12" s="17" t="n">
        <v>272549</v>
      </c>
      <c r="D12" s="13" t="inlineStr">
        <is>
          <t>2026-04</t>
        </is>
      </c>
      <c r="E12" s="17" t="n">
        <v>302190</v>
      </c>
      <c r="F12" s="17" t="n">
        <v>29641</v>
      </c>
      <c r="G12" s="18" t="n">
        <v>0.1088</v>
      </c>
      <c r="H12" s="16" t="inlineStr">
        <is>
          <t>春季平稳增长：气温回升，户外施工与停车执法诉求常态回升</t>
        </is>
      </c>
    </row>
    <row r="13">
      <c r="A13" s="10" t="n">
        <v>8</v>
      </c>
      <c r="B13" s="10" t="inlineStr">
        <is>
          <t>2025-05</t>
        </is>
      </c>
      <c r="C13" s="20" t="n">
        <v>295058</v>
      </c>
      <c r="D13" s="10" t="inlineStr">
        <is>
          <t>2026-05</t>
        </is>
      </c>
      <c r="E13" s="20" t="n">
        <v>331978</v>
      </c>
      <c r="F13" s="20" t="n">
        <v>36920</v>
      </c>
      <c r="G13" s="21" t="n">
        <v>0.1251</v>
      </c>
      <c r="H13" s="19" t="inlineStr">
        <is>
          <t>春季平稳增长：气温回升，户外施工与停车执法诉求常态回升</t>
        </is>
      </c>
    </row>
    <row r="14">
      <c r="A14" s="13" t="n">
        <v>9</v>
      </c>
      <c r="B14" s="13" t="inlineStr">
        <is>
          <t>2025-06</t>
        </is>
      </c>
      <c r="C14" s="17" t="n">
        <v>306442</v>
      </c>
      <c r="D14" s="13" t="inlineStr">
        <is>
          <t>2026-06</t>
        </is>
      </c>
      <c r="E14" s="17" t="n">
        <v>334833</v>
      </c>
      <c r="F14" s="17" t="n">
        <v>28391</v>
      </c>
      <c r="G14" s="18" t="n">
        <v>0.0926</v>
      </c>
      <c r="H14" s="16" t="inlineStr">
        <is>
          <t>常态波动区间：增幅在 0.1% - 9.7% 之间</t>
        </is>
      </c>
    </row>
    <row r="15">
      <c r="A15" s="10" t="n">
        <v>10</v>
      </c>
      <c r="B15" s="10" t="inlineStr">
        <is>
          <t>2025-07</t>
        </is>
      </c>
      <c r="C15" s="20" t="n">
        <v>315883</v>
      </c>
      <c r="D15" s="10" t="inlineStr">
        <is>
          <t>2026-07</t>
        </is>
      </c>
      <c r="E15" s="20" t="n">
        <v>343043</v>
      </c>
      <c r="F15" s="20" t="n">
        <v>27160</v>
      </c>
      <c r="G15" s="21" t="n">
        <v>0.08599999999999999</v>
      </c>
      <c r="H15" s="19" t="inlineStr">
        <is>
          <t>常态波动区间：增幅在 0.1% - 9.7% 之间</t>
        </is>
      </c>
    </row>
    <row r="16">
      <c r="A16" s="13" t="n">
        <v>11</v>
      </c>
      <c r="B16" s="13" t="inlineStr">
        <is>
          <t>2025-08</t>
        </is>
      </c>
      <c r="C16" s="17" t="n">
        <v>304039</v>
      </c>
      <c r="D16" s="13" t="inlineStr">
        <is>
          <t>2026-08</t>
        </is>
      </c>
      <c r="E16" s="17" t="n">
        <v>328446</v>
      </c>
      <c r="F16" s="17" t="n">
        <v>24407</v>
      </c>
      <c r="G16" s="18" t="n">
        <v>0.0803</v>
      </c>
      <c r="H16" s="16" t="inlineStr">
        <is>
          <t>常态波动区间：增幅在 0.1% - 9.7% 之间</t>
        </is>
      </c>
    </row>
    <row r="17">
      <c r="A17" s="30" t="inlineStr">
        <is>
          <t>合计/均值</t>
        </is>
      </c>
      <c r="B17" s="30" t="inlineStr">
        <is>
          <t>11个月累计</t>
        </is>
      </c>
      <c r="C17" s="31">
        <f>SUM(C6:C16)</f>
        <v/>
      </c>
      <c r="D17" s="30" t="inlineStr">
        <is>
          <t>11个月累计</t>
        </is>
      </c>
      <c r="E17" s="31">
        <f>SUM(E6:E16)</f>
        <v/>
      </c>
      <c r="F17" s="31">
        <f>E17-C17</f>
        <v/>
      </c>
      <c r="G17" s="32">
        <f>F17/C17</f>
        <v/>
      </c>
      <c r="H17" s="30" t="inlineStr">
        <is>
          <t>全城年度总增长基准线</t>
        </is>
      </c>
    </row>
    <row r="18"/>
    <row r="19">
      <c r="A19" s="6" t="inlineStr">
        <is>
          <t>表 2.2 承办机构增长归因分解 (排名前列及异动机构)</t>
        </is>
      </c>
    </row>
    <row r="20">
      <c r="A20" s="22" t="inlineStr">
        <is>
          <t>机构代码</t>
        </is>
      </c>
      <c r="B20" s="22" t="inlineStr">
        <is>
          <t>主要职责领域</t>
        </is>
      </c>
      <c r="C20" s="22" t="inlineStr">
        <is>
          <t>基期件数 (Y1)</t>
        </is>
      </c>
      <c r="D20" s="22" t="inlineStr">
        <is>
          <t>报告期件数 (Y2)</t>
        </is>
      </c>
      <c r="E20" s="22" t="inlineStr">
        <is>
          <t>增减量</t>
        </is>
      </c>
      <c r="F20" s="22" t="inlineStr">
        <is>
          <t>机构同比增速</t>
        </is>
      </c>
      <c r="G20" s="22" t="inlineStr">
        <is>
          <t>对全城增量贡献率</t>
        </is>
      </c>
      <c r="H20" s="22" t="inlineStr">
        <is>
          <t>归因与业务角色</t>
        </is>
      </c>
    </row>
    <row r="21">
      <c r="A21" s="33" t="inlineStr">
        <is>
          <t>HPD</t>
        </is>
      </c>
      <c r="B21" s="34" t="inlineStr">
        <is>
          <t>房屋修缮与供暖保障</t>
        </is>
      </c>
      <c r="C21" s="35" t="n">
        <v>701073</v>
      </c>
      <c r="D21" s="35" t="n">
        <v>848019</v>
      </c>
      <c r="E21" s="35" t="n">
        <v>146946</v>
      </c>
      <c r="F21" s="36" t="n">
        <v>0.2096</v>
      </c>
      <c r="G21" s="36" t="n">
        <v>0.4238</v>
      </c>
      <c r="H21" s="34" t="inlineStr">
        <is>
          <t>首要增长源：贡献全城42.38%的净增量，供暖热水诉求全面爆发</t>
        </is>
      </c>
    </row>
    <row r="22">
      <c r="A22" s="33" t="inlineStr">
        <is>
          <t>DOT</t>
        </is>
      </c>
      <c r="B22" s="34" t="inlineStr">
        <is>
          <t>交通运输与道路维护</t>
        </is>
      </c>
      <c r="C22" s="35" t="n">
        <v>192453</v>
      </c>
      <c r="D22" s="35" t="n">
        <v>259309</v>
      </c>
      <c r="E22" s="35" t="n">
        <v>66856</v>
      </c>
      <c r="F22" s="36" t="n">
        <v>0.3474</v>
      </c>
      <c r="G22" s="36" t="n">
        <v>0.1928</v>
      </c>
      <c r="H22" s="34" t="inlineStr">
        <is>
          <t>次要增长源：贡献19.28%净增量，雪后坑洼导致道路维修激增34.7%</t>
        </is>
      </c>
    </row>
    <row r="23">
      <c r="A23" s="33" t="inlineStr">
        <is>
          <t>NYPD</t>
        </is>
      </c>
      <c r="B23" s="34" t="inlineStr">
        <is>
          <t>警务执法与社区秩序</t>
        </is>
      </c>
      <c r="C23" s="35" t="n">
        <v>1519410</v>
      </c>
      <c r="D23" s="35" t="n">
        <v>1577910</v>
      </c>
      <c r="E23" s="35" t="n">
        <v>58500</v>
      </c>
      <c r="F23" s="36" t="n">
        <v>0.0385</v>
      </c>
      <c r="G23" s="36" t="n">
        <v>0.1687</v>
      </c>
      <c r="H23" s="34" t="inlineStr">
        <is>
          <t>基础大盘：贡献16.87%净增量，违泊与占用车道诉求持续上升</t>
        </is>
      </c>
    </row>
    <row r="24">
      <c r="A24" s="33" t="inlineStr">
        <is>
          <t>DSNY</t>
        </is>
      </c>
      <c r="B24" s="34" t="inlineStr">
        <is>
          <t>环境卫生与除雪作业</t>
        </is>
      </c>
      <c r="C24" s="35" t="n">
        <v>297848</v>
      </c>
      <c r="D24" s="35" t="n">
        <v>330993</v>
      </c>
      <c r="E24" s="35" t="n">
        <v>33145</v>
      </c>
      <c r="F24" s="36" t="n">
        <v>0.1113</v>
      </c>
      <c r="G24" s="36" t="n">
        <v>0.0956</v>
      </c>
      <c r="H24" s="34" t="inlineStr">
        <is>
          <t>气候敏感源：贡献9.56%净增量，2026年2月暴风雪除雪需求暴增</t>
        </is>
      </c>
    </row>
    <row r="25">
      <c r="A25" s="8" t="inlineStr">
        <is>
          <t>DPR</t>
        </is>
      </c>
      <c r="B25" s="19" t="inlineStr">
        <is>
          <t>公园管理与倒木清理</t>
        </is>
      </c>
      <c r="C25" s="20" t="n">
        <v>98166</v>
      </c>
      <c r="D25" s="20" t="n">
        <v>122517</v>
      </c>
      <c r="E25" s="20" t="n">
        <v>24351</v>
      </c>
      <c r="F25" s="21" t="n">
        <v>0.2481</v>
      </c>
      <c r="G25" s="21" t="n">
        <v>0.0702</v>
      </c>
      <c r="H25" s="19" t="inlineStr">
        <is>
          <t>暴风雨与大风天气导致受损树木投诉增长24.8%</t>
        </is>
      </c>
    </row>
    <row r="26">
      <c r="A26" s="11" t="inlineStr">
        <is>
          <t>DOB</t>
        </is>
      </c>
      <c r="B26" s="16" t="inlineStr">
        <is>
          <t>楼宇安全与施工管理</t>
        </is>
      </c>
      <c r="C26" s="17" t="n">
        <v>92680</v>
      </c>
      <c r="D26" s="17" t="n">
        <v>109581</v>
      </c>
      <c r="E26" s="17" t="n">
        <v>16901</v>
      </c>
      <c r="F26" s="18" t="n">
        <v>0.1824</v>
      </c>
      <c r="G26" s="18" t="n">
        <v>0.0487</v>
      </c>
      <c r="H26" s="16" t="inlineStr">
        <is>
          <t>脚手架与非法施工投诉常态增长18.2%</t>
        </is>
      </c>
    </row>
    <row r="27">
      <c r="A27" s="8" t="inlineStr">
        <is>
          <t>DEP</t>
        </is>
      </c>
      <c r="B27" s="19" t="inlineStr">
        <is>
          <t>环境保护与水务管道</t>
        </is>
      </c>
      <c r="C27" s="20" t="n">
        <v>192648</v>
      </c>
      <c r="D27" s="20" t="n">
        <v>202049</v>
      </c>
      <c r="E27" s="20" t="n">
        <v>9401</v>
      </c>
      <c r="F27" s="21" t="n">
        <v>0.0488</v>
      </c>
      <c r="G27" s="21" t="n">
        <v>0.0271</v>
      </c>
      <c r="H27" s="19" t="inlineStr">
        <is>
          <t>稳定大盘：微增4.88%，底层发生分类替换(见Sheet 04)</t>
        </is>
      </c>
    </row>
    <row r="28">
      <c r="A28" s="11" t="inlineStr">
        <is>
          <t>OOS</t>
        </is>
      </c>
      <c r="B28" s="16" t="inlineStr">
        <is>
          <t>外部流转服务机构</t>
        </is>
      </c>
      <c r="C28" s="17" t="n">
        <v>0</v>
      </c>
      <c r="D28" s="17" t="n">
        <v>3958</v>
      </c>
      <c r="E28" s="17" t="n">
        <v>3958</v>
      </c>
      <c r="F28" s="18" t="n">
        <v>0</v>
      </c>
      <c r="G28" s="18" t="n">
        <v>0.0114</v>
      </c>
      <c r="H28" s="16" t="inlineStr">
        <is>
          <t>新设/变更路由机构代码，基期无记录</t>
        </is>
      </c>
    </row>
    <row r="29">
      <c r="A29" s="8" t="inlineStr">
        <is>
          <t>TLC</t>
        </is>
      </c>
      <c r="B29" s="19" t="inlineStr">
        <is>
          <t>出租车与网约车管理</t>
        </is>
      </c>
      <c r="C29" s="20" t="n">
        <v>33209</v>
      </c>
      <c r="D29" s="20" t="n">
        <v>35741</v>
      </c>
      <c r="E29" s="20" t="n">
        <v>2532</v>
      </c>
      <c r="F29" s="21" t="n">
        <v>0.0762</v>
      </c>
      <c r="G29" s="21" t="n">
        <v>0.0073</v>
      </c>
      <c r="H29" s="19" t="inlineStr">
        <is>
          <t>网约车服务与拒载投诉小幅回升7.6%</t>
        </is>
      </c>
    </row>
    <row r="30">
      <c r="A30" s="11" t="inlineStr">
        <is>
          <t>DCWP</t>
        </is>
      </c>
      <c r="B30" s="16" t="inlineStr">
        <is>
          <t>消费者与劳工保护</t>
        </is>
      </c>
      <c r="C30" s="17" t="n">
        <v>16692</v>
      </c>
      <c r="D30" s="17" t="n">
        <v>18609</v>
      </c>
      <c r="E30" s="17" t="n">
        <v>1917</v>
      </c>
      <c r="F30" s="18" t="n">
        <v>0.1148</v>
      </c>
      <c r="G30" s="18" t="n">
        <v>0.005500000000000001</v>
      </c>
      <c r="H30" s="16" t="inlineStr">
        <is>
          <t>消费维权与商家违规举报稳定</t>
        </is>
      </c>
    </row>
    <row r="31">
      <c r="A31" s="8" t="inlineStr">
        <is>
          <t>NYC311-PRD</t>
        </is>
      </c>
      <c r="B31" s="19" t="inlineStr">
        <is>
          <t>311内部测试或流转</t>
        </is>
      </c>
      <c r="C31" s="20" t="n">
        <v>0</v>
      </c>
      <c r="D31" s="20" t="n">
        <v>371</v>
      </c>
      <c r="E31" s="20" t="n">
        <v>371</v>
      </c>
      <c r="F31" s="21" t="n">
        <v>0</v>
      </c>
      <c r="G31" s="21" t="n">
        <v>0.0011</v>
      </c>
      <c r="H31" s="19" t="inlineStr">
        <is>
          <t>系统内部运维记录，极小量</t>
        </is>
      </c>
    </row>
    <row r="32">
      <c r="A32" s="11" t="inlineStr">
        <is>
          <t>OTI</t>
        </is>
      </c>
      <c r="B32" s="16" t="inlineStr">
        <is>
          <t>城市技术与创新局</t>
        </is>
      </c>
      <c r="C32" s="17" t="n">
        <v>175</v>
      </c>
      <c r="D32" s="17" t="n">
        <v>238</v>
      </c>
      <c r="E32" s="17" t="n">
        <v>63</v>
      </c>
      <c r="F32" s="18" t="n">
        <v>0.36</v>
      </c>
      <c r="G32" s="18" t="n">
        <v>0.0002</v>
      </c>
      <c r="H32" s="16" t="inlineStr">
        <is>
          <t>体量极小，技术设施类</t>
        </is>
      </c>
    </row>
    <row r="33">
      <c r="A33" s="8" t="inlineStr">
        <is>
          <t>DOE</t>
        </is>
      </c>
      <c r="B33" s="19" t="inlineStr">
        <is>
          <t>教育局学校相关</t>
        </is>
      </c>
      <c r="C33" s="20" t="n">
        <v>1695</v>
      </c>
      <c r="D33" s="20" t="n">
        <v>1045</v>
      </c>
      <c r="E33" s="20" t="n">
        <v>-650</v>
      </c>
      <c r="F33" s="21" t="n">
        <v>-0.3835</v>
      </c>
      <c r="G33" s="21" t="n">
        <v>-0.0019</v>
      </c>
      <c r="H33" s="19" t="inlineStr">
        <is>
          <t>学校周边问题投诉下降38.4%</t>
        </is>
      </c>
    </row>
    <row r="34">
      <c r="A34" s="11" t="inlineStr">
        <is>
          <t>DOHMH</t>
        </is>
      </c>
      <c r="B34" s="16" t="inlineStr">
        <is>
          <t>卫生与精神健康局</t>
        </is>
      </c>
      <c r="C34" s="17" t="n">
        <v>79042</v>
      </c>
      <c r="D34" s="17" t="n">
        <v>74809</v>
      </c>
      <c r="E34" s="17" t="n">
        <v>-4233</v>
      </c>
      <c r="F34" s="18" t="n">
        <v>-0.0536</v>
      </c>
      <c r="G34" s="18" t="n">
        <v>-0.0122</v>
      </c>
      <c r="H34" s="16" t="inlineStr">
        <is>
          <t>老鼠灭治与食品卫生投诉小幅收缩5.36%</t>
        </is>
      </c>
    </row>
    <row r="35">
      <c r="A35" s="8" t="inlineStr">
        <is>
          <t>DHS</t>
        </is>
      </c>
      <c r="B35" s="19" t="inlineStr">
        <is>
          <t>无家可归者服务局</t>
        </is>
      </c>
      <c r="C35" s="20" t="n">
        <v>46832</v>
      </c>
      <c r="D35" s="20" t="n">
        <v>42530</v>
      </c>
      <c r="E35" s="20" t="n">
        <v>-4302</v>
      </c>
      <c r="F35" s="21" t="n">
        <v>-0.0919</v>
      </c>
      <c r="G35" s="21" t="n">
        <v>-0.0124</v>
      </c>
      <c r="H35" s="19" t="inlineStr">
        <is>
          <t>收容所外流浪人员协助请求同比下降9.19%</t>
        </is>
      </c>
    </row>
    <row r="36">
      <c r="A36" s="11" t="inlineStr">
        <is>
          <t>EDC</t>
        </is>
      </c>
      <c r="B36" s="16" t="inlineStr">
        <is>
          <t>经济发展署相关设施</t>
        </is>
      </c>
      <c r="C36" s="17" t="n">
        <v>21080</v>
      </c>
      <c r="D36" s="17" t="n">
        <v>12019</v>
      </c>
      <c r="E36" s="17" t="n">
        <v>-9061</v>
      </c>
      <c r="F36" s="18" t="n">
        <v>-0.4298</v>
      </c>
      <c r="G36" s="18" t="n">
        <v>-0.0261</v>
      </c>
      <c r="H36" s="16" t="inlineStr">
        <is>
          <t>轮渡与码头设施投诉大幅减少42.98%</t>
        </is>
      </c>
    </row>
    <row r="37"/>
    <row r="38"/>
    <row r="39">
      <c r="A39" s="6" t="inlineStr">
        <is>
          <t>表 2.3 市民报案渠道结构性跃迁 (数字化替代效应)</t>
        </is>
      </c>
    </row>
    <row r="40">
      <c r="A40" s="7" t="inlineStr">
        <is>
          <t>报案渠道</t>
        </is>
      </c>
      <c r="B40" s="7" t="inlineStr">
        <is>
          <t>基期件数 (Y1)</t>
        </is>
      </c>
      <c r="C40" s="7" t="inlineStr">
        <is>
          <t>基期份额 (%)</t>
        </is>
      </c>
      <c r="D40" s="7" t="inlineStr">
        <is>
          <t>报告期件数 (Y2)</t>
        </is>
      </c>
      <c r="E40" s="7" t="inlineStr">
        <is>
          <t>报告期份额 (%)</t>
        </is>
      </c>
      <c r="F40" s="7" t="inlineStr">
        <is>
          <t>渠道净增量</t>
        </is>
      </c>
      <c r="G40" s="7" t="inlineStr">
        <is>
          <t>渠道自身增速</t>
        </is>
      </c>
      <c r="H40" s="7" t="inlineStr">
        <is>
          <t>增量贡献解释</t>
        </is>
      </c>
    </row>
    <row r="41">
      <c r="A41" s="33" t="inlineStr">
        <is>
          <t>ONLINE</t>
        </is>
      </c>
      <c r="B41" s="35" t="n">
        <v>1377738</v>
      </c>
      <c r="C41" s="36" t="n">
        <v>0.4184</v>
      </c>
      <c r="D41" s="35" t="n">
        <v>1703884</v>
      </c>
      <c r="E41" s="36" t="n">
        <v>0.4681</v>
      </c>
      <c r="F41" s="35" t="n">
        <v>326146</v>
      </c>
      <c r="G41" s="36" t="n">
        <v>0.2367</v>
      </c>
      <c r="H41" s="34" t="inlineStr">
        <is>
          <t>数字化核心引擎：净增32.6万件，单渠道解释了全城94.07%的增量，反映Web端低门槛报案普及</t>
        </is>
      </c>
    </row>
    <row r="42">
      <c r="A42" s="11" t="inlineStr">
        <is>
          <t>PHONE</t>
        </is>
      </c>
      <c r="B42" s="17" t="n">
        <v>926181</v>
      </c>
      <c r="C42" s="18" t="n">
        <v>0.2813</v>
      </c>
      <c r="D42" s="17" t="n">
        <v>852847</v>
      </c>
      <c r="E42" s="18" t="n">
        <v>0.2343</v>
      </c>
      <c r="F42" s="17" t="n">
        <v>-73334</v>
      </c>
      <c r="G42" s="18" t="n">
        <v>-0.07919999999999999</v>
      </c>
      <c r="H42" s="16" t="inlineStr">
        <is>
          <t>传统热线萎缩：呼叫量减少7.33万件(-7.92%)，份额从28.1%跌至23.4%，市民报案习惯显著线上化</t>
        </is>
      </c>
    </row>
    <row r="43">
      <c r="A43" s="8" t="inlineStr">
        <is>
          <t>MOBILE</t>
        </is>
      </c>
      <c r="B43" s="20" t="n">
        <v>748613</v>
      </c>
      <c r="C43" s="21" t="n">
        <v>0.2273</v>
      </c>
      <c r="D43" s="20" t="n">
        <v>771901</v>
      </c>
      <c r="E43" s="21" t="n">
        <v>0.2121</v>
      </c>
      <c r="F43" s="20" t="n">
        <v>23288</v>
      </c>
      <c r="G43" s="21" t="n">
        <v>0.0311</v>
      </c>
      <c r="H43" s="19" t="inlineStr">
        <is>
          <t>移动App保持稳定：诉求小幅微增3.11%，与智能手机客户端渗透率保持同步</t>
        </is>
      </c>
    </row>
    <row r="44">
      <c r="A44" s="11" t="inlineStr">
        <is>
          <t>UNKNOWN</t>
        </is>
      </c>
      <c r="B44" s="17" t="n">
        <v>240448</v>
      </c>
      <c r="C44" s="18" t="n">
        <v>0.073</v>
      </c>
      <c r="D44" s="17" t="n">
        <v>309137</v>
      </c>
      <c r="E44" s="18" t="n">
        <v>0.0849</v>
      </c>
      <c r="F44" s="17" t="n">
        <v>68689</v>
      </c>
      <c r="G44" s="18" t="n">
        <v>0.2857</v>
      </c>
      <c r="H44" s="16" t="inlineStr">
        <is>
          <t>系统未知渠道小幅增加，部分来自第三方集成接口或批量数据导入</t>
        </is>
      </c>
    </row>
    <row r="45">
      <c r="A45" s="8" t="inlineStr">
        <is>
          <t>OTHER</t>
        </is>
      </c>
      <c r="B45" s="20" t="n">
        <v>23</v>
      </c>
      <c r="C45" s="21" t="n">
        <v>0</v>
      </c>
      <c r="D45" s="20" t="n">
        <v>1929</v>
      </c>
      <c r="E45" s="21" t="n">
        <v>0.0005</v>
      </c>
      <c r="F45" s="20" t="n">
        <v>1906</v>
      </c>
      <c r="G45" s="21" t="n">
        <v>82.86959999999999</v>
      </c>
      <c r="H45" s="19" t="inlineStr">
        <is>
          <t>体量极小，其他辅助测试渠道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4" customWidth="1" min="4" max="4"/>
    <col width="16" customWidth="1" min="5" max="5"/>
    <col width="46" customWidth="1" min="6" max="6"/>
    <col width="14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  <col width="50" customWidth="1" min="13" max="13"/>
  </cols>
  <sheetData>
    <row r="1">
      <c r="A1" s="1" t="inlineStr">
        <is>
          <t>2026年早春极端气候冲击与链式基建损毁传导机制 (从暴雪到坑洼)</t>
        </is>
      </c>
    </row>
    <row r="2">
      <c r="A2" s="2" t="inlineStr">
        <is>
          <t>时序机制核验：2026年2月中下旬暴风雪与寒潮峰值 -&gt; 3月气温回升融雪诱发道路严重冻融破损</t>
        </is>
      </c>
    </row>
    <row r="3"/>
    <row r="4">
      <c r="A4" s="6" t="inlineStr">
        <is>
          <t>表 3.1 2026年2月暴风雪全生命周期日度追踪 (DSNY除雪 vs HPD供暖 vs NYPD堵路)</t>
        </is>
      </c>
      <c r="H4" s="6" t="inlineStr">
        <is>
          <t>表 3.2 雪后融雪道路损毁分解 (DOT 道路状况明细)</t>
        </is>
      </c>
    </row>
    <row r="5">
      <c r="A5" s="7" t="inlineStr">
        <is>
          <t>事发日期</t>
        </is>
      </c>
      <c r="B5" s="7" t="inlineStr">
        <is>
          <t>全日总诉求</t>
        </is>
      </c>
      <c r="C5" s="7" t="inlineStr">
        <is>
          <t>DSNY 冰雪诉求</t>
        </is>
      </c>
      <c r="D5" s="7" t="inlineStr">
        <is>
          <t>HPD 供暖热水诉求</t>
        </is>
      </c>
      <c r="E5" s="7" t="inlineStr">
        <is>
          <t>NYPD 占用车道/堵塞</t>
        </is>
      </c>
      <c r="F5" s="7" t="inlineStr">
        <is>
          <t>气候事件特征与应急阶段</t>
        </is>
      </c>
      <c r="H5" s="22" t="inlineStr">
        <is>
          <t>道路损毁具体描述符</t>
        </is>
      </c>
      <c r="I5" s="22" t="inlineStr">
        <is>
          <t>2025年3月件数</t>
        </is>
      </c>
      <c r="J5" s="22" t="inlineStr">
        <is>
          <t>2026年3月件数</t>
        </is>
      </c>
      <c r="K5" s="22" t="inlineStr">
        <is>
          <t>3月同比净增</t>
        </is>
      </c>
      <c r="L5" s="22" t="inlineStr">
        <is>
          <t>倍数增长</t>
        </is>
      </c>
      <c r="M5" s="22" t="inlineStr">
        <is>
          <t>物理机理与因果支撑</t>
        </is>
      </c>
    </row>
    <row r="6">
      <c r="A6" s="13" t="inlineStr">
        <is>
          <t>2026-02-01</t>
        </is>
      </c>
      <c r="B6" s="17" t="n">
        <v>15684</v>
      </c>
      <c r="C6" s="17" t="n">
        <v>722</v>
      </c>
      <c r="D6" s="17" t="n">
        <v>4688</v>
      </c>
      <c r="E6" s="17" t="n">
        <v>1028</v>
      </c>
      <c r="F6" s="16" t="inlineStr">
        <is>
          <t>冬季常规常态</t>
        </is>
      </c>
      <c r="H6" s="37" t="inlineStr">
        <is>
          <t>Pothole</t>
        </is>
      </c>
      <c r="I6" s="26" t="n">
        <v>4313</v>
      </c>
      <c r="J6" s="26" t="n">
        <v>22790</v>
      </c>
      <c r="K6" s="26" t="n">
        <v>18477</v>
      </c>
      <c r="L6" s="38" t="inlineStr">
        <is>
          <t>5.3x</t>
        </is>
      </c>
      <c r="M6" s="29" t="inlineStr">
        <is>
          <t>冻融循环核心产物：融雪水渗入沥青裂缝，经历再结冰膨胀与重载碾压，坑洼激增428%</t>
        </is>
      </c>
    </row>
    <row r="7">
      <c r="A7" s="10" t="inlineStr">
        <is>
          <t>2026-02-02</t>
        </is>
      </c>
      <c r="B7" s="20" t="n">
        <v>14173</v>
      </c>
      <c r="C7" s="20" t="n">
        <v>1240</v>
      </c>
      <c r="D7" s="20" t="n">
        <v>3685</v>
      </c>
      <c r="E7" s="20" t="n">
        <v>988</v>
      </c>
      <c r="F7" s="19" t="inlineStr">
        <is>
          <t>冬季常规常态</t>
        </is>
      </c>
      <c r="H7" s="39" t="inlineStr">
        <is>
          <t>Cave-in</t>
        </is>
      </c>
      <c r="I7" s="20" t="n">
        <v>711</v>
      </c>
      <c r="J7" s="20" t="n">
        <v>2419</v>
      </c>
      <c r="K7" s="20" t="n">
        <v>1708</v>
      </c>
      <c r="L7" s="8" t="inlineStr">
        <is>
          <t>3.4x</t>
        </is>
      </c>
      <c r="M7" s="19" t="inlineStr">
        <is>
          <t>深层地基塌陷：融水流失侵蚀管线回填土方，导致路面深坑塌陷激增240%</t>
        </is>
      </c>
    </row>
    <row r="8">
      <c r="A8" s="13" t="inlineStr">
        <is>
          <t>2026-02-03</t>
        </is>
      </c>
      <c r="B8" s="17" t="n">
        <v>12893</v>
      </c>
      <c r="C8" s="17" t="n">
        <v>1022</v>
      </c>
      <c r="D8" s="17" t="n">
        <v>2531</v>
      </c>
      <c r="E8" s="17" t="n">
        <v>943</v>
      </c>
      <c r="F8" s="16" t="inlineStr">
        <is>
          <t>冬季常规常态</t>
        </is>
      </c>
      <c r="H8" s="40" t="inlineStr">
        <is>
          <t>Defective Hardware</t>
        </is>
      </c>
      <c r="I8" s="17" t="n">
        <v>480</v>
      </c>
      <c r="J8" s="17" t="n">
        <v>806</v>
      </c>
      <c r="K8" s="17" t="n">
        <v>326</v>
      </c>
      <c r="L8" s="11" t="inlineStr">
        <is>
          <t>1.7x</t>
        </is>
      </c>
      <c r="M8" s="16" t="inlineStr">
        <is>
          <t>融雪盐腐蚀与除雪机物理刮碰导致井盖/铁件松动损坏</t>
        </is>
      </c>
    </row>
    <row r="9">
      <c r="A9" s="10" t="inlineStr">
        <is>
          <t>2026-02-04</t>
        </is>
      </c>
      <c r="B9" s="20" t="n">
        <v>11831</v>
      </c>
      <c r="C9" s="20" t="n">
        <v>889</v>
      </c>
      <c r="D9" s="20" t="n">
        <v>1973</v>
      </c>
      <c r="E9" s="20" t="n">
        <v>901</v>
      </c>
      <c r="F9" s="19" t="inlineStr">
        <is>
          <t>冬季常规常态</t>
        </is>
      </c>
      <c r="H9" s="39" t="inlineStr">
        <is>
          <t>Failed Street Repair</t>
        </is>
      </c>
      <c r="I9" s="20" t="n">
        <v>300</v>
      </c>
      <c r="J9" s="20" t="n">
        <v>718</v>
      </c>
      <c r="K9" s="20" t="n">
        <v>418</v>
      </c>
      <c r="L9" s="8" t="inlineStr">
        <is>
          <t>2.4x</t>
        </is>
      </c>
      <c r="M9" s="19" t="inlineStr">
        <is>
          <t>前期修补材料在低温冻融及除雪机械高频碾压下发生二次脱落失效</t>
        </is>
      </c>
    </row>
    <row r="10">
      <c r="A10" s="13" t="inlineStr">
        <is>
          <t>2026-02-05</t>
        </is>
      </c>
      <c r="B10" s="17" t="n">
        <v>11589</v>
      </c>
      <c r="C10" s="17" t="n">
        <v>770</v>
      </c>
      <c r="D10" s="17" t="n">
        <v>2155</v>
      </c>
      <c r="E10" s="17" t="n">
        <v>941</v>
      </c>
      <c r="F10" s="16" t="inlineStr">
        <is>
          <t>冬季常规常态</t>
        </is>
      </c>
      <c r="H10" s="40" t="inlineStr">
        <is>
          <t>Blocked - Construction</t>
        </is>
      </c>
      <c r="I10" s="17" t="n">
        <v>369</v>
      </c>
      <c r="J10" s="17" t="n">
        <v>417</v>
      </c>
      <c r="K10" s="17" t="n">
        <v>48</v>
      </c>
      <c r="L10" s="11" t="inlineStr">
        <is>
          <t>1.1x</t>
        </is>
      </c>
      <c r="M10" s="16" t="inlineStr">
        <is>
          <t>常规施工阻断，受气温影响较小</t>
        </is>
      </c>
    </row>
    <row r="11">
      <c r="A11" s="10" t="inlineStr">
        <is>
          <t>2026-02-06</t>
        </is>
      </c>
      <c r="B11" s="20" t="n">
        <v>10826</v>
      </c>
      <c r="C11" s="20" t="n">
        <v>543</v>
      </c>
      <c r="D11" s="20" t="n">
        <v>1999</v>
      </c>
      <c r="E11" s="20" t="n">
        <v>856</v>
      </c>
      <c r="F11" s="19" t="inlineStr">
        <is>
          <t>冬季常规常态</t>
        </is>
      </c>
      <c r="H11" s="39" t="inlineStr">
        <is>
          <t>Rough, Pitted or Cracked Roads</t>
        </is>
      </c>
      <c r="I11" s="20" t="n">
        <v>255</v>
      </c>
      <c r="J11" s="20" t="n">
        <v>692</v>
      </c>
      <c r="K11" s="20" t="n">
        <v>437</v>
      </c>
      <c r="L11" s="8" t="inlineStr">
        <is>
          <t>2.7x</t>
        </is>
      </c>
      <c r="M11" s="19" t="inlineStr">
        <is>
          <t>路面大面积网状开裂麻面，属于坑洼形成前期的典型病害</t>
        </is>
      </c>
    </row>
    <row r="12">
      <c r="A12" s="41" t="inlineStr">
        <is>
          <t>2026-02-07</t>
        </is>
      </c>
      <c r="B12" s="35" t="n">
        <v>11153</v>
      </c>
      <c r="C12" s="35" t="n">
        <v>241</v>
      </c>
      <c r="D12" s="35" t="n">
        <v>3843</v>
      </c>
      <c r="E12" s="35" t="n">
        <v>831</v>
      </c>
      <c r="F12" s="34" t="inlineStr">
        <is>
          <t>极寒寒潮脉冲：气温骤降造成多栋建筑锅炉过载停机，8日供暖投诉飙至6,118件</t>
        </is>
      </c>
      <c r="H12" s="40" t="inlineStr">
        <is>
          <t>Plate Condition - Noisy</t>
        </is>
      </c>
      <c r="I12" s="17" t="n">
        <v>352</v>
      </c>
      <c r="J12" s="17" t="n">
        <v>365</v>
      </c>
      <c r="K12" s="17" t="n">
        <v>13</v>
      </c>
      <c r="L12" s="11" t="inlineStr">
        <is>
          <t>1.0x</t>
        </is>
      </c>
      <c r="M12" s="16" t="inlineStr">
        <is>
          <t>临时施工钢板受损或移位</t>
        </is>
      </c>
    </row>
    <row r="13">
      <c r="A13" s="41" t="inlineStr">
        <is>
          <t>2026-02-08</t>
        </is>
      </c>
      <c r="B13" s="35" t="n">
        <v>14514</v>
      </c>
      <c r="C13" s="35" t="n">
        <v>243</v>
      </c>
      <c r="D13" s="35" t="n">
        <v>6118</v>
      </c>
      <c r="E13" s="35" t="n">
        <v>818</v>
      </c>
      <c r="F13" s="34" t="inlineStr">
        <is>
          <t>极寒寒潮脉冲：气温骤降造成多栋建筑锅炉过载停机，8日供暖投诉飙至6,118件</t>
        </is>
      </c>
      <c r="H13" s="39" t="inlineStr">
        <is>
          <t>Line/Marking - Faded</t>
        </is>
      </c>
      <c r="I13" s="20" t="n">
        <v>42</v>
      </c>
      <c r="J13" s="20" t="n">
        <v>132</v>
      </c>
      <c r="K13" s="20" t="n">
        <v>90</v>
      </c>
      <c r="L13" s="8" t="inlineStr">
        <is>
          <t>3.1x</t>
        </is>
      </c>
      <c r="M13" s="19" t="inlineStr">
        <is>
          <t>除雪作业机械刮擦与化雪盐腐蚀导致标线磨损</t>
        </is>
      </c>
    </row>
    <row r="14">
      <c r="A14" s="41" t="inlineStr">
        <is>
          <t>2026-02-09</t>
        </is>
      </c>
      <c r="B14" s="35" t="n">
        <v>14842</v>
      </c>
      <c r="C14" s="35" t="n">
        <v>383</v>
      </c>
      <c r="D14" s="35" t="n">
        <v>4227</v>
      </c>
      <c r="E14" s="35" t="n">
        <v>812</v>
      </c>
      <c r="F14" s="34" t="inlineStr">
        <is>
          <t>极寒寒潮脉冲：气温骤降造成多栋建筑锅炉过载停机，8日供暖投诉飙至6,118件</t>
        </is>
      </c>
    </row>
    <row r="15">
      <c r="A15" s="10" t="inlineStr">
        <is>
          <t>2026-02-10</t>
        </is>
      </c>
      <c r="B15" s="20" t="n">
        <v>12900</v>
      </c>
      <c r="C15" s="20" t="n">
        <v>470</v>
      </c>
      <c r="D15" s="20" t="n">
        <v>2594</v>
      </c>
      <c r="E15" s="20" t="n">
        <v>816</v>
      </c>
      <c r="F15" s="19" t="inlineStr">
        <is>
          <t>冬季常规常态</t>
        </is>
      </c>
    </row>
    <row r="16">
      <c r="A16" s="13" t="inlineStr">
        <is>
          <t>2026-02-11</t>
        </is>
      </c>
      <c r="B16" s="17" t="n">
        <v>11509</v>
      </c>
      <c r="C16" s="17" t="n">
        <v>407</v>
      </c>
      <c r="D16" s="17" t="n">
        <v>1659</v>
      </c>
      <c r="E16" s="17" t="n">
        <v>756</v>
      </c>
      <c r="F16" s="16" t="inlineStr">
        <is>
          <t>冬季常规常态</t>
        </is>
      </c>
    </row>
    <row r="17">
      <c r="A17" s="10" t="inlineStr">
        <is>
          <t>2026-02-12</t>
        </is>
      </c>
      <c r="B17" s="20" t="n">
        <v>10939</v>
      </c>
      <c r="C17" s="20" t="n">
        <v>297</v>
      </c>
      <c r="D17" s="20" t="n">
        <v>1599</v>
      </c>
      <c r="E17" s="20" t="n">
        <v>742</v>
      </c>
      <c r="F17" s="19" t="inlineStr">
        <is>
          <t>冬季常规常态</t>
        </is>
      </c>
    </row>
    <row r="18">
      <c r="A18" s="13" t="inlineStr">
        <is>
          <t>2026-02-13</t>
        </is>
      </c>
      <c r="B18" s="17" t="n">
        <v>10573</v>
      </c>
      <c r="C18" s="17" t="n">
        <v>210</v>
      </c>
      <c r="D18" s="17" t="n">
        <v>1541</v>
      </c>
      <c r="E18" s="17" t="n">
        <v>667</v>
      </c>
      <c r="F18" s="16" t="inlineStr">
        <is>
          <t>冬季常规常态</t>
        </is>
      </c>
    </row>
    <row r="19">
      <c r="A19" s="10" t="inlineStr">
        <is>
          <t>2026-02-14</t>
        </is>
      </c>
      <c r="B19" s="20" t="n">
        <v>8935</v>
      </c>
      <c r="C19" s="20" t="n">
        <v>123</v>
      </c>
      <c r="D19" s="20" t="n">
        <v>1135</v>
      </c>
      <c r="E19" s="20" t="n">
        <v>767</v>
      </c>
      <c r="F19" s="19" t="inlineStr">
        <is>
          <t>冬季常规常态</t>
        </is>
      </c>
    </row>
    <row r="20">
      <c r="A20" s="13" t="inlineStr">
        <is>
          <t>2026-02-15</t>
        </is>
      </c>
      <c r="B20" s="17" t="n">
        <v>8890</v>
      </c>
      <c r="C20" s="17" t="n">
        <v>120</v>
      </c>
      <c r="D20" s="17" t="n">
        <v>1153</v>
      </c>
      <c r="E20" s="17" t="n">
        <v>695</v>
      </c>
      <c r="F20" s="16" t="inlineStr">
        <is>
          <t>冬季常规常态</t>
        </is>
      </c>
    </row>
    <row r="21">
      <c r="A21" s="10" t="inlineStr">
        <is>
          <t>2026-02-16</t>
        </is>
      </c>
      <c r="B21" s="20" t="n">
        <v>9182</v>
      </c>
      <c r="C21" s="20" t="n">
        <v>127</v>
      </c>
      <c r="D21" s="20" t="n">
        <v>1413</v>
      </c>
      <c r="E21" s="20" t="n">
        <v>617</v>
      </c>
      <c r="F21" s="19" t="inlineStr">
        <is>
          <t>冬季常规常态</t>
        </is>
      </c>
    </row>
    <row r="22">
      <c r="A22" s="13" t="inlineStr">
        <is>
          <t>2026-02-17</t>
        </is>
      </c>
      <c r="B22" s="17" t="n">
        <v>10146</v>
      </c>
      <c r="C22" s="17" t="n">
        <v>89</v>
      </c>
      <c r="D22" s="17" t="n">
        <v>1200</v>
      </c>
      <c r="E22" s="17" t="n">
        <v>528</v>
      </c>
      <c r="F22" s="16" t="inlineStr">
        <is>
          <t>冬季常规常态</t>
        </is>
      </c>
    </row>
    <row r="23">
      <c r="A23" s="10" t="inlineStr">
        <is>
          <t>2026-02-18</t>
        </is>
      </c>
      <c r="B23" s="20" t="n">
        <v>10015</v>
      </c>
      <c r="C23" s="20" t="n">
        <v>38</v>
      </c>
      <c r="D23" s="20" t="n">
        <v>1216</v>
      </c>
      <c r="E23" s="20" t="n">
        <v>516</v>
      </c>
      <c r="F23" s="19" t="inlineStr">
        <is>
          <t>冬季常规常态</t>
        </is>
      </c>
    </row>
    <row r="24">
      <c r="A24" s="13" t="inlineStr">
        <is>
          <t>2026-02-19</t>
        </is>
      </c>
      <c r="B24" s="17" t="n">
        <v>10761</v>
      </c>
      <c r="C24" s="17" t="n">
        <v>42</v>
      </c>
      <c r="D24" s="17" t="n">
        <v>1383</v>
      </c>
      <c r="E24" s="17" t="n">
        <v>476</v>
      </c>
      <c r="F24" s="16" t="inlineStr">
        <is>
          <t>冬季常规常态</t>
        </is>
      </c>
    </row>
    <row r="25">
      <c r="A25" s="10" t="inlineStr">
        <is>
          <t>2026-02-20</t>
        </is>
      </c>
      <c r="B25" s="20" t="n">
        <v>10405</v>
      </c>
      <c r="C25" s="20" t="n">
        <v>21</v>
      </c>
      <c r="D25" s="20" t="n">
        <v>1379</v>
      </c>
      <c r="E25" s="20" t="n">
        <v>489</v>
      </c>
      <c r="F25" s="19" t="inlineStr">
        <is>
          <t>冬季常规常态</t>
        </is>
      </c>
    </row>
    <row r="26">
      <c r="A26" s="13" t="inlineStr">
        <is>
          <t>2026-02-21</t>
        </is>
      </c>
      <c r="B26" s="17" t="n">
        <v>9523</v>
      </c>
      <c r="C26" s="17" t="n">
        <v>8</v>
      </c>
      <c r="D26" s="17" t="n">
        <v>987</v>
      </c>
      <c r="E26" s="17" t="n">
        <v>639</v>
      </c>
      <c r="F26" s="16" t="inlineStr">
        <is>
          <t>冬季常规常态</t>
        </is>
      </c>
    </row>
    <row r="27">
      <c r="A27" s="10" t="inlineStr">
        <is>
          <t>2026-02-22</t>
        </is>
      </c>
      <c r="B27" s="20" t="n">
        <v>8888</v>
      </c>
      <c r="C27" s="20" t="n">
        <v>106</v>
      </c>
      <c r="D27" s="20" t="n">
        <v>1913</v>
      </c>
      <c r="E27" s="20" t="n">
        <v>557</v>
      </c>
      <c r="F27" s="19" t="inlineStr">
        <is>
          <t>冬季常规常态</t>
        </is>
      </c>
    </row>
    <row r="28">
      <c r="A28" s="25" t="inlineStr">
        <is>
          <t>2026-02-23</t>
        </is>
      </c>
      <c r="B28" s="26" t="n">
        <v>15424</v>
      </c>
      <c r="C28" s="26" t="n">
        <v>6524</v>
      </c>
      <c r="D28" s="26" t="n">
        <v>2256</v>
      </c>
      <c r="E28" s="26" t="n">
        <v>254</v>
      </c>
      <c r="F28" s="29" t="inlineStr">
        <is>
          <t>★ 特大暴风雪主峰：积雪严重瘫痪道路，24日单日冰雪报案破1.13万件，创历史极值</t>
        </is>
      </c>
    </row>
    <row r="29">
      <c r="A29" s="25" t="inlineStr">
        <is>
          <t>2026-02-24</t>
        </is>
      </c>
      <c r="B29" s="26" t="n">
        <v>22805</v>
      </c>
      <c r="C29" s="26" t="n">
        <v>11370</v>
      </c>
      <c r="D29" s="26" t="n">
        <v>1641</v>
      </c>
      <c r="E29" s="26" t="n">
        <v>592</v>
      </c>
      <c r="F29" s="29" t="inlineStr">
        <is>
          <t>★ 特大暴风雪主峰：积雪严重瘫痪道路，24日单日冰雪报案破1.13万件，创历史极值</t>
        </is>
      </c>
    </row>
    <row r="30">
      <c r="A30" s="41" t="inlineStr">
        <is>
          <t>2026-02-25</t>
        </is>
      </c>
      <c r="B30" s="35" t="n">
        <v>13703</v>
      </c>
      <c r="C30" s="35" t="n">
        <v>3012</v>
      </c>
      <c r="D30" s="35" t="n">
        <v>1440</v>
      </c>
      <c r="E30" s="35" t="n">
        <v>730</v>
      </c>
      <c r="F30" s="34" t="inlineStr">
        <is>
          <t>暴雪清理次生期：铲雪车作业后堆雪阻断私人车道与人行道，车道投诉持续</t>
        </is>
      </c>
    </row>
    <row r="31">
      <c r="A31" s="41" t="inlineStr">
        <is>
          <t>2026-02-26</t>
        </is>
      </c>
      <c r="B31" s="35" t="n">
        <v>12186</v>
      </c>
      <c r="C31" s="35" t="n">
        <v>1266</v>
      </c>
      <c r="D31" s="35" t="n">
        <v>1142</v>
      </c>
      <c r="E31" s="35" t="n">
        <v>627</v>
      </c>
      <c r="F31" s="34" t="inlineStr">
        <is>
          <t>暴雪清理次生期：铲雪车作业后堆雪阻断私人车道与人行道，车道投诉持续</t>
        </is>
      </c>
    </row>
    <row r="32">
      <c r="A32" s="13" t="inlineStr">
        <is>
          <t>2026-02-27</t>
        </is>
      </c>
      <c r="B32" s="17" t="n">
        <v>11040</v>
      </c>
      <c r="C32" s="17" t="n">
        <v>476</v>
      </c>
      <c r="D32" s="17" t="n">
        <v>1197</v>
      </c>
      <c r="E32" s="17" t="n">
        <v>674</v>
      </c>
      <c r="F32" s="16" t="inlineStr">
        <is>
          <t>冬季常规常态</t>
        </is>
      </c>
    </row>
    <row r="33">
      <c r="A33" s="10" t="inlineStr">
        <is>
          <t>2026-02-28</t>
        </is>
      </c>
      <c r="B33" s="20" t="n">
        <v>9361</v>
      </c>
      <c r="C33" s="20" t="n">
        <v>184</v>
      </c>
      <c r="D33" s="20" t="n">
        <v>964</v>
      </c>
      <c r="E33" s="20" t="n">
        <v>649</v>
      </c>
      <c r="F33" s="19" t="inlineStr">
        <is>
          <t>冬季常规常态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4" customWidth="1" min="3" max="3"/>
    <col width="14" customWidth="1" min="4" max="4"/>
    <col width="24" customWidth="1" min="5" max="5"/>
    <col width="54" customWidth="1" min="6" max="6"/>
    <col width="14" customWidth="1" min="7" max="7"/>
    <col width="24" customWidth="1" min="8" max="8"/>
    <col width="40" customWidth="1" min="9" max="9"/>
    <col width="46" customWidth="1" min="10" max="10"/>
  </cols>
  <sheetData>
    <row r="1">
      <c r="A1" s="1" t="inlineStr">
        <is>
          <t>环境保护局 (DEP) 水务与排污系统分类口径平移溯源 (Taxonomy Drift Case)</t>
        </is>
      </c>
    </row>
    <row r="2">
      <c r="A2" s="2" t="inlineStr">
        <is>
          <t>方法规范核验：对数据中数万百分比激增的指标，必须下钻验证是否存在系统管理重命名，防止将口径假象误读为真实危机</t>
        </is>
      </c>
    </row>
    <row r="3"/>
    <row r="4">
      <c r="A4" s="6" t="inlineStr">
        <is>
          <t>表 4.1 DEP 水务与排水核心分类月度全历史演变 (证明2026年8月分类系统无缝交接)</t>
        </is>
      </c>
      <c r="H4" s="6" t="inlineStr">
        <is>
          <t>表 4.2 口径假象与真实业务判别对照表</t>
        </is>
      </c>
    </row>
    <row r="5">
      <c r="A5" s="7" t="inlineStr">
        <is>
          <t>业务月份</t>
        </is>
      </c>
      <c r="B5" s="7" t="inlineStr">
        <is>
          <t>旧: Water System</t>
        </is>
      </c>
      <c r="C5" s="7" t="inlineStr">
        <is>
          <t>新: Water Maintenance</t>
        </is>
      </c>
      <c r="D5" s="7" t="inlineStr">
        <is>
          <t>旧: Sewer</t>
        </is>
      </c>
      <c r="E5" s="7" t="inlineStr">
        <is>
          <t>新: Sewer Maintenance</t>
        </is>
      </c>
      <c r="F5" s="7" t="inlineStr">
        <is>
          <t>口径平移状态与管理审计诊断</t>
        </is>
      </c>
      <c r="H5" s="22" t="inlineStr">
        <is>
          <t>分析维度</t>
        </is>
      </c>
      <c r="I5" s="22" t="inlineStr">
        <is>
          <t>未经验证的初级误判 (表象陷阱)</t>
        </is>
      </c>
      <c r="J5" s="22" t="inlineStr">
        <is>
          <t>深度核查后的事实结论 (证据支撑)</t>
        </is>
      </c>
    </row>
    <row r="6" ht="42" customHeight="1">
      <c r="A6" s="13" t="inlineStr">
        <is>
          <t>2024-09</t>
        </is>
      </c>
      <c r="B6" s="17" t="n">
        <v>3387</v>
      </c>
      <c r="C6" s="17" t="n">
        <v>0</v>
      </c>
      <c r="D6" s="17" t="n">
        <v>1362</v>
      </c>
      <c r="E6" s="17" t="n">
        <v>0</v>
      </c>
      <c r="F6" s="16" t="inlineStr">
        <is>
          <t>历史单一分类运行期：完全使用旧分类，新分类工单为零或个位数</t>
        </is>
      </c>
      <c r="H6" s="11" t="inlineStr">
        <is>
          <t>指标变动表象</t>
        </is>
      </c>
      <c r="I6" s="12" t="inlineStr">
        <is>
          <t>Water Maintenance 同比暴增 125,422%，Sewer Maintenance 暴增 73,233%</t>
        </is>
      </c>
      <c r="J6" s="12" t="inlineStr">
        <is>
          <t>旧分类与新分类在2026年7-8月发生一对一替换，总量平稳</t>
        </is>
      </c>
    </row>
    <row r="7" ht="42" customHeight="1">
      <c r="A7" s="10" t="inlineStr">
        <is>
          <t>2024-10</t>
        </is>
      </c>
      <c r="B7" s="20" t="n">
        <v>4453</v>
      </c>
      <c r="C7" s="20" t="n">
        <v>1</v>
      </c>
      <c r="D7" s="20" t="n">
        <v>1680</v>
      </c>
      <c r="E7" s="20" t="n">
        <v>0</v>
      </c>
      <c r="F7" s="19" t="inlineStr">
        <is>
          <t>历史单一分类运行期：完全使用旧分类，新分类工单为零或个位数</t>
        </is>
      </c>
      <c r="H7" s="8" t="inlineStr">
        <is>
          <t>业务实质判断</t>
        </is>
      </c>
      <c r="I7" s="9" t="inlineStr">
        <is>
          <t>误判为纽约市供水与排污管道在2026年遭遇突发性、毁灭性系统坍塌</t>
        </is>
      </c>
      <c r="J7" s="9" t="inlineStr">
        <is>
          <t>实为DEP在2026年夏季对其工单管理系统或OpenData分类字典进行正规化升级</t>
        </is>
      </c>
    </row>
    <row r="8" ht="42" customHeight="1">
      <c r="A8" s="13" t="inlineStr">
        <is>
          <t>2024-11</t>
        </is>
      </c>
      <c r="B8" s="17" t="n">
        <v>4835</v>
      </c>
      <c r="C8" s="17" t="n">
        <v>0</v>
      </c>
      <c r="D8" s="17" t="n">
        <v>1662</v>
      </c>
      <c r="E8" s="17" t="n">
        <v>0</v>
      </c>
      <c r="F8" s="16" t="inlineStr">
        <is>
          <t>历史单一分类运行期：完全使用旧分类，新分类工单为零或个位数</t>
        </is>
      </c>
      <c r="H8" s="11" t="inlineStr">
        <is>
          <t>真实运维负荷</t>
        </is>
      </c>
      <c r="I8" s="12" t="inlineStr">
        <is>
          <t>误判为市政维修工作量膨胀千倍，需要紧急巨额预算干预</t>
        </is>
      </c>
      <c r="J8" s="12" t="inlineStr">
        <is>
          <t>水务与下水道总诉求量同比仅温和变动，反映正常季节性波动</t>
        </is>
      </c>
    </row>
    <row r="9" ht="42" customHeight="1">
      <c r="A9" s="10" t="inlineStr">
        <is>
          <t>2024-12</t>
        </is>
      </c>
      <c r="B9" s="20" t="n">
        <v>5631</v>
      </c>
      <c r="C9" s="20" t="n">
        <v>1</v>
      </c>
      <c r="D9" s="20" t="n">
        <v>1858</v>
      </c>
      <c r="E9" s="20" t="n">
        <v>1</v>
      </c>
      <c r="F9" s="19" t="inlineStr">
        <is>
          <t>历史单一分类运行期：完全使用旧分类，新分类工单为零或个位数</t>
        </is>
      </c>
      <c r="H9" s="8" t="inlineStr">
        <is>
          <t>数据分析戒律</t>
        </is>
      </c>
      <c r="I9" s="9" t="inlineStr">
        <is>
          <t>直接将分组聚合的Top增量列表当作业务结论输出，未做时序溯源</t>
        </is>
      </c>
      <c r="J9" s="9" t="inlineStr">
        <is>
          <t>落实Evidence-Led准则，逢异动必查时序连续性，查明分类交替节点</t>
        </is>
      </c>
    </row>
    <row r="10">
      <c r="A10" s="13" t="inlineStr">
        <is>
          <t>2025-01</t>
        </is>
      </c>
      <c r="B10" s="17" t="n">
        <v>6670</v>
      </c>
      <c r="C10" s="17" t="n">
        <v>1</v>
      </c>
      <c r="D10" s="17" t="n">
        <v>1425</v>
      </c>
      <c r="E10" s="17" t="n">
        <v>0</v>
      </c>
      <c r="F10" s="16" t="inlineStr">
        <is>
          <t>历史单一分类运行期：完全使用旧分类，新分类工单为零或个位数</t>
        </is>
      </c>
    </row>
    <row r="11">
      <c r="A11" s="10" t="inlineStr">
        <is>
          <t>2025-02</t>
        </is>
      </c>
      <c r="B11" s="20" t="n">
        <v>5245</v>
      </c>
      <c r="C11" s="20" t="n">
        <v>2</v>
      </c>
      <c r="D11" s="20" t="n">
        <v>1604</v>
      </c>
      <c r="E11" s="20" t="n">
        <v>0</v>
      </c>
      <c r="F11" s="19" t="inlineStr">
        <is>
          <t>历史单一分类运行期：完全使用旧分类，新分类工单为零或个位数</t>
        </is>
      </c>
    </row>
    <row r="12">
      <c r="A12" s="13" t="inlineStr">
        <is>
          <t>2025-03</t>
        </is>
      </c>
      <c r="B12" s="17" t="n">
        <v>3979</v>
      </c>
      <c r="C12" s="17" t="n">
        <v>0</v>
      </c>
      <c r="D12" s="17" t="n">
        <v>2017</v>
      </c>
      <c r="E12" s="17" t="n">
        <v>0</v>
      </c>
      <c r="F12" s="16" t="inlineStr">
        <is>
          <t>历史单一分类运行期：完全使用旧分类，新分类工单为零或个位数</t>
        </is>
      </c>
    </row>
    <row r="13">
      <c r="A13" s="10" t="inlineStr">
        <is>
          <t>2025-04</t>
        </is>
      </c>
      <c r="B13" s="20" t="n">
        <v>3507</v>
      </c>
      <c r="C13" s="20" t="n">
        <v>0</v>
      </c>
      <c r="D13" s="20" t="n">
        <v>1741</v>
      </c>
      <c r="E13" s="20" t="n">
        <v>0</v>
      </c>
      <c r="F13" s="19" t="inlineStr">
        <is>
          <t>历史单一分类运行期：完全使用旧分类，新分类工单为零或个位数</t>
        </is>
      </c>
    </row>
    <row r="14">
      <c r="A14" s="13" t="inlineStr">
        <is>
          <t>2025-05</t>
        </is>
      </c>
      <c r="B14" s="17" t="n">
        <v>3574</v>
      </c>
      <c r="C14" s="17" t="n">
        <v>0</v>
      </c>
      <c r="D14" s="17" t="n">
        <v>2502</v>
      </c>
      <c r="E14" s="17" t="n">
        <v>1</v>
      </c>
      <c r="F14" s="16" t="inlineStr">
        <is>
          <t>历史单一分类运行期：完全使用旧分类，新分类工单为零或个位数</t>
        </is>
      </c>
    </row>
    <row r="15">
      <c r="A15" s="10" t="inlineStr">
        <is>
          <t>2025-06</t>
        </is>
      </c>
      <c r="B15" s="20" t="n">
        <v>15194</v>
      </c>
      <c r="C15" s="20" t="n">
        <v>3</v>
      </c>
      <c r="D15" s="20" t="n">
        <v>2020</v>
      </c>
      <c r="E15" s="20" t="n">
        <v>3</v>
      </c>
      <c r="F15" s="19" t="inlineStr">
        <is>
          <t>历史单一分类运行期：完全使用旧分类，新分类工单为零或个位数</t>
        </is>
      </c>
    </row>
    <row r="16">
      <c r="A16" s="13" t="inlineStr">
        <is>
          <t>2025-07</t>
        </is>
      </c>
      <c r="B16" s="17" t="n">
        <v>15103</v>
      </c>
      <c r="C16" s="17" t="n">
        <v>1</v>
      </c>
      <c r="D16" s="17" t="n">
        <v>2743</v>
      </c>
      <c r="E16" s="17" t="n">
        <v>2</v>
      </c>
      <c r="F16" s="16" t="inlineStr">
        <is>
          <t>历史单一分类运行期：完全使用旧分类，新分类工单为零或个位数</t>
        </is>
      </c>
    </row>
    <row r="17">
      <c r="A17" s="10" t="inlineStr">
        <is>
          <t>2025-08</t>
        </is>
      </c>
      <c r="B17" s="20" t="n">
        <v>7129</v>
      </c>
      <c r="C17" s="20" t="n">
        <v>0</v>
      </c>
      <c r="D17" s="20" t="n">
        <v>2477</v>
      </c>
      <c r="E17" s="20" t="n">
        <v>2</v>
      </c>
      <c r="F17" s="19" t="inlineStr">
        <is>
          <t>历史单一分类运行期：完全使用旧分类，新分类工单为零或个位数</t>
        </is>
      </c>
    </row>
    <row r="18">
      <c r="A18" s="13" t="inlineStr">
        <is>
          <t>2025-09</t>
        </is>
      </c>
      <c r="B18" s="17" t="n">
        <v>4196</v>
      </c>
      <c r="C18" s="17" t="n">
        <v>6</v>
      </c>
      <c r="D18" s="17" t="n">
        <v>1856</v>
      </c>
      <c r="E18" s="17" t="n">
        <v>5</v>
      </c>
      <c r="F18" s="16" t="inlineStr">
        <is>
          <t>历史单一分类运行期：完全使用旧分类，新分类工单为零或个位数</t>
        </is>
      </c>
    </row>
    <row r="19">
      <c r="A19" s="10" t="inlineStr">
        <is>
          <t>2025-10</t>
        </is>
      </c>
      <c r="B19" s="20" t="n">
        <v>5041</v>
      </c>
      <c r="C19" s="20" t="n">
        <v>3</v>
      </c>
      <c r="D19" s="20" t="n">
        <v>3562</v>
      </c>
      <c r="E19" s="20" t="n">
        <v>6</v>
      </c>
      <c r="F19" s="19" t="inlineStr">
        <is>
          <t>历史单一分类运行期：完全使用旧分类，新分类工单为零或个位数</t>
        </is>
      </c>
    </row>
    <row r="20">
      <c r="A20" s="13" t="inlineStr">
        <is>
          <t>2025-11</t>
        </is>
      </c>
      <c r="B20" s="17" t="n">
        <v>3656</v>
      </c>
      <c r="C20" s="17" t="n">
        <v>5</v>
      </c>
      <c r="D20" s="17" t="n">
        <v>2166</v>
      </c>
      <c r="E20" s="17" t="n">
        <v>1</v>
      </c>
      <c r="F20" s="16" t="inlineStr">
        <is>
          <t>历史单一分类运行期：完全使用旧分类，新分类工单为零或个位数</t>
        </is>
      </c>
    </row>
    <row r="21">
      <c r="A21" s="10" t="inlineStr">
        <is>
          <t>2025-12</t>
        </is>
      </c>
      <c r="B21" s="20" t="n">
        <v>4198</v>
      </c>
      <c r="C21" s="20" t="n">
        <v>5</v>
      </c>
      <c r="D21" s="20" t="n">
        <v>2003</v>
      </c>
      <c r="E21" s="20" t="n">
        <v>5</v>
      </c>
      <c r="F21" s="19" t="inlineStr">
        <is>
          <t>历史单一分类运行期：完全使用旧分类，新分类工单为零或个位数</t>
        </is>
      </c>
    </row>
    <row r="22">
      <c r="A22" s="13" t="inlineStr">
        <is>
          <t>2026-01</t>
        </is>
      </c>
      <c r="B22" s="17" t="n">
        <v>6308</v>
      </c>
      <c r="C22" s="17" t="n">
        <v>9</v>
      </c>
      <c r="D22" s="17" t="n">
        <v>1557</v>
      </c>
      <c r="E22" s="17" t="n">
        <v>4</v>
      </c>
      <c r="F22" s="16" t="inlineStr">
        <is>
          <t>历史单一分类运行期：完全使用旧分类，新分类工单为零或个位数</t>
        </is>
      </c>
    </row>
    <row r="23">
      <c r="A23" s="10" t="inlineStr">
        <is>
          <t>2026-02</t>
        </is>
      </c>
      <c r="B23" s="20" t="n">
        <v>7998</v>
      </c>
      <c r="C23" s="20" t="n">
        <v>18</v>
      </c>
      <c r="D23" s="20" t="n">
        <v>1785</v>
      </c>
      <c r="E23" s="20" t="n">
        <v>7</v>
      </c>
      <c r="F23" s="19" t="inlineStr">
        <is>
          <t>历史单一分类运行期：完全使用旧分类，新分类工单为零或个位数</t>
        </is>
      </c>
    </row>
    <row r="24">
      <c r="A24" s="13" t="inlineStr">
        <is>
          <t>2026-03</t>
        </is>
      </c>
      <c r="B24" s="17" t="n">
        <v>5473</v>
      </c>
      <c r="C24" s="17" t="n">
        <v>40</v>
      </c>
      <c r="D24" s="17" t="n">
        <v>3079</v>
      </c>
      <c r="E24" s="17" t="n">
        <v>20</v>
      </c>
      <c r="F24" s="16" t="inlineStr">
        <is>
          <t>历史单一分类运行期：完全使用旧分类，新分类工单为零或个位数</t>
        </is>
      </c>
    </row>
    <row r="25">
      <c r="A25" s="10" t="inlineStr">
        <is>
          <t>2026-04</t>
        </is>
      </c>
      <c r="B25" s="20" t="n">
        <v>5679</v>
      </c>
      <c r="C25" s="20" t="n">
        <v>44</v>
      </c>
      <c r="D25" s="20" t="n">
        <v>2019</v>
      </c>
      <c r="E25" s="20" t="n">
        <v>15</v>
      </c>
      <c r="F25" s="19" t="inlineStr">
        <is>
          <t>系统试点小批量测试：新分类偶发数件至百件测试单</t>
        </is>
      </c>
    </row>
    <row r="26">
      <c r="A26" s="13" t="inlineStr">
        <is>
          <t>2026-05</t>
        </is>
      </c>
      <c r="B26" s="17" t="n">
        <v>6308</v>
      </c>
      <c r="C26" s="17" t="n">
        <v>114</v>
      </c>
      <c r="D26" s="17" t="n">
        <v>4422</v>
      </c>
      <c r="E26" s="17" t="n">
        <v>62</v>
      </c>
      <c r="F26" s="16" t="inlineStr">
        <is>
          <t>系统试点小批量测试：新分类偶发数件至百件测试单</t>
        </is>
      </c>
    </row>
    <row r="27">
      <c r="A27" s="10" t="inlineStr">
        <is>
          <t>2026-06</t>
        </is>
      </c>
      <c r="B27" s="20" t="n">
        <v>8911</v>
      </c>
      <c r="C27" s="20" t="n">
        <v>242</v>
      </c>
      <c r="D27" s="20" t="n">
        <v>2783</v>
      </c>
      <c r="E27" s="20" t="n">
        <v>110</v>
      </c>
      <c r="F27" s="19" t="inlineStr">
        <is>
          <t>系统试点小批量测试：新分类偶发数件至百件测试单</t>
        </is>
      </c>
    </row>
    <row r="28">
      <c r="A28" s="41" t="inlineStr">
        <is>
          <t>2026-07</t>
        </is>
      </c>
      <c r="B28" s="35" t="n">
        <v>16261</v>
      </c>
      <c r="C28" s="35" t="n">
        <v>1892</v>
      </c>
      <c r="D28" s="35" t="n">
        <v>3131</v>
      </c>
      <c r="E28" s="35" t="n">
        <v>1310</v>
      </c>
      <c r="F28" s="34" t="inlineStr">
        <is>
          <t>双轨并行过渡期：新分类开始出现千件级录入，开展系统割接联调</t>
        </is>
      </c>
    </row>
    <row r="29">
      <c r="A29" s="25" t="inlineStr">
        <is>
          <t>2026-08</t>
        </is>
      </c>
      <c r="B29" s="26" t="n">
        <v>0</v>
      </c>
      <c r="C29" s="26" t="n">
        <v>8925</v>
      </c>
      <c r="D29" s="26" t="n">
        <v>0</v>
      </c>
      <c r="E29" s="26" t="n">
        <v>5060</v>
      </c>
      <c r="F29" s="29" t="inlineStr">
        <is>
          <t>★ 正式彻底交接：旧分类(Water System/Sewer)突降为0，新分类(Maintenance)全额承接</t>
        </is>
      </c>
    </row>
    <row r="30">
      <c r="A30" s="13" t="inlineStr">
        <is>
          <t>2026-09</t>
        </is>
      </c>
      <c r="B30" s="17" t="n">
        <v>0</v>
      </c>
      <c r="C30" s="17" t="n">
        <v>740</v>
      </c>
      <c r="D30" s="17" t="n">
        <v>0</v>
      </c>
      <c r="E30" s="17" t="n">
        <v>481</v>
      </c>
      <c r="F30" s="16" t="inlineStr">
        <is>
          <t>历史单一分类运行期：完全使用旧分类，新分类工单为零或个位数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B6F96"/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4" customWidth="1" min="3" max="3"/>
    <col width="14" customWidth="1" min="4" max="4"/>
    <col width="23" customWidth="1" min="5" max="5"/>
    <col width="49" customWidth="1" min="6" max="6"/>
    <col width="46" customWidth="1" min="7" max="7"/>
    <col width="31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供暖与热水诉求的微观二八法则分布与重复报案解耦</t>
        </is>
      </c>
    </row>
    <row r="2">
      <c r="A2" s="2" t="inlineStr">
        <is>
          <t>分析样本：HPD HEAT/HOT WATER 共 651,594 条 | 涵盖全市 58,083 个独立建筑地址 | 深度剖析结构集聚与治理抓手</t>
        </is>
      </c>
    </row>
    <row r="3"/>
    <row r="4">
      <c r="A4" s="6" t="inlineStr">
        <is>
          <t>表 5.1 供暖诉求地址级帕累托 (Pareto) 集中度分层</t>
        </is>
      </c>
      <c r="H4" s="6" t="inlineStr">
        <is>
          <t>表 5.3 HPD 供暖诉求结案处置方式与重复报案实证</t>
        </is>
      </c>
    </row>
    <row r="5">
      <c r="A5" s="7" t="inlineStr">
        <is>
          <t>建筑地址分层</t>
        </is>
      </c>
      <c r="B5" s="7" t="inlineStr">
        <is>
          <t>涉及建筑数</t>
        </is>
      </c>
      <c r="C5" s="7" t="inlineStr">
        <is>
          <t>占全市建筑比 (%)</t>
        </is>
      </c>
      <c r="D5" s="7" t="inlineStr">
        <is>
          <t>累计诉求件数</t>
        </is>
      </c>
      <c r="E5" s="7" t="inlineStr">
        <is>
          <t>占全市诉求比 (%)</t>
        </is>
      </c>
      <c r="F5" s="7" t="inlineStr">
        <is>
          <t>栋均诉求量</t>
        </is>
      </c>
      <c r="G5" s="7" t="inlineStr">
        <is>
          <t>治理特征与政策启示</t>
        </is>
      </c>
      <c r="H5" s="7" t="inlineStr">
        <is>
          <t>结案处置结论类别</t>
        </is>
      </c>
      <c r="I5" s="7" t="inlineStr">
        <is>
          <t>涉及工单数</t>
        </is>
      </c>
      <c r="J5" s="7" t="inlineStr">
        <is>
          <t>占比 (%)</t>
        </is>
      </c>
      <c r="K5" s="7" t="inlineStr">
        <is>
          <t>管理含义与业务解读</t>
        </is>
      </c>
    </row>
    <row r="6">
      <c r="A6" s="37" t="inlineStr">
        <is>
          <t>1. Top 1% Addresses</t>
        </is>
      </c>
      <c r="B6" s="26" t="n">
        <v>580</v>
      </c>
      <c r="C6" s="27" t="n">
        <v>0.01</v>
      </c>
      <c r="D6" s="26" t="n">
        <v>165723</v>
      </c>
      <c r="E6" s="27" t="n">
        <v>0.2543</v>
      </c>
      <c r="F6" s="28" t="n">
        <v>285.7293103448276</v>
      </c>
      <c r="G6" s="29" t="inlineStr">
        <is>
          <t>极度重度问题建筑：仅580栋大楼，霸占全城超过四分之一诉求，属于慢性劣质老旧住宅</t>
        </is>
      </c>
      <c r="H6" s="37" t="inlineStr">
        <is>
          <t>整栋已有报案(重复单)</t>
        </is>
      </c>
      <c r="I6" s="26" t="n">
        <v>189512</v>
      </c>
      <c r="J6" s="27" t="n">
        <v>0.2908</v>
      </c>
      <c r="K6" s="29" t="inlineStr">
        <is>
          <t>近三成工单为同栋楼其他租户对同一事件的重复提交，表明真实停暖事件数需除以约 1.41</t>
        </is>
      </c>
    </row>
    <row r="7">
      <c r="A7" s="14" t="inlineStr">
        <is>
          <t>2. Top 1-5% Addresses</t>
        </is>
      </c>
      <c r="B7" s="35" t="n">
        <v>2324</v>
      </c>
      <c r="C7" s="36" t="n">
        <v>0.04</v>
      </c>
      <c r="D7" s="35" t="n">
        <v>169687</v>
      </c>
      <c r="E7" s="36" t="n">
        <v>0.2604</v>
      </c>
      <c r="F7" s="42" t="n">
        <v>73.01506024096386</v>
      </c>
      <c r="G7" s="34" t="inlineStr">
        <is>
          <t>重度问题建筑：2,324栋大楼，前5%大楼合计吸纳全城 51.47% 的供暖投诉，集中治理抓手极清晰</t>
        </is>
      </c>
      <c r="H7" s="39" t="inlineStr">
        <is>
          <t>无法进入建筑/单元核查</t>
        </is>
      </c>
      <c r="I7" s="20" t="n">
        <v>95048</v>
      </c>
      <c r="J7" s="21" t="n">
        <v>0.1459</v>
      </c>
      <c r="K7" s="19" t="inlineStr">
        <is>
          <t>租户不在家或物业拒绝配合开门，制约现场执法规制落地</t>
        </is>
      </c>
    </row>
    <row r="8">
      <c r="A8" s="40" t="inlineStr">
        <is>
          <t>3. Top 5-10% Addresses</t>
        </is>
      </c>
      <c r="B8" s="17" t="n">
        <v>2904</v>
      </c>
      <c r="C8" s="18" t="n">
        <v>0.05</v>
      </c>
      <c r="D8" s="17" t="n">
        <v>95370</v>
      </c>
      <c r="E8" s="18" t="n">
        <v>0.1464</v>
      </c>
      <c r="F8" s="24" t="n">
        <v>32.84090909090909</v>
      </c>
      <c r="G8" s="16" t="inlineStr">
        <is>
          <t>中度问题建筑：多为采暖季短期故障或个别单元供暖管网水力失调</t>
        </is>
      </c>
      <c r="H8" s="40" t="inlineStr">
        <is>
          <t>到场核实已恢复供暖</t>
        </is>
      </c>
      <c r="I8" s="17" t="n">
        <v>90110</v>
      </c>
      <c r="J8" s="18" t="n">
        <v>0.1383</v>
      </c>
      <c r="K8" s="16" t="inlineStr">
        <is>
          <t>房东在检查员抵达前临时点火加温，或阶段性恢复</t>
        </is>
      </c>
    </row>
    <row r="9">
      <c r="A9" s="39" t="inlineStr">
        <is>
          <t>4. Top 10-20% Addresses</t>
        </is>
      </c>
      <c r="B9" s="20" t="n">
        <v>5808</v>
      </c>
      <c r="C9" s="21" t="n">
        <v>0.1</v>
      </c>
      <c r="D9" s="20" t="n">
        <v>93292</v>
      </c>
      <c r="E9" s="21" t="n">
        <v>0.1432</v>
      </c>
      <c r="F9" s="23" t="n">
        <v>16.06267217630854</v>
      </c>
      <c r="G9" s="19" t="inlineStr">
        <is>
          <t>轻度偶发问题建筑：采暖季偶发1-2次报修</t>
        </is>
      </c>
      <c r="H9" s="39" t="inlineStr">
        <is>
          <t>电话回访确认已修复</t>
        </is>
      </c>
      <c r="I9" s="20" t="n">
        <v>60802</v>
      </c>
      <c r="J9" s="21" t="n">
        <v>0.09329999999999999</v>
      </c>
      <c r="K9" s="19" t="inlineStr">
        <is>
          <t>通过电话远程回访闭环，未实际出动现场执法人员</t>
        </is>
      </c>
    </row>
    <row r="10">
      <c r="A10" s="40" t="inlineStr">
        <is>
          <t>5. Remaining 80% Addresses</t>
        </is>
      </c>
      <c r="B10" s="17" t="n">
        <v>46467</v>
      </c>
      <c r="C10" s="18" t="n">
        <v>0.8</v>
      </c>
      <c r="D10" s="17" t="n">
        <v>127522</v>
      </c>
      <c r="E10" s="18" t="n">
        <v>0.1957</v>
      </c>
      <c r="F10" s="24" t="n">
        <v>2.744356209783287</v>
      </c>
      <c r="G10" s="16" t="inlineStr">
        <is>
          <t>广泛长尾散户：全市4.6万栋大楼仅产生19.57%投诉，平均每栋大楼不足3件</t>
        </is>
      </c>
      <c r="H10" s="40" t="inlineStr">
        <is>
          <t>已开展检查待出结果</t>
        </is>
      </c>
      <c r="I10" s="17" t="n">
        <v>59081</v>
      </c>
      <c r="J10" s="18" t="n">
        <v>0.0907</v>
      </c>
      <c r="K10" s="16" t="inlineStr">
        <is>
          <t>现场勘验已完成，流转至文书与违规核定流程</t>
        </is>
      </c>
    </row>
    <row r="11">
      <c r="H11" s="39" t="inlineStr">
        <is>
          <t>与租户核实已恢复</t>
        </is>
      </c>
      <c r="I11" s="20" t="n">
        <v>58784</v>
      </c>
      <c r="J11" s="21" t="n">
        <v>0.0902</v>
      </c>
      <c r="K11" s="19" t="inlineStr">
        <is>
          <t>与报案租户直接沟通确认温度达标</t>
        </is>
      </c>
    </row>
    <row r="12">
      <c r="H12" s="40" t="inlineStr">
        <is>
          <t>现场勘验未见违规</t>
        </is>
      </c>
      <c r="I12" s="17" t="n">
        <v>38597</v>
      </c>
      <c r="J12" s="18" t="n">
        <v>0.0592</v>
      </c>
      <c r="K12" s="16" t="inlineStr">
        <is>
          <t>实测室内温度符合法定采暖期最低标准(白天68度/夜间62度)</t>
        </is>
      </c>
    </row>
    <row r="13">
      <c r="A13" s="6" t="inlineStr">
        <is>
          <t>表 5.2 全市供暖投诉量最高的前10栋慢性问题住宅</t>
        </is>
      </c>
      <c r="H13" s="39" t="inlineStr">
        <is>
          <t>核实违规并下达罚单</t>
        </is>
      </c>
      <c r="I13" s="20" t="n">
        <v>25187</v>
      </c>
      <c r="J13" s="21" t="n">
        <v>0.0387</v>
      </c>
      <c r="K13" s="19" t="inlineStr">
        <is>
          <t>仅 3.87% 的工单直接闭环于行政处罚，反映从诉求到实质处罚的漫长门槛</t>
        </is>
      </c>
    </row>
    <row r="14">
      <c r="A14" s="22" t="inlineStr">
        <is>
          <t>排名</t>
        </is>
      </c>
      <c r="B14" s="22" t="inlineStr">
        <is>
          <t>涉案住宅详细地址</t>
        </is>
      </c>
      <c r="C14" s="22" t="inlineStr">
        <is>
          <t>所属行政区</t>
        </is>
      </c>
      <c r="D14" s="22" t="inlineStr">
        <is>
          <t>两年累计供暖诉求</t>
        </is>
      </c>
      <c r="E14" s="22" t="inlineStr">
        <is>
          <t>日均诉求量 (全期)</t>
        </is>
      </c>
      <c r="F14" s="22" t="inlineStr">
        <is>
          <t>重点监管与修缮建议</t>
        </is>
      </c>
      <c r="H14" s="40" t="inlineStr">
        <is>
          <t>其他情形与气温不满足</t>
        </is>
      </c>
      <c r="I14" s="17" t="n">
        <v>34473</v>
      </c>
      <c r="J14" s="18" t="n">
        <v>0.0529</v>
      </c>
      <c r="K14" s="16" t="inlineStr">
        <is>
          <t>室外气温高于法定采暖要求(&gt;55华氏度)等其他结案情形</t>
        </is>
      </c>
    </row>
    <row r="15">
      <c r="A15" s="38" t="n">
        <v>1</v>
      </c>
      <c r="B15" s="29" t="inlineStr">
        <is>
          <t>1040B EAST  217 STREET</t>
        </is>
      </c>
      <c r="C15" s="29" t="inlineStr">
        <is>
          <t>BRONX</t>
        </is>
      </c>
      <c r="D15" s="26" t="n">
        <v>6034</v>
      </c>
      <c r="E15" s="43" t="n">
        <v>8.277091906721536</v>
      </c>
      <c r="F15" s="29" t="inlineStr">
        <is>
          <t>全城之冠：两年超6,000次投诉，平均每天8次以上，属于严重的房东失职或中央锅炉全面瘫痪</t>
        </is>
      </c>
    </row>
    <row r="16">
      <c r="A16" s="11" t="n">
        <v>2</v>
      </c>
      <c r="B16" s="16" t="inlineStr">
        <is>
          <t>707 EAST  242 STREET</t>
        </is>
      </c>
      <c r="C16" s="16" t="inlineStr">
        <is>
          <t>BRONX</t>
        </is>
      </c>
      <c r="D16" s="17" t="n">
        <v>2414</v>
      </c>
      <c r="E16" s="44" t="n">
        <v>3.311385459533608</v>
      </c>
      <c r="F16" s="16" t="inlineStr">
        <is>
          <t>重点稽查对象：两年超1,800次投诉，应纳入HPD替代执法项目(AEP)实施强制性政府代修</t>
        </is>
      </c>
    </row>
    <row r="17">
      <c r="A17" s="8" t="n">
        <v>3</v>
      </c>
      <c r="B17" s="19" t="inlineStr">
        <is>
          <t>225 CENTRAL PARK NORTH</t>
        </is>
      </c>
      <c r="C17" s="19" t="inlineStr">
        <is>
          <t>MANHATTAN</t>
        </is>
      </c>
      <c r="D17" s="20" t="n">
        <v>2405</v>
      </c>
      <c r="E17" s="45" t="n">
        <v>3.299039780521262</v>
      </c>
      <c r="F17" s="19" t="inlineStr">
        <is>
          <t>重点稽查对象：两年超1,800次投诉，应纳入HPD替代执法项目(AEP)实施强制性政府代修</t>
        </is>
      </c>
    </row>
    <row r="18">
      <c r="A18" s="11" t="n">
        <v>4</v>
      </c>
      <c r="B18" s="16" t="inlineStr">
        <is>
          <t>2800 CRESTON AVENUE</t>
        </is>
      </c>
      <c r="C18" s="16" t="inlineStr">
        <is>
          <t>BRONX</t>
        </is>
      </c>
      <c r="D18" s="17" t="n">
        <v>1878</v>
      </c>
      <c r="E18" s="44" t="n">
        <v>2.576131687242798</v>
      </c>
      <c r="F18" s="16" t="inlineStr">
        <is>
          <t>重点稽查对象：两年超1,800次投诉，应纳入HPD替代执法项目(AEP)实施强制性政府代修</t>
        </is>
      </c>
    </row>
    <row r="19">
      <c r="A19" s="8" t="n">
        <v>5</v>
      </c>
      <c r="B19" s="19" t="inlineStr">
        <is>
          <t>1120 GLENMORE AVENUE</t>
        </is>
      </c>
      <c r="C19" s="19" t="inlineStr">
        <is>
          <t>BROOKLYN</t>
        </is>
      </c>
      <c r="D19" s="20" t="n">
        <v>1533</v>
      </c>
      <c r="E19" s="45" t="n">
        <v>2.102880658436214</v>
      </c>
      <c r="F19" s="19" t="inlineStr">
        <is>
          <t>重点督办物业：高频重复投诉集中，建议联合房管局下达行政纠正令与罚单</t>
        </is>
      </c>
    </row>
    <row r="20">
      <c r="A20" s="11" t="n">
        <v>6</v>
      </c>
      <c r="B20" s="16" t="inlineStr">
        <is>
          <t>2410 WASHINGTON AVENUE</t>
        </is>
      </c>
      <c r="C20" s="16" t="inlineStr">
        <is>
          <t>BRONX</t>
        </is>
      </c>
      <c r="D20" s="17" t="n">
        <v>1442</v>
      </c>
      <c r="E20" s="44" t="n">
        <v>1.978052126200274</v>
      </c>
      <c r="F20" s="16" t="inlineStr">
        <is>
          <t>重点督办物业：高频重复投诉集中，建议联合房管局下达行政纠正令与罚单</t>
        </is>
      </c>
    </row>
    <row r="21">
      <c r="A21" s="8" t="n">
        <v>7</v>
      </c>
      <c r="B21" s="19" t="inlineStr">
        <is>
          <t>25 HILLSIDE AVENUE</t>
        </is>
      </c>
      <c r="C21" s="19" t="inlineStr">
        <is>
          <t>MANHATTAN</t>
        </is>
      </c>
      <c r="D21" s="20" t="n">
        <v>1362</v>
      </c>
      <c r="E21" s="45" t="n">
        <v>1.868312757201646</v>
      </c>
      <c r="F21" s="19" t="inlineStr">
        <is>
          <t>重点督办物业：高频重复投诉集中，建议联合房管局下达行政纠正令与罚单</t>
        </is>
      </c>
    </row>
    <row r="22">
      <c r="A22" s="11" t="n">
        <v>8</v>
      </c>
      <c r="B22" s="16" t="inlineStr">
        <is>
          <t>9101 CHURCH AVENUE</t>
        </is>
      </c>
      <c r="C22" s="16" t="inlineStr">
        <is>
          <t>BROOKLYN</t>
        </is>
      </c>
      <c r="D22" s="17" t="n">
        <v>1327</v>
      </c>
      <c r="E22" s="44" t="n">
        <v>1.820301783264746</v>
      </c>
      <c r="F22" s="16" t="inlineStr">
        <is>
          <t>重点督办物业：高频重复投诉集中，建议联合房管局下达行政纠正令与罚单</t>
        </is>
      </c>
    </row>
    <row r="23">
      <c r="A23" s="8" t="n">
        <v>9</v>
      </c>
      <c r="B23" s="19" t="inlineStr">
        <is>
          <t>31-35 CRESCENT STREET</t>
        </is>
      </c>
      <c r="C23" s="19" t="inlineStr">
        <is>
          <t>QUEENS</t>
        </is>
      </c>
      <c r="D23" s="20" t="n">
        <v>1316</v>
      </c>
      <c r="E23" s="45" t="n">
        <v>1.805212620027435</v>
      </c>
      <c r="F23" s="19" t="inlineStr">
        <is>
          <t>重点督办物业：高频重复投诉集中，建议联合房管局下达行政纠正令与罚单</t>
        </is>
      </c>
    </row>
    <row r="24">
      <c r="A24" s="11" t="n">
        <v>10</v>
      </c>
      <c r="B24" s="16" t="inlineStr">
        <is>
          <t>2588 7 AVENUE</t>
        </is>
      </c>
      <c r="C24" s="16" t="inlineStr">
        <is>
          <t>MANHATTAN</t>
        </is>
      </c>
      <c r="D24" s="17" t="n">
        <v>1312</v>
      </c>
      <c r="E24" s="44" t="n">
        <v>1.799725651577504</v>
      </c>
      <c r="F24" s="16" t="inlineStr">
        <is>
          <t>重点督办物业：高频重复投诉集中，建议联合房管局下达行政纠正令与罚单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4" customWidth="1" min="3" max="3"/>
    <col width="14" customWidth="1" min="4" max="4"/>
    <col width="23" customWidth="1" min="5" max="5"/>
    <col width="54" customWidth="1" min="6" max="6"/>
    <col width="15" customWidth="1" min="7" max="7"/>
    <col width="54" customWidth="1" min="8" max="8"/>
  </cols>
  <sheetData>
    <row r="1">
      <c r="A1" s="1" t="inlineStr">
        <is>
          <t>行政区诉求极化特征与跨部门处置时效实证 (无偏观测窗口)</t>
        </is>
      </c>
    </row>
    <row r="2">
      <c r="A2" s="2" t="inlineStr">
        <is>
          <t>分析基准：固定观测期 (剔除未成熟右删失月) | NYPD响应速度与执法实质性落地差异</t>
        </is>
      </c>
    </row>
    <row r="3"/>
    <row r="4">
      <c r="A4" s="6" t="inlineStr">
        <is>
          <t>表 6.1 五大行政区重点问题结构与极化特征 (全期横截面)</t>
        </is>
      </c>
    </row>
    <row r="5">
      <c r="A5" s="7" t="inlineStr">
        <is>
          <t>行政区</t>
        </is>
      </c>
      <c r="B5" s="7" t="inlineStr">
        <is>
          <t>全量诉求总数</t>
        </is>
      </c>
      <c r="C5" s="7" t="inlineStr">
        <is>
          <t>全城诉求占比</t>
        </is>
      </c>
      <c r="D5" s="7" t="inlineStr">
        <is>
          <t>违章停车件数</t>
        </is>
      </c>
      <c r="E5" s="7" t="inlineStr">
        <is>
          <t>居住噪音件数</t>
        </is>
      </c>
      <c r="F5" s="7" t="inlineStr">
        <is>
          <t>供暖热水件数</t>
        </is>
      </c>
      <c r="G5" s="7" t="inlineStr">
        <is>
          <t>占用车道件数</t>
        </is>
      </c>
      <c r="H5" s="7" t="inlineStr">
        <is>
          <t>核心矛盾与治理画像</t>
        </is>
      </c>
    </row>
    <row r="6">
      <c r="A6" s="33" t="inlineStr">
        <is>
          <t>BROOKLYN</t>
        </is>
      </c>
      <c r="B6" s="35" t="n">
        <v>2259561</v>
      </c>
      <c r="C6" s="36" t="n">
        <v>0.3002540164119371</v>
      </c>
      <c r="D6" s="35" t="n">
        <v>457134</v>
      </c>
      <c r="E6" s="35" t="n">
        <v>212681</v>
      </c>
      <c r="F6" s="35" t="n">
        <v>174565</v>
      </c>
      <c r="G6" s="35" t="n">
        <v>131208</v>
      </c>
      <c r="H6" s="34" t="inlineStr">
        <is>
          <t>全城体量之首：占全城30.0%，违章停车(45.7万)与占道(13.1万)规模庞大，空间资源争夺激烈</t>
        </is>
      </c>
    </row>
    <row r="7">
      <c r="A7" s="33" t="inlineStr">
        <is>
          <t>QUEENS</t>
        </is>
      </c>
      <c r="B7" s="35" t="n">
        <v>1818742</v>
      </c>
      <c r="C7" s="36" t="n">
        <v>0.2416772949776879</v>
      </c>
      <c r="D7" s="35" t="n">
        <v>361713</v>
      </c>
      <c r="E7" s="35" t="n">
        <v>152354</v>
      </c>
      <c r="F7" s="35" t="n">
        <v>85284</v>
      </c>
      <c r="G7" s="35" t="n">
        <v>154208</v>
      </c>
      <c r="H7" s="34" t="inlineStr">
        <is>
          <t>私家车密集与路况痛点：占全城24.2%，堵占车道(15.4万)与道路坑洼(7.37万)均为全城最高</t>
        </is>
      </c>
    </row>
    <row r="8">
      <c r="A8" s="38" t="inlineStr">
        <is>
          <t>BRONX</t>
        </is>
      </c>
      <c r="B8" s="26" t="n">
        <v>1664397</v>
      </c>
      <c r="C8" s="27" t="n">
        <v>0.2211676888360079</v>
      </c>
      <c r="D8" s="26" t="n">
        <v>170265</v>
      </c>
      <c r="E8" s="26" t="n">
        <v>364122</v>
      </c>
      <c r="F8" s="26" t="n">
        <v>228475</v>
      </c>
      <c r="G8" s="26" t="n">
        <v>57091</v>
      </c>
      <c r="H8" s="29" t="inlineStr">
        <is>
          <t>人居环境与供暖危机集中地：仅占人口17%，却产生全城 41.3% 的噪音与 35.1% 的供暖问题，民生痛点最重</t>
        </is>
      </c>
    </row>
    <row r="9">
      <c r="A9" s="8" t="inlineStr">
        <is>
          <t>MANHATTAN</t>
        </is>
      </c>
      <c r="B9" s="20" t="n">
        <v>1487092</v>
      </c>
      <c r="C9" s="21" t="n">
        <v>0.1976071218143969</v>
      </c>
      <c r="D9" s="20" t="n">
        <v>135236</v>
      </c>
      <c r="E9" s="20" t="n">
        <v>130995</v>
      </c>
      <c r="F9" s="20" t="n">
        <v>156329</v>
      </c>
      <c r="G9" s="20" t="n">
        <v>9200</v>
      </c>
      <c r="H9" s="19" t="inlineStr">
        <is>
          <t>高密度租住与商住混杂：供暖投诉达15.6万件，人行道与商业噪音突出，因私家车少而堵塞车道极少(仅9.2千)</t>
        </is>
      </c>
    </row>
    <row r="10">
      <c r="A10" s="11" t="inlineStr">
        <is>
          <t>STATEN ISLAND</t>
        </is>
      </c>
      <c r="B10" s="17" t="n">
        <v>289375</v>
      </c>
      <c r="C10" s="18" t="n">
        <v>0.03845260473127492</v>
      </c>
      <c r="D10" s="17" t="n">
        <v>34662</v>
      </c>
      <c r="E10" s="17" t="n">
        <v>21363</v>
      </c>
      <c r="F10" s="17" t="n">
        <v>6939</v>
      </c>
      <c r="G10" s="17" t="n">
        <v>10927</v>
      </c>
      <c r="H10" s="16" t="inlineStr">
        <is>
          <t>低密度独立住宅区：诉求总量仅占全城3.85%，主要以道路设施与路灯维护为主</t>
        </is>
      </c>
    </row>
    <row r="11"/>
    <row r="12"/>
    <row r="13">
      <c r="A13" s="6" t="inlineStr">
        <is>
          <t>表 6.2 主要承办部门处理时效同期对比 (固定窗口: 10月至次年4月，避免右删失)</t>
        </is>
      </c>
    </row>
    <row r="14">
      <c r="A14" s="22" t="inlineStr">
        <is>
          <t>承办部门</t>
        </is>
      </c>
      <c r="B14" s="22" t="inlineStr">
        <is>
          <t>对比周期</t>
        </is>
      </c>
      <c r="C14" s="22" t="inlineStr">
        <is>
          <t>总纳管件数</t>
        </is>
      </c>
      <c r="D14" s="22" t="inlineStr">
        <is>
          <t>已结案件数</t>
        </is>
      </c>
      <c r="E14" s="22" t="inlineStr">
        <is>
          <t>结案率 (%)</t>
        </is>
      </c>
      <c r="F14" s="22" t="inlineStr">
        <is>
          <t>中位闭环耗时 (小时)</t>
        </is>
      </c>
      <c r="G14" s="22" t="inlineStr">
        <is>
          <t>平均闭环耗时 (小时)</t>
        </is>
      </c>
      <c r="H14" s="22" t="inlineStr">
        <is>
          <t>时效波动与管理归因</t>
        </is>
      </c>
    </row>
    <row r="15">
      <c r="A15" s="8" t="inlineStr">
        <is>
          <t>DEP</t>
        </is>
      </c>
      <c r="B15" s="10" t="inlineStr">
        <is>
          <t>基期 (24.10-25.04)</t>
        </is>
      </c>
      <c r="C15" s="20" t="n">
        <v>109974</v>
      </c>
      <c r="D15" s="20" t="n">
        <v>108369</v>
      </c>
      <c r="E15" s="21" t="n">
        <v>0.9854000000000001</v>
      </c>
      <c r="F15" s="23" t="n">
        <v>34.67</v>
      </c>
      <c r="G15" s="23" t="n">
        <v>158.37</v>
      </c>
      <c r="H15" s="19" t="inlineStr">
        <is>
          <t>水务管道常规处置，中位 34.67 小时</t>
        </is>
      </c>
    </row>
    <row r="16">
      <c r="A16" s="11" t="inlineStr">
        <is>
          <t>DEP</t>
        </is>
      </c>
      <c r="B16" s="13" t="inlineStr">
        <is>
          <t>报告期 (25.10-26.04)</t>
        </is>
      </c>
      <c r="C16" s="17" t="n">
        <v>109148</v>
      </c>
      <c r="D16" s="17" t="n">
        <v>107475</v>
      </c>
      <c r="E16" s="18" t="n">
        <v>0.9847</v>
      </c>
      <c r="F16" s="24" t="n">
        <v>25.05</v>
      </c>
      <c r="G16" s="24" t="n">
        <v>108.56</v>
      </c>
      <c r="H16" s="16" t="inlineStr">
        <is>
          <t>响应时效提速至 25.05 小时，现场抢修与水质检测加快</t>
        </is>
      </c>
    </row>
    <row r="17">
      <c r="A17" s="8" t="inlineStr">
        <is>
          <t>DOB</t>
        </is>
      </c>
      <c r="B17" s="10" t="inlineStr">
        <is>
          <t>基期 (24.10-25.04)</t>
        </is>
      </c>
      <c r="C17" s="20" t="n">
        <v>56409</v>
      </c>
      <c r="D17" s="20" t="n">
        <v>55435</v>
      </c>
      <c r="E17" s="21" t="n">
        <v>0.9826999999999999</v>
      </c>
      <c r="F17" s="23" t="n">
        <v>271.33</v>
      </c>
      <c r="G17" s="23" t="n">
        <v>1595.49</v>
      </c>
      <c r="H17" s="19" t="inlineStr">
        <is>
          <t>建筑工程检查涉及法定义务与工程师复核，中位 271 小时 (~11.3天)</t>
        </is>
      </c>
    </row>
    <row r="18">
      <c r="A18" s="11" t="inlineStr">
        <is>
          <t>DOB</t>
        </is>
      </c>
      <c r="B18" s="13" t="inlineStr">
        <is>
          <t>报告期 (25.10-26.04)</t>
        </is>
      </c>
      <c r="C18" s="17" t="n">
        <v>64884</v>
      </c>
      <c r="D18" s="17" t="n">
        <v>61023</v>
      </c>
      <c r="E18" s="18" t="n">
        <v>0.9405</v>
      </c>
      <c r="F18" s="24" t="n">
        <v>175.57</v>
      </c>
      <c r="G18" s="24" t="n">
        <v>833.05</v>
      </c>
      <c r="H18" s="16" t="inlineStr">
        <is>
          <t>常规巡查流程优化，中位耗时缩短至 175 小时 (~7.3天)</t>
        </is>
      </c>
    </row>
    <row r="19">
      <c r="A19" s="8" t="inlineStr">
        <is>
          <t>DOT</t>
        </is>
      </c>
      <c r="B19" s="10" t="inlineStr">
        <is>
          <t>基期 (24.10-25.04)</t>
        </is>
      </c>
      <c r="C19" s="20" t="n">
        <v>117798</v>
      </c>
      <c r="D19" s="20" t="n">
        <v>115063</v>
      </c>
      <c r="E19" s="21" t="n">
        <v>0.9768000000000001</v>
      </c>
      <c r="F19" s="23" t="n">
        <v>40.91</v>
      </c>
      <c r="G19" s="23" t="n">
        <v>263.29</v>
      </c>
      <c r="H19" s="19" t="inlineStr">
        <is>
          <t>道路维护常规周期，中位 40.91 小时</t>
        </is>
      </c>
    </row>
    <row r="20">
      <c r="A20" s="38" t="inlineStr">
        <is>
          <t>DOT</t>
        </is>
      </c>
      <c r="B20" s="25" t="inlineStr">
        <is>
          <t>报告期 (25.10-26.04)</t>
        </is>
      </c>
      <c r="C20" s="26" t="n">
        <v>163452</v>
      </c>
      <c r="D20" s="26" t="n">
        <v>153585</v>
      </c>
      <c r="E20" s="27" t="n">
        <v>0.9396</v>
      </c>
      <c r="F20" s="28" t="n">
        <v>48.47</v>
      </c>
      <c r="G20" s="28" t="n">
        <v>205.26</v>
      </c>
      <c r="H20" s="29" t="inlineStr">
        <is>
          <t>雪后坑洼暴增近4倍，沥青填补维修排期积压，中位耗时延长至 48.47 小时</t>
        </is>
      </c>
    </row>
    <row r="21">
      <c r="A21" s="8" t="inlineStr">
        <is>
          <t>DPR</t>
        </is>
      </c>
      <c r="B21" s="10" t="inlineStr">
        <is>
          <t>基期 (24.10-25.04)</t>
        </is>
      </c>
      <c r="C21" s="20" t="n">
        <v>44506</v>
      </c>
      <c r="D21" s="20" t="n">
        <v>40086</v>
      </c>
      <c r="E21" s="21" t="n">
        <v>0.9006999999999999</v>
      </c>
      <c r="F21" s="23" t="n">
        <v>212.44</v>
      </c>
      <c r="G21" s="23" t="n">
        <v>1492.47</v>
      </c>
      <c r="H21" s="19" t="inlineStr">
        <is>
          <t>树木修剪与隐患排查，中位 212 小时 (~8.8天)</t>
        </is>
      </c>
    </row>
    <row r="22">
      <c r="A22" s="11" t="inlineStr">
        <is>
          <t>DPR</t>
        </is>
      </c>
      <c r="B22" s="13" t="inlineStr">
        <is>
          <t>报告期 (25.10-26.04)</t>
        </is>
      </c>
      <c r="C22" s="17" t="n">
        <v>49014</v>
      </c>
      <c r="D22" s="17" t="n">
        <v>39639</v>
      </c>
      <c r="E22" s="18" t="n">
        <v>0.8087000000000001</v>
      </c>
      <c r="F22" s="24" t="n">
        <v>96.06999999999999</v>
      </c>
      <c r="G22" s="24" t="n">
        <v>574.9400000000001</v>
      </c>
      <c r="H22" s="16" t="inlineStr">
        <is>
          <t>重点险情树木优先排查，中位耗时缩短至 96 小时</t>
        </is>
      </c>
    </row>
    <row r="23">
      <c r="A23" s="8" t="inlineStr">
        <is>
          <t>DSNY</t>
        </is>
      </c>
      <c r="B23" s="10" t="inlineStr">
        <is>
          <t>基期 (24.10-25.04)</t>
        </is>
      </c>
      <c r="C23" s="20" t="n">
        <v>176656</v>
      </c>
      <c r="D23" s="20" t="n">
        <v>175856</v>
      </c>
      <c r="E23" s="21" t="n">
        <v>0.9954999999999999</v>
      </c>
      <c r="F23" s="23" t="n">
        <v>30.48</v>
      </c>
      <c r="G23" s="23" t="n">
        <v>102.81</v>
      </c>
      <c r="H23" s="19" t="inlineStr">
        <is>
          <t>环卫常规作业，中位 30.48 小时</t>
        </is>
      </c>
    </row>
    <row r="24">
      <c r="A24" s="38" t="inlineStr">
        <is>
          <t>DSNY</t>
        </is>
      </c>
      <c r="B24" s="25" t="inlineStr">
        <is>
          <t>报告期 (25.10-26.04)</t>
        </is>
      </c>
      <c r="C24" s="26" t="n">
        <v>215802</v>
      </c>
      <c r="D24" s="26" t="n">
        <v>213789</v>
      </c>
      <c r="E24" s="27" t="n">
        <v>0.9906999999999999</v>
      </c>
      <c r="F24" s="28" t="n">
        <v>38.77</v>
      </c>
      <c r="G24" s="28" t="n">
        <v>79.37</v>
      </c>
      <c r="H24" s="29" t="inlineStr">
        <is>
          <t>受2026年2月特大暴雪影响，清雪与清运承压，中位耗时拉长至 38.77 小时</t>
        </is>
      </c>
    </row>
    <row r="25">
      <c r="A25" s="8" t="inlineStr">
        <is>
          <t>HPD</t>
        </is>
      </c>
      <c r="B25" s="10" t="inlineStr">
        <is>
          <t>基期 (24.10-25.04)</t>
        </is>
      </c>
      <c r="C25" s="20" t="n">
        <v>534145</v>
      </c>
      <c r="D25" s="20" t="n">
        <v>529681</v>
      </c>
      <c r="E25" s="21" t="n">
        <v>0.9915999999999999</v>
      </c>
      <c r="F25" s="23" t="n">
        <v>69.73999999999999</v>
      </c>
      <c r="G25" s="23" t="n">
        <v>370.81</v>
      </c>
      <c r="H25" s="19" t="inlineStr">
        <is>
          <t>房屋暖气检查入户，中位 69.74 小时 (~2.9天)</t>
        </is>
      </c>
    </row>
    <row r="26">
      <c r="A26" s="11" t="inlineStr">
        <is>
          <t>HPD</t>
        </is>
      </c>
      <c r="B26" s="13" t="inlineStr">
        <is>
          <t>报告期 (25.10-26.04)</t>
        </is>
      </c>
      <c r="C26" s="17" t="n">
        <v>638374</v>
      </c>
      <c r="D26" s="17" t="n">
        <v>621751</v>
      </c>
      <c r="E26" s="18" t="n">
        <v>0.9740000000000001</v>
      </c>
      <c r="F26" s="24" t="n">
        <v>71.45999999999999</v>
      </c>
      <c r="G26" s="24" t="n">
        <v>357.14</v>
      </c>
      <c r="H26" s="16" t="inlineStr">
        <is>
          <t>供暖负荷虽大增，中位保持在 71.46 小时 (~3.0天)，运转体系相对稳健</t>
        </is>
      </c>
    </row>
    <row r="27">
      <c r="A27" s="33" t="inlineStr">
        <is>
          <t>NYPD</t>
        </is>
      </c>
      <c r="B27" s="41" t="inlineStr">
        <is>
          <t>基期 (24.10-25.04)</t>
        </is>
      </c>
      <c r="C27" s="35" t="n">
        <v>915575</v>
      </c>
      <c r="D27" s="35" t="n">
        <v>915420</v>
      </c>
      <c r="E27" s="36" t="n">
        <v>0.9998</v>
      </c>
      <c r="F27" s="42" t="n">
        <v>1.64</v>
      </c>
      <c r="G27" s="42" t="n">
        <v>4.02</v>
      </c>
      <c r="H27" s="34" t="inlineStr">
        <is>
          <t>警务极速响应基准：巡逻车就近处置，中位耗时仅 1.64 小时</t>
        </is>
      </c>
    </row>
    <row r="28">
      <c r="A28" s="33" t="inlineStr">
        <is>
          <t>NYPD</t>
        </is>
      </c>
      <c r="B28" s="41" t="inlineStr">
        <is>
          <t>报告期 (25.10-26.04)</t>
        </is>
      </c>
      <c r="C28" s="35" t="n">
        <v>948746</v>
      </c>
      <c r="D28" s="35" t="n">
        <v>948579</v>
      </c>
      <c r="E28" s="36" t="n">
        <v>0.9998</v>
      </c>
      <c r="F28" s="42" t="n">
        <v>1.31</v>
      </c>
      <c r="G28" s="42" t="n">
        <v>2.44</v>
      </c>
      <c r="H28" s="34" t="inlineStr">
        <is>
          <t>响应进一步加快至 1.31 小时，数字化派单效率持续提高</t>
        </is>
      </c>
    </row>
    <row r="29"/>
    <row r="30"/>
    <row r="31">
      <c r="A31" s="6" t="inlineStr">
        <is>
          <t>表 6.3 NYPD 警务执法落地真实落差 (违章停车 vs 居住噪音处置结果对比)</t>
        </is>
      </c>
    </row>
    <row r="32">
      <c r="A32" s="7" t="inlineStr">
        <is>
          <t>执法处置结果</t>
        </is>
      </c>
      <c r="B32" s="7" t="inlineStr">
        <is>
          <t>违章停车件数</t>
        </is>
      </c>
      <c r="C32" s="7" t="inlineStr">
        <is>
          <t>违章停车占比 (%)</t>
        </is>
      </c>
      <c r="D32" s="7" t="inlineStr">
        <is>
          <t>居住噪音件数</t>
        </is>
      </c>
      <c r="E32" s="7" t="inlineStr">
        <is>
          <t>居住噪音占比 (%)</t>
        </is>
      </c>
      <c r="F32" s="7" t="inlineStr">
        <is>
          <t>执法有效性与制度性反思</t>
        </is>
      </c>
    </row>
    <row r="33">
      <c r="A33" s="14" t="inlineStr">
        <is>
          <t>现场开具传票 (Summons)</t>
        </is>
      </c>
      <c r="B33" s="35" t="n">
        <v>260746</v>
      </c>
      <c r="C33" s="36" t="n">
        <v>0.225</v>
      </c>
      <c r="D33" s="35" t="n">
        <v>3148</v>
      </c>
      <c r="E33" s="36" t="n">
        <v>0.0036</v>
      </c>
      <c r="F33" s="34" t="inlineStr">
        <is>
          <t>违泊执法具有静态物证，传票率达22.5%；而噪音稍纵即逝，传票率仅0.36%，相差超60倍</t>
        </is>
      </c>
    </row>
    <row r="34">
      <c r="A34" s="37" t="inlineStr">
        <is>
          <t>到场未见违规/当事人已离开</t>
        </is>
      </c>
      <c r="B34" s="26" t="n">
        <v>173985</v>
      </c>
      <c r="C34" s="27" t="n">
        <v>0.1501</v>
      </c>
      <c r="D34" s="26" t="n">
        <v>388452</v>
      </c>
      <c r="E34" s="27" t="n">
        <v>0.4406</v>
      </c>
      <c r="F34" s="29" t="inlineStr">
        <is>
          <t>噪音投诉近半数在警察抵达时源头已停止，或属于主观生活声响未达到法定噪音超标红线</t>
        </is>
      </c>
    </row>
    <row r="35">
      <c r="A35" s="39" t="inlineStr">
        <is>
          <t>判定无需采取警察行动</t>
        </is>
      </c>
      <c r="B35" s="20" t="n">
        <v>187558</v>
      </c>
      <c r="C35" s="21" t="n">
        <v>0.1618</v>
      </c>
      <c r="D35" s="20" t="n">
        <v>113279</v>
      </c>
      <c r="E35" s="21" t="n">
        <v>0.1285</v>
      </c>
      <c r="F35" s="19" t="inlineStr">
        <is>
          <t>日常邻里琐事或合法泊车被误报，警方判定不构成治安或行政违规</t>
        </is>
      </c>
    </row>
    <row r="36">
      <c r="A36" s="40" t="inlineStr">
        <is>
          <t>采取整改/劝导消除措施</t>
        </is>
      </c>
      <c r="B36" s="17" t="n">
        <v>132649</v>
      </c>
      <c r="C36" s="18" t="n">
        <v>0.1144</v>
      </c>
      <c r="D36" s="17" t="n">
        <v>152371</v>
      </c>
      <c r="E36" s="18" t="n">
        <v>0.1728</v>
      </c>
      <c r="F36" s="16" t="inlineStr">
        <is>
          <t>现场口头劝导调低音量、要求车主当场驶离，实现非惩罚性矛盾化解</t>
        </is>
      </c>
    </row>
    <row r="37">
      <c r="A37" s="37" t="inlineStr">
        <is>
          <t>民警无法进入建筑物/单元</t>
        </is>
      </c>
      <c r="B37" s="26" t="n">
        <v>680</v>
      </c>
      <c r="C37" s="27" t="n">
        <v>0.0005999999999999999</v>
      </c>
      <c r="D37" s="26" t="n">
        <v>86011</v>
      </c>
      <c r="E37" s="27" t="n">
        <v>0.09759999999999999</v>
      </c>
      <c r="F37" s="29" t="inlineStr">
        <is>
          <t>住宅楼门禁或租户不开门导致近10%的居住噪音根本无法入户调查，形成执法死角</t>
        </is>
      </c>
    </row>
    <row r="38">
      <c r="A38" s="40" t="inlineStr">
        <is>
          <t>实施现场拘捕 (Arrest)</t>
        </is>
      </c>
      <c r="B38" s="17" t="n">
        <v>95943</v>
      </c>
      <c r="C38" s="18" t="n">
        <v>0.0828</v>
      </c>
      <c r="D38" s="17" t="n">
        <v>107147</v>
      </c>
      <c r="E38" s="18" t="n">
        <v>0.1215</v>
      </c>
      <c r="F38" s="16" t="inlineStr">
        <is>
          <t>涉案伴随更严重的治安冲突、通缉犯识别或拒绝配合等升级警情</t>
        </is>
      </c>
    </row>
    <row r="39">
      <c r="A39" s="39" t="inlineStr">
        <is>
          <t>其他未细分/说明已更新</t>
        </is>
      </c>
      <c r="B39" s="20" t="n">
        <v>307492</v>
      </c>
      <c r="C39" s="21" t="n">
        <v>0.2653</v>
      </c>
      <c r="D39" s="20" t="n">
        <v>31140</v>
      </c>
      <c r="E39" s="21" t="n">
        <v>0.0353</v>
      </c>
      <c r="F39" s="19" t="inlineStr">
        <is>
          <t>系统流转与常规记录归档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2026-09-17T05:58:21Z</dcterms:created>
  <dcterms:modified xmlns:dcterms="http://purl.org/dc/terms/" xmlns:xsi="http://www.w3.org/2001/XMLSchema-instance" xsi:type="dcterms:W3CDTF">2026-09-17T05:58:21Z</dcterms:modified>
</cp:coreProperties>
</file>