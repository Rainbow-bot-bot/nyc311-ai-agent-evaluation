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封面与导读" sheetId="1" r:id="rId1"/>
    <sheet name="2 数据概况" sheetId="2" r:id="rId2"/>
    <sheet name="3 数据质量" sheetId="3" r:id="rId3"/>
    <sheet name="4 月度趋势" sheetId="4" r:id="rId4"/>
    <sheet name="5 同比增长归因" sheetId="5" r:id="rId5"/>
    <sheet name="6 口径变更警示" sheetId="6" r:id="rId6"/>
    <sheet name="7 处理时效" sheetId="7" r:id="rId7"/>
    <sheet name="8 结案≠解决" sheetId="8" r:id="rId8"/>
    <sheet name="9 重复上报" sheetId="9" r:id="rId9"/>
    <sheet name="10 季节性与时段" sheetId="10" r:id="rId10"/>
    <sheet name="11 行政区结构" sheetId="11" r:id="rId11"/>
    <sheet name="12 上报渠道" sheetId="12" r:id="rId12"/>
    <sheet name="13 类型排行" sheetId="13" r:id="rId13"/>
  </sheets>
  <calcPr calcId="124519" fullCalcOnLoad="1"/>
</workbook>
</file>

<file path=xl/sharedStrings.xml><?xml version="1.0" encoding="utf-8"?>
<sst xmlns="http://schemas.openxmlformats.org/spreadsheetml/2006/main" count="802" uniqueCount="440">
  <si>
    <t>NYC 311 服务请求分析看板</t>
  </si>
  <si>
    <t>数据窗口 2024-09-07 ~ 2026-09-05 ｜ 原始 7,525,498 条 ｜ 分析口径 7,339,707 条 ｜ 16 个受理机构 ｜ 205 类问题</t>
  </si>
  <si>
    <t>六个先看的数字</t>
  </si>
  <si>
    <t>原始 / 分析口径记录数</t>
  </si>
  <si>
    <t>7,525,498 → 7,339,707（剔除 185,791）</t>
  </si>
  <si>
    <t>覆盖时间</t>
  </si>
  <si>
    <t>2024-09-07 ~ 2026-09-05（729 天）</t>
  </si>
  <si>
    <t>同比记录量变化</t>
  </si>
  <si>
    <t>+10.7%（日均 9,558 → 10,580）</t>
  </si>
  <si>
    <t>增长第一来源</t>
  </si>
  <si>
    <t>天气敏感型问题，占净增长 46.3%</t>
  </si>
  <si>
    <t>处理时长跨度</t>
  </si>
  <si>
    <t>机构中位数 1.3 小时 ~ 6,842 小时</t>
  </si>
  <si>
    <t>冗余记录占比</t>
  </si>
  <si>
    <t>18.2%（同址同类同日多次上报）</t>
  </si>
  <si>
    <t>六个核心发现</t>
  </si>
  <si>
    <t>发现 1：一个地址贡献了全部记录的 2.5%，不先剔除它，多个结论会反向。</t>
  </si>
  <si>
    <t>布朗克斯东 230/231 街同一街区的 4 个「地址 + 问题类型」组合共 185,791 条记录，全部是住宅噪音，单日峰值 4,978 条（2025-01-05）。这占全部住宅噪音记录的 21.1%。剔除前住宅噪音同比是 −2.8%（下降），剔除后是 +7.5%（上升）；布朗克斯的住宅噪音集中度指数也从 1.87 降到 1.27。→ 见「3 数据质量」3.2</t>
  </si>
  <si>
    <t>发现 2：记录量同比增长 10.7%，接近一半来自天气，不是市民行为的普遍变化。</t>
  </si>
  <si>
    <t>Y2（2025-09-07~2026-09-05）比 Y1（2024-09-07~2025-09-06）净增 362,541 条。冰雪、供暖热水、路面状况三类天气敏感型问题合计净增 167,706 条，占净增长的 46.3%。其中冰雪类从 8,808 条增至 63,938 条（+626%），且只在 11 月至次年 3 月出现。→ 见「5 同比增长归因」</t>
  </si>
  <si>
    <t>发现 3：有一类「下降」是口径变更造成的假象，必须先排除再看趋势。</t>
  </si>
  <si>
    <t>环保局（DEP）在 2026-07-29 一次性把 Water System 换成 Water Maintenance、Sewer 换成 Sewer Maintenance，旧类型当天归零。若按类型看会误判为「用水投诉崩塌」，但四类合并后总量正常，DEP 机构总量也未同步下降。→ 见「6 口径变更警示」</t>
  </si>
  <si>
    <t>发现 4：机构间处理时长差 3 个数量级，且快慢两端的业务性质完全不同。</t>
  </si>
  <si>
    <t>同一观察队列下，警局（NYPD）中位 1.30 小时、99.2% 在 24 小时内结案；住房局（HPD）中位 79.0 小时、12.9% 超过 30 天；出租车委员会（TLC）中位 1,112 小时；经济发展公司（EDC）中位 6,842 小时。→ 见「7 处理时效」</t>
  </si>
  <si>
    <t>发现 5：「结案快」不等于「问题解决」。</t>
  </si>
  <si>
    <t>警局已结案记录中，只有 28.0% 的结案说明表示采取了行动、开票或立案；65.8% 是「到场未发现问题/无需行动/当事人已离开」。快速结案主要反映派警流程闭环，不能直接读作问题被处置。→ 见「8 结案≠解决」</t>
  </si>
  <si>
    <t>发现 6：记录数不等于现实事件，约六分之一是重复上报。</t>
  </si>
  <si>
    <t>把「同一地址 + 同一问题类型 + 同一天」视为一个事件簇，706.9 万条有地址记录归并为 573.1 万个事件簇，冗余 133.8 万条，占分析口径 18.2%。营地类冗余率最高（39.4%），供暖热水 32.8%。HPD 供暖热水结案说明中 29.8% 直接写明「本条是同楼栋已上报情况的重复」，与该口径互相印证。→ 见「9 重复上报」</t>
  </si>
  <si>
    <t>工作表怎么看</t>
  </si>
  <si>
    <t>2 数据概况</t>
  </si>
  <si>
    <t>文件清单、记录粒度、时间范围、维度基数。先确认你在看什么。</t>
  </si>
  <si>
    <t>3 数据质量</t>
  </si>
  <si>
    <t>会真正影响结论的质量问题；其中 3.2 是本轮最关键的一处剔除，建议先读。</t>
  </si>
  <si>
    <t>4 月度趋势</t>
  </si>
  <si>
    <t>23 个完整自然月的记录量走势，以及两个同比窗口的定义。</t>
  </si>
  <si>
    <t>5 同比增长归因</t>
  </si>
  <si>
    <t>净增长按问题类型/机构拆分的可加贡献份额，以及两个冬季的直接对比。</t>
  </si>
  <si>
    <t>6 口径变更警示</t>
  </si>
  <si>
    <t>DEP 类型切换的月度与逐日证据，读趋势前必须先看这页。</t>
  </si>
  <si>
    <t>7 处理时效</t>
  </si>
  <si>
    <t>按机构与按问题类型的中位/P90 时长，含右截断与批量结案说明。</t>
  </si>
  <si>
    <t>8 结案≠解决</t>
  </si>
  <si>
    <t>警局结案性质分类，以及 HPD 供暖热水的结案原因构成。</t>
  </si>
  <si>
    <t>9 重复上报</t>
  </si>
  <si>
    <t>事件簇口径下的冗余记录量与分类型冗余率。</t>
  </si>
  <si>
    <t>10 季节性与时段</t>
  </si>
  <si>
    <t>最近 12 个完整月的月度形态与全天时段分布。</t>
  </si>
  <si>
    <t>11 行政区结构</t>
  </si>
  <si>
    <t>各区记录量与问题结构集中度指数（无人口数据，不做人均口径）。</t>
  </si>
  <si>
    <t>12 上报渠道</t>
  </si>
  <si>
    <t>剔除 UNKNOWN 后的渠道份额变化，及 UNKNOWN 为何不能算缺失。</t>
  </si>
  <si>
    <t>13 类型排行</t>
  </si>
  <si>
    <t>问题类型 Top 25 与累计集中度。</t>
  </si>
  <si>
    <t>口径与边界：全部数字以 created_date（请求创建时间）为时间基准，1 行 = 1 条服务请求；除「原始记录数」外，本看板所有分析都在剔除 3.2 异常聚集后的 7,339,707 条上进行；本数据是市民上报记录，不是城市问题的普查，任何「某问题增加」都同时包含现实变化与上报行为变化；首月（2024-09）与末月（2026-09）不完整，趋势图已剔除；本看板未使用人口数据，因此不做人均口径比较。复现脚本与中间汇总表保留在同目录，详细说明见 分析说明.md。</t>
  </si>
  <si>
    <t xml:space="preserve">  2.1 数据集基本情况</t>
  </si>
  <si>
    <t>指标</t>
  </si>
  <si>
    <t>值</t>
  </si>
  <si>
    <t>数据集原始记录数</t>
  </si>
  <si>
    <t>唯一 unique_key 数</t>
  </si>
  <si>
    <t>剔除的异常聚集记录数（见 3.2）</t>
  </si>
  <si>
    <t>本看板分析口径记录数</t>
  </si>
  <si>
    <t>源文件数（Parquet 分片）</t>
  </si>
  <si>
    <t>字段数</t>
  </si>
  <si>
    <t>created_date 最早</t>
  </si>
  <si>
    <t>created_date 最晚</t>
  </si>
  <si>
    <t>覆盖天数</t>
  </si>
  <si>
    <t>受理机构数 (agency)</t>
  </si>
  <si>
    <t>问题类型数 (complaint_type)</t>
  </si>
  <si>
    <t>细分描述数 (descriptor)</t>
  </si>
  <si>
    <t>行政区数（含 Unspecified）</t>
  </si>
  <si>
    <t>邮编数 (incident_zip)</t>
  </si>
  <si>
    <t>status = Closed 占比（分析口径）</t>
  </si>
  <si>
    <t>有 closed_date 占比（分析口径）</t>
  </si>
  <si>
    <t>7,525,498</t>
  </si>
  <si>
    <t>185,791</t>
  </si>
  <si>
    <t>7,339,707</t>
  </si>
  <si>
    <t>25</t>
  </si>
  <si>
    <t>44</t>
  </si>
  <si>
    <t>2024-09-07 00:00:00</t>
  </si>
  <si>
    <t>2026-09-05 01:50:33</t>
  </si>
  <si>
    <t>729</t>
  </si>
  <si>
    <t>16</t>
  </si>
  <si>
    <t>205</t>
  </si>
  <si>
    <t>1,067</t>
  </si>
  <si>
    <t>6</t>
  </si>
  <si>
    <t>445</t>
  </si>
  <si>
    <t>96.59%</t>
  </si>
  <si>
    <t>96.73%</t>
  </si>
  <si>
    <t>记录粒度：unique_key 完全唯一（7,525,498 条记录 = 7,525,498 个不同 unique_key），因此 1 行就是 1 条 311 服务请求，不存在主键层面的重复。但主键唯一 ≠ 现实事件唯一：同一现实问题可被多位市民分别上报为多条记录（见「9 重复上报」），个别地址还存在量级异常的记录聚集（见「3 数据质量」3.2），后者已从分析口径剔除。</t>
  </si>
  <si>
    <t xml:space="preserve">  2.2 源文件清单（25 个 Parquet 分片，按 created_date 月度切分，只读使用）</t>
  </si>
  <si>
    <t>文件名</t>
  </si>
  <si>
    <t>记录数</t>
  </si>
  <si>
    <t>最早创建日</t>
  </si>
  <si>
    <t>最晚创建日</t>
  </si>
  <si>
    <t>created_date=2024-09-07_to_2024-10-01.parquet</t>
  </si>
  <si>
    <t>created_date=2024-10-01_to_2024-11-01.parquet</t>
  </si>
  <si>
    <t>created_date=2024-11-01_to_2024-12-01.parquet</t>
  </si>
  <si>
    <t>created_date=2024-12-01_to_2025-01-01.parquet</t>
  </si>
  <si>
    <t>created_date=2025-01-01_to_2025-02-01.parquet</t>
  </si>
  <si>
    <t>created_date=2025-02-01_to_2025-03-01.parquet</t>
  </si>
  <si>
    <t>created_date=2025-03-01_to_2025-04-01.parquet</t>
  </si>
  <si>
    <t>created_date=2025-04-01_to_2025-05-01.parquet</t>
  </si>
  <si>
    <t>created_date=2025-05-01_to_2025-06-01.parquet</t>
  </si>
  <si>
    <t>created_date=2025-06-01_to_2025-07-01.parquet</t>
  </si>
  <si>
    <t>created_date=2025-07-01_to_2025-08-01.parquet</t>
  </si>
  <si>
    <t>created_date=2025-08-01_to_2025-09-01.parquet</t>
  </si>
  <si>
    <t>created_date=2025-09-01_to_2025-10-01.parquet</t>
  </si>
  <si>
    <t>created_date=2025-10-01_to_2025-11-01.parquet</t>
  </si>
  <si>
    <t>created_date=2025-11-01_to_2025-12-01.parquet</t>
  </si>
  <si>
    <t>created_date=2025-12-01_to_2026-01-01.parquet</t>
  </si>
  <si>
    <t>created_date=2026-01-01_to_2026-02-01.parquet</t>
  </si>
  <si>
    <t>created_date=2026-02-01_to_2026-03-01.parquet</t>
  </si>
  <si>
    <t>created_date=2026-03-01_to_2026-04-01.parquet</t>
  </si>
  <si>
    <t>created_date=2026-04-01_to_2026-05-01.parquet</t>
  </si>
  <si>
    <t>created_date=2026-05-01_to_2026-06-01.parquet</t>
  </si>
  <si>
    <t>created_date=2026-06-01_to_2026-07-01.parquet</t>
  </si>
  <si>
    <t>created_date=2026-07-01_to_2026-08-01.parquet</t>
  </si>
  <si>
    <t>created_date=2026-08-01_to_2026-09-01.parquet</t>
  </si>
  <si>
    <t>created_date=2026-09-01_to_2026-09-07.parquet</t>
  </si>
  <si>
    <t>25 个分片的时间区间首尾相接、互不重叠，逐片行数之和等于原始总量 7,525,498 条，说明数据无缺片、无重复加载。首片自 2024-09-07 起、末片至 2026-09-05 止，两端月份不完整。</t>
  </si>
  <si>
    <t xml:space="preserve">  3.1 会真正影响结论的质量问题及处理方式</t>
  </si>
  <si>
    <t>质量项</t>
  </si>
  <si>
    <t>占全量</t>
  </si>
  <si>
    <t>对分析的影响</t>
  </si>
  <si>
    <t>单址单类型记录异常聚集</t>
  </si>
  <si>
    <t>主键重复（unique_key）</t>
  </si>
  <si>
    <t>created_date 解析失败</t>
  </si>
  <si>
    <t>缺 closed_date（未结案或未回填）</t>
  </si>
  <si>
    <t>closed_date 早于 created_date</t>
  </si>
  <si>
    <t>处理时长恰为 0 分钟</t>
  </si>
  <si>
    <t>处理时长 &gt; 365 天</t>
  </si>
  <si>
    <t>borough = Unspecified</t>
  </si>
  <si>
    <t>渠道 = UNKNOWN</t>
  </si>
  <si>
    <t>incident_zip 非 5 位数字</t>
  </si>
  <si>
    <t>缺 latitude/longitude</t>
  </si>
  <si>
    <t>0</t>
  </si>
  <si>
    <t>240,304</t>
  </si>
  <si>
    <t>1,877</t>
  </si>
  <si>
    <t>141,007</t>
  </si>
  <si>
    <t>7,781</t>
  </si>
  <si>
    <t>6,331</t>
  </si>
  <si>
    <t>590,822</t>
  </si>
  <si>
    <t>8</t>
  </si>
  <si>
    <t>129,696</t>
  </si>
  <si>
    <t>2.47%</t>
  </si>
  <si>
    <t>0.0%</t>
  </si>
  <si>
    <t>3.27%</t>
  </si>
  <si>
    <t>0.026%</t>
  </si>
  <si>
    <t>1.92%</t>
  </si>
  <si>
    <t>0.106%</t>
  </si>
  <si>
    <t>0.086%</t>
  </si>
  <si>
    <t>8.05%</t>
  </si>
  <si>
    <t>&lt;0.001%</t>
  </si>
  <si>
    <t>1.72%</t>
  </si>
  <si>
    <t>影响最大的质量问题：4 个(地址,类型)组合单日峰值达 4,978 条，占全部住宅噪音记录 21.1%，会同时扭曲同比、行政区结构、季节性与重复上报结论，已从分析口径整体剔除（见 3.2）</t>
  </si>
  <si>
    <t>无问题，可用 unique_key 作为唯一记录标识</t>
  </si>
  <si>
    <t>无问题，全部时间戳格式一致</t>
  </si>
  <si>
    <t>影响时效分析：近月比例升高（右截断），时效仅用留足观察期的队列</t>
  </si>
  <si>
    <t>逻辑不可能，时效分析中已剔除</t>
  </si>
  <si>
    <t>多为系统批量结案（DEP/DOHMH/DOB 集中），会把中位时长压低，已单列比例</t>
  </si>
  <si>
    <t>长尾真实存在（TLC/EDC/DOB），用中位数与 P90 而非均值</t>
  </si>
  <si>
    <t>占比极低，行政区分析中已排除</t>
  </si>
  <si>
    <t>并非随机缺失：DOT/DOB 若干类型 100% 为 UNKNOWN；渠道分析已整体排除</t>
  </si>
  <si>
    <t>数量可忽略，不影响结论</t>
  </si>
  <si>
    <t>未做点位地图分析，不影响本看板结论</t>
  </si>
  <si>
    <t>整体判断：这份数据在结构上很干净——主键无重复、时间戳格式统一、机构/状态/行政区等关键维度无空值。真正需要处理的只有五件事：(1) 少数地址上的记录量级异常聚集（3.2，影响最大），(2) 近月未结案比例升高造成的右截断（3.3），(3) 少量 closed_date 早于 created_date 的逻辑错误，(4) 大量 0 分钟批量结案会压低中位时长，(5) 渠道字段 UNKNOWN 是系统性整类缺失而非随机缺失。其余缺失字段（如车辆类型、桥梁名称等 99% 空）只是与特定业务线相关，本看板未使用，不构成问题。</t>
  </si>
  <si>
    <t>下面 3.2 是本轮分析中影响最大的一处数据问题，请先读它。识别规则（客观、可复现）：剔除任一 (incident_address, complaint_type) 组合，若其「单日记录数最大值 ≥ 200」。该阈值落在数据的自然断点上——符合条件的组合只有 4 个（单日峰值 4,978 / 2,281 / 1,109 / 272），紧邻其下的最大单日簇为 184 条，而住宅噪音类「单地址两年总记录数」的 99 分位数只有 65 条。</t>
  </si>
  <si>
    <t xml:space="preserve">  3.2 单址单类型的记录量级异常聚集（已从分析口径剔除）</t>
  </si>
  <si>
    <t>地址原文</t>
  </si>
  <si>
    <t>问题类型</t>
  </si>
  <si>
    <t>单日最大记录数</t>
  </si>
  <si>
    <t>两年合计记录数</t>
  </si>
  <si>
    <t>出现天数</t>
  </si>
  <si>
    <t>有记录日的日均</t>
  </si>
  <si>
    <t>655 EAST  230 STREET</t>
  </si>
  <si>
    <t>661 EAST  230 STREET</t>
  </si>
  <si>
    <t>655 EAST 230 STREET</t>
  </si>
  <si>
    <t>672 EAST  231 STREET</t>
  </si>
  <si>
    <t>Noise - Residential</t>
  </si>
  <si>
    <t>这 4 个组合全部落在布朗克斯东 230/231 街的同一街区（邮编 10466），全部是 Noise - Residential，descriptor 几乎全为 Loud Music/Party，受理机构全为 NYPD，经纬度与 BBL 各自唯一。最大的 655 EAST  230 STREET 共 167,077 条，只分布在 163 个日子里，有记录日的日均达 1,025 条，单日峰值 4,978 条。注意其中还有一个只差一个空格的写法变体（655 EAST 230 STREET，4,481 条），说明这些记录来自同一来源的不同批次。判断：单栋建筑一天产生数千条噪音上报，与现实事件不可能一一对应；这属于记录层面的异常聚集。本数据不含日志或上报来源明细，因此无法确定成因（可能是自动重复提交、地理编码回落到默认地址，或数据生成环节的问题），这一点只作为未验证解释列出。</t>
  </si>
  <si>
    <t xml:space="preserve">  3.2.1 剔除前后的差别：这处聚集把住宅噪音的走势整个改变了</t>
  </si>
  <si>
    <t>月份</t>
  </si>
  <si>
    <t>东230街聚集记录数</t>
  </si>
  <si>
    <t>全市住宅噪音记录数（含聚集）</t>
  </si>
  <si>
    <t>住宅噪音（分析口径）</t>
  </si>
  <si>
    <t>聚集占该月住宅噪音%</t>
  </si>
  <si>
    <t>含聚集的红线呈现明显的「冬季高峰」形态：2025-01 达 70,837 条、2025-12 达 57,386 条；而剔除后的蓝线全年在 2.2 万 ~ 3.7 万之间平稳波动，反而在 5 月最高。聚集在个别月份占该月全市住宅噪音的比例极高——2025-01 占 64.1%、2025-12 占 52.1%——而 2026-06 之后归零。如果不剔除，会同时得出三个错误结论：住宅噪音有强冬季季节性（实际旺淡月倍数从 2.1 降到 1.4）、住宅噪音同比在下降（实际是上升，见下表）、以及布朗克斯的噪音问题远高于全市（集中度指数从 1.87 降到 1.27）。</t>
  </si>
  <si>
    <t xml:space="preserve">  3.2.2 对同比结论的影响：符号反转</t>
  </si>
  <si>
    <t>窗口</t>
  </si>
  <si>
    <t>住宅噪音（含异常聚集）</t>
  </si>
  <si>
    <t>其中异常聚集</t>
  </si>
  <si>
    <t>Y1</t>
  </si>
  <si>
    <t>Y2</t>
  </si>
  <si>
    <t>含聚集：住宅噪音 446,931 → 434,617，同比 −2.8%（看起来在下降）。剔除聚集：335,300 → 360,457，同比 +7.5%（实际在上升）。原因是聚集本身在 Y1 有 111,631 条、Y2 只有 74,160 条，它自身的衰减盖过了真实趋势。这是本看板坚持先剔除再分析的直接理由。</t>
  </si>
  <si>
    <t xml:space="preserve">  3.3 右截断：越靠近数据末期，已结案比例越低</t>
  </si>
  <si>
    <t>已有结案时间占比%</t>
  </si>
  <si>
    <t>2024-09 至 2026-06 各月已结案比例都在 95% 以上，2026-07 起降到 92% 附近、2026-08 降到 85.7%、2026-09 只有 61.5%——这不是处理效率变差，而是这些请求还没走完流程就到了数据截止日。因此本看板的处理时长分析只使用 created_date 在 2024-10-01~2026-05-31 的队列（该队列已结案比例 97.9%，右截断影响很小），并且不把时长趋势解读为效率变化。</t>
  </si>
  <si>
    <t>本页及以后各页均为分析口径（7,339,707 条），即已剔除「3 数据质量」3.2 的 185,791 条异常聚集记录。</t>
  </si>
  <si>
    <t xml:space="preserve">  4.1 月度记录量（首月与末月不完整，已在表内标注）</t>
  </si>
  <si>
    <t>日均记录数</t>
  </si>
  <si>
    <t>已结案占比%</t>
  </si>
  <si>
    <t>月份完整性</t>
  </si>
  <si>
    <t>不完整月（首/末月）</t>
  </si>
  <si>
    <t>完整月</t>
  </si>
  <si>
    <t>（下图数据源：仅 23 个完整月）</t>
  </si>
  <si>
    <t>23 个完整月的记录量在 25.1 万 ~ 34.8 万之间波动。2026 年的每一个月都高于 2025 年同月。月度波动同时受自然月天数、季节性问题（供暖、冰雪、街头噪音）和天气事件影响，单月比较意义有限，因此下节改用整年窗口。</t>
  </si>
  <si>
    <t xml:space="preserve">  4.2 同比窗口定义与总量</t>
  </si>
  <si>
    <t>天数</t>
  </si>
  <si>
    <t>Y1 (2024-09-07~2025-09-06)</t>
  </si>
  <si>
    <t>Y2 (2025-09-07~2026-09-05)</t>
  </si>
  <si>
    <t>为了用满全部数据又避免季节错配，同比窗口按数据首日对齐切分：Y1 = 2024-09-07~2025-09-06（365 天），Y2 = 2025-09-07~2026-09-05（364 天）。两窗口天数差 1 天，因此增长率以日均记录数计算：9,557.8 → 10,580.0，即 +10.7%；按总量计为 3,488,583 → 3,851,124，净增 362,541 条（+10.4%）。本看板所有「占净增长%」都以 362,541 为分母。</t>
  </si>
  <si>
    <t xml:space="preserve">  5.1 净增长 362,541 条按问题类型拆分（按变动绝对值排序，取前 20）</t>
  </si>
  <si>
    <t>Y1记录数</t>
  </si>
  <si>
    <t>Y2记录数</t>
  </si>
  <si>
    <t>增减量</t>
  </si>
  <si>
    <t>同比%</t>
  </si>
  <si>
    <t>占净增长%</t>
  </si>
  <si>
    <t>HEAT/HOT WATER</t>
  </si>
  <si>
    <t>Illegal Parking</t>
  </si>
  <si>
    <t>Snow or Ice</t>
  </si>
  <si>
    <t>Street Condition</t>
  </si>
  <si>
    <t>Blocked Driveway</t>
  </si>
  <si>
    <t>Drug Activity</t>
  </si>
  <si>
    <t>UNSANITARY CONDITION</t>
  </si>
  <si>
    <t>Damaged Tree</t>
  </si>
  <si>
    <t>PLUMBING</t>
  </si>
  <si>
    <t>Lead</t>
  </si>
  <si>
    <t>Water Maintenance</t>
  </si>
  <si>
    <t>Rodent</t>
  </si>
  <si>
    <t>GENERAL</t>
  </si>
  <si>
    <t>Traffic Signal Condition</t>
  </si>
  <si>
    <t>WATER LEAK</t>
  </si>
  <si>
    <t>Derelict Vehicles</t>
  </si>
  <si>
    <t>Noise - Helicopter</t>
  </si>
  <si>
    <t>PAINT/PLASTER</t>
  </si>
  <si>
    <t>DOOR/WINDOW</t>
  </si>
  <si>
    <t>增长高度集中：供暖热水（+63,648，+21.7%）、违章停车（+57,569，+10.5%）、冰雪（+55,130，+626%）、路面状况（+48,928，+70.5%）四类合计占净增长 62.2%，其中三类是天气敏感型（合计 46.3%）。Water Maintenance 的 +12,034 与「6 口径变更警示」中 Water System 的消失是同一件事，属于口径迁移而非新增需求，其 Y1 基数只有 9 条，因此不计算同比百分比。下降项里，Drug Activity（−19,352）与 Lead（−13,118）的降幅主要来自 Y1 内的短期高峰（Lead 在 2024-10/11 达 5,529/9,103 条，Drug Activity 在 2025-07/08 达 6,038/5,447 条），之后回落到低位并保持，属于水平位移；本数据不含政策或系统变更记录，不足以判断原因。</t>
  </si>
  <si>
    <t xml:space="preserve">  5.2 净增长按受理机构拆分</t>
  </si>
  <si>
    <t>机构代码</t>
  </si>
  <si>
    <t>机构名称</t>
  </si>
  <si>
    <t>HPD</t>
  </si>
  <si>
    <t>NYPD</t>
  </si>
  <si>
    <t>DOT</t>
  </si>
  <si>
    <t>DSNY</t>
  </si>
  <si>
    <t>DPR</t>
  </si>
  <si>
    <t>DOB</t>
  </si>
  <si>
    <t>DEP</t>
  </si>
  <si>
    <t>EDC</t>
  </si>
  <si>
    <t>DOHMH</t>
  </si>
  <si>
    <t>DHS</t>
  </si>
  <si>
    <t>OOS</t>
  </si>
  <si>
    <t>TLC</t>
  </si>
  <si>
    <t>DCWP</t>
  </si>
  <si>
    <t>DOE</t>
  </si>
  <si>
    <t>NYC311-PRD</t>
  </si>
  <si>
    <t>OTI</t>
  </si>
  <si>
    <t>Department of Housing Preservation and Development</t>
  </si>
  <si>
    <t>New York City Police Department</t>
  </si>
  <si>
    <t>Department of Transportation</t>
  </si>
  <si>
    <t>Department of Sanitation</t>
  </si>
  <si>
    <t>Department of Parks and Recreation</t>
  </si>
  <si>
    <t>Department of Buildings</t>
  </si>
  <si>
    <t>Department of Environmental Protection</t>
  </si>
  <si>
    <t>Economic Development Corporation</t>
  </si>
  <si>
    <t>Department of Health and Mental Hygiene</t>
  </si>
  <si>
    <t>Department of Homeless Services</t>
  </si>
  <si>
    <t>Office of the Sheriff</t>
  </si>
  <si>
    <t>Taxi and Limousine Commission</t>
  </si>
  <si>
    <t>Department of Consumer and Worker Protection</t>
  </si>
  <si>
    <t>Department of Education</t>
  </si>
  <si>
    <t>HIQA</t>
  </si>
  <si>
    <t>Office of Technology and Innovation</t>
  </si>
  <si>
    <t>住房局 HPD（+146,949，占净增长 40.5%）、警局 NYPD（+79,174，占 21.8%）与交通局 DOT（+67,712，占 18.7%）是增长主体，三者合计占净增长 81%。但增长的性质不同：HPD +19.8%、DOT +32.4% 是明显提速，NYPD 只有 +5.0%，在其庞大基数（Y1 156.9 万条）上属于温和增长。EDC 的 −38.8% 全部来自 Noise - Helicopter（该类型月度记录数从约 1,300~2,800 条降到 2026-08 的 229 条）。表中两个机构 Y1 为 0：治安官办公室（OOS）自 2025-09 起接入，全部记录都是 Cannabis Retailer（与 6.3 中该类型的首次出现月一致），是新增业务线而非增长；NYC311-PRD/HIQA 只在 2026-03 与 2026-04 出现 371 条 Sidewalk Condition，量级可忽略。这两个机构的 Y1 基数为 0，因此不计算同比百分比。</t>
  </si>
  <si>
    <t xml:space="preserve">  5.3 两个冬季直接对比（12-01 ~ 次年 03-31，各 121 天）</t>
  </si>
  <si>
    <t>冬季</t>
  </si>
  <si>
    <t>全部记录数</t>
  </si>
  <si>
    <t>冰雪 Snow or Ice</t>
  </si>
  <si>
    <t>供暖热水 HEAT/HOT WATER</t>
  </si>
  <si>
    <t>路面状况 Street Condition</t>
  </si>
  <si>
    <t>2024-25 冬季 (12/01~03/31)</t>
  </si>
  <si>
    <t>2025-26 冬季 (12/01~03/31)</t>
  </si>
  <si>
    <t>同长度冬季窗口对比：全部记录 1,125,791 → 1,324,555（+17.7%）；冰雪 8,806 → 63,930（7.3 倍）；供暖热水 197,122 → 232,644（+18.0%）；路面状况 23,357 → 45,574（+95.1%）。三类天气敏感型问题在同一个冬季同时大幅上升，且冰雪类只在 11 月至次年 3 月出现。推断层级说明：已验证的事实是这三类记录同时同期大幅上升；「2025-26 冬季比 2024-25 冬季更寒冷多雪」是与记录形态一致的合理推断，但本数据不含任何气象观测，无法在此数据内验证，属于未验证解释。</t>
  </si>
  <si>
    <t xml:space="preserve">  5.4 天气敏感型问题的月度形态</t>
  </si>
  <si>
    <t>冰雪</t>
  </si>
  <si>
    <t>供暖热水</t>
  </si>
  <si>
    <t>路面状况</t>
  </si>
  <si>
    <t>树木受损</t>
  </si>
  <si>
    <t>季节性特征清晰：冰雪类只在 11 月—次年 3 月出现（其余月份为 0 或个位数）；供暖热水在 1 月见顶、8-9 月见底；路面状况在 2026-03 出现全期最高的 28,690 条（2025-03 为 7,035 条），时点紧随冰雪高峰之后，与「冬季结束后路面损坏集中上报」的顺序一致；树木受损在夏季 6-7 月最高。</t>
  </si>
  <si>
    <t>读趋势前必须先看这页：数据中至少有一次问题类型口径切换，若直接按 complaint_type 看趋势会得出错误结论。</t>
  </si>
  <si>
    <t xml:space="preserve">  6.1 DEP（环保局）用水与污水类型的月度切换</t>
  </si>
  <si>
    <t>Water System（旧）</t>
  </si>
  <si>
    <t>Water Maintenance（新）</t>
  </si>
  <si>
    <t>Sewer（旧）</t>
  </si>
  <si>
    <t>Sewer Maintenance（新）</t>
  </si>
  <si>
    <t>四类合计</t>
  </si>
  <si>
    <t>DEP 全部</t>
  </si>
  <si>
    <t xml:space="preserve">  6.2 逐日证据：切换发生在 2026-07-29</t>
  </si>
  <si>
    <t>日期</t>
  </si>
  <si>
    <t>2026-07-28 当天 Water System 仍有 139 条、Sewer 仍有 33 条；2026-07-29 起 Water System 降至 1 条、Sewer 降至 11 条，2026-07-30 之后两者恒为 0，而 Water Maintenance 与 Sewer Maintenance 同步跳升。这是典型的口径替换而非需求消失：如果按类型看，会得到「用水投诉在 2026 年 8 月归零」的错误结论；把四类合并后，2026-08 合计 13,985 条，与前几个月同一量级，DEP 机构总量 22,233 条也在正常区间。本看板的处理方式：涉及趋势的分析都把这四类合并看待，季节性表已剔除这四类以避免误读。</t>
  </si>
  <si>
    <t xml:space="preserve">  6.3 其他窗口内新增或停用的问题类型（记录数 ≥ 2,000）</t>
  </si>
  <si>
    <t>机构</t>
  </si>
  <si>
    <t>首次出现月</t>
  </si>
  <si>
    <t>最后出现月</t>
  </si>
  <si>
    <t>判断</t>
  </si>
  <si>
    <t>Sewer Maintenance</t>
  </si>
  <si>
    <t>Cannabis Retailer</t>
  </si>
  <si>
    <t>School Maintenance</t>
  </si>
  <si>
    <t>Non-Residential Heat</t>
  </si>
  <si>
    <t>Construction Safety Enforcement</t>
  </si>
  <si>
    <t>Bike/Roller/Skate Chronic</t>
  </si>
  <si>
    <t>季节性/其他</t>
  </si>
  <si>
    <t>窗口内新增</t>
  </si>
  <si>
    <t>窗口内停用</t>
  </si>
  <si>
    <t>Snow or Ice 的「2024-11 首现 / 2026-03 末现」是季节性造成的，不是口径变更。Cannabis Retailer（2025-09 起）属于窗口内真实新增类型；School Maintenance、Non-Residential Heat、Bike/Roller/Skate Chronic、Construction Safety Enforcement 在窗口内停止出现，本数据无法区分是业务下线、改名归并还是自然消失，因此不对这些类型做趋势解读。</t>
  </si>
  <si>
    <t>口径：仅统计 created_date 在 2024-10-01 ~ 2026-05-31（留足 ≥3 个月观察期，该队列已结案比例 97.9%）且 closed_date 不早于 created_date 的记录；处理时长 = closed_date − created_date。用中位数与 P90 而非均值，因为长尾极端值（7,781 条超过 365 天）会严重拉高均值。未结案的 2.1% 被排除，这会让读数略偏快，方向已知、幅度很小。</t>
  </si>
  <si>
    <t xml:space="preserve">  7.1 按受理机构</t>
  </si>
  <si>
    <t>已结案记录数</t>
  </si>
  <si>
    <t>中位时长(小时)</t>
  </si>
  <si>
    <t>P90时长(小时)</t>
  </si>
  <si>
    <t>中位时长(天)</t>
  </si>
  <si>
    <t>24小时内结案%</t>
  </si>
  <si>
    <t>超30天结案%</t>
  </si>
  <si>
    <t>0分钟结案%</t>
  </si>
  <si>
    <t>（下图数据源：记录量前 8 机构）</t>
  </si>
  <si>
    <t>机构间差距超过 3 个数量级：NYPD 中位 1.30 小时、99.2% 在 24 小时内结案、超 30 天几乎为 0；HPD 中位 79.0 小时（3.3 天）、12.9% 超 30 天；TLC 中位 1,112 小时（46 天）、59.9% 超 30 天；EDC 中位 6,842 小时（285 天）、97.4% 超 30 天。这些差异首先反映业务性质不同（派警出勤 vs 房屋检查 vs 牌照与执法调查），不能直接当作效率排名。另需注意「0 分钟结案%」一列：DOHMH 达 27.4%、DOB 11.9%、DOT 7.0%、DEP 6.6%，这些是创建与结案时间戳完全相同的记录（很可能是系统批量结案或自动归并），会把这些机构的中位时长压低，读数时应连同该列一起看。</t>
  </si>
  <si>
    <t xml:space="preserve">  7.2 按问题类型（队列内记录量前 20，按中位时长升序）</t>
  </si>
  <si>
    <t>Noise - Commercial</t>
  </si>
  <si>
    <t>Noise - Street/Sidewalk</t>
  </si>
  <si>
    <t>Noise - Vehicle</t>
  </si>
  <si>
    <t>Encampment</t>
  </si>
  <si>
    <t>Abandoned Vehicle</t>
  </si>
  <si>
    <t>Water System</t>
  </si>
  <si>
    <t>Dirty Condition</t>
  </si>
  <si>
    <t>Noise</t>
  </si>
  <si>
    <t>最快与最慢相差约 340 倍：商业噪音中位 0.90 小时、街头噪音 0.95 小时、住宅噪音 1.12 小时、违章停车 1.52 小时，都是 NYPD 派警类；最慢的是 HPD 房屋维修类——门窗 308.8 小时（12.9 天）、不卫生环境 269.5 小时、管道 198.0 小时。同为 HPD 的供暖热水例外地快（41.9 小时），与「8.3」中 29.8% 的供暖热水记录被作为「同楼栋重复」直接关闭有关。路面状况的 12.2%、交通信号的 9.5%、用水系统的 17.1% 为 0 分钟结案，其中位读数需谨慎。</t>
  </si>
  <si>
    <t>本页解决一个容易误读的问题：status = Closed 只说明流程走完，不说明现实问题被处置。分类依据是 resolution_description 字段的原文关键词（规则见 06_build_aggregates.py），未分类比例仅 1.7%。</t>
  </si>
  <si>
    <t xml:space="preserve">  8.1 NYPD 已结案记录的结案性质</t>
  </si>
  <si>
    <t>结案性质</t>
  </si>
  <si>
    <t>占比%</t>
  </si>
  <si>
    <t>A 采取行动/开票/立案</t>
  </si>
  <si>
    <t>B 到场未发现问题/无需行动</t>
  </si>
  <si>
    <t>C 无法进入/无法核实</t>
  </si>
  <si>
    <t>D 不属本机构管辖</t>
  </si>
  <si>
    <t>E 转交其他机构</t>
  </si>
  <si>
    <t>F 其他/仅提供信息</t>
  </si>
  <si>
    <t>G 无结案说明</t>
  </si>
  <si>
    <t>只有 28.0%（899,453 条）的结案说明表明发生了实质处置——「采取行动处置」「开具传票」「认定违规」或「已立案」；65.8%（2,118,277 条）属于「到场未发现问题 / 无需警方行动 / 到场时当事人已离开」；另有 2.8% 无法进入现场、1.2% 不属本机构管辖、0.6% 转交其他机构。这解释了为什么 NYPD 能在 99.2% 的情况下 24 小时内结案：多数派警以「到场核实后无需处置」收尾。结论层级：分类占比是可回查的事实；「结案速度快主要来自这种收尾方式」是与数据一致的推断；本数据无法判断这些「未发现问题」中有多少是问题已自行消失、有多少是出勤未能核实到，这一点仍未解决。</t>
  </si>
  <si>
    <t xml:space="preserve">  8.2 NYPD 主要问题类型的处置率对比（前 8 类）</t>
  </si>
  <si>
    <t>A 采取行动%</t>
  </si>
  <si>
    <t>B 未发现问题%</t>
  </si>
  <si>
    <t>处置率在类型间差别很大：阻塞车道 38.1%、违章停车 34.1%、商业噪音 33.5% 采取行动（多可现场开票），而住宅噪音 20.1%、车辆噪音只有 16.1%——到场时噪音往往已经停止。最极端的是无家可归者营地（Encampment）：仅 0.5% 记为采取行动，57.8% 为到场未发现。同一个「约 1 小时中位时长」在不同类型下的现实含义完全不同。</t>
  </si>
  <si>
    <t xml:space="preserve">  8.3 对照：HPD 供暖热水的结案原因构成（全部 status=Closed 记录）</t>
  </si>
  <si>
    <t>结案说明摘要</t>
  </si>
  <si>
    <t xml:space="preserve">This complaint is a duplicate of a building-wide condition already reported by another tenant.  The </t>
  </si>
  <si>
    <t>The Department of Housing Preservation and Development was not able to gain access to your apartment</t>
  </si>
  <si>
    <t>HPD responded to a complaint of no heat or hot water in the building. An occupant of the building co</t>
  </si>
  <si>
    <t>HPD called the telephone number on file for this complaint.  Someone at that number indicated that t</t>
  </si>
  <si>
    <t>The Department of Housing Preservation and Development conducted or attempted to conduct an inspecti</t>
  </si>
  <si>
    <t>The Department of Housing Preservation and Development contacted a tenant in the building and verifi</t>
  </si>
  <si>
    <t>HPD conducted an inspection of this complaint. The conditions observed by the inspector did not viol</t>
  </si>
  <si>
    <t>HPD inspected this condition so the complaint has been closed. Violations were issued. The law provi</t>
  </si>
  <si>
    <t>占比最高的结案原因（29.8%）直接写明「本条是同楼栋已上报情况的重复，原始投诉将被处理」；另有 15.9% 是「无法进入公寓或楼栋」。也就是说，供暖热水类中位时长只有 41.9 小时，很大程度上是因为近三成记录被作为重复项直接关闭，而不是维修完成得特别快。这条记录同时为「9 重复上报」提供了来自数据本身的独立印证——它是机构自己写下的判断，不依赖我们的去重口径。</t>
  </si>
  <si>
    <t>口径：把「同一 incident_address + 同一 complaint_type + 同一自然日」的多条记录视为一个事件簇，簇内第 2 条起计为冗余记录。这是一个保守的近似——它抓不到跨日的重复、地址写法差异、或缺地址（27 万条）的重复，所以真实重复程度只会更高，不会更低。本页已在剔除 3.2 异常聚集之后计算；若不剔除，冗余占比会虚高到 20.3%、住宅噪音冗余率虚高到 44.3%。</t>
  </si>
  <si>
    <t xml:space="preserve">  9.1 整体规模</t>
  </si>
  <si>
    <t>可判定记录数(有地址)</t>
  </si>
  <si>
    <t>去重后事件簇数</t>
  </si>
  <si>
    <t>冗余记录数</t>
  </si>
  <si>
    <t>冗余占可判定记录%</t>
  </si>
  <si>
    <t>冗余占分析口径全量%</t>
  </si>
  <si>
    <t>706.9 万条带地址记录归并为 573.1 万个事件簇，冗余 133.8 万条，占带地址记录的 18.9%、占分析口径全量 7,339,707 条的 18.2%。直接含义：任何用记录数衡量「某类问题有多严重」的比较，都掺入了约六分之一的重复上报量；而重复率在类型之间并不均匀（见下表，从 17.2% 到 39.4%），因此这种偏差不会在类型之间自动抵消。</t>
  </si>
  <si>
    <t xml:space="preserve">  9.2 分问题类型的冗余率（记录数 &gt; 50,000 的类型，按冗余率降序取前 15）</t>
  </si>
  <si>
    <t>记录数(有地址)</t>
  </si>
  <si>
    <t>事件簇数</t>
  </si>
  <si>
    <t>冗余占比%</t>
  </si>
  <si>
    <t>单簇最大记录数</t>
  </si>
  <si>
    <t>ELECTRIC</t>
  </si>
  <si>
    <t>FLOORING/STAIRS</t>
  </si>
  <si>
    <t>Maintenance or Facility</t>
  </si>
  <si>
    <t>冗余率最高的是无家可归者营地（39.4%）与供暖热水（32.8%）——两者都是「一个现实条件、多人分别上报」的典型：营地是街面上多位路人可见的同一处，供暖热水是整栋楼共用的同一套系统。供暖热水的 32.8% 与「8.3」中 HPD 自己标注的 29.8% 重复结案高度吻合，互为印证。住宅噪音 29.5%（20.5 万条冗余）——多户居民就同一噪音源分别报案。违章停车冗余率最低（17.2%），因为它更接近一车一记录。实践含义：比较「住宅噪音 69.6 万条 vs 违章停车 115.9 万条」时，两者重复程度不同，按事件簇比较（49.1 万 vs 95.9 万）会让差距进一步拉大而不是缩小。</t>
  </si>
  <si>
    <t>口径：使用最近 12 个完整自然月（2025-09-01 ~ 2026-08-31）的记录量前 10 类问题。已剔除受 2026-07-29 口径切换影响的 Water System / Sewer / Water Maintenance / Sewer Maintenance 四类，也已剔除 3.2 的异常聚集记录。</t>
  </si>
  <si>
    <t xml:space="preserve">  10.1 月度形态与旺淡月倍数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</si>
  <si>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</si>
  <si>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</si>
  <si>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</si>
  <si>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</si>
  <si>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</si>
  <si>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</si>
  <si>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</si>
  <si>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</si>
  <si>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</si>
  <si>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</si>
  <si>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</si>
  <si>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</si>
  <si>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全年合计</t>
  </si>
  <si>
    <t>旺淡月倍数</t>
  </si>
  <si>
    <t>季节性强度差别极大，同一套 311 系统里既有几乎无季节性的类型，也有 22 倍波动的类型：供暖热水 1 月 79,928 条、8 月 3,682 条（22.2 倍）；路面状况 3 月 28,690 条、11 月 4,049 条（7.1 倍）；街头噪音 7 月 25,405 条、2 月 4,139 条（6.1 倍）。相反，违章停车（1.3 倍）、住宅噪音（1.4 倍）与阻塞车道（1.4 倍）几乎全年平稳——住宅噪音这个 1.4 倍是剔除 3.2 异常聚集后的结果，未剔除时会显示为 2.1 倍的「冬季高峰」假象。实践含义：对供暖热水、冰雪、街头噪音这类问题，任何跨月比较都必须对齐同一月份，否则季节性会完全盖过真实变化；对违章停车类则不必担心这一点。</t>
  </si>
  <si>
    <t xml:space="preserve">  10.2 全天时段分布（2024-10 ~ 2026-08 完整月）</t>
  </si>
  <si>
    <t>小时</t>
  </si>
  <si>
    <t>上报高峰在 9 时至 13 时（每小时约 5.5% ~ 6.0%），凌晨 4 时最低（约 1.2%）。注意 0 时的占比明显高于 1 时和 2 时，这通常是「只填了日期、时间被记为 00:00:00」的记录堆积，属于时间精度问题；因此本看板未把时段分布用于任何结论，仅作为数据形态说明。</t>
  </si>
  <si>
    <t>重要限制：本任务未获授权引入人口或住房存量数据，因此不做人均或每千户口径比较。各区记录量的绝对差异同时包含人口规模、住房结构和上报习惯，不能读作「问题严重程度」排名。下面改用结构指标：集中度指数 = 该问题在本区记录中的占比 ÷ 该问题在全市记录中的占比。指数 &gt; 1 表示该问题在本区的相对权重高于全市平均。</t>
  </si>
  <si>
    <t xml:space="preserve">  11.1 各区记录量与中位处理时长</t>
  </si>
  <si>
    <t>行政区</t>
  </si>
  <si>
    <t>占全市%</t>
  </si>
  <si>
    <t>中位时长(小时,已结案)</t>
  </si>
  <si>
    <t>BROOKLYN</t>
  </si>
  <si>
    <t>QUEENS</t>
  </si>
  <si>
    <t>MANHATTAN</t>
  </si>
  <si>
    <t>BRONX</t>
  </si>
  <si>
    <t>STATEN ISLAND</t>
  </si>
  <si>
    <t>布鲁克林 30.8%、皇后区 24.8%、曼哈顿 20.3%、布朗克斯 20.2%、史泰登岛 4.0%（分母已排除 6,331 条 borough = Unspecified 记录）。布朗克斯的位次对 3.2 的剔除很敏感：未剔除时它以 22.1% 排第三，剔除后降到 20.2%、落到曼哈顿之后。中位处理时长从皇后区 4.6 小时到布朗克斯 15.9 小时，但这个差异主要由各区问题结构决定：皇后区违章停车等 NYPD 快速结案类占比高，而布朗克斯的住房维修类本身就慢。因此不应把它读作各区服务水平差异。</t>
  </si>
  <si>
    <t xml:space="preserve">  11.2 问题结构集中度指数（记录量前 10 类问题 × 5 个行政区）</t>
  </si>
  <si>
    <t>占该区全部记录%</t>
  </si>
  <si>
    <t>全市基准%</t>
  </si>
  <si>
    <t>集中度指数</t>
  </si>
  <si>
    <t>结构差异非常明确，且与各区的城市形态一致：布朗克斯在管道（指数 1.75）、供暖热水（1.74）、不卫生环境（1.62）上全面高配，呈现「老旧多户住宅、房屋维修需求集中」的问题组合；它在住宅噪音上也偏高但只有 1.27——未剔除 3.2 异常聚集时这个数字会显示为 1.87，是明显被夸大的。皇后区与史泰登岛在阻塞车道（1.71）、废弃车辆（1.74 / 1.93）、路面状况（1.59 / 2.22）上高配，呈现「独栋住宅 + 车行为主」的组合；曼哈顿唯一显著高配的是街头/人行道噪音（1.48），而阻塞车道极低（0.13，全市最低）——与其少私家车道、多街头夜间活动的形态一致。推断层级：指数本身是可回查的计算结果；对城市形态的解释是合理推断，本数据未直接测量住房类型、房龄或车辆保有量。</t>
  </si>
  <si>
    <t>口径：渠道份额只在 ONLINE / MOBILE / PHONE 三类之间计算，整体排除约 7.9% 的 UNKNOWN 记录。原因见 12.2：UNKNOWN 不是随机缺失，而是特定机构特定类型的整类缺失，把它当成一个渠道会让份额随这些业务线的量起伏而失真。</t>
  </si>
  <si>
    <t xml:space="preserve">  12.1 渠道份额按月（已排除 UNKNOWN）</t>
  </si>
  <si>
    <t>已知渠道记录数</t>
  </si>
  <si>
    <t>网页 ONLINE%</t>
  </si>
  <si>
    <t>移动端 MOBILE%</t>
  </si>
  <si>
    <t>电话 PHONE%</t>
  </si>
  <si>
    <t>网页份额从 2024-09 的 44.6% 升到 2026-08 的 55.7%（+11.1 个百分点），电话从 32.1% 降到 23.8%（−8.3 个百分点），移动端在 19.0% ~ 24.1% 之间波动、无明显趋势。变化最集中的一段发生在 2025-11 到 2026-01：网页从 46.7% 两个月内跳到 56.6%，电话从 31.1% 降到 23.3%。本数据不含产品发布、客服排班或分类规则的记录，因此只能确认「份额在该时段发生了台阶式位移」这一事实，无法判断是入口改版、电话线路容量变化还是渠道归类调整所致——这属于未解决的问题。</t>
  </si>
  <si>
    <t xml:space="preserve">  12.2 为什么必须排除 UNKNOWN</t>
  </si>
  <si>
    <t>UNKNOWN 占比%</t>
  </si>
  <si>
    <t>Street Light Condition</t>
  </si>
  <si>
    <t>General Construction/Plumbing</t>
  </si>
  <si>
    <t>Building/Use</t>
  </si>
  <si>
    <t>Elevator</t>
  </si>
  <si>
    <t>Graffiti</t>
  </si>
  <si>
    <t>Dead/Dying Tree</t>
  </si>
  <si>
    <t>Root/Sewer/Sidewalk Condition</t>
  </si>
  <si>
    <t>DOT 的交通信号、街灯，DOB 的建筑施工/用途/电梯等类型 100% 为 UNKNOWN，DSNY 涂鸦 95.1%、DOT 路面状况 63.6%。这些业务线大概率通过内部系统或巡检录入而非市民自助渠道进入，渠道字段从未被填写。由于这些类型的记录量本身在变化（如路面状况 2026-03 激增至 28,690 条），若把 UNKNOWN 当作一个渠道，其份额会随之波动（2026-03 一度达 13.8%），从而把其他渠道的份额一起带偏。排除后份额趋势才稳定可读。</t>
  </si>
  <si>
    <t xml:space="preserve">  13.1 问题类型 Top 25 与累计集中度（分析口径 7,339,707 条）</t>
  </si>
  <si>
    <t>主责机构</t>
  </si>
  <si>
    <t>占全量%</t>
  </si>
  <si>
    <t>累计占比%</t>
  </si>
  <si>
    <t>Missed Collection</t>
  </si>
  <si>
    <t>Illegal Dumping</t>
  </si>
  <si>
    <t>Homeless Person Assistance</t>
  </si>
  <si>
    <t>205 个问题类型高度集中：前 10 类占分析口径全量 55.8%，前 20 类占 70.2%，前 25 类占 75.3%。违章停车（1,159,053 条，15.8%）与住宅噪音（695,757 条，9.5%）两类就占了 25.3%。「主责机构」一列取该类型下出现的机构之一——绝大多数类型只对应单一机构，少数（如 Street Condition 对应 DOT 与 DPR）存在跨机构，用于结构性说明时以此列为参考而非严格归属。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</si>
</sst>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yyyy-mm"/>
    <numFmt numFmtId="167" formatCode="#,##0.00&quot;%&quot;"/>
    <numFmt numFmtId="168" formatCode="#,##0.0"/>
    <numFmt numFmtId="169" formatCode="#,##0.00"/>
  </numFmts>
  <fonts count="8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0" fillId="0" borderId="2" xfId="0" applyBorder="1"/>
    <xf numFmtId="0" fontId="0" fillId="3" borderId="3" xfId="0" applyFill="1" applyBorder="1" applyAlignment="1">
      <alignment vertical="top" wrapText="1"/>
    </xf>
    <xf numFmtId="0" fontId="6" fillId="4" borderId="0" xfId="0" applyFont="1" applyFill="1" applyAlignment="1">
      <alignment horizontal="left" vertical="center"/>
    </xf>
    <xf numFmtId="0" fontId="5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/>
    <xf numFmtId="168" fontId="0" fillId="0" borderId="2" xfId="0" applyNumberFormat="1" applyBorder="1"/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住宅噪音记录：剔除异常聚集前（红）与后（蓝）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全市住宅噪音记录数（含聚集）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'3 数据质量'!$A$35:$A$59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'3 数据质量'!$C$35:$C$59</c:f>
              <c:numCache>
                <c:formatCode>General</c:formatCode>
                <c:ptCount val="25"/>
                <c:pt idx="0">
                  <c:v>39381</c:v>
                </c:pt>
                <c:pt idx="1">
                  <c:v>38628</c:v>
                </c:pt>
                <c:pt idx="2">
                  <c:v>39103</c:v>
                </c:pt>
                <c:pt idx="3">
                  <c:v>47405</c:v>
                </c:pt>
                <c:pt idx="4">
                  <c:v>70837</c:v>
                </c:pt>
                <c:pt idx="5">
                  <c:v>26945</c:v>
                </c:pt>
                <c:pt idx="6">
                  <c:v>28850</c:v>
                </c:pt>
                <c:pt idx="7">
                  <c:v>28019</c:v>
                </c:pt>
                <c:pt idx="8">
                  <c:v>32905</c:v>
                </c:pt>
                <c:pt idx="9">
                  <c:v>29740</c:v>
                </c:pt>
                <c:pt idx="10">
                  <c:v>26659</c:v>
                </c:pt>
                <c:pt idx="11">
                  <c:v>32756</c:v>
                </c:pt>
                <c:pt idx="12">
                  <c:v>36142</c:v>
                </c:pt>
                <c:pt idx="13">
                  <c:v>49182</c:v>
                </c:pt>
                <c:pt idx="14">
                  <c:v>43928</c:v>
                </c:pt>
                <c:pt idx="15">
                  <c:v>57386</c:v>
                </c:pt>
                <c:pt idx="16">
                  <c:v>28739</c:v>
                </c:pt>
                <c:pt idx="17">
                  <c:v>26949</c:v>
                </c:pt>
                <c:pt idx="18">
                  <c:v>31823</c:v>
                </c:pt>
                <c:pt idx="19">
                  <c:v>30922</c:v>
                </c:pt>
                <c:pt idx="20">
                  <c:v>37268</c:v>
                </c:pt>
                <c:pt idx="21">
                  <c:v>34039</c:v>
                </c:pt>
                <c:pt idx="22">
                  <c:v>29971</c:v>
                </c:pt>
                <c:pt idx="23">
                  <c:v>30622</c:v>
                </c:pt>
                <c:pt idx="24">
                  <c:v>3349</c:v>
                </c:pt>
              </c:numCache>
            </c:numRef>
          </c:val>
        </c:ser>
        <c:ser>
          <c:idx val="1"/>
          <c:order val="1"/>
          <c:tx>
            <c:v>住宅噪音（分析口径）</c:v>
          </c:tx>
          <c:spPr>
            <a:ln w="28575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'3 数据质量'!$A$35:$A$59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'3 数据质量'!$D$35:$D$59</c:f>
              <c:numCache>
                <c:formatCode>General</c:formatCode>
                <c:ptCount val="25"/>
                <c:pt idx="0">
                  <c:v>23780</c:v>
                </c:pt>
                <c:pt idx="1">
                  <c:v>30170</c:v>
                </c:pt>
                <c:pt idx="2">
                  <c:v>26601</c:v>
                </c:pt>
                <c:pt idx="3">
                  <c:v>26789</c:v>
                </c:pt>
                <c:pt idx="4">
                  <c:v>25450</c:v>
                </c:pt>
                <c:pt idx="5">
                  <c:v>22409</c:v>
                </c:pt>
                <c:pt idx="6">
                  <c:v>26466</c:v>
                </c:pt>
                <c:pt idx="7">
                  <c:v>26671</c:v>
                </c:pt>
                <c:pt idx="8">
                  <c:v>32897</c:v>
                </c:pt>
                <c:pt idx="9">
                  <c:v>29725</c:v>
                </c:pt>
                <c:pt idx="10">
                  <c:v>26551</c:v>
                </c:pt>
                <c:pt idx="11">
                  <c:v>32092</c:v>
                </c:pt>
                <c:pt idx="12">
                  <c:v>29734</c:v>
                </c:pt>
                <c:pt idx="13">
                  <c:v>30504</c:v>
                </c:pt>
                <c:pt idx="14">
                  <c:v>29258</c:v>
                </c:pt>
                <c:pt idx="15">
                  <c:v>27460</c:v>
                </c:pt>
                <c:pt idx="16">
                  <c:v>27761</c:v>
                </c:pt>
                <c:pt idx="17">
                  <c:v>26308</c:v>
                </c:pt>
                <c:pt idx="18">
                  <c:v>30232</c:v>
                </c:pt>
                <c:pt idx="19">
                  <c:v>29700</c:v>
                </c:pt>
                <c:pt idx="20">
                  <c:v>37218</c:v>
                </c:pt>
                <c:pt idx="21">
                  <c:v>34039</c:v>
                </c:pt>
                <c:pt idx="22">
                  <c:v>29971</c:v>
                </c:pt>
                <c:pt idx="23">
                  <c:v>30622</c:v>
                </c:pt>
                <c:pt idx="24">
                  <c:v>3349</c:v>
                </c:pt>
              </c:numCache>
            </c:numRef>
          </c:val>
        </c:ser>
        <c:ser>
          <c:idx val="2"/>
          <c:order val="2"/>
          <c:tx>
            <c:v>东230街聚集记录数</c:v>
          </c:tx>
          <c:spPr>
            <a:ln w="28575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numRef>
              <c:f>'3 数据质量'!$A$35:$A$59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'3 数据质量'!$B$35:$B$59</c:f>
              <c:numCache>
                <c:formatCode>General</c:formatCode>
                <c:ptCount val="25"/>
                <c:pt idx="0">
                  <c:v>15601</c:v>
                </c:pt>
                <c:pt idx="1">
                  <c:v>8458</c:v>
                </c:pt>
                <c:pt idx="2">
                  <c:v>12502</c:v>
                </c:pt>
                <c:pt idx="3">
                  <c:v>20616</c:v>
                </c:pt>
                <c:pt idx="4">
                  <c:v>45387</c:v>
                </c:pt>
                <c:pt idx="5">
                  <c:v>4536</c:v>
                </c:pt>
                <c:pt idx="6">
                  <c:v>2384</c:v>
                </c:pt>
                <c:pt idx="7">
                  <c:v>1348</c:v>
                </c:pt>
                <c:pt idx="8">
                  <c:v>8</c:v>
                </c:pt>
                <c:pt idx="9">
                  <c:v>15</c:v>
                </c:pt>
                <c:pt idx="10">
                  <c:v>108</c:v>
                </c:pt>
                <c:pt idx="11">
                  <c:v>664</c:v>
                </c:pt>
                <c:pt idx="12">
                  <c:v>6408</c:v>
                </c:pt>
                <c:pt idx="13">
                  <c:v>18678</c:v>
                </c:pt>
                <c:pt idx="14">
                  <c:v>14670</c:v>
                </c:pt>
                <c:pt idx="15">
                  <c:v>29926</c:v>
                </c:pt>
                <c:pt idx="16">
                  <c:v>978</c:v>
                </c:pt>
                <c:pt idx="17">
                  <c:v>641</c:v>
                </c:pt>
                <c:pt idx="18">
                  <c:v>1591</c:v>
                </c:pt>
                <c:pt idx="19">
                  <c:v>1222</c:v>
                </c:pt>
                <c:pt idx="20">
                  <c:v>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记录数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各创建月份的已结案比例（右截断证据）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已有结案时间占比%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'3 数据质量'!$A$95:$A$119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'3 数据质量'!$C$95:$C$119</c:f>
              <c:numCache>
                <c:formatCode>General</c:formatCode>
                <c:ptCount val="25"/>
                <c:pt idx="0">
                  <c:v>98.02</c:v>
                </c:pt>
                <c:pt idx="1">
                  <c:v>97.43000000000001</c:v>
                </c:pt>
                <c:pt idx="2">
                  <c:v>97.78</c:v>
                </c:pt>
                <c:pt idx="3">
                  <c:v>98.72</c:v>
                </c:pt>
                <c:pt idx="4">
                  <c:v>99.14</c:v>
                </c:pt>
                <c:pt idx="5">
                  <c:v>98.58</c:v>
                </c:pt>
                <c:pt idx="6">
                  <c:v>98.56999999999999</c:v>
                </c:pt>
                <c:pt idx="7">
                  <c:v>98.18000000000001</c:v>
                </c:pt>
                <c:pt idx="8">
                  <c:v>98.48999999999999</c:v>
                </c:pt>
                <c:pt idx="9">
                  <c:v>98.81</c:v>
                </c:pt>
                <c:pt idx="10">
                  <c:v>98.7</c:v>
                </c:pt>
                <c:pt idx="11">
                  <c:v>98.19</c:v>
                </c:pt>
                <c:pt idx="12">
                  <c:v>97.73999999999999</c:v>
                </c:pt>
                <c:pt idx="13">
                  <c:v>97.77</c:v>
                </c:pt>
                <c:pt idx="14">
                  <c:v>98.43000000000001</c:v>
                </c:pt>
                <c:pt idx="15">
                  <c:v>98.37</c:v>
                </c:pt>
                <c:pt idx="16">
                  <c:v>97.55</c:v>
                </c:pt>
                <c:pt idx="17">
                  <c:v>96.75</c:v>
                </c:pt>
                <c:pt idx="18">
                  <c:v>96.58</c:v>
                </c:pt>
                <c:pt idx="19">
                  <c:v>96.42</c:v>
                </c:pt>
                <c:pt idx="20">
                  <c:v>95.81999999999999</c:v>
                </c:pt>
                <c:pt idx="21">
                  <c:v>95.01000000000001</c:v>
                </c:pt>
                <c:pt idx="22">
                  <c:v>92.25</c:v>
                </c:pt>
                <c:pt idx="23">
                  <c:v>85.73</c:v>
                </c:pt>
                <c:pt idx="24">
                  <c:v>61.48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已有结案时间占比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2024-10 ~ 2026-08 完整月记录量（分析口径）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月度记录数</c:v>
          </c:tx>
          <c:spPr>
            <a:solidFill>
              <a:srgbClr val="4472C4"/>
            </a:solidFill>
          </c:spPr>
          <c:cat>
            <c:numRef>
              <c:f>'4 月度趋势'!$H$34:$H$56</c:f>
              <c:numCache>
                <c:formatCode>General</c:formatCode>
                <c:ptCount val="2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</c:numCache>
            </c:numRef>
          </c:cat>
          <c:val>
            <c:numRef>
              <c:f>'4 月度趋势'!$I$34:$I$56</c:f>
              <c:numCache>
                <c:formatCode>General</c:formatCode>
                <c:ptCount val="23"/>
                <c:pt idx="0">
                  <c:v>298345</c:v>
                </c:pt>
                <c:pt idx="1">
                  <c:v>281013</c:v>
                </c:pt>
                <c:pt idx="2">
                  <c:v>293333</c:v>
                </c:pt>
                <c:pt idx="3">
                  <c:v>302793</c:v>
                </c:pt>
                <c:pt idx="4">
                  <c:v>250828</c:v>
                </c:pt>
                <c:pt idx="5">
                  <c:v>278837</c:v>
                </c:pt>
                <c:pt idx="6">
                  <c:v>271201</c:v>
                </c:pt>
                <c:pt idx="7">
                  <c:v>295050</c:v>
                </c:pt>
                <c:pt idx="8">
                  <c:v>306427</c:v>
                </c:pt>
                <c:pt idx="9">
                  <c:v>315775</c:v>
                </c:pt>
                <c:pt idx="10">
                  <c:v>303375</c:v>
                </c:pt>
                <c:pt idx="11">
                  <c:v>296276</c:v>
                </c:pt>
                <c:pt idx="12">
                  <c:v>317934</c:v>
                </c:pt>
                <c:pt idx="13">
                  <c:v>290235</c:v>
                </c:pt>
                <c:pt idx="14">
                  <c:v>302177</c:v>
                </c:pt>
                <c:pt idx="15">
                  <c:v>347533</c:v>
                </c:pt>
                <c:pt idx="16">
                  <c:v>334049</c:v>
                </c:pt>
                <c:pt idx="17">
                  <c:v>340796</c:v>
                </c:pt>
                <c:pt idx="18">
                  <c:v>300968</c:v>
                </c:pt>
                <c:pt idx="19">
                  <c:v>331928</c:v>
                </c:pt>
                <c:pt idx="20">
                  <c:v>334833</c:v>
                </c:pt>
                <c:pt idx="21">
                  <c:v>343043</c:v>
                </c:pt>
                <c:pt idx="22">
                  <c:v>328446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20000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记录数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Y2 vs Y1 记录量增减（条，蓝=增 / 红=减）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增减量</c:v>
          </c:tx>
          <c:spPr>
            <a:solidFill>
              <a:srgbClr val="4472C4"/>
            </a:solidFill>
          </c:spPr>
          <c:invertIfNegative val="1"/>
          <c:cat>
            <c:strRef>
              <c:f>'5 同比增长归因'!$A$4:$A$23</c:f>
              <c:strCache>
                <c:ptCount val="20"/>
                <c:pt idx="0">
                  <c:v>HEAT/HOT WATER</c:v>
                </c:pt>
                <c:pt idx="1">
                  <c:v>Illegal Parking</c:v>
                </c:pt>
                <c:pt idx="2">
                  <c:v>Snow or Ice</c:v>
                </c:pt>
                <c:pt idx="3">
                  <c:v>Street Condition</c:v>
                </c:pt>
                <c:pt idx="4">
                  <c:v>Noise - Residential</c:v>
                </c:pt>
                <c:pt idx="5">
                  <c:v>Blocked Driveway</c:v>
                </c:pt>
                <c:pt idx="6">
                  <c:v>Drug Activity</c:v>
                </c:pt>
                <c:pt idx="7">
                  <c:v>UNSANITARY CONDITION</c:v>
                </c:pt>
                <c:pt idx="8">
                  <c:v>Damaged Tree</c:v>
                </c:pt>
                <c:pt idx="9">
                  <c:v>PLUMBING</c:v>
                </c:pt>
                <c:pt idx="10">
                  <c:v>Lead</c:v>
                </c:pt>
                <c:pt idx="11">
                  <c:v>Water Maintenance</c:v>
                </c:pt>
                <c:pt idx="12">
                  <c:v>Rodent</c:v>
                </c:pt>
                <c:pt idx="13">
                  <c:v>GENERAL</c:v>
                </c:pt>
                <c:pt idx="14">
                  <c:v>Traffic Signal Condition</c:v>
                </c:pt>
                <c:pt idx="15">
                  <c:v>WATER LEAK</c:v>
                </c:pt>
                <c:pt idx="16">
                  <c:v>Derelict Vehicles</c:v>
                </c:pt>
                <c:pt idx="17">
                  <c:v>Noise - Helicopter</c:v>
                </c:pt>
                <c:pt idx="18">
                  <c:v>PAINT/PLASTER</c:v>
                </c:pt>
                <c:pt idx="19">
                  <c:v>DOOR/WINDOW</c:v>
                </c:pt>
              </c:strCache>
            </c:strRef>
          </c:cat>
          <c:val>
            <c:numRef>
              <c:f>'5 同比增长归因'!$D$4:$D$23</c:f>
              <c:numCache>
                <c:formatCode>General</c:formatCode>
                <c:ptCount val="20"/>
                <c:pt idx="0">
                  <c:v>63648</c:v>
                </c:pt>
                <c:pt idx="1">
                  <c:v>57569</c:v>
                </c:pt>
                <c:pt idx="2">
                  <c:v>55130</c:v>
                </c:pt>
                <c:pt idx="3">
                  <c:v>48928</c:v>
                </c:pt>
                <c:pt idx="4">
                  <c:v>25157</c:v>
                </c:pt>
                <c:pt idx="5">
                  <c:v>22510</c:v>
                </c:pt>
                <c:pt idx="6">
                  <c:v>-19352</c:v>
                </c:pt>
                <c:pt idx="7">
                  <c:v>17930</c:v>
                </c:pt>
                <c:pt idx="8">
                  <c:v>15663</c:v>
                </c:pt>
                <c:pt idx="9">
                  <c:v>15230</c:v>
                </c:pt>
                <c:pt idx="10">
                  <c:v>-13118</c:v>
                </c:pt>
                <c:pt idx="11">
                  <c:v>12034</c:v>
                </c:pt>
                <c:pt idx="12">
                  <c:v>-10228</c:v>
                </c:pt>
                <c:pt idx="13">
                  <c:v>10038</c:v>
                </c:pt>
                <c:pt idx="14">
                  <c:v>9219</c:v>
                </c:pt>
                <c:pt idx="15">
                  <c:v>9205</c:v>
                </c:pt>
                <c:pt idx="16">
                  <c:v>-9066</c:v>
                </c:pt>
                <c:pt idx="17">
                  <c:v>-8844</c:v>
                </c:pt>
                <c:pt idx="18">
                  <c:v>8247</c:v>
                </c:pt>
                <c:pt idx="19">
                  <c:v>7639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</c14:spPr>
              </c14:invertSolidFillFmt>
            </c:ext>
          </c:extLst>
        </c:ser>
        <c:axId val="50040001"/>
        <c:axId val="50040002"/>
      </c:barChart>
      <c:catAx>
        <c:axId val="50040001"/>
        <c:scaling>
          <c:orientation val="maxMin"/>
        </c:scaling>
        <c:axPos val="l"/>
        <c:tickLblPos val="low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增减量（条）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四类天气敏感型问题的月度记录量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冰雪</c:v>
          </c:tx>
          <c:spPr>
            <a:ln w="25400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'5 同比增长归因'!$A$96:$A$120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'5 同比增长归因'!$B$96:$B$120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816</c:v>
                </c:pt>
                <c:pt idx="4">
                  <c:v>5161</c:v>
                </c:pt>
                <c:pt idx="5">
                  <c:v>2817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8700</c:v>
                </c:pt>
                <c:pt idx="16">
                  <c:v>24079</c:v>
                </c:pt>
                <c:pt idx="17">
                  <c:v>30943</c:v>
                </c:pt>
                <c:pt idx="18">
                  <c:v>208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供暖热水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'5 同比增长归因'!$A$96:$A$120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'5 同比增长归因'!$C$96:$C$120</c:f>
              <c:numCache>
                <c:formatCode>General</c:formatCode>
                <c:ptCount val="25"/>
                <c:pt idx="0">
                  <c:v>2696</c:v>
                </c:pt>
                <c:pt idx="1">
                  <c:v>19650</c:v>
                </c:pt>
                <c:pt idx="2">
                  <c:v>39368</c:v>
                </c:pt>
                <c:pt idx="3">
                  <c:v>62918</c:v>
                </c:pt>
                <c:pt idx="4">
                  <c:v>67229</c:v>
                </c:pt>
                <c:pt idx="5">
                  <c:v>40699</c:v>
                </c:pt>
                <c:pt idx="6">
                  <c:v>26276</c:v>
                </c:pt>
                <c:pt idx="7">
                  <c:v>16824</c:v>
                </c:pt>
                <c:pt idx="8">
                  <c:v>7463</c:v>
                </c:pt>
                <c:pt idx="9">
                  <c:v>4217</c:v>
                </c:pt>
                <c:pt idx="10">
                  <c:v>3008</c:v>
                </c:pt>
                <c:pt idx="11">
                  <c:v>2929</c:v>
                </c:pt>
                <c:pt idx="12">
                  <c:v>3595</c:v>
                </c:pt>
                <c:pt idx="13">
                  <c:v>31858</c:v>
                </c:pt>
                <c:pt idx="14">
                  <c:v>47946</c:v>
                </c:pt>
                <c:pt idx="15">
                  <c:v>63902</c:v>
                </c:pt>
                <c:pt idx="16">
                  <c:v>79928</c:v>
                </c:pt>
                <c:pt idx="17">
                  <c:v>59031</c:v>
                </c:pt>
                <c:pt idx="18">
                  <c:v>29783</c:v>
                </c:pt>
                <c:pt idx="19">
                  <c:v>19553</c:v>
                </c:pt>
                <c:pt idx="20">
                  <c:v>9823</c:v>
                </c:pt>
                <c:pt idx="21">
                  <c:v>4388</c:v>
                </c:pt>
                <c:pt idx="22">
                  <c:v>4331</c:v>
                </c:pt>
                <c:pt idx="23">
                  <c:v>3682</c:v>
                </c:pt>
                <c:pt idx="24">
                  <c:v>497</c:v>
                </c:pt>
              </c:numCache>
            </c:numRef>
          </c:val>
        </c:ser>
        <c:ser>
          <c:idx val="2"/>
          <c:order val="2"/>
          <c:tx>
            <c:v>路面状况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'5 同比增长归因'!$A$96:$A$120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'5 同比增长归因'!$D$96:$D$120</c:f>
              <c:numCache>
                <c:formatCode>General</c:formatCode>
                <c:ptCount val="25"/>
                <c:pt idx="0">
                  <c:v>4036</c:v>
                </c:pt>
                <c:pt idx="1">
                  <c:v>4260</c:v>
                </c:pt>
                <c:pt idx="2">
                  <c:v>3630</c:v>
                </c:pt>
                <c:pt idx="3">
                  <c:v>5225</c:v>
                </c:pt>
                <c:pt idx="4">
                  <c:v>5474</c:v>
                </c:pt>
                <c:pt idx="5">
                  <c:v>5623</c:v>
                </c:pt>
                <c:pt idx="6">
                  <c:v>7035</c:v>
                </c:pt>
                <c:pt idx="7">
                  <c:v>6659</c:v>
                </c:pt>
                <c:pt idx="8">
                  <c:v>7449</c:v>
                </c:pt>
                <c:pt idx="9">
                  <c:v>7243</c:v>
                </c:pt>
                <c:pt idx="10">
                  <c:v>6138</c:v>
                </c:pt>
                <c:pt idx="11">
                  <c:v>5590</c:v>
                </c:pt>
                <c:pt idx="12">
                  <c:v>5411</c:v>
                </c:pt>
                <c:pt idx="13">
                  <c:v>4829</c:v>
                </c:pt>
                <c:pt idx="14">
                  <c:v>4049</c:v>
                </c:pt>
                <c:pt idx="15">
                  <c:v>4830</c:v>
                </c:pt>
                <c:pt idx="16">
                  <c:v>5141</c:v>
                </c:pt>
                <c:pt idx="17">
                  <c:v>6913</c:v>
                </c:pt>
                <c:pt idx="18">
                  <c:v>28690</c:v>
                </c:pt>
                <c:pt idx="19">
                  <c:v>15850</c:v>
                </c:pt>
                <c:pt idx="20">
                  <c:v>11777</c:v>
                </c:pt>
                <c:pt idx="21">
                  <c:v>10852</c:v>
                </c:pt>
                <c:pt idx="22">
                  <c:v>10145</c:v>
                </c:pt>
                <c:pt idx="23">
                  <c:v>9552</c:v>
                </c:pt>
                <c:pt idx="24">
                  <c:v>1267</c:v>
                </c:pt>
              </c:numCache>
            </c:numRef>
          </c:val>
        </c:ser>
        <c:ser>
          <c:idx val="3"/>
          <c:order val="3"/>
          <c:tx>
            <c:v>树木受损</c:v>
          </c:tx>
          <c:spPr>
            <a:ln w="25400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'5 同比增长归因'!$A$96:$A$120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'5 同比增长归因'!$E$96:$E$120</c:f>
              <c:numCache>
                <c:formatCode>General</c:formatCode>
                <c:ptCount val="25"/>
                <c:pt idx="0">
                  <c:v>1788</c:v>
                </c:pt>
                <c:pt idx="1">
                  <c:v>1869</c:v>
                </c:pt>
                <c:pt idx="2">
                  <c:v>1583</c:v>
                </c:pt>
                <c:pt idx="3">
                  <c:v>1060</c:v>
                </c:pt>
                <c:pt idx="4">
                  <c:v>1014</c:v>
                </c:pt>
                <c:pt idx="5">
                  <c:v>1285</c:v>
                </c:pt>
                <c:pt idx="6">
                  <c:v>1575</c:v>
                </c:pt>
                <c:pt idx="7">
                  <c:v>1761</c:v>
                </c:pt>
                <c:pt idx="8">
                  <c:v>2893</c:v>
                </c:pt>
                <c:pt idx="9">
                  <c:v>3671</c:v>
                </c:pt>
                <c:pt idx="10">
                  <c:v>4295</c:v>
                </c:pt>
                <c:pt idx="11">
                  <c:v>3300</c:v>
                </c:pt>
                <c:pt idx="12">
                  <c:v>2757</c:v>
                </c:pt>
                <c:pt idx="13">
                  <c:v>3778</c:v>
                </c:pt>
                <c:pt idx="14">
                  <c:v>1968</c:v>
                </c:pt>
                <c:pt idx="15">
                  <c:v>1792</c:v>
                </c:pt>
                <c:pt idx="16">
                  <c:v>684</c:v>
                </c:pt>
                <c:pt idx="17">
                  <c:v>2969</c:v>
                </c:pt>
                <c:pt idx="18">
                  <c:v>2255</c:v>
                </c:pt>
                <c:pt idx="19">
                  <c:v>1529</c:v>
                </c:pt>
                <c:pt idx="20">
                  <c:v>4433</c:v>
                </c:pt>
                <c:pt idx="21">
                  <c:v>7592</c:v>
                </c:pt>
                <c:pt idx="22">
                  <c:v>7989</c:v>
                </c:pt>
                <c:pt idx="23">
                  <c:v>4814</c:v>
                </c:pt>
                <c:pt idx="24">
                  <c:v>569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记录数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旧类型归零、新类型接棒，四类合计未同步崩塌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System（旧）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'6 口径变更警示'!$A$6:$A$30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'6 口径变更警示'!$B$6:$B$30</c:f>
              <c:numCache>
                <c:formatCode>General</c:formatCode>
                <c:ptCount val="25"/>
                <c:pt idx="0">
                  <c:v>3387</c:v>
                </c:pt>
                <c:pt idx="1">
                  <c:v>4453</c:v>
                </c:pt>
                <c:pt idx="2">
                  <c:v>4835</c:v>
                </c:pt>
                <c:pt idx="3">
                  <c:v>5631</c:v>
                </c:pt>
                <c:pt idx="4">
                  <c:v>6670</c:v>
                </c:pt>
                <c:pt idx="5">
                  <c:v>5245</c:v>
                </c:pt>
                <c:pt idx="6">
                  <c:v>3979</c:v>
                </c:pt>
                <c:pt idx="7">
                  <c:v>3507</c:v>
                </c:pt>
                <c:pt idx="8">
                  <c:v>3574</c:v>
                </c:pt>
                <c:pt idx="9">
                  <c:v>15194</c:v>
                </c:pt>
                <c:pt idx="10">
                  <c:v>15103</c:v>
                </c:pt>
                <c:pt idx="11">
                  <c:v>7129</c:v>
                </c:pt>
                <c:pt idx="12">
                  <c:v>4196</c:v>
                </c:pt>
                <c:pt idx="13">
                  <c:v>5041</c:v>
                </c:pt>
                <c:pt idx="14">
                  <c:v>3656</c:v>
                </c:pt>
                <c:pt idx="15">
                  <c:v>4198</c:v>
                </c:pt>
                <c:pt idx="16">
                  <c:v>6308</c:v>
                </c:pt>
                <c:pt idx="17">
                  <c:v>7998</c:v>
                </c:pt>
                <c:pt idx="18">
                  <c:v>5473</c:v>
                </c:pt>
                <c:pt idx="19">
                  <c:v>5679</c:v>
                </c:pt>
                <c:pt idx="20">
                  <c:v>6308</c:v>
                </c:pt>
                <c:pt idx="21">
                  <c:v>8911</c:v>
                </c:pt>
                <c:pt idx="22">
                  <c:v>16261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Water Maintenance（新）</c:v>
          </c:tx>
          <c:spPr>
            <a:ln w="28575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'6 口径变更警示'!$A$6:$A$30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'6 口径变更警示'!$C$6:$C$30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6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9</c:v>
                </c:pt>
                <c:pt idx="17">
                  <c:v>18</c:v>
                </c:pt>
                <c:pt idx="18">
                  <c:v>40</c:v>
                </c:pt>
                <c:pt idx="19">
                  <c:v>44</c:v>
                </c:pt>
                <c:pt idx="20">
                  <c:v>114</c:v>
                </c:pt>
                <c:pt idx="21">
                  <c:v>242</c:v>
                </c:pt>
                <c:pt idx="22">
                  <c:v>1892</c:v>
                </c:pt>
                <c:pt idx="23">
                  <c:v>8925</c:v>
                </c:pt>
                <c:pt idx="24">
                  <c:v>740</c:v>
                </c:pt>
              </c:numCache>
            </c:numRef>
          </c:val>
        </c:ser>
        <c:ser>
          <c:idx val="2"/>
          <c:order val="2"/>
          <c:tx>
            <c:v>Sewer（旧）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'6 口径变更警示'!$A$6:$A$30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'6 口径变更警示'!$D$6:$D$30</c:f>
              <c:numCache>
                <c:formatCode>General</c:formatCode>
                <c:ptCount val="25"/>
                <c:pt idx="0">
                  <c:v>1362</c:v>
                </c:pt>
                <c:pt idx="1">
                  <c:v>1680</c:v>
                </c:pt>
                <c:pt idx="2">
                  <c:v>1662</c:v>
                </c:pt>
                <c:pt idx="3">
                  <c:v>1858</c:v>
                </c:pt>
                <c:pt idx="4">
                  <c:v>1425</c:v>
                </c:pt>
                <c:pt idx="5">
                  <c:v>1604</c:v>
                </c:pt>
                <c:pt idx="6">
                  <c:v>2017</c:v>
                </c:pt>
                <c:pt idx="7">
                  <c:v>1741</c:v>
                </c:pt>
                <c:pt idx="8">
                  <c:v>2502</c:v>
                </c:pt>
                <c:pt idx="9">
                  <c:v>2020</c:v>
                </c:pt>
                <c:pt idx="10">
                  <c:v>2743</c:v>
                </c:pt>
                <c:pt idx="11">
                  <c:v>2477</c:v>
                </c:pt>
                <c:pt idx="12">
                  <c:v>1856</c:v>
                </c:pt>
                <c:pt idx="13">
                  <c:v>3562</c:v>
                </c:pt>
                <c:pt idx="14">
                  <c:v>2166</c:v>
                </c:pt>
                <c:pt idx="15">
                  <c:v>2003</c:v>
                </c:pt>
                <c:pt idx="16">
                  <c:v>1557</c:v>
                </c:pt>
                <c:pt idx="17">
                  <c:v>1785</c:v>
                </c:pt>
                <c:pt idx="18">
                  <c:v>3079</c:v>
                </c:pt>
                <c:pt idx="19">
                  <c:v>2019</c:v>
                </c:pt>
                <c:pt idx="20">
                  <c:v>4422</c:v>
                </c:pt>
                <c:pt idx="21">
                  <c:v>2783</c:v>
                </c:pt>
                <c:pt idx="22">
                  <c:v>3131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v>Sewer Maintenance（新）</c:v>
          </c:tx>
          <c:spPr>
            <a:ln w="28575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numRef>
              <c:f>'6 口径变更警示'!$A$6:$A$30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'6 口径变更警示'!$E$6:$E$30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7</c:v>
                </c:pt>
                <c:pt idx="18">
                  <c:v>20</c:v>
                </c:pt>
                <c:pt idx="19">
                  <c:v>15</c:v>
                </c:pt>
                <c:pt idx="20">
                  <c:v>62</c:v>
                </c:pt>
                <c:pt idx="21">
                  <c:v>110</c:v>
                </c:pt>
                <c:pt idx="22">
                  <c:v>1310</c:v>
                </c:pt>
                <c:pt idx="23">
                  <c:v>5060</c:v>
                </c:pt>
                <c:pt idx="24">
                  <c:v>481</c:v>
                </c:pt>
              </c:numCache>
            </c:numRef>
          </c:val>
        </c:ser>
        <c:ser>
          <c:idx val="4"/>
          <c:order val="4"/>
          <c:tx>
            <c:v>四类合计</c:v>
          </c:tx>
          <c:spPr>
            <a:ln w="28575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numRef>
              <c:f>'6 口径变更警示'!$A$6:$A$30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'6 口径变更警示'!$F$6:$F$30</c:f>
              <c:numCache>
                <c:formatCode>General</c:formatCode>
                <c:ptCount val="25"/>
                <c:pt idx="0">
                  <c:v>4749</c:v>
                </c:pt>
                <c:pt idx="1">
                  <c:v>6134</c:v>
                </c:pt>
                <c:pt idx="2">
                  <c:v>6497</c:v>
                </c:pt>
                <c:pt idx="3">
                  <c:v>7491</c:v>
                </c:pt>
                <c:pt idx="4">
                  <c:v>8096</c:v>
                </c:pt>
                <c:pt idx="5">
                  <c:v>6851</c:v>
                </c:pt>
                <c:pt idx="6">
                  <c:v>5996</c:v>
                </c:pt>
                <c:pt idx="7">
                  <c:v>5248</c:v>
                </c:pt>
                <c:pt idx="8">
                  <c:v>6077</c:v>
                </c:pt>
                <c:pt idx="9">
                  <c:v>17220</c:v>
                </c:pt>
                <c:pt idx="10">
                  <c:v>17849</c:v>
                </c:pt>
                <c:pt idx="11">
                  <c:v>9608</c:v>
                </c:pt>
                <c:pt idx="12">
                  <c:v>6063</c:v>
                </c:pt>
                <c:pt idx="13">
                  <c:v>8612</c:v>
                </c:pt>
                <c:pt idx="14">
                  <c:v>5828</c:v>
                </c:pt>
                <c:pt idx="15">
                  <c:v>6211</c:v>
                </c:pt>
                <c:pt idx="16">
                  <c:v>7878</c:v>
                </c:pt>
                <c:pt idx="17">
                  <c:v>9808</c:v>
                </c:pt>
                <c:pt idx="18">
                  <c:v>8612</c:v>
                </c:pt>
                <c:pt idx="19">
                  <c:v>7757</c:v>
                </c:pt>
                <c:pt idx="20">
                  <c:v>10906</c:v>
                </c:pt>
                <c:pt idx="21">
                  <c:v>12046</c:v>
                </c:pt>
                <c:pt idx="22">
                  <c:v>22594</c:v>
                </c:pt>
                <c:pt idx="23">
                  <c:v>13985</c:v>
                </c:pt>
                <c:pt idx="24">
                  <c:v>1221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记录数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记录量前 8 机构的中位处理时长（小时）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中位处理时长（小时）</c:v>
          </c:tx>
          <c:spPr>
            <a:solidFill>
              <a:srgbClr val="ED7D31"/>
            </a:solidFill>
          </c:spPr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'7 处理时效'!$L$25:$L$32</c:f>
              <c:strCache>
                <c:ptCount val="8"/>
                <c:pt idx="0">
                  <c:v>NYPD</c:v>
                </c:pt>
                <c:pt idx="1">
                  <c:v>HPD</c:v>
                </c:pt>
                <c:pt idx="2">
                  <c:v>DSNY</c:v>
                </c:pt>
                <c:pt idx="3">
                  <c:v>DOT</c:v>
                </c:pt>
                <c:pt idx="4">
                  <c:v>DEP</c:v>
                </c:pt>
                <c:pt idx="5">
                  <c:v>DOB</c:v>
                </c:pt>
                <c:pt idx="6">
                  <c:v>DPR</c:v>
                </c:pt>
                <c:pt idx="7">
                  <c:v>DOHMH</c:v>
                </c:pt>
              </c:strCache>
            </c:strRef>
          </c:cat>
          <c:val>
            <c:numRef>
              <c:f>'7 处理时效'!$M$25:$M$32</c:f>
              <c:numCache>
                <c:formatCode>General</c:formatCode>
                <c:ptCount val="8"/>
                <c:pt idx="0">
                  <c:v>1.3</c:v>
                </c:pt>
                <c:pt idx="1">
                  <c:v>78.98</c:v>
                </c:pt>
                <c:pt idx="2">
                  <c:v>33.08</c:v>
                </c:pt>
                <c:pt idx="3">
                  <c:v>46</c:v>
                </c:pt>
                <c:pt idx="4">
                  <c:v>23.92</c:v>
                </c:pt>
                <c:pt idx="5">
                  <c:v>231.19</c:v>
                </c:pt>
                <c:pt idx="6">
                  <c:v>183.3</c:v>
                </c:pt>
                <c:pt idx="7">
                  <c:v>45.97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  <c:tickLblSkip val="1"/>
      </c:catAx>
      <c:valAx>
        <c:axId val="5007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小时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NYPD 结案性质构成（占已结案记录 %）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占比%</c:v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BFBFBF"/>
              </a:solidFill>
            </c:spPr>
          </c:dPt>
          <c:dPt>
            <c:idx val="2"/>
            <c:spPr>
              <a:solidFill>
                <a:srgbClr val="ED7D31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2E75B6"/>
              </a:solidFill>
            </c:spPr>
          </c:dPt>
          <c:dPt>
            <c:idx val="5"/>
            <c:spPr>
              <a:solidFill>
                <a:srgbClr val="7F7F7F"/>
              </a:solidFill>
            </c:spPr>
          </c:dPt>
          <c:dPt>
            <c:idx val="6"/>
            <c:spPr>
              <a:solidFill>
                <a:srgbClr val="404040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'8 结案≠解决'!$A$6:$A$12</c:f>
              <c:strCache>
                <c:ptCount val="7"/>
                <c:pt idx="0">
                  <c:v>A 采取行动/开票/立案</c:v>
                </c:pt>
                <c:pt idx="1">
                  <c:v>B 到场未发现问题/无需行动</c:v>
                </c:pt>
                <c:pt idx="2">
                  <c:v>C 无法进入/无法核实</c:v>
                </c:pt>
                <c:pt idx="3">
                  <c:v>D 不属本机构管辖</c:v>
                </c:pt>
                <c:pt idx="4">
                  <c:v>E 转交其他机构</c:v>
                </c:pt>
                <c:pt idx="5">
                  <c:v>F 其他/仅提供信息</c:v>
                </c:pt>
                <c:pt idx="6">
                  <c:v>G 无结案说明</c:v>
                </c:pt>
              </c:strCache>
            </c:strRef>
          </c:cat>
          <c:val>
            <c:numRef>
              <c:f>'8 结案≠解决'!$C$6:$C$12</c:f>
              <c:numCache>
                <c:formatCode>General</c:formatCode>
                <c:ptCount val="7"/>
                <c:pt idx="0">
                  <c:v>27.96</c:v>
                </c:pt>
                <c:pt idx="1">
                  <c:v>65.84</c:v>
                </c:pt>
                <c:pt idx="2">
                  <c:v>2.76</c:v>
                </c:pt>
                <c:pt idx="3">
                  <c:v>1.22</c:v>
                </c:pt>
                <c:pt idx="4">
                  <c:v>0.55</c:v>
                </c:pt>
                <c:pt idx="5">
                  <c:v>1.66</c:v>
                </c:pt>
                <c:pt idx="6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  <c:tickLblSkip val="1"/>
      </c:catAx>
      <c:valAx>
        <c:axId val="5008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占比 %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各问题类型的冗余记录占比（%）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冗余占比%</c:v>
          </c:tx>
          <c:spPr>
            <a:solidFill>
              <a:srgbClr val="C00000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'9 重复上报'!$A$14:$A$28</c:f>
              <c:strCache>
                <c:ptCount val="15"/>
                <c:pt idx="0">
                  <c:v>Encampment</c:v>
                </c:pt>
                <c:pt idx="1">
                  <c:v>HEAT/HOT WATER</c:v>
                </c:pt>
                <c:pt idx="2">
                  <c:v>UNSANITARY CONDITION</c:v>
                </c:pt>
                <c:pt idx="3">
                  <c:v>PAINT/PLASTER</c:v>
                </c:pt>
                <c:pt idx="4">
                  <c:v>PLUMBING</c:v>
                </c:pt>
                <c:pt idx="5">
                  <c:v>Noise - Residential</c:v>
                </c:pt>
                <c:pt idx="6">
                  <c:v>Noise - Commercial</c:v>
                </c:pt>
                <c:pt idx="7">
                  <c:v>Noise - Street/Sidewalk</c:v>
                </c:pt>
                <c:pt idx="8">
                  <c:v>DOOR/WINDOW</c:v>
                </c:pt>
                <c:pt idx="9">
                  <c:v>Noise - Vehicle</c:v>
                </c:pt>
                <c:pt idx="10">
                  <c:v>ELECTRIC</c:v>
                </c:pt>
                <c:pt idx="11">
                  <c:v>FLOORING/STAIRS</c:v>
                </c:pt>
                <c:pt idx="12">
                  <c:v>Maintenance or Facility</c:v>
                </c:pt>
                <c:pt idx="13">
                  <c:v>GENERAL</c:v>
                </c:pt>
                <c:pt idx="14">
                  <c:v>Illegal Parking</c:v>
                </c:pt>
              </c:strCache>
            </c:strRef>
          </c:cat>
          <c:val>
            <c:numRef>
              <c:f>'9 重复上报'!$E$14:$E$28</c:f>
              <c:numCache>
                <c:formatCode>General</c:formatCode>
                <c:ptCount val="15"/>
                <c:pt idx="0">
                  <c:v>39.36</c:v>
                </c:pt>
                <c:pt idx="1">
                  <c:v>32.77</c:v>
                </c:pt>
                <c:pt idx="2">
                  <c:v>31.1</c:v>
                </c:pt>
                <c:pt idx="3">
                  <c:v>30.69</c:v>
                </c:pt>
                <c:pt idx="4">
                  <c:v>30.01</c:v>
                </c:pt>
                <c:pt idx="5">
                  <c:v>29.49</c:v>
                </c:pt>
                <c:pt idx="6">
                  <c:v>26.54</c:v>
                </c:pt>
                <c:pt idx="7">
                  <c:v>25.09</c:v>
                </c:pt>
                <c:pt idx="8">
                  <c:v>23.06</c:v>
                </c:pt>
                <c:pt idx="9">
                  <c:v>21.94</c:v>
                </c:pt>
                <c:pt idx="10">
                  <c:v>18.74</c:v>
                </c:pt>
                <c:pt idx="11">
                  <c:v>18.68</c:v>
                </c:pt>
                <c:pt idx="12">
                  <c:v>17.81</c:v>
                </c:pt>
                <c:pt idx="13">
                  <c:v>17.76</c:v>
                </c:pt>
                <c:pt idx="14">
                  <c:v>17.24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  <c:tickLblSkip val="1"/>
      </c:catAx>
      <c:valAx>
        <c:axId val="5009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冗余占比 %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季节性强度：最高月 ÷ 最低月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旺淡月倍数</c:v>
          </c:tx>
          <c:spPr>
            <a:solidFill>
              <a:srgbClr val="7030A0"/>
            </a:solidFill>
          </c:spPr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'10 季节性与时段'!$A$6:$A$15</c:f>
              <c:strCache>
                <c:ptCount val="10"/>
                <c:pt idx="0">
                  <c:v>Illegal Parking</c:v>
                </c:pt>
                <c:pt idx="1">
                  <c:v>Noise - Residential</c:v>
                </c:pt>
                <c:pt idx="2">
                  <c:v>HEAT/HOT WATER</c:v>
                </c:pt>
                <c:pt idx="3">
                  <c:v>Blocked Driveway</c:v>
                </c:pt>
                <c:pt idx="4">
                  <c:v>Noise - Street/Sidewalk</c:v>
                </c:pt>
                <c:pt idx="5">
                  <c:v>UNSANITARY CONDITION</c:v>
                </c:pt>
                <c:pt idx="6">
                  <c:v>Street Condition</c:v>
                </c:pt>
                <c:pt idx="7">
                  <c:v>PLUMBING</c:v>
                </c:pt>
                <c:pt idx="8">
                  <c:v>Abandoned Vehicle</c:v>
                </c:pt>
                <c:pt idx="9">
                  <c:v>Dirty Condition</c:v>
                </c:pt>
              </c:strCache>
            </c:strRef>
          </c:cat>
          <c:val>
            <c:numRef>
              <c:f>'10 季节性与时段'!$O$6:$O$15</c:f>
              <c:numCache>
                <c:formatCode>General</c:formatCode>
                <c:ptCount val="10"/>
                <c:pt idx="0">
                  <c:v>1.3</c:v>
                </c:pt>
                <c:pt idx="1">
                  <c:v>1.4</c:v>
                </c:pt>
                <c:pt idx="2">
                  <c:v>22.2</c:v>
                </c:pt>
                <c:pt idx="3">
                  <c:v>1.4</c:v>
                </c:pt>
                <c:pt idx="4">
                  <c:v>6.1</c:v>
                </c:pt>
                <c:pt idx="5">
                  <c:v>1.5</c:v>
                </c:pt>
                <c:pt idx="6">
                  <c:v>7.1</c:v>
                </c:pt>
                <c:pt idx="7">
                  <c:v>1.8</c:v>
                </c:pt>
                <c:pt idx="8">
                  <c:v>2.2</c:v>
                </c:pt>
                <c:pt idx="9">
                  <c:v>2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  <c:tickLblSkip val="1"/>
      </c:catAx>
      <c:valAx>
        <c:axId val="5010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倍数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按创建小时的记录量分布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记录数</c:v>
          </c:tx>
          <c:spPr>
            <a:solidFill>
              <a:srgbClr val="2E75B6"/>
            </a:solidFill>
          </c:spPr>
          <c:cat>
            <c:numRef>
              <c:f>'10 季节性与时段'!$A$41:$A$64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'10 季节性与时段'!$B$41:$B$64</c:f>
              <c:numCache>
                <c:formatCode>General</c:formatCode>
                <c:ptCount val="24"/>
                <c:pt idx="0">
                  <c:v>245499</c:v>
                </c:pt>
                <c:pt idx="1">
                  <c:v>163002</c:v>
                </c:pt>
                <c:pt idx="2">
                  <c:v>110633</c:v>
                </c:pt>
                <c:pt idx="3">
                  <c:v>85498</c:v>
                </c:pt>
                <c:pt idx="4">
                  <c:v>79647</c:v>
                </c:pt>
                <c:pt idx="5">
                  <c:v>93798</c:v>
                </c:pt>
                <c:pt idx="6">
                  <c:v>157218</c:v>
                </c:pt>
                <c:pt idx="7">
                  <c:v>267040</c:v>
                </c:pt>
                <c:pt idx="8">
                  <c:v>370553</c:v>
                </c:pt>
                <c:pt idx="9">
                  <c:v>419101</c:v>
                </c:pt>
                <c:pt idx="10">
                  <c:v>427583</c:v>
                </c:pt>
                <c:pt idx="11">
                  <c:v>419454</c:v>
                </c:pt>
                <c:pt idx="12">
                  <c:v>400635</c:v>
                </c:pt>
                <c:pt idx="13">
                  <c:v>388919</c:v>
                </c:pt>
                <c:pt idx="14">
                  <c:v>385157</c:v>
                </c:pt>
                <c:pt idx="15">
                  <c:v>376143</c:v>
                </c:pt>
                <c:pt idx="16">
                  <c:v>362817</c:v>
                </c:pt>
                <c:pt idx="17">
                  <c:v>342302</c:v>
                </c:pt>
                <c:pt idx="18">
                  <c:v>329861</c:v>
                </c:pt>
                <c:pt idx="19">
                  <c:v>323951</c:v>
                </c:pt>
                <c:pt idx="20">
                  <c:v>323591</c:v>
                </c:pt>
                <c:pt idx="21">
                  <c:v>343371</c:v>
                </c:pt>
                <c:pt idx="22">
                  <c:v>353073</c:v>
                </c:pt>
                <c:pt idx="23">
                  <c:v>296349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小时（0-23）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记录数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各行政区记录量占比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记录数</c:v>
          </c:tx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Percent val="1"/>
          </c:dLbls>
          <c:cat>
            <c:strRef>
              <c:f>'11 行政区结构'!$A$6:$A$10</c:f>
              <c:strCache>
                <c:ptCount val="5"/>
                <c:pt idx="0">
                  <c:v>BROOKLYN</c:v>
                </c:pt>
                <c:pt idx="1">
                  <c:v>QUEENS</c:v>
                </c:pt>
                <c:pt idx="2">
                  <c:v>MANHATTAN</c:v>
                </c:pt>
                <c:pt idx="3">
                  <c:v>BRONX</c:v>
                </c:pt>
                <c:pt idx="4">
                  <c:v>STATEN ISLAND</c:v>
                </c:pt>
              </c:strCache>
            </c:strRef>
          </c:cat>
          <c:val>
            <c:numRef>
              <c:f>'11 行政区结构'!$B$6:$B$10</c:f>
              <c:numCache>
                <c:formatCode>General</c:formatCode>
                <c:ptCount val="5"/>
                <c:pt idx="0">
                  <c:v>2259561</c:v>
                </c:pt>
                <c:pt idx="1">
                  <c:v>1818742</c:v>
                </c:pt>
                <c:pt idx="2">
                  <c:v>1487092</c:v>
                </c:pt>
                <c:pt idx="3">
                  <c:v>1478606</c:v>
                </c:pt>
                <c:pt idx="4">
                  <c:v>289375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上报渠道份额变化（%，已排除 UNKNOWN）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网页 ONLINE%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'12 上报渠道'!$A$6:$A$30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'12 上报渠道'!$C$6:$C$30</c:f>
              <c:numCache>
                <c:formatCode>General</c:formatCode>
                <c:ptCount val="25"/>
                <c:pt idx="0">
                  <c:v>44.6</c:v>
                </c:pt>
                <c:pt idx="1">
                  <c:v>44.5</c:v>
                </c:pt>
                <c:pt idx="2">
                  <c:v>43.7</c:v>
                </c:pt>
                <c:pt idx="3">
                  <c:v>47.3</c:v>
                </c:pt>
                <c:pt idx="4">
                  <c:v>48.4</c:v>
                </c:pt>
                <c:pt idx="5">
                  <c:v>47.7</c:v>
                </c:pt>
                <c:pt idx="6">
                  <c:v>48</c:v>
                </c:pt>
                <c:pt idx="7">
                  <c:v>46.5</c:v>
                </c:pt>
                <c:pt idx="8">
                  <c:v>46.9</c:v>
                </c:pt>
                <c:pt idx="9">
                  <c:v>46</c:v>
                </c:pt>
                <c:pt idx="10">
                  <c:v>45.4</c:v>
                </c:pt>
                <c:pt idx="11">
                  <c:v>48.5</c:v>
                </c:pt>
                <c:pt idx="12">
                  <c:v>48.5</c:v>
                </c:pt>
                <c:pt idx="13">
                  <c:v>47.9</c:v>
                </c:pt>
                <c:pt idx="14">
                  <c:v>46.7</c:v>
                </c:pt>
                <c:pt idx="15">
                  <c:v>54.3</c:v>
                </c:pt>
                <c:pt idx="16">
                  <c:v>56.6</c:v>
                </c:pt>
                <c:pt idx="17">
                  <c:v>55.4</c:v>
                </c:pt>
                <c:pt idx="18">
                  <c:v>51</c:v>
                </c:pt>
                <c:pt idx="19">
                  <c:v>50.5</c:v>
                </c:pt>
                <c:pt idx="20">
                  <c:v>50.3</c:v>
                </c:pt>
                <c:pt idx="21">
                  <c:v>50.7</c:v>
                </c:pt>
                <c:pt idx="22">
                  <c:v>54.5</c:v>
                </c:pt>
                <c:pt idx="23">
                  <c:v>55.7</c:v>
                </c:pt>
                <c:pt idx="24">
                  <c:v>55</c:v>
                </c:pt>
              </c:numCache>
            </c:numRef>
          </c:val>
        </c:ser>
        <c:ser>
          <c:idx val="1"/>
          <c:order val="1"/>
          <c:tx>
            <c:v>移动端 MOBILE%</c:v>
          </c:tx>
          <c:spPr>
            <a:ln w="28575">
              <a:solidFill>
                <a:srgbClr val="548235"/>
              </a:solidFill>
            </a:ln>
          </c:spPr>
          <c:marker>
            <c:symbol val="none"/>
          </c:marker>
          <c:cat>
            <c:numRef>
              <c:f>'12 上报渠道'!$A$6:$A$30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'12 上报渠道'!$D$6:$D$30</c:f>
              <c:numCache>
                <c:formatCode>General</c:formatCode>
                <c:ptCount val="25"/>
                <c:pt idx="0">
                  <c:v>23.3</c:v>
                </c:pt>
                <c:pt idx="1">
                  <c:v>22.1</c:v>
                </c:pt>
                <c:pt idx="2">
                  <c:v>21.1</c:v>
                </c:pt>
                <c:pt idx="3">
                  <c:v>20</c:v>
                </c:pt>
                <c:pt idx="4">
                  <c:v>19.9</c:v>
                </c:pt>
                <c:pt idx="5">
                  <c:v>21.6</c:v>
                </c:pt>
                <c:pt idx="6">
                  <c:v>22.8</c:v>
                </c:pt>
                <c:pt idx="7">
                  <c:v>22.7</c:v>
                </c:pt>
                <c:pt idx="8">
                  <c:v>23.4</c:v>
                </c:pt>
                <c:pt idx="9">
                  <c:v>23.7</c:v>
                </c:pt>
                <c:pt idx="10">
                  <c:v>22.3</c:v>
                </c:pt>
                <c:pt idx="11">
                  <c:v>23.1</c:v>
                </c:pt>
                <c:pt idx="12">
                  <c:v>24.1</c:v>
                </c:pt>
                <c:pt idx="13">
                  <c:v>22.1</c:v>
                </c:pt>
                <c:pt idx="14">
                  <c:v>22.2</c:v>
                </c:pt>
                <c:pt idx="15">
                  <c:v>20.9</c:v>
                </c:pt>
                <c:pt idx="16">
                  <c:v>20.1</c:v>
                </c:pt>
                <c:pt idx="17">
                  <c:v>19.6</c:v>
                </c:pt>
                <c:pt idx="18">
                  <c:v>22.4</c:v>
                </c:pt>
                <c:pt idx="19">
                  <c:v>22.6</c:v>
                </c:pt>
                <c:pt idx="20">
                  <c:v>23.1</c:v>
                </c:pt>
                <c:pt idx="21">
                  <c:v>23.3</c:v>
                </c:pt>
                <c:pt idx="22">
                  <c:v>21</c:v>
                </c:pt>
                <c:pt idx="23">
                  <c:v>20.5</c:v>
                </c:pt>
                <c:pt idx="24">
                  <c:v>19</c:v>
                </c:pt>
              </c:numCache>
            </c:numRef>
          </c:val>
        </c:ser>
        <c:ser>
          <c:idx val="2"/>
          <c:order val="2"/>
          <c:tx>
            <c:v>电话 PHONE%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'12 上报渠道'!$A$6:$A$30</c:f>
              <c:numCache>
                <c:formatCode>General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'12 上报渠道'!$E$6:$E$30</c:f>
              <c:numCache>
                <c:formatCode>General</c:formatCode>
                <c:ptCount val="25"/>
                <c:pt idx="0">
                  <c:v>32.1</c:v>
                </c:pt>
                <c:pt idx="1">
                  <c:v>33.3</c:v>
                </c:pt>
                <c:pt idx="2">
                  <c:v>35.2</c:v>
                </c:pt>
                <c:pt idx="3">
                  <c:v>32.8</c:v>
                </c:pt>
                <c:pt idx="4">
                  <c:v>31.7</c:v>
                </c:pt>
                <c:pt idx="5">
                  <c:v>30.8</c:v>
                </c:pt>
                <c:pt idx="6">
                  <c:v>29.3</c:v>
                </c:pt>
                <c:pt idx="7">
                  <c:v>30.8</c:v>
                </c:pt>
                <c:pt idx="8">
                  <c:v>29.7</c:v>
                </c:pt>
                <c:pt idx="9">
                  <c:v>30.3</c:v>
                </c:pt>
                <c:pt idx="10">
                  <c:v>32.3</c:v>
                </c:pt>
                <c:pt idx="11">
                  <c:v>28.4</c:v>
                </c:pt>
                <c:pt idx="12">
                  <c:v>27.4</c:v>
                </c:pt>
                <c:pt idx="13">
                  <c:v>30</c:v>
                </c:pt>
                <c:pt idx="14">
                  <c:v>31.1</c:v>
                </c:pt>
                <c:pt idx="15">
                  <c:v>24.8</c:v>
                </c:pt>
                <c:pt idx="16">
                  <c:v>23.3</c:v>
                </c:pt>
                <c:pt idx="17">
                  <c:v>25</c:v>
                </c:pt>
                <c:pt idx="18">
                  <c:v>26.6</c:v>
                </c:pt>
                <c:pt idx="19">
                  <c:v>26.8</c:v>
                </c:pt>
                <c:pt idx="20">
                  <c:v>26.6</c:v>
                </c:pt>
                <c:pt idx="21">
                  <c:v>26</c:v>
                </c:pt>
                <c:pt idx="22">
                  <c:v>24.5</c:v>
                </c:pt>
                <c:pt idx="23">
                  <c:v>23.8</c:v>
                </c:pt>
                <c:pt idx="24">
                  <c:v>26.1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创建月份</a:t>
                </a:r>
              </a:p>
            </c:rich>
          </c:tx>
          <c:layout/>
        </c:title>
        <c:numFmt formatCode="yyyy-mm" sourceLinked="0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份额 %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3</xdr:col>
      <xdr:colOff>3228975</xdr:colOff>
      <xdr:row>78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121</xdr:row>
      <xdr:rowOff>0</xdr:rowOff>
    </xdr:from>
    <xdr:to>
      <xdr:col>3</xdr:col>
      <xdr:colOff>2085975</xdr:colOff>
      <xdr:row>136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8</xdr:col>
      <xdr:colOff>0</xdr:colOff>
      <xdr:row>74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3</xdr:col>
      <xdr:colOff>1533525</xdr:colOff>
      <xdr:row>56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4</xdr:col>
      <xdr:colOff>514350</xdr:colOff>
      <xdr:row>139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5</xdr:col>
      <xdr:colOff>1000125</xdr:colOff>
      <xdr:row>49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3</xdr:col>
      <xdr:colOff>847725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</xdr:col>
      <xdr:colOff>523875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4</xdr:col>
      <xdr:colOff>933450</xdr:colOff>
      <xdr:row>54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352425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9</xdr:col>
      <xdr:colOff>314325</xdr:colOff>
      <xdr:row>81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3</xdr:col>
      <xdr:colOff>809625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7</xdr:col>
      <xdr:colOff>447675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7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9" width="15.7109375" customWidth="1"/>
  </cols>
  <sheetData>
    <row r="2" spans="2:9">
      <c r="B2" s="1" t="s">
        <v>0</v>
      </c>
    </row>
    <row r="3" spans="2:9">
      <c r="B3" s="2" t="s">
        <v>1</v>
      </c>
      <c r="C3" s="2"/>
      <c r="D3" s="2"/>
      <c r="E3" s="2"/>
      <c r="F3" s="2"/>
      <c r="G3" s="2"/>
      <c r="H3" s="2"/>
      <c r="I3" s="2"/>
    </row>
    <row r="5" spans="2:9">
      <c r="B5" s="3" t="s">
        <v>2</v>
      </c>
    </row>
    <row r="6" spans="2:9" ht="26" customHeight="1">
      <c r="B6" s="4" t="s">
        <v>3</v>
      </c>
      <c r="C6" s="5" t="s">
        <v>4</v>
      </c>
      <c r="D6" s="5"/>
      <c r="E6" s="5"/>
      <c r="F6" s="5"/>
      <c r="G6" s="5"/>
      <c r="H6" s="5"/>
    </row>
    <row r="7" spans="2:9" ht="26" customHeight="1">
      <c r="B7" s="4" t="s">
        <v>5</v>
      </c>
      <c r="C7" s="5" t="s">
        <v>6</v>
      </c>
      <c r="D7" s="5"/>
      <c r="E7" s="5"/>
      <c r="F7" s="5"/>
      <c r="G7" s="5"/>
      <c r="H7" s="5"/>
    </row>
    <row r="8" spans="2:9" ht="26" customHeight="1">
      <c r="B8" s="4" t="s">
        <v>7</v>
      </c>
      <c r="C8" s="5" t="s">
        <v>8</v>
      </c>
      <c r="D8" s="5"/>
      <c r="E8" s="5"/>
      <c r="F8" s="5"/>
      <c r="G8" s="5"/>
      <c r="H8" s="5"/>
    </row>
    <row r="9" spans="2:9" ht="26" customHeight="1">
      <c r="B9" s="4" t="s">
        <v>9</v>
      </c>
      <c r="C9" s="5" t="s">
        <v>10</v>
      </c>
      <c r="D9" s="5"/>
      <c r="E9" s="5"/>
      <c r="F9" s="5"/>
      <c r="G9" s="5"/>
      <c r="H9" s="5"/>
    </row>
    <row r="10" spans="2:9" ht="26" customHeight="1">
      <c r="B10" s="4" t="s">
        <v>11</v>
      </c>
      <c r="C10" s="5" t="s">
        <v>12</v>
      </c>
      <c r="D10" s="5"/>
      <c r="E10" s="5"/>
      <c r="F10" s="5"/>
      <c r="G10" s="5"/>
      <c r="H10" s="5"/>
    </row>
    <row r="11" spans="2:9" ht="26" customHeight="1">
      <c r="B11" s="4" t="s">
        <v>13</v>
      </c>
      <c r="C11" s="5" t="s">
        <v>14</v>
      </c>
      <c r="D11" s="5"/>
      <c r="E11" s="5"/>
      <c r="F11" s="5"/>
      <c r="G11" s="5"/>
      <c r="H11" s="5"/>
    </row>
    <row r="13" spans="2:9">
      <c r="B13" s="3" t="s">
        <v>15</v>
      </c>
    </row>
    <row r="14" spans="2:9" ht="16" customHeight="1">
      <c r="B14" s="6" t="s">
        <v>16</v>
      </c>
      <c r="C14" s="6"/>
      <c r="D14" s="6"/>
      <c r="E14" s="6"/>
      <c r="F14" s="6"/>
      <c r="G14" s="6"/>
      <c r="H14" s="6"/>
      <c r="I14" s="6"/>
    </row>
    <row r="15" spans="2:9" ht="70" customHeight="1">
      <c r="B15" s="2" t="s">
        <v>17</v>
      </c>
      <c r="C15" s="2"/>
      <c r="D15" s="2"/>
      <c r="E15" s="2"/>
      <c r="F15" s="2"/>
      <c r="G15" s="2"/>
      <c r="H15" s="2"/>
      <c r="I15" s="2"/>
    </row>
    <row r="17" spans="2:9" ht="16" customHeight="1">
      <c r="B17" s="6" t="s">
        <v>18</v>
      </c>
      <c r="C17" s="6"/>
      <c r="D17" s="6"/>
      <c r="E17" s="6"/>
      <c r="F17" s="6"/>
      <c r="G17" s="6"/>
      <c r="H17" s="6"/>
      <c r="I17" s="6"/>
    </row>
    <row r="18" spans="2:9" ht="70" customHeight="1">
      <c r="B18" s="2" t="s">
        <v>19</v>
      </c>
      <c r="C18" s="2"/>
      <c r="D18" s="2"/>
      <c r="E18" s="2"/>
      <c r="F18" s="2"/>
      <c r="G18" s="2"/>
      <c r="H18" s="2"/>
      <c r="I18" s="2"/>
    </row>
    <row r="20" spans="2:9" ht="16" customHeight="1">
      <c r="B20" s="6" t="s">
        <v>20</v>
      </c>
      <c r="C20" s="6"/>
      <c r="D20" s="6"/>
      <c r="E20" s="6"/>
      <c r="F20" s="6"/>
      <c r="G20" s="6"/>
      <c r="H20" s="6"/>
      <c r="I20" s="6"/>
    </row>
    <row r="21" spans="2:9" ht="54" customHeight="1">
      <c r="B21" s="2" t="s">
        <v>21</v>
      </c>
      <c r="C21" s="2"/>
      <c r="D21" s="2"/>
      <c r="E21" s="2"/>
      <c r="F21" s="2"/>
      <c r="G21" s="2"/>
      <c r="H21" s="2"/>
      <c r="I21" s="2"/>
    </row>
    <row r="23" spans="2:9" ht="16" customHeight="1">
      <c r="B23" s="6" t="s">
        <v>22</v>
      </c>
      <c r="C23" s="6"/>
      <c r="D23" s="6"/>
      <c r="E23" s="6"/>
      <c r="F23" s="6"/>
      <c r="G23" s="6"/>
      <c r="H23" s="6"/>
      <c r="I23" s="6"/>
    </row>
    <row r="24" spans="2:9" ht="54" customHeight="1">
      <c r="B24" s="2" t="s">
        <v>23</v>
      </c>
      <c r="C24" s="2"/>
      <c r="D24" s="2"/>
      <c r="E24" s="2"/>
      <c r="F24" s="2"/>
      <c r="G24" s="2"/>
      <c r="H24" s="2"/>
      <c r="I24" s="2"/>
    </row>
    <row r="26" spans="2:9" ht="16" customHeight="1">
      <c r="B26" s="6" t="s">
        <v>24</v>
      </c>
      <c r="C26" s="6"/>
      <c r="D26" s="6"/>
      <c r="E26" s="6"/>
      <c r="F26" s="6"/>
      <c r="G26" s="6"/>
      <c r="H26" s="6"/>
      <c r="I26" s="6"/>
    </row>
    <row r="27" spans="2:9" ht="38" customHeight="1">
      <c r="B27" s="2" t="s">
        <v>25</v>
      </c>
      <c r="C27" s="2"/>
      <c r="D27" s="2"/>
      <c r="E27" s="2"/>
      <c r="F27" s="2"/>
      <c r="G27" s="2"/>
      <c r="H27" s="2"/>
      <c r="I27" s="2"/>
    </row>
    <row r="29" spans="2:9" ht="16" customHeight="1">
      <c r="B29" s="6" t="s">
        <v>26</v>
      </c>
      <c r="C29" s="6"/>
      <c r="D29" s="6"/>
      <c r="E29" s="6"/>
      <c r="F29" s="6"/>
      <c r="G29" s="6"/>
      <c r="H29" s="6"/>
      <c r="I29" s="6"/>
    </row>
    <row r="30" spans="2:9" ht="54" customHeight="1">
      <c r="B30" s="2" t="s">
        <v>27</v>
      </c>
      <c r="C30" s="2"/>
      <c r="D30" s="2"/>
      <c r="E30" s="2"/>
      <c r="F30" s="2"/>
      <c r="G30" s="2"/>
      <c r="H30" s="2"/>
      <c r="I30" s="2"/>
    </row>
    <row r="33" spans="2:9">
      <c r="B33" s="3" t="s">
        <v>28</v>
      </c>
    </row>
    <row r="34" spans="2:9">
      <c r="B34" s="7" t="s">
        <v>29</v>
      </c>
      <c r="C34" s="7" t="s">
        <v>30</v>
      </c>
      <c r="D34" s="7"/>
      <c r="E34" s="7"/>
      <c r="F34" s="7"/>
      <c r="G34" s="7"/>
      <c r="H34" s="7"/>
      <c r="I34" s="7"/>
    </row>
    <row r="35" spans="2:9">
      <c r="B35" s="7" t="s">
        <v>31</v>
      </c>
      <c r="C35" s="7" t="s">
        <v>32</v>
      </c>
      <c r="D35" s="7"/>
      <c r="E35" s="7"/>
      <c r="F35" s="7"/>
      <c r="G35" s="7"/>
      <c r="H35" s="7"/>
      <c r="I35" s="7"/>
    </row>
    <row r="36" spans="2:9">
      <c r="B36" s="7" t="s">
        <v>33</v>
      </c>
      <c r="C36" s="7" t="s">
        <v>34</v>
      </c>
      <c r="D36" s="7"/>
      <c r="E36" s="7"/>
      <c r="F36" s="7"/>
      <c r="G36" s="7"/>
      <c r="H36" s="7"/>
      <c r="I36" s="7"/>
    </row>
    <row r="37" spans="2:9">
      <c r="B37" s="7" t="s">
        <v>35</v>
      </c>
      <c r="C37" s="7" t="s">
        <v>36</v>
      </c>
      <c r="D37" s="7"/>
      <c r="E37" s="7"/>
      <c r="F37" s="7"/>
      <c r="G37" s="7"/>
      <c r="H37" s="7"/>
      <c r="I37" s="7"/>
    </row>
    <row r="38" spans="2:9">
      <c r="B38" s="7" t="s">
        <v>37</v>
      </c>
      <c r="C38" s="7" t="s">
        <v>38</v>
      </c>
      <c r="D38" s="7"/>
      <c r="E38" s="7"/>
      <c r="F38" s="7"/>
      <c r="G38" s="7"/>
      <c r="H38" s="7"/>
      <c r="I38" s="7"/>
    </row>
    <row r="39" spans="2:9">
      <c r="B39" s="7" t="s">
        <v>39</v>
      </c>
      <c r="C39" s="7" t="s">
        <v>40</v>
      </c>
      <c r="D39" s="7"/>
      <c r="E39" s="7"/>
      <c r="F39" s="7"/>
      <c r="G39" s="7"/>
      <c r="H39" s="7"/>
      <c r="I39" s="7"/>
    </row>
    <row r="40" spans="2:9">
      <c r="B40" s="7" t="s">
        <v>41</v>
      </c>
      <c r="C40" s="7" t="s">
        <v>42</v>
      </c>
      <c r="D40" s="7"/>
      <c r="E40" s="7"/>
      <c r="F40" s="7"/>
      <c r="G40" s="7"/>
      <c r="H40" s="7"/>
      <c r="I40" s="7"/>
    </row>
    <row r="41" spans="2:9">
      <c r="B41" s="7" t="s">
        <v>43</v>
      </c>
      <c r="C41" s="7" t="s">
        <v>44</v>
      </c>
      <c r="D41" s="7"/>
      <c r="E41" s="7"/>
      <c r="F41" s="7"/>
      <c r="G41" s="7"/>
      <c r="H41" s="7"/>
      <c r="I41" s="7"/>
    </row>
    <row r="42" spans="2:9">
      <c r="B42" s="7" t="s">
        <v>45</v>
      </c>
      <c r="C42" s="7" t="s">
        <v>46</v>
      </c>
      <c r="D42" s="7"/>
      <c r="E42" s="7"/>
      <c r="F42" s="7"/>
      <c r="G42" s="7"/>
      <c r="H42" s="7"/>
      <c r="I42" s="7"/>
    </row>
    <row r="43" spans="2:9">
      <c r="B43" s="7" t="s">
        <v>47</v>
      </c>
      <c r="C43" s="7" t="s">
        <v>48</v>
      </c>
      <c r="D43" s="7"/>
      <c r="E43" s="7"/>
      <c r="F43" s="7"/>
      <c r="G43" s="7"/>
      <c r="H43" s="7"/>
      <c r="I43" s="7"/>
    </row>
    <row r="44" spans="2:9">
      <c r="B44" s="7" t="s">
        <v>49</v>
      </c>
      <c r="C44" s="7" t="s">
        <v>50</v>
      </c>
      <c r="D44" s="7"/>
      <c r="E44" s="7"/>
      <c r="F44" s="7"/>
      <c r="G44" s="7"/>
      <c r="H44" s="7"/>
      <c r="I44" s="7"/>
    </row>
    <row r="45" spans="2:9">
      <c r="B45" s="7" t="s">
        <v>51</v>
      </c>
      <c r="C45" s="7" t="s">
        <v>52</v>
      </c>
      <c r="D45" s="7"/>
      <c r="E45" s="7"/>
      <c r="F45" s="7"/>
      <c r="G45" s="7"/>
      <c r="H45" s="7"/>
      <c r="I45" s="7"/>
    </row>
    <row r="47" spans="2:9" ht="86" customHeight="1">
      <c r="B47" s="8" t="s">
        <v>53</v>
      </c>
      <c r="C47" s="8"/>
      <c r="D47" s="8"/>
      <c r="E47" s="8"/>
      <c r="F47" s="8"/>
      <c r="G47" s="8"/>
      <c r="H47" s="8"/>
      <c r="I47" s="8"/>
    </row>
  </sheetData>
  <mergeCells count="32">
    <mergeCell ref="B3:I3"/>
    <mergeCell ref="C6:H6"/>
    <mergeCell ref="C7:H7"/>
    <mergeCell ref="C8:H8"/>
    <mergeCell ref="C9:H9"/>
    <mergeCell ref="C10:H10"/>
    <mergeCell ref="C11:H11"/>
    <mergeCell ref="B14:I14"/>
    <mergeCell ref="B15:I15"/>
    <mergeCell ref="B17:I17"/>
    <mergeCell ref="B18:I18"/>
    <mergeCell ref="B20:I20"/>
    <mergeCell ref="B21:I21"/>
    <mergeCell ref="B23:I23"/>
    <mergeCell ref="B24:I24"/>
    <mergeCell ref="B26:I26"/>
    <mergeCell ref="B27:I27"/>
    <mergeCell ref="B29:I29"/>
    <mergeCell ref="B30:I30"/>
    <mergeCell ref="C34:I34"/>
    <mergeCell ref="C35:I35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C45:I45"/>
    <mergeCell ref="B47:I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4"/>
  <sheetViews>
    <sheetView showGridLines="0" workbookViewId="0"/>
  </sheetViews>
  <sheetFormatPr defaultRowHeight="15"/>
  <cols>
    <col min="1" max="1" width="46.7109375" customWidth="1"/>
    <col min="2" max="2" width="26.7109375" customWidth="1"/>
    <col min="3" max="4" width="16.7109375" customWidth="1"/>
  </cols>
  <sheetData>
    <row r="1" spans="1:11" ht="24" customHeight="1">
      <c r="A1" s="9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>
      <c r="A3" s="10" t="s">
        <v>55</v>
      </c>
      <c r="B3" s="10" t="s">
        <v>56</v>
      </c>
    </row>
    <row r="4" spans="1:11">
      <c r="A4" s="7" t="s">
        <v>57</v>
      </c>
      <c r="B4" s="11" t="s">
        <v>73</v>
      </c>
    </row>
    <row r="5" spans="1:11">
      <c r="A5" s="7" t="s">
        <v>58</v>
      </c>
      <c r="B5" s="11" t="s">
        <v>73</v>
      </c>
    </row>
    <row r="6" spans="1:11">
      <c r="A6" s="7" t="s">
        <v>59</v>
      </c>
      <c r="B6" s="11" t="s">
        <v>74</v>
      </c>
    </row>
    <row r="7" spans="1:11">
      <c r="A7" s="7" t="s">
        <v>60</v>
      </c>
      <c r="B7" s="11" t="s">
        <v>75</v>
      </c>
    </row>
    <row r="8" spans="1:11">
      <c r="A8" s="7" t="s">
        <v>61</v>
      </c>
      <c r="B8" s="11" t="s">
        <v>76</v>
      </c>
    </row>
    <row r="9" spans="1:11">
      <c r="A9" s="7" t="s">
        <v>62</v>
      </c>
      <c r="B9" s="11" t="s">
        <v>77</v>
      </c>
    </row>
    <row r="10" spans="1:11">
      <c r="A10" s="7" t="s">
        <v>63</v>
      </c>
      <c r="B10" s="11" t="s">
        <v>78</v>
      </c>
    </row>
    <row r="11" spans="1:11">
      <c r="A11" s="7" t="s">
        <v>64</v>
      </c>
      <c r="B11" s="11" t="s">
        <v>79</v>
      </c>
    </row>
    <row r="12" spans="1:11">
      <c r="A12" s="7" t="s">
        <v>65</v>
      </c>
      <c r="B12" s="11" t="s">
        <v>80</v>
      </c>
    </row>
    <row r="13" spans="1:11">
      <c r="A13" s="7" t="s">
        <v>66</v>
      </c>
      <c r="B13" s="11" t="s">
        <v>81</v>
      </c>
    </row>
    <row r="14" spans="1:11">
      <c r="A14" s="7" t="s">
        <v>67</v>
      </c>
      <c r="B14" s="11" t="s">
        <v>82</v>
      </c>
    </row>
    <row r="15" spans="1:11">
      <c r="A15" s="7" t="s">
        <v>68</v>
      </c>
      <c r="B15" s="11" t="s">
        <v>83</v>
      </c>
    </row>
    <row r="16" spans="1:11">
      <c r="A16" s="7" t="s">
        <v>69</v>
      </c>
      <c r="B16" s="11" t="s">
        <v>84</v>
      </c>
    </row>
    <row r="17" spans="1:11">
      <c r="A17" s="7" t="s">
        <v>70</v>
      </c>
      <c r="B17" s="11" t="s">
        <v>85</v>
      </c>
    </row>
    <row r="18" spans="1:11">
      <c r="A18" s="7" t="s">
        <v>71</v>
      </c>
      <c r="B18" s="11" t="s">
        <v>86</v>
      </c>
    </row>
    <row r="19" spans="1:11">
      <c r="A19" s="7" t="s">
        <v>72</v>
      </c>
      <c r="B19" s="11" t="s">
        <v>87</v>
      </c>
    </row>
    <row r="22" spans="1:11" ht="86" customHeight="1">
      <c r="A22" s="12" t="s">
        <v>88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4" spans="1:11" ht="24" customHeight="1">
      <c r="A24" s="9" t="s">
        <v>89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6" spans="1:11" ht="30" customHeight="1">
      <c r="A26" s="10" t="s">
        <v>90</v>
      </c>
      <c r="B26" s="10" t="s">
        <v>91</v>
      </c>
      <c r="C26" s="10" t="s">
        <v>92</v>
      </c>
      <c r="D26" s="10" t="s">
        <v>93</v>
      </c>
    </row>
    <row r="27" spans="1:11">
      <c r="A27" s="7" t="s">
        <v>94</v>
      </c>
      <c r="B27" s="13">
        <v>248139</v>
      </c>
      <c r="C27" s="14">
        <v>45542</v>
      </c>
      <c r="D27" s="14">
        <v>45565</v>
      </c>
    </row>
    <row r="28" spans="1:11">
      <c r="A28" s="7" t="s">
        <v>95</v>
      </c>
      <c r="B28" s="13">
        <v>306803</v>
      </c>
      <c r="C28" s="14">
        <v>45566</v>
      </c>
      <c r="D28" s="14">
        <v>45596</v>
      </c>
    </row>
    <row r="29" spans="1:11">
      <c r="A29" s="7" t="s">
        <v>96</v>
      </c>
      <c r="B29" s="13">
        <v>293515</v>
      </c>
      <c r="C29" s="14">
        <v>45597</v>
      </c>
      <c r="D29" s="14">
        <v>45626</v>
      </c>
    </row>
    <row r="30" spans="1:11">
      <c r="A30" s="7" t="s">
        <v>97</v>
      </c>
      <c r="B30" s="13">
        <v>313949</v>
      </c>
      <c r="C30" s="14">
        <v>45627</v>
      </c>
      <c r="D30" s="14">
        <v>45657</v>
      </c>
    </row>
    <row r="31" spans="1:11">
      <c r="A31" s="7" t="s">
        <v>98</v>
      </c>
      <c r="B31" s="13">
        <v>348180</v>
      </c>
      <c r="C31" s="14">
        <v>45658</v>
      </c>
      <c r="D31" s="14">
        <v>45688</v>
      </c>
    </row>
    <row r="32" spans="1:11">
      <c r="A32" s="7" t="s">
        <v>99</v>
      </c>
      <c r="B32" s="13">
        <v>255364</v>
      </c>
      <c r="C32" s="14">
        <v>45689</v>
      </c>
      <c r="D32" s="14">
        <v>45716</v>
      </c>
    </row>
    <row r="33" spans="1:4">
      <c r="A33" s="7" t="s">
        <v>100</v>
      </c>
      <c r="B33" s="13">
        <v>281221</v>
      </c>
      <c r="C33" s="14">
        <v>45717</v>
      </c>
      <c r="D33" s="14">
        <v>45747</v>
      </c>
    </row>
    <row r="34" spans="1:4">
      <c r="A34" s="7" t="s">
        <v>101</v>
      </c>
      <c r="B34" s="13">
        <v>272549</v>
      </c>
      <c r="C34" s="14">
        <v>45748</v>
      </c>
      <c r="D34" s="14">
        <v>45777</v>
      </c>
    </row>
    <row r="35" spans="1:4">
      <c r="A35" s="7" t="s">
        <v>102</v>
      </c>
      <c r="B35" s="13">
        <v>295058</v>
      </c>
      <c r="C35" s="14">
        <v>45778</v>
      </c>
      <c r="D35" s="14">
        <v>45808</v>
      </c>
    </row>
    <row r="36" spans="1:4">
      <c r="A36" s="7" t="s">
        <v>103</v>
      </c>
      <c r="B36" s="13">
        <v>306442</v>
      </c>
      <c r="C36" s="14">
        <v>45809</v>
      </c>
      <c r="D36" s="14">
        <v>45838</v>
      </c>
    </row>
    <row r="37" spans="1:4">
      <c r="A37" s="7" t="s">
        <v>104</v>
      </c>
      <c r="B37" s="13">
        <v>315883</v>
      </c>
      <c r="C37" s="14">
        <v>45839</v>
      </c>
      <c r="D37" s="14">
        <v>45869</v>
      </c>
    </row>
    <row r="38" spans="1:4">
      <c r="A38" s="7" t="s">
        <v>105</v>
      </c>
      <c r="B38" s="13">
        <v>304039</v>
      </c>
      <c r="C38" s="14">
        <v>45870</v>
      </c>
      <c r="D38" s="14">
        <v>45900</v>
      </c>
    </row>
    <row r="39" spans="1:4">
      <c r="A39" s="7" t="s">
        <v>106</v>
      </c>
      <c r="B39" s="13">
        <v>302684</v>
      </c>
      <c r="C39" s="14">
        <v>45901</v>
      </c>
      <c r="D39" s="14">
        <v>45930</v>
      </c>
    </row>
    <row r="40" spans="1:4">
      <c r="A40" s="7" t="s">
        <v>107</v>
      </c>
      <c r="B40" s="13">
        <v>336612</v>
      </c>
      <c r="C40" s="14">
        <v>45931</v>
      </c>
      <c r="D40" s="14">
        <v>45961</v>
      </c>
    </row>
    <row r="41" spans="1:4">
      <c r="A41" s="7" t="s">
        <v>108</v>
      </c>
      <c r="B41" s="13">
        <v>304905</v>
      </c>
      <c r="C41" s="14">
        <v>45962</v>
      </c>
      <c r="D41" s="14">
        <v>45991</v>
      </c>
    </row>
    <row r="42" spans="1:4">
      <c r="A42" s="7" t="s">
        <v>109</v>
      </c>
      <c r="B42" s="13">
        <v>332103</v>
      </c>
      <c r="C42" s="14">
        <v>45992</v>
      </c>
      <c r="D42" s="14">
        <v>46022</v>
      </c>
    </row>
    <row r="43" spans="1:4">
      <c r="A43" s="7" t="s">
        <v>110</v>
      </c>
      <c r="B43" s="13">
        <v>348511</v>
      </c>
      <c r="C43" s="14">
        <v>46023</v>
      </c>
      <c r="D43" s="14">
        <v>46053</v>
      </c>
    </row>
    <row r="44" spans="1:4">
      <c r="A44" s="7" t="s">
        <v>111</v>
      </c>
      <c r="B44" s="13">
        <v>334690</v>
      </c>
      <c r="C44" s="14">
        <v>46054</v>
      </c>
      <c r="D44" s="14">
        <v>46081</v>
      </c>
    </row>
    <row r="45" spans="1:4">
      <c r="A45" s="7" t="s">
        <v>112</v>
      </c>
      <c r="B45" s="13">
        <v>342387</v>
      </c>
      <c r="C45" s="14">
        <v>46082</v>
      </c>
      <c r="D45" s="14">
        <v>46112</v>
      </c>
    </row>
    <row r="46" spans="1:4">
      <c r="A46" s="7" t="s">
        <v>113</v>
      </c>
      <c r="B46" s="13">
        <v>302190</v>
      </c>
      <c r="C46" s="14">
        <v>46113</v>
      </c>
      <c r="D46" s="14">
        <v>46142</v>
      </c>
    </row>
    <row r="47" spans="1:4">
      <c r="A47" s="7" t="s">
        <v>114</v>
      </c>
      <c r="B47" s="13">
        <v>331978</v>
      </c>
      <c r="C47" s="14">
        <v>46143</v>
      </c>
      <c r="D47" s="14">
        <v>46173</v>
      </c>
    </row>
    <row r="48" spans="1:4">
      <c r="A48" s="7" t="s">
        <v>115</v>
      </c>
      <c r="B48" s="13">
        <v>334833</v>
      </c>
      <c r="C48" s="14">
        <v>46174</v>
      </c>
      <c r="D48" s="14">
        <v>46203</v>
      </c>
    </row>
    <row r="49" spans="1:11">
      <c r="A49" s="7" t="s">
        <v>116</v>
      </c>
      <c r="B49" s="13">
        <v>343043</v>
      </c>
      <c r="C49" s="14">
        <v>46204</v>
      </c>
      <c r="D49" s="14">
        <v>46234</v>
      </c>
    </row>
    <row r="50" spans="1:11">
      <c r="A50" s="7" t="s">
        <v>117</v>
      </c>
      <c r="B50" s="13">
        <v>328446</v>
      </c>
      <c r="C50" s="14">
        <v>46235</v>
      </c>
      <c r="D50" s="14">
        <v>46265</v>
      </c>
    </row>
    <row r="51" spans="1:11">
      <c r="A51" s="7" t="s">
        <v>118</v>
      </c>
      <c r="B51" s="13">
        <v>41974</v>
      </c>
      <c r="C51" s="14">
        <v>46266</v>
      </c>
      <c r="D51" s="14">
        <v>46270</v>
      </c>
    </row>
    <row r="54" spans="1:11" ht="54" customHeight="1">
      <c r="A54" s="12" t="s">
        <v>119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</row>
  </sheetData>
  <mergeCells count="4">
    <mergeCell ref="A1:K1"/>
    <mergeCell ref="A22:K22"/>
    <mergeCell ref="A24:K24"/>
    <mergeCell ref="A54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9"/>
  <sheetViews>
    <sheetView showGridLines="0" workbookViewId="0"/>
  </sheetViews>
  <sheetFormatPr defaultRowHeight="15"/>
  <cols>
    <col min="1" max="1" width="30.7109375" customWidth="1"/>
    <col min="2" max="3" width="24.7109375" customWidth="1"/>
    <col min="4" max="4" width="78.7109375" customWidth="1"/>
    <col min="5" max="5" width="20.7109375" customWidth="1"/>
    <col min="6" max="6" width="16.7109375" customWidth="1"/>
  </cols>
  <sheetData>
    <row r="1" spans="1:11" ht="24" customHeight="1">
      <c r="A1" s="9" t="s">
        <v>120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>
      <c r="A3" s="10" t="s">
        <v>121</v>
      </c>
      <c r="B3" s="10" t="s">
        <v>91</v>
      </c>
      <c r="C3" s="10" t="s">
        <v>122</v>
      </c>
      <c r="D3" s="10" t="s">
        <v>123</v>
      </c>
    </row>
    <row r="4" spans="1:11">
      <c r="A4" s="7" t="s">
        <v>124</v>
      </c>
      <c r="B4" s="11" t="s">
        <v>74</v>
      </c>
      <c r="C4" s="11" t="s">
        <v>144</v>
      </c>
      <c r="D4" s="11" t="s">
        <v>154</v>
      </c>
    </row>
    <row r="5" spans="1:11">
      <c r="A5" s="7" t="s">
        <v>125</v>
      </c>
      <c r="B5" s="11" t="s">
        <v>135</v>
      </c>
      <c r="C5" s="11" t="s">
        <v>145</v>
      </c>
      <c r="D5" s="11" t="s">
        <v>155</v>
      </c>
    </row>
    <row r="6" spans="1:11">
      <c r="A6" s="7" t="s">
        <v>126</v>
      </c>
      <c r="B6" s="11" t="s">
        <v>135</v>
      </c>
      <c r="C6" s="11" t="s">
        <v>145</v>
      </c>
      <c r="D6" s="11" t="s">
        <v>156</v>
      </c>
    </row>
    <row r="7" spans="1:11">
      <c r="A7" s="7" t="s">
        <v>127</v>
      </c>
      <c r="B7" s="11" t="s">
        <v>136</v>
      </c>
      <c r="C7" s="11" t="s">
        <v>146</v>
      </c>
      <c r="D7" s="11" t="s">
        <v>157</v>
      </c>
    </row>
    <row r="8" spans="1:11">
      <c r="A8" s="7" t="s">
        <v>128</v>
      </c>
      <c r="B8" s="11" t="s">
        <v>137</v>
      </c>
      <c r="C8" s="11" t="s">
        <v>147</v>
      </c>
      <c r="D8" s="11" t="s">
        <v>158</v>
      </c>
    </row>
    <row r="9" spans="1:11">
      <c r="A9" s="7" t="s">
        <v>129</v>
      </c>
      <c r="B9" s="11" t="s">
        <v>138</v>
      </c>
      <c r="C9" s="11" t="s">
        <v>148</v>
      </c>
      <c r="D9" s="11" t="s">
        <v>159</v>
      </c>
    </row>
    <row r="10" spans="1:11">
      <c r="A10" s="7" t="s">
        <v>130</v>
      </c>
      <c r="B10" s="11" t="s">
        <v>139</v>
      </c>
      <c r="C10" s="11" t="s">
        <v>149</v>
      </c>
      <c r="D10" s="11" t="s">
        <v>160</v>
      </c>
    </row>
    <row r="11" spans="1:11">
      <c r="A11" s="7" t="s">
        <v>131</v>
      </c>
      <c r="B11" s="11" t="s">
        <v>140</v>
      </c>
      <c r="C11" s="11" t="s">
        <v>150</v>
      </c>
      <c r="D11" s="11" t="s">
        <v>161</v>
      </c>
    </row>
    <row r="12" spans="1:11">
      <c r="A12" s="7" t="s">
        <v>132</v>
      </c>
      <c r="B12" s="11" t="s">
        <v>141</v>
      </c>
      <c r="C12" s="11" t="s">
        <v>151</v>
      </c>
      <c r="D12" s="11" t="s">
        <v>162</v>
      </c>
    </row>
    <row r="13" spans="1:11">
      <c r="A13" s="7" t="s">
        <v>133</v>
      </c>
      <c r="B13" s="11" t="s">
        <v>142</v>
      </c>
      <c r="C13" s="11" t="s">
        <v>152</v>
      </c>
      <c r="D13" s="11" t="s">
        <v>163</v>
      </c>
    </row>
    <row r="14" spans="1:11">
      <c r="A14" s="7" t="s">
        <v>134</v>
      </c>
      <c r="B14" s="11" t="s">
        <v>143</v>
      </c>
      <c r="C14" s="11" t="s">
        <v>153</v>
      </c>
      <c r="D14" s="11" t="s">
        <v>164</v>
      </c>
    </row>
    <row r="17" spans="1:11" ht="102" customHeight="1">
      <c r="A17" s="12" t="s">
        <v>165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9" spans="1:11" ht="102" customHeight="1">
      <c r="A19" s="8" t="s">
        <v>166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1" spans="1:11" ht="24" customHeight="1">
      <c r="A21" s="9" t="s">
        <v>167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3" spans="1:11" ht="30" customHeight="1">
      <c r="A23" s="10" t="s">
        <v>168</v>
      </c>
      <c r="B23" s="10" t="s">
        <v>169</v>
      </c>
      <c r="C23" s="10" t="s">
        <v>170</v>
      </c>
      <c r="D23" s="10" t="s">
        <v>171</v>
      </c>
      <c r="E23" s="10" t="s">
        <v>172</v>
      </c>
      <c r="F23" s="10" t="s">
        <v>173</v>
      </c>
    </row>
    <row r="24" spans="1:11">
      <c r="A24" s="7" t="s">
        <v>174</v>
      </c>
      <c r="B24" s="11" t="s">
        <v>178</v>
      </c>
      <c r="C24" s="13">
        <v>4978</v>
      </c>
      <c r="D24" s="13">
        <v>167077</v>
      </c>
      <c r="E24" s="13">
        <v>163</v>
      </c>
      <c r="F24" s="13">
        <v>1025</v>
      </c>
    </row>
    <row r="25" spans="1:11">
      <c r="A25" s="7" t="s">
        <v>175</v>
      </c>
      <c r="B25" s="11" t="s">
        <v>178</v>
      </c>
      <c r="C25" s="13">
        <v>2281</v>
      </c>
      <c r="D25" s="13">
        <v>13833</v>
      </c>
      <c r="E25" s="13">
        <v>31</v>
      </c>
      <c r="F25" s="13">
        <v>446</v>
      </c>
    </row>
    <row r="26" spans="1:11">
      <c r="A26" s="7" t="s">
        <v>176</v>
      </c>
      <c r="B26" s="11" t="s">
        <v>178</v>
      </c>
      <c r="C26" s="13">
        <v>1109</v>
      </c>
      <c r="D26" s="13">
        <v>4481</v>
      </c>
      <c r="E26" s="13">
        <v>31</v>
      </c>
      <c r="F26" s="13">
        <v>145</v>
      </c>
    </row>
    <row r="27" spans="1:11">
      <c r="A27" s="7" t="s">
        <v>177</v>
      </c>
      <c r="B27" s="11" t="s">
        <v>178</v>
      </c>
      <c r="C27" s="13">
        <v>272</v>
      </c>
      <c r="D27" s="13">
        <v>400</v>
      </c>
      <c r="E27" s="13">
        <v>31</v>
      </c>
      <c r="F27" s="13">
        <v>13</v>
      </c>
    </row>
    <row r="30" spans="1:11" ht="150" customHeight="1">
      <c r="A30" s="12" t="s">
        <v>179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2" spans="1:11" ht="24" customHeight="1">
      <c r="A32" s="9" t="s">
        <v>180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4" spans="1:5" ht="30" customHeight="1">
      <c r="A34" s="10" t="s">
        <v>181</v>
      </c>
      <c r="B34" s="10" t="s">
        <v>182</v>
      </c>
      <c r="C34" s="10" t="s">
        <v>183</v>
      </c>
      <c r="D34" s="10" t="s">
        <v>184</v>
      </c>
      <c r="E34" s="10" t="s">
        <v>185</v>
      </c>
    </row>
    <row r="35" spans="1:5">
      <c r="A35" s="15">
        <v>45536</v>
      </c>
      <c r="B35" s="13">
        <v>15601</v>
      </c>
      <c r="C35" s="13">
        <v>39381</v>
      </c>
      <c r="D35" s="13">
        <v>23780</v>
      </c>
      <c r="E35" s="16">
        <v>39.6</v>
      </c>
    </row>
    <row r="36" spans="1:5">
      <c r="A36" s="15">
        <v>45566</v>
      </c>
      <c r="B36" s="13">
        <v>8458</v>
      </c>
      <c r="C36" s="13">
        <v>38628</v>
      </c>
      <c r="D36" s="13">
        <v>30170</v>
      </c>
      <c r="E36" s="16">
        <v>21.9</v>
      </c>
    </row>
    <row r="37" spans="1:5">
      <c r="A37" s="15">
        <v>45597</v>
      </c>
      <c r="B37" s="13">
        <v>12502</v>
      </c>
      <c r="C37" s="13">
        <v>39103</v>
      </c>
      <c r="D37" s="13">
        <v>26601</v>
      </c>
      <c r="E37" s="16">
        <v>32</v>
      </c>
    </row>
    <row r="38" spans="1:5">
      <c r="A38" s="15">
        <v>45627</v>
      </c>
      <c r="B38" s="13">
        <v>20616</v>
      </c>
      <c r="C38" s="13">
        <v>47405</v>
      </c>
      <c r="D38" s="13">
        <v>26789</v>
      </c>
      <c r="E38" s="16">
        <v>43.5</v>
      </c>
    </row>
    <row r="39" spans="1:5">
      <c r="A39" s="15">
        <v>45658</v>
      </c>
      <c r="B39" s="13">
        <v>45387</v>
      </c>
      <c r="C39" s="13">
        <v>70837</v>
      </c>
      <c r="D39" s="13">
        <v>25450</v>
      </c>
      <c r="E39" s="16">
        <v>64.09999999999999</v>
      </c>
    </row>
    <row r="40" spans="1:5">
      <c r="A40" s="15">
        <v>45689</v>
      </c>
      <c r="B40" s="13">
        <v>4536</v>
      </c>
      <c r="C40" s="13">
        <v>26945</v>
      </c>
      <c r="D40" s="13">
        <v>22409</v>
      </c>
      <c r="E40" s="16">
        <v>16.8</v>
      </c>
    </row>
    <row r="41" spans="1:5">
      <c r="A41" s="15">
        <v>45717</v>
      </c>
      <c r="B41" s="13">
        <v>2384</v>
      </c>
      <c r="C41" s="13">
        <v>28850</v>
      </c>
      <c r="D41" s="13">
        <v>26466</v>
      </c>
      <c r="E41" s="16">
        <v>8.300000000000001</v>
      </c>
    </row>
    <row r="42" spans="1:5">
      <c r="A42" s="15">
        <v>45748</v>
      </c>
      <c r="B42" s="13">
        <v>1348</v>
      </c>
      <c r="C42" s="13">
        <v>28019</v>
      </c>
      <c r="D42" s="13">
        <v>26671</v>
      </c>
      <c r="E42" s="16">
        <v>4.8</v>
      </c>
    </row>
    <row r="43" spans="1:5">
      <c r="A43" s="15">
        <v>45778</v>
      </c>
      <c r="B43" s="13">
        <v>8</v>
      </c>
      <c r="C43" s="13">
        <v>32905</v>
      </c>
      <c r="D43" s="13">
        <v>32897</v>
      </c>
      <c r="E43" s="16">
        <v>0</v>
      </c>
    </row>
    <row r="44" spans="1:5">
      <c r="A44" s="15">
        <v>45809</v>
      </c>
      <c r="B44" s="13">
        <v>15</v>
      </c>
      <c r="C44" s="13">
        <v>29740</v>
      </c>
      <c r="D44" s="13">
        <v>29725</v>
      </c>
      <c r="E44" s="16">
        <v>0.1</v>
      </c>
    </row>
    <row r="45" spans="1:5">
      <c r="A45" s="15">
        <v>45839</v>
      </c>
      <c r="B45" s="13">
        <v>108</v>
      </c>
      <c r="C45" s="13">
        <v>26659</v>
      </c>
      <c r="D45" s="13">
        <v>26551</v>
      </c>
      <c r="E45" s="16">
        <v>0.4</v>
      </c>
    </row>
    <row r="46" spans="1:5">
      <c r="A46" s="15">
        <v>45870</v>
      </c>
      <c r="B46" s="13">
        <v>664</v>
      </c>
      <c r="C46" s="13">
        <v>32756</v>
      </c>
      <c r="D46" s="13">
        <v>32092</v>
      </c>
      <c r="E46" s="16">
        <v>2</v>
      </c>
    </row>
    <row r="47" spans="1:5">
      <c r="A47" s="15">
        <v>45901</v>
      </c>
      <c r="B47" s="13">
        <v>6408</v>
      </c>
      <c r="C47" s="13">
        <v>36142</v>
      </c>
      <c r="D47" s="13">
        <v>29734</v>
      </c>
      <c r="E47" s="16">
        <v>17.7</v>
      </c>
    </row>
    <row r="48" spans="1:5">
      <c r="A48" s="15">
        <v>45931</v>
      </c>
      <c r="B48" s="13">
        <v>18678</v>
      </c>
      <c r="C48" s="13">
        <v>49182</v>
      </c>
      <c r="D48" s="13">
        <v>30504</v>
      </c>
      <c r="E48" s="16">
        <v>38</v>
      </c>
    </row>
    <row r="49" spans="1:5">
      <c r="A49" s="15">
        <v>45962</v>
      </c>
      <c r="B49" s="13">
        <v>14670</v>
      </c>
      <c r="C49" s="13">
        <v>43928</v>
      </c>
      <c r="D49" s="13">
        <v>29258</v>
      </c>
      <c r="E49" s="16">
        <v>33.4</v>
      </c>
    </row>
    <row r="50" spans="1:5">
      <c r="A50" s="15">
        <v>45992</v>
      </c>
      <c r="B50" s="13">
        <v>29926</v>
      </c>
      <c r="C50" s="13">
        <v>57386</v>
      </c>
      <c r="D50" s="13">
        <v>27460</v>
      </c>
      <c r="E50" s="16">
        <v>52.1</v>
      </c>
    </row>
    <row r="51" spans="1:5">
      <c r="A51" s="15">
        <v>46023</v>
      </c>
      <c r="B51" s="13">
        <v>978</v>
      </c>
      <c r="C51" s="13">
        <v>28739</v>
      </c>
      <c r="D51" s="13">
        <v>27761</v>
      </c>
      <c r="E51" s="16">
        <v>3.4</v>
      </c>
    </row>
    <row r="52" spans="1:5">
      <c r="A52" s="15">
        <v>46054</v>
      </c>
      <c r="B52" s="13">
        <v>641</v>
      </c>
      <c r="C52" s="13">
        <v>26949</v>
      </c>
      <c r="D52" s="13">
        <v>26308</v>
      </c>
      <c r="E52" s="16">
        <v>2.4</v>
      </c>
    </row>
    <row r="53" spans="1:5">
      <c r="A53" s="15">
        <v>46082</v>
      </c>
      <c r="B53" s="13">
        <v>1591</v>
      </c>
      <c r="C53" s="13">
        <v>31823</v>
      </c>
      <c r="D53" s="13">
        <v>30232</v>
      </c>
      <c r="E53" s="16">
        <v>5</v>
      </c>
    </row>
    <row r="54" spans="1:5">
      <c r="A54" s="15">
        <v>46113</v>
      </c>
      <c r="B54" s="13">
        <v>1222</v>
      </c>
      <c r="C54" s="13">
        <v>30922</v>
      </c>
      <c r="D54" s="13">
        <v>29700</v>
      </c>
      <c r="E54" s="16">
        <v>4</v>
      </c>
    </row>
    <row r="55" spans="1:5">
      <c r="A55" s="15">
        <v>46143</v>
      </c>
      <c r="B55" s="13">
        <v>50</v>
      </c>
      <c r="C55" s="13">
        <v>37268</v>
      </c>
      <c r="D55" s="13">
        <v>37218</v>
      </c>
      <c r="E55" s="16">
        <v>0.1</v>
      </c>
    </row>
    <row r="56" spans="1:5">
      <c r="A56" s="15">
        <v>46174</v>
      </c>
      <c r="B56" s="13">
        <v>0</v>
      </c>
      <c r="C56" s="13">
        <v>34039</v>
      </c>
      <c r="D56" s="13">
        <v>34039</v>
      </c>
      <c r="E56" s="16">
        <v>0</v>
      </c>
    </row>
    <row r="57" spans="1:5">
      <c r="A57" s="15">
        <v>46204</v>
      </c>
      <c r="B57" s="13">
        <v>0</v>
      </c>
      <c r="C57" s="13">
        <v>29971</v>
      </c>
      <c r="D57" s="13">
        <v>29971</v>
      </c>
      <c r="E57" s="16">
        <v>0</v>
      </c>
    </row>
    <row r="58" spans="1:5">
      <c r="A58" s="15">
        <v>46235</v>
      </c>
      <c r="B58" s="13">
        <v>0</v>
      </c>
      <c r="C58" s="13">
        <v>30622</v>
      </c>
      <c r="D58" s="13">
        <v>30622</v>
      </c>
      <c r="E58" s="16">
        <v>0</v>
      </c>
    </row>
    <row r="59" spans="1:5">
      <c r="A59" s="15">
        <v>46266</v>
      </c>
      <c r="B59" s="13">
        <v>0</v>
      </c>
      <c r="C59" s="13">
        <v>3349</v>
      </c>
      <c r="D59" s="13">
        <v>3349</v>
      </c>
      <c r="E59" s="16">
        <v>0</v>
      </c>
    </row>
    <row r="81" spans="1:11" ht="118" customHeight="1">
      <c r="A81" s="12" t="s">
        <v>186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3" spans="1:11" ht="24" customHeight="1">
      <c r="A83" s="9" t="s">
        <v>187</v>
      </c>
      <c r="B83" s="9"/>
      <c r="C83" s="9"/>
      <c r="D83" s="9"/>
      <c r="E83" s="9"/>
      <c r="F83" s="9"/>
      <c r="G83" s="9"/>
      <c r="H83" s="9"/>
      <c r="I83" s="9"/>
      <c r="J83" s="9"/>
      <c r="K83" s="9"/>
    </row>
    <row r="85" spans="1:11" ht="30" customHeight="1">
      <c r="A85" s="10" t="s">
        <v>188</v>
      </c>
      <c r="B85" s="10" t="s">
        <v>189</v>
      </c>
      <c r="C85" s="10" t="s">
        <v>190</v>
      </c>
      <c r="D85" s="10" t="s">
        <v>184</v>
      </c>
    </row>
    <row r="86" spans="1:11">
      <c r="A86" s="7" t="s">
        <v>191</v>
      </c>
      <c r="B86" s="13">
        <v>446931</v>
      </c>
      <c r="C86" s="13">
        <v>111631</v>
      </c>
      <c r="D86" s="13">
        <v>335300</v>
      </c>
    </row>
    <row r="87" spans="1:11">
      <c r="A87" s="7" t="s">
        <v>192</v>
      </c>
      <c r="B87" s="13">
        <v>434617</v>
      </c>
      <c r="C87" s="13">
        <v>74160</v>
      </c>
      <c r="D87" s="13">
        <v>360457</v>
      </c>
    </row>
    <row r="90" spans="1:11" ht="70" customHeight="1">
      <c r="A90" s="12" t="s">
        <v>193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2" spans="1:11" ht="24" customHeight="1">
      <c r="A92" s="9" t="s">
        <v>194</v>
      </c>
      <c r="B92" s="9"/>
      <c r="C92" s="9"/>
      <c r="D92" s="9"/>
      <c r="E92" s="9"/>
      <c r="F92" s="9"/>
      <c r="G92" s="9"/>
      <c r="H92" s="9"/>
      <c r="I92" s="9"/>
      <c r="J92" s="9"/>
      <c r="K92" s="9"/>
    </row>
    <row r="94" spans="1:11" ht="30" customHeight="1">
      <c r="A94" s="10" t="s">
        <v>181</v>
      </c>
      <c r="B94" s="10" t="s">
        <v>91</v>
      </c>
      <c r="C94" s="10" t="s">
        <v>195</v>
      </c>
    </row>
    <row r="95" spans="1:11">
      <c r="A95" s="15">
        <v>45536</v>
      </c>
      <c r="B95" s="13">
        <v>232538</v>
      </c>
      <c r="C95" s="16">
        <v>98.02</v>
      </c>
    </row>
    <row r="96" spans="1:11">
      <c r="A96" s="15">
        <v>45566</v>
      </c>
      <c r="B96" s="13">
        <v>298345</v>
      </c>
      <c r="C96" s="16">
        <v>97.43000000000001</v>
      </c>
    </row>
    <row r="97" spans="1:3">
      <c r="A97" s="15">
        <v>45597</v>
      </c>
      <c r="B97" s="13">
        <v>281013</v>
      </c>
      <c r="C97" s="16">
        <v>97.78</v>
      </c>
    </row>
    <row r="98" spans="1:3">
      <c r="A98" s="15">
        <v>45627</v>
      </c>
      <c r="B98" s="13">
        <v>293333</v>
      </c>
      <c r="C98" s="16">
        <v>98.72</v>
      </c>
    </row>
    <row r="99" spans="1:3">
      <c r="A99" s="15">
        <v>45658</v>
      </c>
      <c r="B99" s="13">
        <v>302793</v>
      </c>
      <c r="C99" s="16">
        <v>99.14</v>
      </c>
    </row>
    <row r="100" spans="1:3">
      <c r="A100" s="15">
        <v>45689</v>
      </c>
      <c r="B100" s="13">
        <v>250828</v>
      </c>
      <c r="C100" s="16">
        <v>98.58</v>
      </c>
    </row>
    <row r="101" spans="1:3">
      <c r="A101" s="15">
        <v>45717</v>
      </c>
      <c r="B101" s="13">
        <v>278837</v>
      </c>
      <c r="C101" s="16">
        <v>98.56999999999999</v>
      </c>
    </row>
    <row r="102" spans="1:3">
      <c r="A102" s="15">
        <v>45748</v>
      </c>
      <c r="B102" s="13">
        <v>271201</v>
      </c>
      <c r="C102" s="16">
        <v>98.18000000000001</v>
      </c>
    </row>
    <row r="103" spans="1:3">
      <c r="A103" s="15">
        <v>45778</v>
      </c>
      <c r="B103" s="13">
        <v>295050</v>
      </c>
      <c r="C103" s="16">
        <v>98.48999999999999</v>
      </c>
    </row>
    <row r="104" spans="1:3">
      <c r="A104" s="15">
        <v>45809</v>
      </c>
      <c r="B104" s="13">
        <v>306427</v>
      </c>
      <c r="C104" s="16">
        <v>98.81</v>
      </c>
    </row>
    <row r="105" spans="1:3">
      <c r="A105" s="15">
        <v>45839</v>
      </c>
      <c r="B105" s="13">
        <v>315775</v>
      </c>
      <c r="C105" s="16">
        <v>98.7</v>
      </c>
    </row>
    <row r="106" spans="1:3">
      <c r="A106" s="15">
        <v>45870</v>
      </c>
      <c r="B106" s="13">
        <v>303375</v>
      </c>
      <c r="C106" s="16">
        <v>98.19</v>
      </c>
    </row>
    <row r="107" spans="1:3">
      <c r="A107" s="15">
        <v>45901</v>
      </c>
      <c r="B107" s="13">
        <v>296276</v>
      </c>
      <c r="C107" s="16">
        <v>97.73999999999999</v>
      </c>
    </row>
    <row r="108" spans="1:3">
      <c r="A108" s="15">
        <v>45931</v>
      </c>
      <c r="B108" s="13">
        <v>317934</v>
      </c>
      <c r="C108" s="16">
        <v>97.77</v>
      </c>
    </row>
    <row r="109" spans="1:3">
      <c r="A109" s="15">
        <v>45962</v>
      </c>
      <c r="B109" s="13">
        <v>290235</v>
      </c>
      <c r="C109" s="16">
        <v>98.43000000000001</v>
      </c>
    </row>
    <row r="110" spans="1:3">
      <c r="A110" s="15">
        <v>45992</v>
      </c>
      <c r="B110" s="13">
        <v>302177</v>
      </c>
      <c r="C110" s="16">
        <v>98.37</v>
      </c>
    </row>
    <row r="111" spans="1:3">
      <c r="A111" s="15">
        <v>46023</v>
      </c>
      <c r="B111" s="13">
        <v>347533</v>
      </c>
      <c r="C111" s="16">
        <v>97.55</v>
      </c>
    </row>
    <row r="112" spans="1:3">
      <c r="A112" s="15">
        <v>46054</v>
      </c>
      <c r="B112" s="13">
        <v>334049</v>
      </c>
      <c r="C112" s="16">
        <v>96.75</v>
      </c>
    </row>
    <row r="113" spans="1:3">
      <c r="A113" s="15">
        <v>46082</v>
      </c>
      <c r="B113" s="13">
        <v>340796</v>
      </c>
      <c r="C113" s="16">
        <v>96.58</v>
      </c>
    </row>
    <row r="114" spans="1:3">
      <c r="A114" s="15">
        <v>46113</v>
      </c>
      <c r="B114" s="13">
        <v>300968</v>
      </c>
      <c r="C114" s="16">
        <v>96.42</v>
      </c>
    </row>
    <row r="115" spans="1:3">
      <c r="A115" s="15">
        <v>46143</v>
      </c>
      <c r="B115" s="13">
        <v>331928</v>
      </c>
      <c r="C115" s="16">
        <v>95.81999999999999</v>
      </c>
    </row>
    <row r="116" spans="1:3">
      <c r="A116" s="15">
        <v>46174</v>
      </c>
      <c r="B116" s="13">
        <v>334833</v>
      </c>
      <c r="C116" s="16">
        <v>95.01000000000001</v>
      </c>
    </row>
    <row r="117" spans="1:3">
      <c r="A117" s="15">
        <v>46204</v>
      </c>
      <c r="B117" s="13">
        <v>343043</v>
      </c>
      <c r="C117" s="16">
        <v>92.25</v>
      </c>
    </row>
    <row r="118" spans="1:3">
      <c r="A118" s="15">
        <v>46235</v>
      </c>
      <c r="B118" s="13">
        <v>328446</v>
      </c>
      <c r="C118" s="16">
        <v>85.73</v>
      </c>
    </row>
    <row r="119" spans="1:3">
      <c r="A119" s="15">
        <v>46266</v>
      </c>
      <c r="B119" s="13">
        <v>41974</v>
      </c>
      <c r="C119" s="16">
        <v>61.48</v>
      </c>
    </row>
    <row r="139" spans="1:11" ht="86" customHeight="1">
      <c r="A139" s="12" t="s">
        <v>196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</sheetData>
  <mergeCells count="11">
    <mergeCell ref="A1:K1"/>
    <mergeCell ref="A17:K17"/>
    <mergeCell ref="A19:K19"/>
    <mergeCell ref="A21:K21"/>
    <mergeCell ref="A30:K30"/>
    <mergeCell ref="A32:K32"/>
    <mergeCell ref="A81:K81"/>
    <mergeCell ref="A83:K83"/>
    <mergeCell ref="A90:K90"/>
    <mergeCell ref="A92:K92"/>
    <mergeCell ref="A139:K1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"/>
  <sheetViews>
    <sheetView showGridLines="0" workbookViewId="0"/>
  </sheetViews>
  <sheetFormatPr defaultRowHeight="15"/>
  <cols>
    <col min="1" max="1" width="30.7109375" customWidth="1"/>
    <col min="2" max="4" width="14.7109375" customWidth="1"/>
    <col min="5" max="5" width="22.7109375" customWidth="1"/>
    <col min="8" max="9" width="12.7109375" customWidth="1"/>
  </cols>
  <sheetData>
    <row r="1" spans="1:11" ht="3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198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181</v>
      </c>
      <c r="B5" s="10" t="s">
        <v>91</v>
      </c>
      <c r="C5" s="10" t="s">
        <v>199</v>
      </c>
      <c r="D5" s="10" t="s">
        <v>200</v>
      </c>
      <c r="E5" s="10" t="s">
        <v>201</v>
      </c>
    </row>
    <row r="6" spans="1:11">
      <c r="A6" s="15">
        <v>45536</v>
      </c>
      <c r="B6" s="13">
        <v>232538</v>
      </c>
      <c r="C6" s="13">
        <v>9689</v>
      </c>
      <c r="D6" s="16">
        <v>99.12</v>
      </c>
      <c r="E6" s="11" t="s">
        <v>202</v>
      </c>
    </row>
    <row r="7" spans="1:11">
      <c r="A7" s="15">
        <v>45566</v>
      </c>
      <c r="B7" s="13">
        <v>298345</v>
      </c>
      <c r="C7" s="13">
        <v>9624</v>
      </c>
      <c r="D7" s="16">
        <v>98.48</v>
      </c>
      <c r="E7" s="11" t="s">
        <v>203</v>
      </c>
    </row>
    <row r="8" spans="1:11">
      <c r="A8" s="15">
        <v>45597</v>
      </c>
      <c r="B8" s="13">
        <v>281013</v>
      </c>
      <c r="C8" s="13">
        <v>9367</v>
      </c>
      <c r="D8" s="16">
        <v>98.48999999999999</v>
      </c>
      <c r="E8" s="11" t="s">
        <v>203</v>
      </c>
    </row>
    <row r="9" spans="1:11">
      <c r="A9" s="15">
        <v>45627</v>
      </c>
      <c r="B9" s="13">
        <v>293333</v>
      </c>
      <c r="C9" s="13">
        <v>9462</v>
      </c>
      <c r="D9" s="16">
        <v>99.06</v>
      </c>
      <c r="E9" s="11" t="s">
        <v>203</v>
      </c>
    </row>
    <row r="10" spans="1:11">
      <c r="A10" s="15">
        <v>45658</v>
      </c>
      <c r="B10" s="13">
        <v>302793</v>
      </c>
      <c r="C10" s="13">
        <v>9768</v>
      </c>
      <c r="D10" s="16">
        <v>99.39</v>
      </c>
      <c r="E10" s="11" t="s">
        <v>203</v>
      </c>
    </row>
    <row r="11" spans="1:11">
      <c r="A11" s="15">
        <v>45689</v>
      </c>
      <c r="B11" s="13">
        <v>250828</v>
      </c>
      <c r="C11" s="13">
        <v>8958</v>
      </c>
      <c r="D11" s="16">
        <v>98.8</v>
      </c>
      <c r="E11" s="11" t="s">
        <v>203</v>
      </c>
    </row>
    <row r="12" spans="1:11">
      <c r="A12" s="15">
        <v>45717</v>
      </c>
      <c r="B12" s="13">
        <v>278837</v>
      </c>
      <c r="C12" s="13">
        <v>8995</v>
      </c>
      <c r="D12" s="16">
        <v>99.04000000000001</v>
      </c>
      <c r="E12" s="11" t="s">
        <v>203</v>
      </c>
    </row>
    <row r="13" spans="1:11">
      <c r="A13" s="15">
        <v>45748</v>
      </c>
      <c r="B13" s="13">
        <v>271201</v>
      </c>
      <c r="C13" s="13">
        <v>9040</v>
      </c>
      <c r="D13" s="16">
        <v>98.83</v>
      </c>
      <c r="E13" s="11" t="s">
        <v>203</v>
      </c>
    </row>
    <row r="14" spans="1:11">
      <c r="A14" s="15">
        <v>45778</v>
      </c>
      <c r="B14" s="13">
        <v>295050</v>
      </c>
      <c r="C14" s="13">
        <v>9518</v>
      </c>
      <c r="D14" s="16">
        <v>98.54000000000001</v>
      </c>
      <c r="E14" s="11" t="s">
        <v>203</v>
      </c>
    </row>
    <row r="15" spans="1:11">
      <c r="A15" s="15">
        <v>45809</v>
      </c>
      <c r="B15" s="13">
        <v>306427</v>
      </c>
      <c r="C15" s="13">
        <v>10214</v>
      </c>
      <c r="D15" s="16">
        <v>98.70999999999999</v>
      </c>
      <c r="E15" s="11" t="s">
        <v>203</v>
      </c>
    </row>
    <row r="16" spans="1:11">
      <c r="A16" s="15">
        <v>45839</v>
      </c>
      <c r="B16" s="13">
        <v>315775</v>
      </c>
      <c r="C16" s="13">
        <v>10186</v>
      </c>
      <c r="D16" s="16">
        <v>98.56999999999999</v>
      </c>
      <c r="E16" s="11" t="s">
        <v>203</v>
      </c>
    </row>
    <row r="17" spans="1:9">
      <c r="A17" s="15">
        <v>45870</v>
      </c>
      <c r="B17" s="13">
        <v>303375</v>
      </c>
      <c r="C17" s="13">
        <v>9786</v>
      </c>
      <c r="D17" s="16">
        <v>98.06999999999999</v>
      </c>
      <c r="E17" s="11" t="s">
        <v>203</v>
      </c>
    </row>
    <row r="18" spans="1:9">
      <c r="A18" s="15">
        <v>45901</v>
      </c>
      <c r="B18" s="13">
        <v>296276</v>
      </c>
      <c r="C18" s="13">
        <v>9876</v>
      </c>
      <c r="D18" s="16">
        <v>97.59</v>
      </c>
      <c r="E18" s="11" t="s">
        <v>203</v>
      </c>
    </row>
    <row r="19" spans="1:9">
      <c r="A19" s="15">
        <v>45931</v>
      </c>
      <c r="B19" s="13">
        <v>317934</v>
      </c>
      <c r="C19" s="13">
        <v>10256</v>
      </c>
      <c r="D19" s="16">
        <v>97.64</v>
      </c>
      <c r="E19" s="11" t="s">
        <v>203</v>
      </c>
    </row>
    <row r="20" spans="1:9">
      <c r="A20" s="15">
        <v>45962</v>
      </c>
      <c r="B20" s="13">
        <v>290235</v>
      </c>
      <c r="C20" s="13">
        <v>9675</v>
      </c>
      <c r="D20" s="16">
        <v>98.31999999999999</v>
      </c>
      <c r="E20" s="11" t="s">
        <v>203</v>
      </c>
    </row>
    <row r="21" spans="1:9">
      <c r="A21" s="15">
        <v>45992</v>
      </c>
      <c r="B21" s="13">
        <v>302177</v>
      </c>
      <c r="C21" s="13">
        <v>9748</v>
      </c>
      <c r="D21" s="16">
        <v>98.23</v>
      </c>
      <c r="E21" s="11" t="s">
        <v>203</v>
      </c>
    </row>
    <row r="22" spans="1:9">
      <c r="A22" s="15">
        <v>46023</v>
      </c>
      <c r="B22" s="13">
        <v>347533</v>
      </c>
      <c r="C22" s="13">
        <v>11211</v>
      </c>
      <c r="D22" s="16">
        <v>97.31999999999999</v>
      </c>
      <c r="E22" s="11" t="s">
        <v>203</v>
      </c>
    </row>
    <row r="23" spans="1:9">
      <c r="A23" s="15">
        <v>46054</v>
      </c>
      <c r="B23" s="13">
        <v>334049</v>
      </c>
      <c r="C23" s="13">
        <v>11930</v>
      </c>
      <c r="D23" s="16">
        <v>96.08</v>
      </c>
      <c r="E23" s="11" t="s">
        <v>203</v>
      </c>
    </row>
    <row r="24" spans="1:9">
      <c r="A24" s="15">
        <v>46082</v>
      </c>
      <c r="B24" s="13">
        <v>340796</v>
      </c>
      <c r="C24" s="13">
        <v>10993</v>
      </c>
      <c r="D24" s="16">
        <v>96.20999999999999</v>
      </c>
      <c r="E24" s="11" t="s">
        <v>203</v>
      </c>
    </row>
    <row r="25" spans="1:9">
      <c r="A25" s="15">
        <v>46113</v>
      </c>
      <c r="B25" s="13">
        <v>300968</v>
      </c>
      <c r="C25" s="13">
        <v>10032</v>
      </c>
      <c r="D25" s="16">
        <v>95.98</v>
      </c>
      <c r="E25" s="11" t="s">
        <v>203</v>
      </c>
    </row>
    <row r="26" spans="1:9">
      <c r="A26" s="15">
        <v>46143</v>
      </c>
      <c r="B26" s="13">
        <v>331928</v>
      </c>
      <c r="C26" s="13">
        <v>10707</v>
      </c>
      <c r="D26" s="16">
        <v>95.34</v>
      </c>
      <c r="E26" s="11" t="s">
        <v>203</v>
      </c>
    </row>
    <row r="27" spans="1:9">
      <c r="A27" s="15">
        <v>46174</v>
      </c>
      <c r="B27" s="13">
        <v>334833</v>
      </c>
      <c r="C27" s="13">
        <v>11161</v>
      </c>
      <c r="D27" s="16">
        <v>94.43000000000001</v>
      </c>
      <c r="E27" s="11" t="s">
        <v>203</v>
      </c>
    </row>
    <row r="28" spans="1:9">
      <c r="A28" s="15">
        <v>46204</v>
      </c>
      <c r="B28" s="13">
        <v>343043</v>
      </c>
      <c r="C28" s="13">
        <v>11066</v>
      </c>
      <c r="D28" s="16">
        <v>91.27</v>
      </c>
      <c r="E28" s="11" t="s">
        <v>203</v>
      </c>
    </row>
    <row r="29" spans="1:9">
      <c r="A29" s="15">
        <v>46235</v>
      </c>
      <c r="B29" s="13">
        <v>328446</v>
      </c>
      <c r="C29" s="13">
        <v>10595</v>
      </c>
      <c r="D29" s="16">
        <v>83.81</v>
      </c>
      <c r="E29" s="11" t="s">
        <v>203</v>
      </c>
    </row>
    <row r="30" spans="1:9">
      <c r="A30" s="15">
        <v>46266</v>
      </c>
      <c r="B30" s="13">
        <v>41974</v>
      </c>
      <c r="C30" s="13">
        <v>8395</v>
      </c>
      <c r="D30" s="16">
        <v>58.51</v>
      </c>
      <c r="E30" s="11" t="s">
        <v>202</v>
      </c>
    </row>
    <row r="32" spans="1:9">
      <c r="H32" s="12" t="s">
        <v>204</v>
      </c>
      <c r="I32" s="12"/>
    </row>
    <row r="33" spans="8:9" ht="30" customHeight="1">
      <c r="H33" s="10" t="s">
        <v>181</v>
      </c>
      <c r="I33" s="10" t="s">
        <v>91</v>
      </c>
    </row>
    <row r="34" spans="8:9">
      <c r="H34" s="15">
        <v>45566</v>
      </c>
      <c r="I34" s="13">
        <v>298345</v>
      </c>
    </row>
    <row r="35" spans="8:9">
      <c r="H35" s="15">
        <v>45597</v>
      </c>
      <c r="I35" s="13">
        <v>281013</v>
      </c>
    </row>
    <row r="36" spans="8:9">
      <c r="H36" s="15">
        <v>45627</v>
      </c>
      <c r="I36" s="13">
        <v>293333</v>
      </c>
    </row>
    <row r="37" spans="8:9">
      <c r="H37" s="15">
        <v>45658</v>
      </c>
      <c r="I37" s="13">
        <v>302793</v>
      </c>
    </row>
    <row r="38" spans="8:9">
      <c r="H38" s="15">
        <v>45689</v>
      </c>
      <c r="I38" s="13">
        <v>250828</v>
      </c>
    </row>
    <row r="39" spans="8:9">
      <c r="H39" s="15">
        <v>45717</v>
      </c>
      <c r="I39" s="13">
        <v>278837</v>
      </c>
    </row>
    <row r="40" spans="8:9">
      <c r="H40" s="15">
        <v>45748</v>
      </c>
      <c r="I40" s="13">
        <v>271201</v>
      </c>
    </row>
    <row r="41" spans="8:9">
      <c r="H41" s="15">
        <v>45778</v>
      </c>
      <c r="I41" s="13">
        <v>295050</v>
      </c>
    </row>
    <row r="42" spans="8:9">
      <c r="H42" s="15">
        <v>45809</v>
      </c>
      <c r="I42" s="13">
        <v>306427</v>
      </c>
    </row>
    <row r="43" spans="8:9">
      <c r="H43" s="15">
        <v>45839</v>
      </c>
      <c r="I43" s="13">
        <v>315775</v>
      </c>
    </row>
    <row r="44" spans="8:9">
      <c r="H44" s="15">
        <v>45870</v>
      </c>
      <c r="I44" s="13">
        <v>303375</v>
      </c>
    </row>
    <row r="45" spans="8:9">
      <c r="H45" s="15">
        <v>45901</v>
      </c>
      <c r="I45" s="13">
        <v>296276</v>
      </c>
    </row>
    <row r="46" spans="8:9">
      <c r="H46" s="15">
        <v>45931</v>
      </c>
      <c r="I46" s="13">
        <v>317934</v>
      </c>
    </row>
    <row r="47" spans="8:9">
      <c r="H47" s="15">
        <v>45962</v>
      </c>
      <c r="I47" s="13">
        <v>290235</v>
      </c>
    </row>
    <row r="48" spans="8:9">
      <c r="H48" s="15">
        <v>45992</v>
      </c>
      <c r="I48" s="13">
        <v>302177</v>
      </c>
    </row>
    <row r="49" spans="8:9">
      <c r="H49" s="15">
        <v>46023</v>
      </c>
      <c r="I49" s="13">
        <v>347533</v>
      </c>
    </row>
    <row r="50" spans="8:9">
      <c r="H50" s="15">
        <v>46054</v>
      </c>
      <c r="I50" s="13">
        <v>334049</v>
      </c>
    </row>
    <row r="51" spans="8:9">
      <c r="H51" s="15">
        <v>46082</v>
      </c>
      <c r="I51" s="13">
        <v>340796</v>
      </c>
    </row>
    <row r="52" spans="8:9">
      <c r="H52" s="15">
        <v>46113</v>
      </c>
      <c r="I52" s="13">
        <v>300968</v>
      </c>
    </row>
    <row r="53" spans="8:9">
      <c r="H53" s="15">
        <v>46143</v>
      </c>
      <c r="I53" s="13">
        <v>331928</v>
      </c>
    </row>
    <row r="54" spans="8:9">
      <c r="H54" s="15">
        <v>46174</v>
      </c>
      <c r="I54" s="13">
        <v>334833</v>
      </c>
    </row>
    <row r="55" spans="8:9">
      <c r="H55" s="15">
        <v>46204</v>
      </c>
      <c r="I55" s="13">
        <v>343043</v>
      </c>
    </row>
    <row r="56" spans="8:9">
      <c r="H56" s="15">
        <v>46235</v>
      </c>
      <c r="I56" s="13">
        <v>328446</v>
      </c>
    </row>
    <row r="77" spans="1:11" ht="54" customHeight="1">
      <c r="A77" s="12" t="s">
        <v>205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9" spans="1:11" ht="24" customHeight="1">
      <c r="A79" s="9" t="s">
        <v>206</v>
      </c>
      <c r="B79" s="9"/>
      <c r="C79" s="9"/>
      <c r="D79" s="9"/>
      <c r="E79" s="9"/>
      <c r="F79" s="9"/>
      <c r="G79" s="9"/>
      <c r="H79" s="9"/>
      <c r="I79" s="9"/>
      <c r="J79" s="9"/>
      <c r="K79" s="9"/>
    </row>
    <row r="81" spans="1:11" ht="30" customHeight="1">
      <c r="A81" s="10" t="s">
        <v>188</v>
      </c>
      <c r="B81" s="10" t="s">
        <v>91</v>
      </c>
      <c r="C81" s="10" t="s">
        <v>207</v>
      </c>
      <c r="D81" s="10" t="s">
        <v>199</v>
      </c>
    </row>
    <row r="82" spans="1:11">
      <c r="A82" s="7" t="s">
        <v>208</v>
      </c>
      <c r="B82" s="13">
        <v>3488583</v>
      </c>
      <c r="C82" s="13">
        <v>365</v>
      </c>
      <c r="D82" s="17">
        <v>9557.799999999999</v>
      </c>
    </row>
    <row r="83" spans="1:11">
      <c r="A83" s="7" t="s">
        <v>209</v>
      </c>
      <c r="B83" s="13">
        <v>3851124</v>
      </c>
      <c r="C83" s="13">
        <v>364</v>
      </c>
      <c r="D83" s="17">
        <v>10580</v>
      </c>
    </row>
    <row r="86" spans="1:11" ht="102" customHeight="1">
      <c r="A86" s="12" t="s">
        <v>210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</row>
  </sheetData>
  <mergeCells count="6">
    <mergeCell ref="A1:K1"/>
    <mergeCell ref="A3:K3"/>
    <mergeCell ref="H32:I32"/>
    <mergeCell ref="A77:K77"/>
    <mergeCell ref="A79:K79"/>
    <mergeCell ref="A86:K8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2"/>
  <sheetViews>
    <sheetView showGridLines="0" workbookViewId="0"/>
  </sheetViews>
  <sheetFormatPr defaultRowHeight="15"/>
  <cols>
    <col min="1" max="1" width="30.7109375" customWidth="1"/>
    <col min="2" max="2" width="44.7109375" customWidth="1"/>
    <col min="3" max="3" width="18.7109375" customWidth="1"/>
    <col min="4" max="5" width="26.7109375" customWidth="1"/>
    <col min="6" max="7" width="14.7109375" customWidth="1"/>
  </cols>
  <sheetData>
    <row r="1" spans="1:11" ht="24" customHeight="1">
      <c r="A1" s="9" t="s">
        <v>211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>
      <c r="A3" s="10" t="s">
        <v>169</v>
      </c>
      <c r="B3" s="10" t="s">
        <v>212</v>
      </c>
      <c r="C3" s="10" t="s">
        <v>213</v>
      </c>
      <c r="D3" s="10" t="s">
        <v>214</v>
      </c>
      <c r="E3" s="10" t="s">
        <v>215</v>
      </c>
      <c r="F3" s="10" t="s">
        <v>216</v>
      </c>
    </row>
    <row r="4" spans="1:11">
      <c r="A4" s="7" t="s">
        <v>217</v>
      </c>
      <c r="B4" s="13">
        <v>293973</v>
      </c>
      <c r="C4" s="13">
        <v>357621</v>
      </c>
      <c r="D4" s="13">
        <v>63648</v>
      </c>
      <c r="E4" s="16">
        <v>21.7</v>
      </c>
      <c r="F4" s="16">
        <v>17.6</v>
      </c>
    </row>
    <row r="5" spans="1:11">
      <c r="A5" s="7" t="s">
        <v>218</v>
      </c>
      <c r="B5" s="13">
        <v>550742</v>
      </c>
      <c r="C5" s="13">
        <v>608311</v>
      </c>
      <c r="D5" s="13">
        <v>57569</v>
      </c>
      <c r="E5" s="16">
        <v>10.5</v>
      </c>
      <c r="F5" s="16">
        <v>15.9</v>
      </c>
    </row>
    <row r="6" spans="1:11">
      <c r="A6" s="7" t="s">
        <v>219</v>
      </c>
      <c r="B6" s="13">
        <v>8808</v>
      </c>
      <c r="C6" s="13">
        <v>63938</v>
      </c>
      <c r="D6" s="13">
        <v>55130</v>
      </c>
      <c r="E6" s="16">
        <v>625.9</v>
      </c>
      <c r="F6" s="16">
        <v>15.2</v>
      </c>
    </row>
    <row r="7" spans="1:11">
      <c r="A7" s="7" t="s">
        <v>220</v>
      </c>
      <c r="B7" s="13">
        <v>69370</v>
      </c>
      <c r="C7" s="13">
        <v>118298</v>
      </c>
      <c r="D7" s="13">
        <v>48928</v>
      </c>
      <c r="E7" s="16">
        <v>70.5</v>
      </c>
      <c r="F7" s="16">
        <v>13.5</v>
      </c>
    </row>
    <row r="8" spans="1:11">
      <c r="A8" s="7" t="s">
        <v>178</v>
      </c>
      <c r="B8" s="13">
        <v>335300</v>
      </c>
      <c r="C8" s="13">
        <v>360457</v>
      </c>
      <c r="D8" s="13">
        <v>25157</v>
      </c>
      <c r="E8" s="16">
        <v>7.5</v>
      </c>
      <c r="F8" s="16">
        <v>6.9</v>
      </c>
    </row>
    <row r="9" spans="1:11">
      <c r="A9" s="7" t="s">
        <v>221</v>
      </c>
      <c r="B9" s="13">
        <v>170066</v>
      </c>
      <c r="C9" s="13">
        <v>192576</v>
      </c>
      <c r="D9" s="13">
        <v>22510</v>
      </c>
      <c r="E9" s="16">
        <v>13.2</v>
      </c>
      <c r="F9" s="16">
        <v>6.2</v>
      </c>
    </row>
    <row r="10" spans="1:11">
      <c r="A10" s="7" t="s">
        <v>222</v>
      </c>
      <c r="B10" s="13">
        <v>30273</v>
      </c>
      <c r="C10" s="13">
        <v>10921</v>
      </c>
      <c r="D10" s="13">
        <v>-19352</v>
      </c>
      <c r="E10" s="16">
        <v>-63.9</v>
      </c>
      <c r="F10" s="16">
        <v>-5.3</v>
      </c>
    </row>
    <row r="11" spans="1:11">
      <c r="A11" s="7" t="s">
        <v>223</v>
      </c>
      <c r="B11" s="13">
        <v>115758</v>
      </c>
      <c r="C11" s="13">
        <v>133688</v>
      </c>
      <c r="D11" s="13">
        <v>17930</v>
      </c>
      <c r="E11" s="16">
        <v>15.5</v>
      </c>
      <c r="F11" s="16">
        <v>4.9</v>
      </c>
    </row>
    <row r="12" spans="1:11">
      <c r="A12" s="7" t="s">
        <v>224</v>
      </c>
      <c r="B12" s="13">
        <v>26780</v>
      </c>
      <c r="C12" s="13">
        <v>42443</v>
      </c>
      <c r="D12" s="13">
        <v>15663</v>
      </c>
      <c r="E12" s="16">
        <v>58.5</v>
      </c>
      <c r="F12" s="16">
        <v>4.3</v>
      </c>
    </row>
    <row r="13" spans="1:11">
      <c r="A13" s="7" t="s">
        <v>225</v>
      </c>
      <c r="B13" s="13">
        <v>67733</v>
      </c>
      <c r="C13" s="13">
        <v>82963</v>
      </c>
      <c r="D13" s="13">
        <v>15230</v>
      </c>
      <c r="E13" s="16">
        <v>22.5</v>
      </c>
      <c r="F13" s="16">
        <v>4.2</v>
      </c>
    </row>
    <row r="14" spans="1:11">
      <c r="A14" s="7" t="s">
        <v>226</v>
      </c>
      <c r="B14" s="13">
        <v>28941</v>
      </c>
      <c r="C14" s="13">
        <v>15823</v>
      </c>
      <c r="D14" s="13">
        <v>-13118</v>
      </c>
      <c r="E14" s="16">
        <v>-45.3</v>
      </c>
      <c r="F14" s="16">
        <v>-3.6</v>
      </c>
    </row>
    <row r="15" spans="1:11">
      <c r="A15" s="7" t="s">
        <v>227</v>
      </c>
      <c r="B15" s="13">
        <v>9</v>
      </c>
      <c r="C15" s="13">
        <v>12043</v>
      </c>
      <c r="D15" s="13">
        <v>12034</v>
      </c>
      <c r="E15" s="16"/>
      <c r="F15" s="16">
        <v>3.3</v>
      </c>
    </row>
    <row r="16" spans="1:11">
      <c r="A16" s="7" t="s">
        <v>228</v>
      </c>
      <c r="B16" s="13">
        <v>35335</v>
      </c>
      <c r="C16" s="13">
        <v>25107</v>
      </c>
      <c r="D16" s="13">
        <v>-10228</v>
      </c>
      <c r="E16" s="16">
        <v>-28.9</v>
      </c>
      <c r="F16" s="16">
        <v>-2.8</v>
      </c>
    </row>
    <row r="17" spans="1:6">
      <c r="A17" s="7" t="s">
        <v>229</v>
      </c>
      <c r="B17" s="13">
        <v>31850</v>
      </c>
      <c r="C17" s="13">
        <v>41888</v>
      </c>
      <c r="D17" s="13">
        <v>10038</v>
      </c>
      <c r="E17" s="16">
        <v>31.5</v>
      </c>
      <c r="F17" s="16">
        <v>2.8</v>
      </c>
    </row>
    <row r="18" spans="1:6">
      <c r="A18" s="7" t="s">
        <v>230</v>
      </c>
      <c r="B18" s="13">
        <v>47786</v>
      </c>
      <c r="C18" s="13">
        <v>57005</v>
      </c>
      <c r="D18" s="13">
        <v>9219</v>
      </c>
      <c r="E18" s="16">
        <v>19.3</v>
      </c>
      <c r="F18" s="16">
        <v>2.5</v>
      </c>
    </row>
    <row r="19" spans="1:6">
      <c r="A19" s="7" t="s">
        <v>231</v>
      </c>
      <c r="B19" s="13">
        <v>37345</v>
      </c>
      <c r="C19" s="13">
        <v>46550</v>
      </c>
      <c r="D19" s="13">
        <v>9205</v>
      </c>
      <c r="E19" s="16">
        <v>24.6</v>
      </c>
      <c r="F19" s="16">
        <v>2.5</v>
      </c>
    </row>
    <row r="20" spans="1:6">
      <c r="A20" s="7" t="s">
        <v>232</v>
      </c>
      <c r="B20" s="13">
        <v>45803</v>
      </c>
      <c r="C20" s="13">
        <v>36737</v>
      </c>
      <c r="D20" s="13">
        <v>-9066</v>
      </c>
      <c r="E20" s="16">
        <v>-19.8</v>
      </c>
      <c r="F20" s="16">
        <v>-2.5</v>
      </c>
    </row>
    <row r="21" spans="1:6">
      <c r="A21" s="7" t="s">
        <v>233</v>
      </c>
      <c r="B21" s="13">
        <v>22810</v>
      </c>
      <c r="C21" s="13">
        <v>13966</v>
      </c>
      <c r="D21" s="13">
        <v>-8844</v>
      </c>
      <c r="E21" s="16">
        <v>-38.8</v>
      </c>
      <c r="F21" s="16">
        <v>-2.4</v>
      </c>
    </row>
    <row r="22" spans="1:6">
      <c r="A22" s="7" t="s">
        <v>234</v>
      </c>
      <c r="B22" s="13">
        <v>58659</v>
      </c>
      <c r="C22" s="13">
        <v>66906</v>
      </c>
      <c r="D22" s="13">
        <v>8247</v>
      </c>
      <c r="E22" s="16">
        <v>14.1</v>
      </c>
      <c r="F22" s="16">
        <v>2.3</v>
      </c>
    </row>
    <row r="23" spans="1:6">
      <c r="A23" s="7" t="s">
        <v>235</v>
      </c>
      <c r="B23" s="13">
        <v>44620</v>
      </c>
      <c r="C23" s="13">
        <v>52259</v>
      </c>
      <c r="D23" s="13">
        <v>7639</v>
      </c>
      <c r="E23" s="16">
        <v>17.1</v>
      </c>
      <c r="F23" s="16">
        <v>2.1</v>
      </c>
    </row>
    <row r="59" spans="1:11" ht="166" customHeight="1">
      <c r="A59" s="12" t="s">
        <v>236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1" spans="1:11" ht="24" customHeight="1">
      <c r="A61" s="9" t="s">
        <v>237</v>
      </c>
      <c r="B61" s="9"/>
      <c r="C61" s="9"/>
      <c r="D61" s="9"/>
      <c r="E61" s="9"/>
      <c r="F61" s="9"/>
      <c r="G61" s="9"/>
      <c r="H61" s="9"/>
      <c r="I61" s="9"/>
      <c r="J61" s="9"/>
      <c r="K61" s="9"/>
    </row>
    <row r="63" spans="1:11" ht="30" customHeight="1">
      <c r="A63" s="10" t="s">
        <v>238</v>
      </c>
      <c r="B63" s="10" t="s">
        <v>239</v>
      </c>
      <c r="C63" s="10" t="s">
        <v>212</v>
      </c>
      <c r="D63" s="10" t="s">
        <v>213</v>
      </c>
      <c r="E63" s="10" t="s">
        <v>214</v>
      </c>
      <c r="F63" s="10" t="s">
        <v>215</v>
      </c>
      <c r="G63" s="10" t="s">
        <v>216</v>
      </c>
    </row>
    <row r="64" spans="1:11">
      <c r="A64" s="7" t="s">
        <v>240</v>
      </c>
      <c r="B64" s="11" t="s">
        <v>256</v>
      </c>
      <c r="C64" s="13">
        <v>743317</v>
      </c>
      <c r="D64" s="13">
        <v>890266</v>
      </c>
      <c r="E64" s="13">
        <v>146949</v>
      </c>
      <c r="F64" s="16">
        <v>19.8</v>
      </c>
      <c r="G64" s="16">
        <v>40.5</v>
      </c>
    </row>
    <row r="65" spans="1:7">
      <c r="A65" s="7" t="s">
        <v>241</v>
      </c>
      <c r="B65" s="11" t="s">
        <v>257</v>
      </c>
      <c r="C65" s="13">
        <v>1569493</v>
      </c>
      <c r="D65" s="13">
        <v>1648667</v>
      </c>
      <c r="E65" s="13">
        <v>79174</v>
      </c>
      <c r="F65" s="16">
        <v>5</v>
      </c>
      <c r="G65" s="16">
        <v>21.8</v>
      </c>
    </row>
    <row r="66" spans="1:7">
      <c r="A66" s="7" t="s">
        <v>242</v>
      </c>
      <c r="B66" s="11" t="s">
        <v>258</v>
      </c>
      <c r="C66" s="13">
        <v>208714</v>
      </c>
      <c r="D66" s="13">
        <v>276426</v>
      </c>
      <c r="E66" s="13">
        <v>67712</v>
      </c>
      <c r="F66" s="16">
        <v>32.4</v>
      </c>
      <c r="G66" s="16">
        <v>18.7</v>
      </c>
    </row>
    <row r="67" spans="1:7">
      <c r="A67" s="7" t="s">
        <v>243</v>
      </c>
      <c r="B67" s="11" t="s">
        <v>259</v>
      </c>
      <c r="C67" s="13">
        <v>327682</v>
      </c>
      <c r="D67" s="13">
        <v>358756</v>
      </c>
      <c r="E67" s="13">
        <v>31074</v>
      </c>
      <c r="F67" s="16">
        <v>9.5</v>
      </c>
      <c r="G67" s="16">
        <v>8.6</v>
      </c>
    </row>
    <row r="68" spans="1:7">
      <c r="A68" s="7" t="s">
        <v>244</v>
      </c>
      <c r="B68" s="11" t="s">
        <v>260</v>
      </c>
      <c r="C68" s="13">
        <v>110601</v>
      </c>
      <c r="D68" s="13">
        <v>133422</v>
      </c>
      <c r="E68" s="13">
        <v>22821</v>
      </c>
      <c r="F68" s="16">
        <v>20.6</v>
      </c>
      <c r="G68" s="16">
        <v>6.3</v>
      </c>
    </row>
    <row r="69" spans="1:7">
      <c r="A69" s="7" t="s">
        <v>245</v>
      </c>
      <c r="B69" s="11" t="s">
        <v>261</v>
      </c>
      <c r="C69" s="13">
        <v>101248</v>
      </c>
      <c r="D69" s="13">
        <v>117697</v>
      </c>
      <c r="E69" s="13">
        <v>16449</v>
      </c>
      <c r="F69" s="16">
        <v>16.2</v>
      </c>
      <c r="G69" s="16">
        <v>4.5</v>
      </c>
    </row>
    <row r="70" spans="1:7">
      <c r="A70" s="7" t="s">
        <v>246</v>
      </c>
      <c r="B70" s="11" t="s">
        <v>262</v>
      </c>
      <c r="C70" s="13">
        <v>207135</v>
      </c>
      <c r="D70" s="13">
        <v>216966</v>
      </c>
      <c r="E70" s="13">
        <v>9831</v>
      </c>
      <c r="F70" s="16">
        <v>4.7</v>
      </c>
      <c r="G70" s="16">
        <v>2.7</v>
      </c>
    </row>
    <row r="71" spans="1:7">
      <c r="A71" s="7" t="s">
        <v>247</v>
      </c>
      <c r="B71" s="11" t="s">
        <v>263</v>
      </c>
      <c r="C71" s="13">
        <v>22810</v>
      </c>
      <c r="D71" s="13">
        <v>13966</v>
      </c>
      <c r="E71" s="13">
        <v>-8844</v>
      </c>
      <c r="F71" s="16">
        <v>-38.8</v>
      </c>
      <c r="G71" s="16">
        <v>-2.4</v>
      </c>
    </row>
    <row r="72" spans="1:7">
      <c r="A72" s="7" t="s">
        <v>248</v>
      </c>
      <c r="B72" s="11" t="s">
        <v>264</v>
      </c>
      <c r="C72" s="13">
        <v>87323</v>
      </c>
      <c r="D72" s="13">
        <v>81795</v>
      </c>
      <c r="E72" s="13">
        <v>-5528</v>
      </c>
      <c r="F72" s="16">
        <v>-6.3</v>
      </c>
      <c r="G72" s="16">
        <v>-1.5</v>
      </c>
    </row>
    <row r="73" spans="1:7">
      <c r="A73" s="7" t="s">
        <v>249</v>
      </c>
      <c r="B73" s="11" t="s">
        <v>265</v>
      </c>
      <c r="C73" s="13">
        <v>53211</v>
      </c>
      <c r="D73" s="13">
        <v>48214</v>
      </c>
      <c r="E73" s="13">
        <v>-4997</v>
      </c>
      <c r="F73" s="16">
        <v>-9.4</v>
      </c>
      <c r="G73" s="16">
        <v>-1.4</v>
      </c>
    </row>
    <row r="74" spans="1:7">
      <c r="A74" s="7" t="s">
        <v>250</v>
      </c>
      <c r="B74" s="11" t="s">
        <v>266</v>
      </c>
      <c r="C74" s="13">
        <v>0</v>
      </c>
      <c r="D74" s="13">
        <v>4196</v>
      </c>
      <c r="E74" s="13">
        <v>4196</v>
      </c>
      <c r="F74" s="16"/>
      <c r="G74" s="16">
        <v>1.2</v>
      </c>
    </row>
    <row r="75" spans="1:7">
      <c r="A75" s="7" t="s">
        <v>251</v>
      </c>
      <c r="B75" s="11" t="s">
        <v>267</v>
      </c>
      <c r="C75" s="13">
        <v>36700</v>
      </c>
      <c r="D75" s="13">
        <v>38753</v>
      </c>
      <c r="E75" s="13">
        <v>2053</v>
      </c>
      <c r="F75" s="16">
        <v>5.6</v>
      </c>
      <c r="G75" s="16">
        <v>0.6</v>
      </c>
    </row>
    <row r="76" spans="1:7">
      <c r="A76" s="7" t="s">
        <v>252</v>
      </c>
      <c r="B76" s="11" t="s">
        <v>268</v>
      </c>
      <c r="C76" s="13">
        <v>18350</v>
      </c>
      <c r="D76" s="13">
        <v>20230</v>
      </c>
      <c r="E76" s="13">
        <v>1880</v>
      </c>
      <c r="F76" s="16">
        <v>10.2</v>
      </c>
      <c r="G76" s="16">
        <v>0.5</v>
      </c>
    </row>
    <row r="77" spans="1:7">
      <c r="A77" s="7" t="s">
        <v>253</v>
      </c>
      <c r="B77" s="11" t="s">
        <v>269</v>
      </c>
      <c r="C77" s="13">
        <v>1817</v>
      </c>
      <c r="D77" s="13">
        <v>1145</v>
      </c>
      <c r="E77" s="13">
        <v>-672</v>
      </c>
      <c r="F77" s="16">
        <v>-37</v>
      </c>
      <c r="G77" s="16">
        <v>-0.2</v>
      </c>
    </row>
    <row r="78" spans="1:7">
      <c r="A78" s="7" t="s">
        <v>254</v>
      </c>
      <c r="B78" s="11" t="s">
        <v>270</v>
      </c>
      <c r="C78" s="13">
        <v>0</v>
      </c>
      <c r="D78" s="13">
        <v>371</v>
      </c>
      <c r="E78" s="13">
        <v>371</v>
      </c>
      <c r="F78" s="16"/>
      <c r="G78" s="16">
        <v>0.1</v>
      </c>
    </row>
    <row r="79" spans="1:7">
      <c r="A79" s="7" t="s">
        <v>255</v>
      </c>
      <c r="B79" s="11" t="s">
        <v>271</v>
      </c>
      <c r="C79" s="13">
        <v>182</v>
      </c>
      <c r="D79" s="13">
        <v>254</v>
      </c>
      <c r="E79" s="13">
        <v>72</v>
      </c>
      <c r="F79" s="16">
        <v>39.6</v>
      </c>
      <c r="G79" s="16">
        <v>0</v>
      </c>
    </row>
    <row r="82" spans="1:11" ht="182" customHeight="1">
      <c r="A82" s="12" t="s">
        <v>272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4" spans="1:11" ht="24" customHeight="1">
      <c r="A84" s="9" t="s">
        <v>273</v>
      </c>
      <c r="B84" s="9"/>
      <c r="C84" s="9"/>
      <c r="D84" s="9"/>
      <c r="E84" s="9"/>
      <c r="F84" s="9"/>
      <c r="G84" s="9"/>
      <c r="H84" s="9"/>
      <c r="I84" s="9"/>
      <c r="J84" s="9"/>
      <c r="K84" s="9"/>
    </row>
    <row r="86" spans="1:11" ht="30" customHeight="1">
      <c r="A86" s="10" t="s">
        <v>274</v>
      </c>
      <c r="B86" s="10" t="s">
        <v>275</v>
      </c>
      <c r="C86" s="10" t="s">
        <v>276</v>
      </c>
      <c r="D86" s="10" t="s">
        <v>277</v>
      </c>
      <c r="E86" s="10" t="s">
        <v>278</v>
      </c>
    </row>
    <row r="87" spans="1:11">
      <c r="A87" s="7" t="s">
        <v>279</v>
      </c>
      <c r="B87" s="13">
        <v>1125791</v>
      </c>
      <c r="C87" s="13">
        <v>8806</v>
      </c>
      <c r="D87" s="13">
        <v>197122</v>
      </c>
      <c r="E87" s="13">
        <v>23357</v>
      </c>
    </row>
    <row r="88" spans="1:11">
      <c r="A88" s="7" t="s">
        <v>280</v>
      </c>
      <c r="B88" s="13">
        <v>1324555</v>
      </c>
      <c r="C88" s="13">
        <v>63930</v>
      </c>
      <c r="D88" s="13">
        <v>232644</v>
      </c>
      <c r="E88" s="13">
        <v>45574</v>
      </c>
    </row>
    <row r="91" spans="1:11" ht="118" customHeight="1">
      <c r="A91" s="12" t="s">
        <v>281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3" spans="1:11" ht="24" customHeight="1">
      <c r="A93" s="9" t="s">
        <v>282</v>
      </c>
      <c r="B93" s="9"/>
      <c r="C93" s="9"/>
      <c r="D93" s="9"/>
      <c r="E93" s="9"/>
      <c r="F93" s="9"/>
      <c r="G93" s="9"/>
      <c r="H93" s="9"/>
      <c r="I93" s="9"/>
      <c r="J93" s="9"/>
      <c r="K93" s="9"/>
    </row>
    <row r="95" spans="1:11" ht="30" customHeight="1">
      <c r="A95" s="10" t="s">
        <v>181</v>
      </c>
      <c r="B95" s="10" t="s">
        <v>283</v>
      </c>
      <c r="C95" s="10" t="s">
        <v>284</v>
      </c>
      <c r="D95" s="10" t="s">
        <v>285</v>
      </c>
      <c r="E95" s="10" t="s">
        <v>286</v>
      </c>
    </row>
    <row r="96" spans="1:11">
      <c r="A96" s="15">
        <v>45536</v>
      </c>
      <c r="B96" s="13">
        <v>0</v>
      </c>
      <c r="C96" s="13">
        <v>2696</v>
      </c>
      <c r="D96" s="13">
        <v>4036</v>
      </c>
      <c r="E96" s="13">
        <v>1788</v>
      </c>
    </row>
    <row r="97" spans="1:5">
      <c r="A97" s="15">
        <v>45566</v>
      </c>
      <c r="B97" s="13">
        <v>0</v>
      </c>
      <c r="C97" s="13">
        <v>19650</v>
      </c>
      <c r="D97" s="13">
        <v>4260</v>
      </c>
      <c r="E97" s="13">
        <v>1869</v>
      </c>
    </row>
    <row r="98" spans="1:5">
      <c r="A98" s="15">
        <v>45597</v>
      </c>
      <c r="B98" s="13">
        <v>2</v>
      </c>
      <c r="C98" s="13">
        <v>39368</v>
      </c>
      <c r="D98" s="13">
        <v>3630</v>
      </c>
      <c r="E98" s="13">
        <v>1583</v>
      </c>
    </row>
    <row r="99" spans="1:5">
      <c r="A99" s="15">
        <v>45627</v>
      </c>
      <c r="B99" s="13">
        <v>816</v>
      </c>
      <c r="C99" s="13">
        <v>62918</v>
      </c>
      <c r="D99" s="13">
        <v>5225</v>
      </c>
      <c r="E99" s="13">
        <v>1060</v>
      </c>
    </row>
    <row r="100" spans="1:5">
      <c r="A100" s="15">
        <v>45658</v>
      </c>
      <c r="B100" s="13">
        <v>5161</v>
      </c>
      <c r="C100" s="13">
        <v>67229</v>
      </c>
      <c r="D100" s="13">
        <v>5474</v>
      </c>
      <c r="E100" s="13">
        <v>1014</v>
      </c>
    </row>
    <row r="101" spans="1:5">
      <c r="A101" s="15">
        <v>45689</v>
      </c>
      <c r="B101" s="13">
        <v>2817</v>
      </c>
      <c r="C101" s="13">
        <v>40699</v>
      </c>
      <c r="D101" s="13">
        <v>5623</v>
      </c>
      <c r="E101" s="13">
        <v>1285</v>
      </c>
    </row>
    <row r="102" spans="1:5">
      <c r="A102" s="15">
        <v>45717</v>
      </c>
      <c r="B102" s="13">
        <v>12</v>
      </c>
      <c r="C102" s="13">
        <v>26276</v>
      </c>
      <c r="D102" s="13">
        <v>7035</v>
      </c>
      <c r="E102" s="13">
        <v>1575</v>
      </c>
    </row>
    <row r="103" spans="1:5">
      <c r="A103" s="15">
        <v>45748</v>
      </c>
      <c r="B103" s="13">
        <v>0</v>
      </c>
      <c r="C103" s="13">
        <v>16824</v>
      </c>
      <c r="D103" s="13">
        <v>6659</v>
      </c>
      <c r="E103" s="13">
        <v>1761</v>
      </c>
    </row>
    <row r="104" spans="1:5">
      <c r="A104" s="15">
        <v>45778</v>
      </c>
      <c r="B104" s="13">
        <v>0</v>
      </c>
      <c r="C104" s="13">
        <v>7463</v>
      </c>
      <c r="D104" s="13">
        <v>7449</v>
      </c>
      <c r="E104" s="13">
        <v>2893</v>
      </c>
    </row>
    <row r="105" spans="1:5">
      <c r="A105" s="15">
        <v>45809</v>
      </c>
      <c r="B105" s="13">
        <v>0</v>
      </c>
      <c r="C105" s="13">
        <v>4217</v>
      </c>
      <c r="D105" s="13">
        <v>7243</v>
      </c>
      <c r="E105" s="13">
        <v>3671</v>
      </c>
    </row>
    <row r="106" spans="1:5">
      <c r="A106" s="15">
        <v>45839</v>
      </c>
      <c r="B106" s="13">
        <v>0</v>
      </c>
      <c r="C106" s="13">
        <v>3008</v>
      </c>
      <c r="D106" s="13">
        <v>6138</v>
      </c>
      <c r="E106" s="13">
        <v>4295</v>
      </c>
    </row>
    <row r="107" spans="1:5">
      <c r="A107" s="15">
        <v>45870</v>
      </c>
      <c r="B107" s="13">
        <v>0</v>
      </c>
      <c r="C107" s="13">
        <v>2929</v>
      </c>
      <c r="D107" s="13">
        <v>5590</v>
      </c>
      <c r="E107" s="13">
        <v>3300</v>
      </c>
    </row>
    <row r="108" spans="1:5">
      <c r="A108" s="15">
        <v>45901</v>
      </c>
      <c r="B108" s="13">
        <v>0</v>
      </c>
      <c r="C108" s="13">
        <v>3595</v>
      </c>
      <c r="D108" s="13">
        <v>5411</v>
      </c>
      <c r="E108" s="13">
        <v>2757</v>
      </c>
    </row>
    <row r="109" spans="1:5">
      <c r="A109" s="15">
        <v>45931</v>
      </c>
      <c r="B109" s="13">
        <v>0</v>
      </c>
      <c r="C109" s="13">
        <v>31858</v>
      </c>
      <c r="D109" s="13">
        <v>4829</v>
      </c>
      <c r="E109" s="13">
        <v>3778</v>
      </c>
    </row>
    <row r="110" spans="1:5">
      <c r="A110" s="15">
        <v>45962</v>
      </c>
      <c r="B110" s="13">
        <v>8</v>
      </c>
      <c r="C110" s="13">
        <v>47946</v>
      </c>
      <c r="D110" s="13">
        <v>4049</v>
      </c>
      <c r="E110" s="13">
        <v>1968</v>
      </c>
    </row>
    <row r="111" spans="1:5">
      <c r="A111" s="15">
        <v>45992</v>
      </c>
      <c r="B111" s="13">
        <v>8700</v>
      </c>
      <c r="C111" s="13">
        <v>63902</v>
      </c>
      <c r="D111" s="13">
        <v>4830</v>
      </c>
      <c r="E111" s="13">
        <v>1792</v>
      </c>
    </row>
    <row r="112" spans="1:5">
      <c r="A112" s="15">
        <v>46023</v>
      </c>
      <c r="B112" s="13">
        <v>24079</v>
      </c>
      <c r="C112" s="13">
        <v>79928</v>
      </c>
      <c r="D112" s="13">
        <v>5141</v>
      </c>
      <c r="E112" s="13">
        <v>684</v>
      </c>
    </row>
    <row r="113" spans="1:5">
      <c r="A113" s="15">
        <v>46054</v>
      </c>
      <c r="B113" s="13">
        <v>30943</v>
      </c>
      <c r="C113" s="13">
        <v>59031</v>
      </c>
      <c r="D113" s="13">
        <v>6913</v>
      </c>
      <c r="E113" s="13">
        <v>2969</v>
      </c>
    </row>
    <row r="114" spans="1:5">
      <c r="A114" s="15">
        <v>46082</v>
      </c>
      <c r="B114" s="13">
        <v>208</v>
      </c>
      <c r="C114" s="13">
        <v>29783</v>
      </c>
      <c r="D114" s="13">
        <v>28690</v>
      </c>
      <c r="E114" s="13">
        <v>2255</v>
      </c>
    </row>
    <row r="115" spans="1:5">
      <c r="A115" s="15">
        <v>46113</v>
      </c>
      <c r="B115" s="13">
        <v>0</v>
      </c>
      <c r="C115" s="13">
        <v>19553</v>
      </c>
      <c r="D115" s="13">
        <v>15850</v>
      </c>
      <c r="E115" s="13">
        <v>1529</v>
      </c>
    </row>
    <row r="116" spans="1:5">
      <c r="A116" s="15">
        <v>46143</v>
      </c>
      <c r="B116" s="13">
        <v>0</v>
      </c>
      <c r="C116" s="13">
        <v>9823</v>
      </c>
      <c r="D116" s="13">
        <v>11777</v>
      </c>
      <c r="E116" s="13">
        <v>4433</v>
      </c>
    </row>
    <row r="117" spans="1:5">
      <c r="A117" s="15">
        <v>46174</v>
      </c>
      <c r="B117" s="13">
        <v>0</v>
      </c>
      <c r="C117" s="13">
        <v>4388</v>
      </c>
      <c r="D117" s="13">
        <v>10852</v>
      </c>
      <c r="E117" s="13">
        <v>7592</v>
      </c>
    </row>
    <row r="118" spans="1:5">
      <c r="A118" s="15">
        <v>46204</v>
      </c>
      <c r="B118" s="13">
        <v>0</v>
      </c>
      <c r="C118" s="13">
        <v>4331</v>
      </c>
      <c r="D118" s="13">
        <v>10145</v>
      </c>
      <c r="E118" s="13">
        <v>7989</v>
      </c>
    </row>
    <row r="119" spans="1:5">
      <c r="A119" s="15">
        <v>46235</v>
      </c>
      <c r="B119" s="13">
        <v>0</v>
      </c>
      <c r="C119" s="13">
        <v>3682</v>
      </c>
      <c r="D119" s="13">
        <v>9552</v>
      </c>
      <c r="E119" s="13">
        <v>4814</v>
      </c>
    </row>
    <row r="120" spans="1:5">
      <c r="A120" s="15">
        <v>46266</v>
      </c>
      <c r="B120" s="13">
        <v>0</v>
      </c>
      <c r="C120" s="13">
        <v>497</v>
      </c>
      <c r="D120" s="13">
        <v>1267</v>
      </c>
      <c r="E120" s="13">
        <v>569</v>
      </c>
    </row>
    <row r="142" spans="1:11" ht="70" customHeight="1">
      <c r="A142" s="12" t="s">
        <v>287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</sheetData>
  <mergeCells count="8">
    <mergeCell ref="A1:K1"/>
    <mergeCell ref="A59:K59"/>
    <mergeCell ref="A61:K61"/>
    <mergeCell ref="A82:K82"/>
    <mergeCell ref="A84:K84"/>
    <mergeCell ref="A91:K91"/>
    <mergeCell ref="A93:K93"/>
    <mergeCell ref="A142:K1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3"/>
  <sheetViews>
    <sheetView showGridLines="0" workbookViewId="0"/>
  </sheetViews>
  <sheetFormatPr defaultRowHeight="15"/>
  <cols>
    <col min="1" max="1" width="32.7109375" customWidth="1"/>
    <col min="2" max="2" width="20.7109375" customWidth="1"/>
    <col min="3" max="3" width="22.7109375" customWidth="1"/>
    <col min="4" max="4" width="14.7109375" customWidth="1"/>
    <col min="5" max="5" width="22.7109375" customWidth="1"/>
    <col min="6" max="6" width="16.7109375" customWidth="1"/>
    <col min="7" max="7" width="12.7109375" customWidth="1"/>
  </cols>
  <sheetData>
    <row r="1" spans="1:11" ht="3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289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181</v>
      </c>
      <c r="B5" s="10" t="s">
        <v>290</v>
      </c>
      <c r="C5" s="10" t="s">
        <v>291</v>
      </c>
      <c r="D5" s="10" t="s">
        <v>292</v>
      </c>
      <c r="E5" s="10" t="s">
        <v>293</v>
      </c>
      <c r="F5" s="10" t="s">
        <v>294</v>
      </c>
      <c r="G5" s="10" t="s">
        <v>295</v>
      </c>
    </row>
    <row r="6" spans="1:11">
      <c r="A6" s="15">
        <v>45536</v>
      </c>
      <c r="B6" s="13">
        <v>3387</v>
      </c>
      <c r="C6" s="13">
        <v>0</v>
      </c>
      <c r="D6" s="13">
        <v>1362</v>
      </c>
      <c r="E6" s="13">
        <v>0</v>
      </c>
      <c r="F6" s="13">
        <v>4749</v>
      </c>
      <c r="G6" s="13">
        <v>11406</v>
      </c>
    </row>
    <row r="7" spans="1:11">
      <c r="A7" s="15">
        <v>45566</v>
      </c>
      <c r="B7" s="13">
        <v>4453</v>
      </c>
      <c r="C7" s="13">
        <v>1</v>
      </c>
      <c r="D7" s="13">
        <v>1680</v>
      </c>
      <c r="E7" s="13">
        <v>0</v>
      </c>
      <c r="F7" s="13">
        <v>6134</v>
      </c>
      <c r="G7" s="13">
        <v>18820</v>
      </c>
    </row>
    <row r="8" spans="1:11">
      <c r="A8" s="15">
        <v>45597</v>
      </c>
      <c r="B8" s="13">
        <v>4835</v>
      </c>
      <c r="C8" s="13">
        <v>0</v>
      </c>
      <c r="D8" s="13">
        <v>1662</v>
      </c>
      <c r="E8" s="13">
        <v>0</v>
      </c>
      <c r="F8" s="13">
        <v>6497</v>
      </c>
      <c r="G8" s="13">
        <v>21583</v>
      </c>
    </row>
    <row r="9" spans="1:11">
      <c r="A9" s="15">
        <v>45627</v>
      </c>
      <c r="B9" s="13">
        <v>5631</v>
      </c>
      <c r="C9" s="13">
        <v>1</v>
      </c>
      <c r="D9" s="13">
        <v>1858</v>
      </c>
      <c r="E9" s="13">
        <v>1</v>
      </c>
      <c r="F9" s="13">
        <v>7491</v>
      </c>
      <c r="G9" s="13">
        <v>14762</v>
      </c>
    </row>
    <row r="10" spans="1:11">
      <c r="A10" s="15">
        <v>45658</v>
      </c>
      <c r="B10" s="13">
        <v>6670</v>
      </c>
      <c r="C10" s="13">
        <v>1</v>
      </c>
      <c r="D10" s="13">
        <v>1425</v>
      </c>
      <c r="E10" s="13">
        <v>0</v>
      </c>
      <c r="F10" s="13">
        <v>8096</v>
      </c>
      <c r="G10" s="13">
        <v>15358</v>
      </c>
    </row>
    <row r="11" spans="1:11">
      <c r="A11" s="15">
        <v>45689</v>
      </c>
      <c r="B11" s="13">
        <v>5245</v>
      </c>
      <c r="C11" s="13">
        <v>2</v>
      </c>
      <c r="D11" s="13">
        <v>1604</v>
      </c>
      <c r="E11" s="13">
        <v>0</v>
      </c>
      <c r="F11" s="13">
        <v>6851</v>
      </c>
      <c r="G11" s="13">
        <v>13073</v>
      </c>
    </row>
    <row r="12" spans="1:11">
      <c r="A12" s="15">
        <v>45717</v>
      </c>
      <c r="B12" s="13">
        <v>3979</v>
      </c>
      <c r="C12" s="13">
        <v>0</v>
      </c>
      <c r="D12" s="13">
        <v>2017</v>
      </c>
      <c r="E12" s="13">
        <v>0</v>
      </c>
      <c r="F12" s="13">
        <v>5996</v>
      </c>
      <c r="G12" s="13">
        <v>13649</v>
      </c>
    </row>
    <row r="13" spans="1:11">
      <c r="A13" s="15">
        <v>45748</v>
      </c>
      <c r="B13" s="13">
        <v>3507</v>
      </c>
      <c r="C13" s="13">
        <v>0</v>
      </c>
      <c r="D13" s="13">
        <v>1741</v>
      </c>
      <c r="E13" s="13">
        <v>0</v>
      </c>
      <c r="F13" s="13">
        <v>5248</v>
      </c>
      <c r="G13" s="13">
        <v>12729</v>
      </c>
    </row>
    <row r="14" spans="1:11">
      <c r="A14" s="15">
        <v>45778</v>
      </c>
      <c r="B14" s="13">
        <v>3574</v>
      </c>
      <c r="C14" s="13">
        <v>0</v>
      </c>
      <c r="D14" s="13">
        <v>2502</v>
      </c>
      <c r="E14" s="13">
        <v>1</v>
      </c>
      <c r="F14" s="13">
        <v>6077</v>
      </c>
      <c r="G14" s="13">
        <v>13842</v>
      </c>
    </row>
    <row r="15" spans="1:11">
      <c r="A15" s="15">
        <v>45809</v>
      </c>
      <c r="B15" s="13">
        <v>15194</v>
      </c>
      <c r="C15" s="13">
        <v>3</v>
      </c>
      <c r="D15" s="13">
        <v>2020</v>
      </c>
      <c r="E15" s="13">
        <v>3</v>
      </c>
      <c r="F15" s="13">
        <v>17220</v>
      </c>
      <c r="G15" s="13">
        <v>24422</v>
      </c>
    </row>
    <row r="16" spans="1:11">
      <c r="A16" s="15">
        <v>45839</v>
      </c>
      <c r="B16" s="13">
        <v>15103</v>
      </c>
      <c r="C16" s="13">
        <v>1</v>
      </c>
      <c r="D16" s="13">
        <v>2743</v>
      </c>
      <c r="E16" s="13">
        <v>2</v>
      </c>
      <c r="F16" s="13">
        <v>17849</v>
      </c>
      <c r="G16" s="13">
        <v>25143</v>
      </c>
    </row>
    <row r="17" spans="1:7">
      <c r="A17" s="15">
        <v>45870</v>
      </c>
      <c r="B17" s="13">
        <v>7129</v>
      </c>
      <c r="C17" s="13">
        <v>0</v>
      </c>
      <c r="D17" s="13">
        <v>2477</v>
      </c>
      <c r="E17" s="13">
        <v>2</v>
      </c>
      <c r="F17" s="13">
        <v>9608</v>
      </c>
      <c r="G17" s="13">
        <v>19267</v>
      </c>
    </row>
    <row r="18" spans="1:7">
      <c r="A18" s="15">
        <v>45901</v>
      </c>
      <c r="B18" s="13">
        <v>4196</v>
      </c>
      <c r="C18" s="13">
        <v>6</v>
      </c>
      <c r="D18" s="13">
        <v>1856</v>
      </c>
      <c r="E18" s="13">
        <v>5</v>
      </c>
      <c r="F18" s="13">
        <v>6063</v>
      </c>
      <c r="G18" s="13">
        <v>15467</v>
      </c>
    </row>
    <row r="19" spans="1:7">
      <c r="A19" s="15">
        <v>45931</v>
      </c>
      <c r="B19" s="13">
        <v>5041</v>
      </c>
      <c r="C19" s="13">
        <v>3</v>
      </c>
      <c r="D19" s="13">
        <v>3562</v>
      </c>
      <c r="E19" s="13">
        <v>6</v>
      </c>
      <c r="F19" s="13">
        <v>8612</v>
      </c>
      <c r="G19" s="13">
        <v>17848</v>
      </c>
    </row>
    <row r="20" spans="1:7">
      <c r="A20" s="15">
        <v>45962</v>
      </c>
      <c r="B20" s="13">
        <v>3656</v>
      </c>
      <c r="C20" s="13">
        <v>5</v>
      </c>
      <c r="D20" s="13">
        <v>2166</v>
      </c>
      <c r="E20" s="13">
        <v>1</v>
      </c>
      <c r="F20" s="13">
        <v>5828</v>
      </c>
      <c r="G20" s="13">
        <v>13734</v>
      </c>
    </row>
    <row r="21" spans="1:7">
      <c r="A21" s="15">
        <v>45992</v>
      </c>
      <c r="B21" s="13">
        <v>4198</v>
      </c>
      <c r="C21" s="13">
        <v>5</v>
      </c>
      <c r="D21" s="13">
        <v>2003</v>
      </c>
      <c r="E21" s="13">
        <v>5</v>
      </c>
      <c r="F21" s="13">
        <v>6211</v>
      </c>
      <c r="G21" s="13">
        <v>12611</v>
      </c>
    </row>
    <row r="22" spans="1:7">
      <c r="A22" s="15">
        <v>46023</v>
      </c>
      <c r="B22" s="13">
        <v>6308</v>
      </c>
      <c r="C22" s="13">
        <v>9</v>
      </c>
      <c r="D22" s="13">
        <v>1557</v>
      </c>
      <c r="E22" s="13">
        <v>4</v>
      </c>
      <c r="F22" s="13">
        <v>7878</v>
      </c>
      <c r="G22" s="13">
        <v>14426</v>
      </c>
    </row>
    <row r="23" spans="1:7">
      <c r="A23" s="15">
        <v>46054</v>
      </c>
      <c r="B23" s="13">
        <v>7998</v>
      </c>
      <c r="C23" s="13">
        <v>18</v>
      </c>
      <c r="D23" s="13">
        <v>1785</v>
      </c>
      <c r="E23" s="13">
        <v>7</v>
      </c>
      <c r="F23" s="13">
        <v>9808</v>
      </c>
      <c r="G23" s="13">
        <v>17154</v>
      </c>
    </row>
    <row r="24" spans="1:7">
      <c r="A24" s="15">
        <v>46082</v>
      </c>
      <c r="B24" s="13">
        <v>5473</v>
      </c>
      <c r="C24" s="13">
        <v>40</v>
      </c>
      <c r="D24" s="13">
        <v>3079</v>
      </c>
      <c r="E24" s="13">
        <v>20</v>
      </c>
      <c r="F24" s="13">
        <v>8612</v>
      </c>
      <c r="G24" s="13">
        <v>17270</v>
      </c>
    </row>
    <row r="25" spans="1:7">
      <c r="A25" s="15">
        <v>46113</v>
      </c>
      <c r="B25" s="13">
        <v>5679</v>
      </c>
      <c r="C25" s="13">
        <v>44</v>
      </c>
      <c r="D25" s="13">
        <v>2019</v>
      </c>
      <c r="E25" s="13">
        <v>15</v>
      </c>
      <c r="F25" s="13">
        <v>7757</v>
      </c>
      <c r="G25" s="13">
        <v>16105</v>
      </c>
    </row>
    <row r="26" spans="1:7">
      <c r="A26" s="15">
        <v>46143</v>
      </c>
      <c r="B26" s="13">
        <v>6308</v>
      </c>
      <c r="C26" s="13">
        <v>114</v>
      </c>
      <c r="D26" s="13">
        <v>4422</v>
      </c>
      <c r="E26" s="13">
        <v>62</v>
      </c>
      <c r="F26" s="13">
        <v>10906</v>
      </c>
      <c r="G26" s="13">
        <v>19964</v>
      </c>
    </row>
    <row r="27" spans="1:7">
      <c r="A27" s="15">
        <v>46174</v>
      </c>
      <c r="B27" s="13">
        <v>8911</v>
      </c>
      <c r="C27" s="13">
        <v>242</v>
      </c>
      <c r="D27" s="13">
        <v>2783</v>
      </c>
      <c r="E27" s="13">
        <v>110</v>
      </c>
      <c r="F27" s="13">
        <v>12046</v>
      </c>
      <c r="G27" s="13">
        <v>20548</v>
      </c>
    </row>
    <row r="28" spans="1:7">
      <c r="A28" s="15">
        <v>46204</v>
      </c>
      <c r="B28" s="13">
        <v>16261</v>
      </c>
      <c r="C28" s="13">
        <v>1892</v>
      </c>
      <c r="D28" s="13">
        <v>3131</v>
      </c>
      <c r="E28" s="13">
        <v>1310</v>
      </c>
      <c r="F28" s="13">
        <v>22594</v>
      </c>
      <c r="G28" s="13">
        <v>30156</v>
      </c>
    </row>
    <row r="29" spans="1:7">
      <c r="A29" s="15">
        <v>46235</v>
      </c>
      <c r="B29" s="13">
        <v>0</v>
      </c>
      <c r="C29" s="13">
        <v>8925</v>
      </c>
      <c r="D29" s="13">
        <v>0</v>
      </c>
      <c r="E29" s="13">
        <v>5060</v>
      </c>
      <c r="F29" s="13">
        <v>13985</v>
      </c>
      <c r="G29" s="13">
        <v>22233</v>
      </c>
    </row>
    <row r="30" spans="1:7">
      <c r="A30" s="15">
        <v>46266</v>
      </c>
      <c r="B30" s="13">
        <v>0</v>
      </c>
      <c r="C30" s="13">
        <v>740</v>
      </c>
      <c r="D30" s="13">
        <v>0</v>
      </c>
      <c r="E30" s="13">
        <v>481</v>
      </c>
      <c r="F30" s="13">
        <v>1221</v>
      </c>
      <c r="G30" s="13">
        <v>2531</v>
      </c>
    </row>
    <row r="52" spans="1:11" ht="24" customHeight="1">
      <c r="A52" s="9" t="s">
        <v>296</v>
      </c>
      <c r="B52" s="9"/>
      <c r="C52" s="9"/>
      <c r="D52" s="9"/>
      <c r="E52" s="9"/>
      <c r="F52" s="9"/>
      <c r="G52" s="9"/>
      <c r="H52" s="9"/>
      <c r="I52" s="9"/>
      <c r="J52" s="9"/>
      <c r="K52" s="9"/>
    </row>
    <row r="54" spans="1:11" ht="30" customHeight="1">
      <c r="A54" s="10" t="s">
        <v>297</v>
      </c>
      <c r="B54" s="10" t="s">
        <v>290</v>
      </c>
      <c r="C54" s="10" t="s">
        <v>291</v>
      </c>
      <c r="D54" s="10" t="s">
        <v>292</v>
      </c>
      <c r="E54" s="10" t="s">
        <v>293</v>
      </c>
    </row>
    <row r="55" spans="1:11">
      <c r="A55" s="14">
        <v>46223</v>
      </c>
      <c r="B55" s="13">
        <v>259</v>
      </c>
      <c r="C55" s="13">
        <v>60</v>
      </c>
      <c r="D55" s="13">
        <v>174</v>
      </c>
      <c r="E55" s="13">
        <v>73</v>
      </c>
    </row>
    <row r="56" spans="1:11">
      <c r="A56" s="14">
        <v>46224</v>
      </c>
      <c r="B56" s="13">
        <v>171</v>
      </c>
      <c r="C56" s="13">
        <v>58</v>
      </c>
      <c r="D56" s="13">
        <v>205</v>
      </c>
      <c r="E56" s="13">
        <v>76</v>
      </c>
    </row>
    <row r="57" spans="1:11">
      <c r="A57" s="14">
        <v>46225</v>
      </c>
      <c r="B57" s="13">
        <v>241</v>
      </c>
      <c r="C57" s="13">
        <v>51</v>
      </c>
      <c r="D57" s="13">
        <v>86</v>
      </c>
      <c r="E57" s="13">
        <v>37</v>
      </c>
    </row>
    <row r="58" spans="1:11">
      <c r="A58" s="14">
        <v>46226</v>
      </c>
      <c r="B58" s="13">
        <v>237</v>
      </c>
      <c r="C58" s="13">
        <v>74</v>
      </c>
      <c r="D58" s="13">
        <v>74</v>
      </c>
      <c r="E58" s="13">
        <v>41</v>
      </c>
    </row>
    <row r="59" spans="1:11">
      <c r="A59" s="14">
        <v>46227</v>
      </c>
      <c r="B59" s="13">
        <v>146</v>
      </c>
      <c r="C59" s="13">
        <v>84</v>
      </c>
      <c r="D59" s="13">
        <v>54</v>
      </c>
      <c r="E59" s="13">
        <v>48</v>
      </c>
    </row>
    <row r="60" spans="1:11">
      <c r="A60" s="14">
        <v>46228</v>
      </c>
      <c r="B60" s="13">
        <v>140</v>
      </c>
      <c r="C60" s="13">
        <v>44</v>
      </c>
      <c r="D60" s="13">
        <v>39</v>
      </c>
      <c r="E60" s="13">
        <v>23</v>
      </c>
    </row>
    <row r="61" spans="1:11">
      <c r="A61" s="14">
        <v>46229</v>
      </c>
      <c r="B61" s="13">
        <v>146</v>
      </c>
      <c r="C61" s="13">
        <v>88</v>
      </c>
      <c r="D61" s="13">
        <v>36</v>
      </c>
      <c r="E61" s="13">
        <v>37</v>
      </c>
    </row>
    <row r="62" spans="1:11">
      <c r="A62" s="14">
        <v>46230</v>
      </c>
      <c r="B62" s="13">
        <v>234</v>
      </c>
      <c r="C62" s="13">
        <v>81</v>
      </c>
      <c r="D62" s="13">
        <v>45</v>
      </c>
      <c r="E62" s="13">
        <v>86</v>
      </c>
    </row>
    <row r="63" spans="1:11">
      <c r="A63" s="14">
        <v>46231</v>
      </c>
      <c r="B63" s="13">
        <v>139</v>
      </c>
      <c r="C63" s="13">
        <v>105</v>
      </c>
      <c r="D63" s="13">
        <v>33</v>
      </c>
      <c r="E63" s="13">
        <v>131</v>
      </c>
    </row>
    <row r="64" spans="1:11">
      <c r="A64" s="14">
        <v>46232</v>
      </c>
      <c r="B64" s="13">
        <v>1</v>
      </c>
      <c r="C64" s="13">
        <v>226</v>
      </c>
      <c r="D64" s="13">
        <v>11</v>
      </c>
      <c r="E64" s="13">
        <v>152</v>
      </c>
    </row>
    <row r="65" spans="1:11">
      <c r="A65" s="14">
        <v>46233</v>
      </c>
      <c r="B65" s="13">
        <v>0</v>
      </c>
      <c r="C65" s="13">
        <v>235</v>
      </c>
      <c r="D65" s="13">
        <v>0</v>
      </c>
      <c r="E65" s="13">
        <v>128</v>
      </c>
    </row>
    <row r="66" spans="1:11">
      <c r="A66" s="14">
        <v>46234</v>
      </c>
      <c r="B66" s="13">
        <v>0</v>
      </c>
      <c r="C66" s="13">
        <v>232</v>
      </c>
      <c r="D66" s="13">
        <v>0</v>
      </c>
      <c r="E66" s="13">
        <v>74</v>
      </c>
    </row>
    <row r="67" spans="1:11">
      <c r="A67" s="14">
        <v>46235</v>
      </c>
      <c r="B67" s="13">
        <v>0</v>
      </c>
      <c r="C67" s="13">
        <v>226</v>
      </c>
      <c r="D67" s="13">
        <v>0</v>
      </c>
      <c r="E67" s="13">
        <v>57</v>
      </c>
    </row>
    <row r="68" spans="1:11">
      <c r="A68" s="14">
        <v>46236</v>
      </c>
      <c r="B68" s="13">
        <v>0</v>
      </c>
      <c r="C68" s="13">
        <v>191</v>
      </c>
      <c r="D68" s="13">
        <v>0</v>
      </c>
      <c r="E68" s="13">
        <v>66</v>
      </c>
    </row>
    <row r="69" spans="1:11">
      <c r="A69" s="14">
        <v>46237</v>
      </c>
      <c r="B69" s="13">
        <v>0</v>
      </c>
      <c r="C69" s="13">
        <v>272</v>
      </c>
      <c r="D69" s="13">
        <v>0</v>
      </c>
      <c r="E69" s="13">
        <v>486</v>
      </c>
    </row>
    <row r="70" spans="1:11">
      <c r="A70" s="14">
        <v>46238</v>
      </c>
      <c r="B70" s="13">
        <v>0</v>
      </c>
      <c r="C70" s="13">
        <v>236</v>
      </c>
      <c r="D70" s="13">
        <v>0</v>
      </c>
      <c r="E70" s="13">
        <v>139</v>
      </c>
    </row>
    <row r="71" spans="1:11">
      <c r="A71" s="14">
        <v>46239</v>
      </c>
      <c r="B71" s="13">
        <v>0</v>
      </c>
      <c r="C71" s="13">
        <v>244</v>
      </c>
      <c r="D71" s="13">
        <v>0</v>
      </c>
      <c r="E71" s="13">
        <v>133</v>
      </c>
    </row>
    <row r="72" spans="1:11">
      <c r="A72" s="14">
        <v>46240</v>
      </c>
      <c r="B72" s="13">
        <v>0</v>
      </c>
      <c r="C72" s="13">
        <v>436</v>
      </c>
      <c r="D72" s="13">
        <v>0</v>
      </c>
      <c r="E72" s="13">
        <v>105</v>
      </c>
    </row>
    <row r="73" spans="1:11">
      <c r="A73" s="14">
        <v>46241</v>
      </c>
      <c r="B73" s="13">
        <v>0</v>
      </c>
      <c r="C73" s="13">
        <v>626</v>
      </c>
      <c r="D73" s="13">
        <v>0</v>
      </c>
      <c r="E73" s="13">
        <v>141</v>
      </c>
    </row>
    <row r="74" spans="1:11">
      <c r="A74" s="14">
        <v>46242</v>
      </c>
      <c r="B74" s="13">
        <v>0</v>
      </c>
      <c r="C74" s="13">
        <v>475</v>
      </c>
      <c r="D74" s="13">
        <v>0</v>
      </c>
      <c r="E74" s="13">
        <v>90</v>
      </c>
    </row>
    <row r="75" spans="1:11">
      <c r="A75" s="14">
        <v>46243</v>
      </c>
      <c r="B75" s="13">
        <v>0</v>
      </c>
      <c r="C75" s="13">
        <v>574</v>
      </c>
      <c r="D75" s="13">
        <v>0</v>
      </c>
      <c r="E75" s="13">
        <v>68</v>
      </c>
    </row>
    <row r="76" spans="1:11">
      <c r="A76" s="14">
        <v>46244</v>
      </c>
      <c r="B76" s="13">
        <v>0</v>
      </c>
      <c r="C76" s="13">
        <v>609</v>
      </c>
      <c r="D76" s="13">
        <v>0</v>
      </c>
      <c r="E76" s="13">
        <v>122</v>
      </c>
    </row>
    <row r="79" spans="1:11" ht="134" customHeight="1">
      <c r="A79" s="12" t="s">
        <v>298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1" spans="1:11" ht="24" customHeight="1">
      <c r="A81" s="9" t="s">
        <v>299</v>
      </c>
      <c r="B81" s="9"/>
      <c r="C81" s="9"/>
      <c r="D81" s="9"/>
      <c r="E81" s="9"/>
      <c r="F81" s="9"/>
      <c r="G81" s="9"/>
      <c r="H81" s="9"/>
      <c r="I81" s="9"/>
      <c r="J81" s="9"/>
      <c r="K81" s="9"/>
    </row>
    <row r="83" spans="1:11" ht="30" customHeight="1">
      <c r="A83" s="10" t="s">
        <v>169</v>
      </c>
      <c r="B83" s="10" t="s">
        <v>300</v>
      </c>
      <c r="C83" s="10" t="s">
        <v>301</v>
      </c>
      <c r="D83" s="10" t="s">
        <v>302</v>
      </c>
      <c r="E83" s="10" t="s">
        <v>91</v>
      </c>
      <c r="F83" s="10" t="s">
        <v>303</v>
      </c>
    </row>
    <row r="84" spans="1:11">
      <c r="A84" s="7" t="s">
        <v>219</v>
      </c>
      <c r="B84" s="11" t="s">
        <v>243</v>
      </c>
      <c r="C84" s="14">
        <v>45597</v>
      </c>
      <c r="D84" s="14">
        <v>46082</v>
      </c>
      <c r="E84" s="13">
        <v>72746</v>
      </c>
      <c r="F84" s="11" t="s">
        <v>310</v>
      </c>
    </row>
    <row r="85" spans="1:11">
      <c r="A85" s="7" t="s">
        <v>304</v>
      </c>
      <c r="B85" s="11" t="s">
        <v>246</v>
      </c>
      <c r="C85" s="14">
        <v>45627</v>
      </c>
      <c r="D85" s="14">
        <v>46266</v>
      </c>
      <c r="E85" s="13">
        <v>7095</v>
      </c>
      <c r="F85" s="11" t="s">
        <v>311</v>
      </c>
    </row>
    <row r="86" spans="1:11">
      <c r="A86" s="7" t="s">
        <v>305</v>
      </c>
      <c r="B86" s="11" t="s">
        <v>250</v>
      </c>
      <c r="C86" s="14">
        <v>45901</v>
      </c>
      <c r="D86" s="14">
        <v>46266</v>
      </c>
      <c r="E86" s="13">
        <v>4196</v>
      </c>
      <c r="F86" s="11" t="s">
        <v>311</v>
      </c>
    </row>
    <row r="87" spans="1:11">
      <c r="A87" s="7" t="s">
        <v>306</v>
      </c>
      <c r="B87" s="11" t="s">
        <v>253</v>
      </c>
      <c r="C87" s="14">
        <v>45536</v>
      </c>
      <c r="D87" s="14">
        <v>46082</v>
      </c>
      <c r="E87" s="13">
        <v>2962</v>
      </c>
      <c r="F87" s="11" t="s">
        <v>312</v>
      </c>
    </row>
    <row r="88" spans="1:11">
      <c r="A88" s="7" t="s">
        <v>307</v>
      </c>
      <c r="B88" s="11" t="s">
        <v>248</v>
      </c>
      <c r="C88" s="14">
        <v>45566</v>
      </c>
      <c r="D88" s="14">
        <v>46143</v>
      </c>
      <c r="E88" s="13">
        <v>2707</v>
      </c>
      <c r="F88" s="11" t="s">
        <v>312</v>
      </c>
    </row>
    <row r="89" spans="1:11">
      <c r="A89" s="7" t="s">
        <v>308</v>
      </c>
      <c r="B89" s="11" t="s">
        <v>245</v>
      </c>
      <c r="C89" s="14">
        <v>45717</v>
      </c>
      <c r="D89" s="14">
        <v>46113</v>
      </c>
      <c r="E89" s="13">
        <v>2113</v>
      </c>
      <c r="F89" s="11" t="s">
        <v>310</v>
      </c>
    </row>
    <row r="90" spans="1:11">
      <c r="A90" s="7" t="s">
        <v>309</v>
      </c>
      <c r="B90" s="11" t="s">
        <v>241</v>
      </c>
      <c r="C90" s="14">
        <v>45536</v>
      </c>
      <c r="D90" s="14">
        <v>45962</v>
      </c>
      <c r="E90" s="13">
        <v>2067</v>
      </c>
      <c r="F90" s="11" t="s">
        <v>312</v>
      </c>
    </row>
    <row r="93" spans="1:11" ht="102" customHeight="1">
      <c r="A93" s="12" t="s">
        <v>313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</row>
  </sheetData>
  <mergeCells count="6">
    <mergeCell ref="A1:K1"/>
    <mergeCell ref="A3:K3"/>
    <mergeCell ref="A52:K52"/>
    <mergeCell ref="A79:K79"/>
    <mergeCell ref="A81:K81"/>
    <mergeCell ref="A93:K9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0"/>
  <sheetViews>
    <sheetView showGridLines="0" workbookViewId="0"/>
  </sheetViews>
  <sheetFormatPr defaultRowHeight="15"/>
  <cols>
    <col min="1" max="1" width="30.7109375" customWidth="1"/>
    <col min="2" max="2" width="44.7109375" customWidth="1"/>
    <col min="3" max="9" width="14.7109375" customWidth="1"/>
    <col min="12" max="12" width="12.7109375" customWidth="1"/>
    <col min="13" max="13" width="14.7109375" customWidth="1"/>
  </cols>
  <sheetData>
    <row r="1" spans="1:11" ht="102" customHeight="1">
      <c r="A1" s="8" t="s">
        <v>314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315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238</v>
      </c>
      <c r="B5" s="10" t="s">
        <v>239</v>
      </c>
      <c r="C5" s="10" t="s">
        <v>316</v>
      </c>
      <c r="D5" s="10" t="s">
        <v>317</v>
      </c>
      <c r="E5" s="10" t="s">
        <v>318</v>
      </c>
      <c r="F5" s="10" t="s">
        <v>319</v>
      </c>
      <c r="G5" s="10" t="s">
        <v>320</v>
      </c>
      <c r="H5" s="10" t="s">
        <v>321</v>
      </c>
      <c r="I5" s="10" t="s">
        <v>322</v>
      </c>
    </row>
    <row r="6" spans="1:11">
      <c r="A6" s="7" t="s">
        <v>241</v>
      </c>
      <c r="B6" s="11" t="s">
        <v>257</v>
      </c>
      <c r="C6" s="13">
        <v>2617047</v>
      </c>
      <c r="D6" s="18">
        <v>1.3</v>
      </c>
      <c r="E6" s="18">
        <v>6.4</v>
      </c>
      <c r="F6" s="18">
        <v>0.05</v>
      </c>
      <c r="G6" s="16">
        <v>99.2</v>
      </c>
      <c r="H6" s="16">
        <v>0</v>
      </c>
      <c r="I6" s="16">
        <v>0.1</v>
      </c>
    </row>
    <row r="7" spans="1:11">
      <c r="A7" s="7" t="s">
        <v>240</v>
      </c>
      <c r="B7" s="11" t="s">
        <v>256</v>
      </c>
      <c r="C7" s="13">
        <v>1411167</v>
      </c>
      <c r="D7" s="18">
        <v>78.98</v>
      </c>
      <c r="E7" s="18">
        <v>960</v>
      </c>
      <c r="F7" s="18">
        <v>3.29</v>
      </c>
      <c r="G7" s="16">
        <v>13.5</v>
      </c>
      <c r="H7" s="16">
        <v>12.9</v>
      </c>
      <c r="I7" s="16">
        <v>0.11</v>
      </c>
    </row>
    <row r="8" spans="1:11">
      <c r="A8" s="7" t="s">
        <v>243</v>
      </c>
      <c r="B8" s="11" t="s">
        <v>259</v>
      </c>
      <c r="C8" s="13">
        <v>564013</v>
      </c>
      <c r="D8" s="18">
        <v>33.08</v>
      </c>
      <c r="E8" s="18">
        <v>174.4</v>
      </c>
      <c r="F8" s="18">
        <v>1.38</v>
      </c>
      <c r="G8" s="16">
        <v>39</v>
      </c>
      <c r="H8" s="16">
        <v>2.5</v>
      </c>
      <c r="I8" s="16">
        <v>0.03</v>
      </c>
    </row>
    <row r="9" spans="1:11">
      <c r="A9" s="7" t="s">
        <v>242</v>
      </c>
      <c r="B9" s="11" t="s">
        <v>258</v>
      </c>
      <c r="C9" s="13">
        <v>383434</v>
      </c>
      <c r="D9" s="18">
        <v>46</v>
      </c>
      <c r="E9" s="18">
        <v>406.6</v>
      </c>
      <c r="F9" s="18">
        <v>1.92</v>
      </c>
      <c r="G9" s="16">
        <v>40.4</v>
      </c>
      <c r="H9" s="16">
        <v>5.8</v>
      </c>
      <c r="I9" s="16">
        <v>6.95</v>
      </c>
    </row>
    <row r="10" spans="1:11">
      <c r="A10" s="7" t="s">
        <v>246</v>
      </c>
      <c r="B10" s="11" t="s">
        <v>262</v>
      </c>
      <c r="C10" s="13">
        <v>332506</v>
      </c>
      <c r="D10" s="18">
        <v>23.92</v>
      </c>
      <c r="E10" s="18">
        <v>257.4</v>
      </c>
      <c r="F10" s="18">
        <v>1</v>
      </c>
      <c r="G10" s="16">
        <v>50.1</v>
      </c>
      <c r="H10" s="16">
        <v>2.4</v>
      </c>
      <c r="I10" s="16">
        <v>6.57</v>
      </c>
    </row>
    <row r="11" spans="1:11">
      <c r="A11" s="7" t="s">
        <v>245</v>
      </c>
      <c r="B11" s="11" t="s">
        <v>261</v>
      </c>
      <c r="C11" s="13">
        <v>176180</v>
      </c>
      <c r="D11" s="18">
        <v>231.19</v>
      </c>
      <c r="E11" s="18">
        <v>3853.2</v>
      </c>
      <c r="F11" s="18">
        <v>9.630000000000001</v>
      </c>
      <c r="G11" s="16">
        <v>25.1</v>
      </c>
      <c r="H11" s="16">
        <v>37.2</v>
      </c>
      <c r="I11" s="16">
        <v>11.88</v>
      </c>
    </row>
    <row r="12" spans="1:11">
      <c r="A12" s="7" t="s">
        <v>244</v>
      </c>
      <c r="B12" s="11" t="s">
        <v>260</v>
      </c>
      <c r="C12" s="13">
        <v>145657</v>
      </c>
      <c r="D12" s="18">
        <v>183.3</v>
      </c>
      <c r="E12" s="18">
        <v>3810.1</v>
      </c>
      <c r="F12" s="18">
        <v>7.64</v>
      </c>
      <c r="G12" s="16">
        <v>23.6</v>
      </c>
      <c r="H12" s="16">
        <v>30.8</v>
      </c>
      <c r="I12" s="16">
        <v>0.18</v>
      </c>
    </row>
    <row r="13" spans="1:11">
      <c r="A13" s="7" t="s">
        <v>248</v>
      </c>
      <c r="B13" s="11" t="s">
        <v>264</v>
      </c>
      <c r="C13" s="13">
        <v>130246</v>
      </c>
      <c r="D13" s="18">
        <v>45.97</v>
      </c>
      <c r="E13" s="18">
        <v>1441.1</v>
      </c>
      <c r="F13" s="18">
        <v>1.92</v>
      </c>
      <c r="G13" s="16">
        <v>43.7</v>
      </c>
      <c r="H13" s="16">
        <v>33.4</v>
      </c>
      <c r="I13" s="16">
        <v>27.35</v>
      </c>
    </row>
    <row r="14" spans="1:11">
      <c r="A14" s="7" t="s">
        <v>249</v>
      </c>
      <c r="B14" s="11" t="s">
        <v>265</v>
      </c>
      <c r="C14" s="13">
        <v>69144</v>
      </c>
      <c r="D14" s="18">
        <v>8.130000000000001</v>
      </c>
      <c r="E14" s="18">
        <v>267.8</v>
      </c>
      <c r="F14" s="18">
        <v>0.34</v>
      </c>
      <c r="G14" s="16">
        <v>72</v>
      </c>
      <c r="H14" s="16">
        <v>4.9</v>
      </c>
      <c r="I14" s="16">
        <v>0</v>
      </c>
    </row>
    <row r="15" spans="1:11">
      <c r="A15" s="7" t="s">
        <v>251</v>
      </c>
      <c r="B15" s="11" t="s">
        <v>267</v>
      </c>
      <c r="C15" s="13">
        <v>45227</v>
      </c>
      <c r="D15" s="18">
        <v>1111.88</v>
      </c>
      <c r="E15" s="18">
        <v>4958.8</v>
      </c>
      <c r="F15" s="18">
        <v>46.33</v>
      </c>
      <c r="G15" s="16">
        <v>9.300000000000001</v>
      </c>
      <c r="H15" s="16">
        <v>59.9</v>
      </c>
      <c r="I15" s="16">
        <v>0.01</v>
      </c>
    </row>
    <row r="16" spans="1:11">
      <c r="A16" s="7" t="s">
        <v>252</v>
      </c>
      <c r="B16" s="11" t="s">
        <v>268</v>
      </c>
      <c r="C16" s="13">
        <v>30819</v>
      </c>
      <c r="D16" s="18">
        <v>121</v>
      </c>
      <c r="E16" s="18">
        <v>784.8</v>
      </c>
      <c r="F16" s="18">
        <v>5.04</v>
      </c>
      <c r="G16" s="16">
        <v>20.8</v>
      </c>
      <c r="H16" s="16">
        <v>36.8</v>
      </c>
      <c r="I16" s="16">
        <v>0</v>
      </c>
    </row>
    <row r="17" spans="1:13">
      <c r="A17" s="7" t="s">
        <v>247</v>
      </c>
      <c r="B17" s="11" t="s">
        <v>263</v>
      </c>
      <c r="C17" s="13">
        <v>16205</v>
      </c>
      <c r="D17" s="18">
        <v>6842.12</v>
      </c>
      <c r="E17" s="18">
        <v>8660.5</v>
      </c>
      <c r="F17" s="18">
        <v>285.09</v>
      </c>
      <c r="G17" s="16">
        <v>0</v>
      </c>
      <c r="H17" s="16">
        <v>97.40000000000001</v>
      </c>
      <c r="I17" s="16">
        <v>0</v>
      </c>
    </row>
    <row r="18" spans="1:13">
      <c r="A18" s="7" t="s">
        <v>250</v>
      </c>
      <c r="B18" s="11" t="s">
        <v>266</v>
      </c>
      <c r="C18" s="13">
        <v>2911</v>
      </c>
      <c r="D18" s="18">
        <v>1066.25</v>
      </c>
      <c r="E18" s="18">
        <v>1933.7</v>
      </c>
      <c r="F18" s="18">
        <v>44.43</v>
      </c>
      <c r="G18" s="16">
        <v>0.1</v>
      </c>
      <c r="H18" s="16">
        <v>93.09999999999999</v>
      </c>
      <c r="I18" s="16">
        <v>0</v>
      </c>
    </row>
    <row r="19" spans="1:13">
      <c r="A19" s="7" t="s">
        <v>253</v>
      </c>
      <c r="B19" s="11" t="s">
        <v>269</v>
      </c>
      <c r="C19" s="13">
        <v>2866</v>
      </c>
      <c r="D19" s="18">
        <v>451.58</v>
      </c>
      <c r="E19" s="18">
        <v>5904.4</v>
      </c>
      <c r="F19" s="18">
        <v>18.82</v>
      </c>
      <c r="G19" s="16">
        <v>20.9</v>
      </c>
      <c r="H19" s="16">
        <v>45</v>
      </c>
      <c r="I19" s="16">
        <v>0</v>
      </c>
    </row>
    <row r="20" spans="1:13">
      <c r="A20" s="7" t="s">
        <v>254</v>
      </c>
      <c r="B20" s="11" t="s">
        <v>270</v>
      </c>
      <c r="C20" s="13">
        <v>371</v>
      </c>
      <c r="D20" s="18">
        <v>42.35</v>
      </c>
      <c r="E20" s="18">
        <v>541.7</v>
      </c>
      <c r="F20" s="18">
        <v>1.76</v>
      </c>
      <c r="G20" s="16">
        <v>32.6</v>
      </c>
      <c r="H20" s="16">
        <v>3</v>
      </c>
      <c r="I20" s="16">
        <v>0</v>
      </c>
    </row>
    <row r="21" spans="1:13">
      <c r="A21" s="7" t="s">
        <v>255</v>
      </c>
      <c r="B21" s="11" t="s">
        <v>271</v>
      </c>
      <c r="C21" s="13">
        <v>340</v>
      </c>
      <c r="D21" s="18">
        <v>355.42</v>
      </c>
      <c r="E21" s="18">
        <v>754.1</v>
      </c>
      <c r="F21" s="18">
        <v>14.81</v>
      </c>
      <c r="G21" s="16">
        <v>6.5</v>
      </c>
      <c r="H21" s="16">
        <v>11.5</v>
      </c>
      <c r="I21" s="16">
        <v>0</v>
      </c>
    </row>
    <row r="23" spans="1:13">
      <c r="L23" s="12" t="s">
        <v>323</v>
      </c>
      <c r="M23" s="12"/>
    </row>
    <row r="24" spans="1:13" ht="30" customHeight="1">
      <c r="L24" s="10" t="s">
        <v>238</v>
      </c>
      <c r="M24" s="10" t="s">
        <v>317</v>
      </c>
    </row>
    <row r="25" spans="1:13">
      <c r="L25" s="7" t="s">
        <v>241</v>
      </c>
      <c r="M25" s="18">
        <v>1.3</v>
      </c>
    </row>
    <row r="26" spans="1:13">
      <c r="L26" s="7" t="s">
        <v>240</v>
      </c>
      <c r="M26" s="18">
        <v>78.98</v>
      </c>
    </row>
    <row r="27" spans="1:13">
      <c r="L27" s="7" t="s">
        <v>243</v>
      </c>
      <c r="M27" s="18">
        <v>33.08</v>
      </c>
    </row>
    <row r="28" spans="1:13">
      <c r="L28" s="7" t="s">
        <v>242</v>
      </c>
      <c r="M28" s="18">
        <v>46</v>
      </c>
    </row>
    <row r="29" spans="1:13">
      <c r="L29" s="7" t="s">
        <v>246</v>
      </c>
      <c r="M29" s="18">
        <v>23.92</v>
      </c>
    </row>
    <row r="30" spans="1:13">
      <c r="L30" s="7" t="s">
        <v>245</v>
      </c>
      <c r="M30" s="18">
        <v>231.19</v>
      </c>
    </row>
    <row r="31" spans="1:13">
      <c r="L31" s="7" t="s">
        <v>244</v>
      </c>
      <c r="M31" s="18">
        <v>183.3</v>
      </c>
    </row>
    <row r="32" spans="1:13">
      <c r="L32" s="7" t="s">
        <v>248</v>
      </c>
      <c r="M32" s="18">
        <v>45.97</v>
      </c>
    </row>
    <row r="53" spans="1:11" ht="134" customHeight="1">
      <c r="A53" s="12" t="s">
        <v>324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5" spans="1:11" ht="24" customHeight="1">
      <c r="A55" s="9" t="s">
        <v>325</v>
      </c>
      <c r="B55" s="9"/>
      <c r="C55" s="9"/>
      <c r="D55" s="9"/>
      <c r="E55" s="9"/>
      <c r="F55" s="9"/>
      <c r="G55" s="9"/>
      <c r="H55" s="9"/>
      <c r="I55" s="9"/>
      <c r="J55" s="9"/>
      <c r="K55" s="9"/>
    </row>
    <row r="57" spans="1:11" ht="30" customHeight="1">
      <c r="A57" s="10" t="s">
        <v>169</v>
      </c>
      <c r="B57" s="10" t="s">
        <v>300</v>
      </c>
      <c r="C57" s="10" t="s">
        <v>316</v>
      </c>
      <c r="D57" s="10" t="s">
        <v>317</v>
      </c>
      <c r="E57" s="10" t="s">
        <v>318</v>
      </c>
      <c r="F57" s="10" t="s">
        <v>320</v>
      </c>
      <c r="G57" s="10" t="s">
        <v>322</v>
      </c>
    </row>
    <row r="58" spans="1:11">
      <c r="A58" s="7" t="s">
        <v>326</v>
      </c>
      <c r="B58" s="11" t="s">
        <v>241</v>
      </c>
      <c r="C58" s="13">
        <v>104934</v>
      </c>
      <c r="D58" s="18">
        <v>0.9</v>
      </c>
      <c r="E58" s="18">
        <v>4.1</v>
      </c>
      <c r="F58" s="16">
        <v>99.7</v>
      </c>
      <c r="G58" s="16">
        <v>0.12</v>
      </c>
    </row>
    <row r="59" spans="1:11">
      <c r="A59" s="7" t="s">
        <v>327</v>
      </c>
      <c r="B59" s="11" t="s">
        <v>241</v>
      </c>
      <c r="C59" s="13">
        <v>257587</v>
      </c>
      <c r="D59" s="18">
        <v>0.95</v>
      </c>
      <c r="E59" s="18">
        <v>4.4</v>
      </c>
      <c r="F59" s="16">
        <v>99.7</v>
      </c>
      <c r="G59" s="16">
        <v>0.08</v>
      </c>
    </row>
    <row r="60" spans="1:11">
      <c r="A60" s="7" t="s">
        <v>328</v>
      </c>
      <c r="B60" s="11" t="s">
        <v>241</v>
      </c>
      <c r="C60" s="13">
        <v>72420</v>
      </c>
      <c r="D60" s="18">
        <v>0.97</v>
      </c>
      <c r="E60" s="18">
        <v>4.7</v>
      </c>
      <c r="F60" s="16">
        <v>99.59999999999999</v>
      </c>
      <c r="G60" s="16">
        <v>0.16</v>
      </c>
    </row>
    <row r="61" spans="1:11">
      <c r="A61" s="7" t="s">
        <v>178</v>
      </c>
      <c r="B61" s="11" t="s">
        <v>241</v>
      </c>
      <c r="C61" s="13">
        <v>573911</v>
      </c>
      <c r="D61" s="18">
        <v>1.12</v>
      </c>
      <c r="E61" s="18">
        <v>5.6</v>
      </c>
      <c r="F61" s="16">
        <v>99.40000000000001</v>
      </c>
      <c r="G61" s="16">
        <v>0.08</v>
      </c>
    </row>
    <row r="62" spans="1:11">
      <c r="A62" s="7" t="s">
        <v>218</v>
      </c>
      <c r="B62" s="11" t="s">
        <v>241</v>
      </c>
      <c r="C62" s="13">
        <v>958378</v>
      </c>
      <c r="D62" s="18">
        <v>1.52</v>
      </c>
      <c r="E62" s="18">
        <v>7.1</v>
      </c>
      <c r="F62" s="16">
        <v>99.2</v>
      </c>
      <c r="G62" s="16">
        <v>0.08</v>
      </c>
    </row>
    <row r="63" spans="1:11">
      <c r="A63" s="7" t="s">
        <v>221</v>
      </c>
      <c r="B63" s="11" t="s">
        <v>241</v>
      </c>
      <c r="C63" s="13">
        <v>302302</v>
      </c>
      <c r="D63" s="18">
        <v>1.75</v>
      </c>
      <c r="E63" s="18">
        <v>7.7</v>
      </c>
      <c r="F63" s="16">
        <v>98.8</v>
      </c>
      <c r="G63" s="16">
        <v>0.02</v>
      </c>
    </row>
    <row r="64" spans="1:11">
      <c r="A64" s="7" t="s">
        <v>329</v>
      </c>
      <c r="B64" s="11" t="s">
        <v>241</v>
      </c>
      <c r="C64" s="13">
        <v>75688</v>
      </c>
      <c r="D64" s="18">
        <v>1.88</v>
      </c>
      <c r="E64" s="18">
        <v>188.6</v>
      </c>
      <c r="F64" s="16">
        <v>82.40000000000001</v>
      </c>
      <c r="G64" s="16">
        <v>0.01</v>
      </c>
    </row>
    <row r="65" spans="1:11">
      <c r="A65" s="7" t="s">
        <v>330</v>
      </c>
      <c r="B65" s="11" t="s">
        <v>241</v>
      </c>
      <c r="C65" s="13">
        <v>113240</v>
      </c>
      <c r="D65" s="18">
        <v>2.13</v>
      </c>
      <c r="E65" s="18">
        <v>10.2</v>
      </c>
      <c r="F65" s="16">
        <v>97.8</v>
      </c>
      <c r="G65" s="16">
        <v>0.07000000000000001</v>
      </c>
    </row>
    <row r="66" spans="1:11">
      <c r="A66" s="7" t="s">
        <v>230</v>
      </c>
      <c r="B66" s="11" t="s">
        <v>242</v>
      </c>
      <c r="C66" s="13">
        <v>87328</v>
      </c>
      <c r="D66" s="18">
        <v>2.2</v>
      </c>
      <c r="E66" s="18">
        <v>47.5</v>
      </c>
      <c r="F66" s="16">
        <v>82.7</v>
      </c>
      <c r="G66" s="16">
        <v>9.470000000000001</v>
      </c>
    </row>
    <row r="67" spans="1:11">
      <c r="A67" s="7" t="s">
        <v>331</v>
      </c>
      <c r="B67" s="11" t="s">
        <v>246</v>
      </c>
      <c r="C67" s="13">
        <v>122102</v>
      </c>
      <c r="D67" s="18">
        <v>4.62</v>
      </c>
      <c r="E67" s="18">
        <v>260.2</v>
      </c>
      <c r="F67" s="16">
        <v>68.59999999999999</v>
      </c>
      <c r="G67" s="16">
        <v>17.14</v>
      </c>
    </row>
    <row r="68" spans="1:11">
      <c r="A68" s="7" t="s">
        <v>232</v>
      </c>
      <c r="B68" s="11" t="s">
        <v>243</v>
      </c>
      <c r="C68" s="13">
        <v>68781</v>
      </c>
      <c r="D68" s="18">
        <v>20.97</v>
      </c>
      <c r="E68" s="18">
        <v>68.40000000000001</v>
      </c>
      <c r="F68" s="16">
        <v>56.2</v>
      </c>
      <c r="G68" s="16">
        <v>0</v>
      </c>
    </row>
    <row r="69" spans="1:11">
      <c r="A69" s="7" t="s">
        <v>332</v>
      </c>
      <c r="B69" s="11" t="s">
        <v>243</v>
      </c>
      <c r="C69" s="13">
        <v>100756</v>
      </c>
      <c r="D69" s="18">
        <v>23.23</v>
      </c>
      <c r="E69" s="18">
        <v>79.2</v>
      </c>
      <c r="F69" s="16">
        <v>52.1</v>
      </c>
      <c r="G69" s="16">
        <v>0</v>
      </c>
    </row>
    <row r="70" spans="1:11">
      <c r="A70" s="7" t="s">
        <v>220</v>
      </c>
      <c r="B70" s="11" t="s">
        <v>242</v>
      </c>
      <c r="C70" s="13">
        <v>143051</v>
      </c>
      <c r="D70" s="18">
        <v>26.73</v>
      </c>
      <c r="E70" s="18">
        <v>223.2</v>
      </c>
      <c r="F70" s="16">
        <v>46.2</v>
      </c>
      <c r="G70" s="16">
        <v>12.16</v>
      </c>
    </row>
    <row r="71" spans="1:11">
      <c r="A71" s="7" t="s">
        <v>217</v>
      </c>
      <c r="B71" s="11" t="s">
        <v>240</v>
      </c>
      <c r="C71" s="13">
        <v>620598</v>
      </c>
      <c r="D71" s="18">
        <v>41.92</v>
      </c>
      <c r="E71" s="18">
        <v>84.09999999999999</v>
      </c>
      <c r="F71" s="16">
        <v>26.2</v>
      </c>
      <c r="G71" s="16">
        <v>0.01</v>
      </c>
    </row>
    <row r="72" spans="1:11">
      <c r="A72" s="7" t="s">
        <v>219</v>
      </c>
      <c r="B72" s="11" t="s">
        <v>243</v>
      </c>
      <c r="C72" s="13">
        <v>72634</v>
      </c>
      <c r="D72" s="18">
        <v>52.78</v>
      </c>
      <c r="E72" s="18">
        <v>178.7</v>
      </c>
      <c r="F72" s="16">
        <v>32.1</v>
      </c>
      <c r="G72" s="16">
        <v>0.01</v>
      </c>
    </row>
    <row r="73" spans="1:11">
      <c r="A73" s="7" t="s">
        <v>333</v>
      </c>
      <c r="B73" s="11" t="s">
        <v>246</v>
      </c>
      <c r="C73" s="13">
        <v>95428</v>
      </c>
      <c r="D73" s="18">
        <v>67.7</v>
      </c>
      <c r="E73" s="18">
        <v>224</v>
      </c>
      <c r="F73" s="16">
        <v>24.8</v>
      </c>
      <c r="G73" s="16">
        <v>0.01</v>
      </c>
    </row>
    <row r="74" spans="1:11">
      <c r="A74" s="7" t="s">
        <v>234</v>
      </c>
      <c r="B74" s="11" t="s">
        <v>240</v>
      </c>
      <c r="C74" s="13">
        <v>102427</v>
      </c>
      <c r="D74" s="18">
        <v>178.7</v>
      </c>
      <c r="E74" s="18">
        <v>1296</v>
      </c>
      <c r="F74" s="16">
        <v>4.2</v>
      </c>
      <c r="G74" s="16">
        <v>0.01</v>
      </c>
    </row>
    <row r="75" spans="1:11">
      <c r="A75" s="7" t="s">
        <v>225</v>
      </c>
      <c r="B75" s="11" t="s">
        <v>240</v>
      </c>
      <c r="C75" s="13">
        <v>123015</v>
      </c>
      <c r="D75" s="18">
        <v>198</v>
      </c>
      <c r="E75" s="18">
        <v>1581.6</v>
      </c>
      <c r="F75" s="16">
        <v>6.4</v>
      </c>
      <c r="G75" s="16">
        <v>0.02</v>
      </c>
    </row>
    <row r="76" spans="1:11">
      <c r="A76" s="7" t="s">
        <v>223</v>
      </c>
      <c r="B76" s="11" t="s">
        <v>240</v>
      </c>
      <c r="C76" s="13">
        <v>197314</v>
      </c>
      <c r="D76" s="18">
        <v>269.45</v>
      </c>
      <c r="E76" s="18">
        <v>1581.7</v>
      </c>
      <c r="F76" s="16">
        <v>2</v>
      </c>
      <c r="G76" s="16">
        <v>0.01</v>
      </c>
    </row>
    <row r="77" spans="1:11">
      <c r="A77" s="7" t="s">
        <v>235</v>
      </c>
      <c r="B77" s="11" t="s">
        <v>240</v>
      </c>
      <c r="C77" s="13">
        <v>79642</v>
      </c>
      <c r="D77" s="18">
        <v>308.83</v>
      </c>
      <c r="E77" s="18">
        <v>1894</v>
      </c>
      <c r="F77" s="16">
        <v>1.9</v>
      </c>
      <c r="G77" s="16">
        <v>0.02</v>
      </c>
    </row>
    <row r="80" spans="1:11" ht="102" customHeight="1">
      <c r="A80" s="12" t="s">
        <v>334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</row>
  </sheetData>
  <mergeCells count="6">
    <mergeCell ref="A1:K1"/>
    <mergeCell ref="A3:K3"/>
    <mergeCell ref="L23:M23"/>
    <mergeCell ref="A53:K53"/>
    <mergeCell ref="A55:K55"/>
    <mergeCell ref="A80:K8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3"/>
  <sheetViews>
    <sheetView showGridLines="0" workbookViewId="0"/>
  </sheetViews>
  <sheetFormatPr defaultRowHeight="15"/>
  <cols>
    <col min="1" max="1" width="100.7109375" customWidth="1"/>
    <col min="2" max="5" width="16.7109375" customWidth="1"/>
  </cols>
  <sheetData>
    <row r="1" spans="1:11" ht="70" customHeight="1">
      <c r="A1" s="8" t="s">
        <v>335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336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337</v>
      </c>
      <c r="B5" s="10" t="s">
        <v>91</v>
      </c>
      <c r="C5" s="10" t="s">
        <v>338</v>
      </c>
    </row>
    <row r="6" spans="1:11">
      <c r="A6" s="7" t="s">
        <v>339</v>
      </c>
      <c r="B6" s="13">
        <v>899453</v>
      </c>
      <c r="C6" s="16">
        <v>27.96</v>
      </c>
    </row>
    <row r="7" spans="1:11">
      <c r="A7" s="7" t="s">
        <v>340</v>
      </c>
      <c r="B7" s="13">
        <v>2118277</v>
      </c>
      <c r="C7" s="16">
        <v>65.84</v>
      </c>
    </row>
    <row r="8" spans="1:11">
      <c r="A8" s="7" t="s">
        <v>341</v>
      </c>
      <c r="B8" s="13">
        <v>88915</v>
      </c>
      <c r="C8" s="16">
        <v>2.76</v>
      </c>
    </row>
    <row r="9" spans="1:11">
      <c r="A9" s="7" t="s">
        <v>342</v>
      </c>
      <c r="B9" s="13">
        <v>39403</v>
      </c>
      <c r="C9" s="16">
        <v>1.22</v>
      </c>
    </row>
    <row r="10" spans="1:11">
      <c r="A10" s="7" t="s">
        <v>343</v>
      </c>
      <c r="B10" s="13">
        <v>17731</v>
      </c>
      <c r="C10" s="16">
        <v>0.55</v>
      </c>
    </row>
    <row r="11" spans="1:11">
      <c r="A11" s="7" t="s">
        <v>344</v>
      </c>
      <c r="B11" s="13">
        <v>53411</v>
      </c>
      <c r="C11" s="16">
        <v>1.66</v>
      </c>
    </row>
    <row r="12" spans="1:11">
      <c r="A12" s="7" t="s">
        <v>345</v>
      </c>
      <c r="B12" s="13">
        <v>22</v>
      </c>
      <c r="C12" s="16">
        <v>0</v>
      </c>
    </row>
    <row r="33" spans="1:11" ht="118" customHeight="1">
      <c r="A33" s="12" t="s">
        <v>346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5" spans="1:11" ht="24" customHeight="1">
      <c r="A35" s="9" t="s">
        <v>347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7" spans="1:11" ht="30" customHeight="1">
      <c r="A37" s="10" t="s">
        <v>169</v>
      </c>
      <c r="B37" s="10" t="s">
        <v>316</v>
      </c>
      <c r="C37" s="10" t="s">
        <v>348</v>
      </c>
      <c r="D37" s="10" t="s">
        <v>349</v>
      </c>
      <c r="E37" s="10" t="s">
        <v>317</v>
      </c>
    </row>
    <row r="38" spans="1:11">
      <c r="A38" s="7" t="s">
        <v>218</v>
      </c>
      <c r="B38" s="13">
        <v>1158811</v>
      </c>
      <c r="C38" s="16">
        <v>34.1</v>
      </c>
      <c r="D38" s="16">
        <v>63.8</v>
      </c>
      <c r="E38" s="18">
        <v>1.53</v>
      </c>
    </row>
    <row r="39" spans="1:11">
      <c r="A39" s="7" t="s">
        <v>178</v>
      </c>
      <c r="B39" s="13">
        <v>695541</v>
      </c>
      <c r="C39" s="16">
        <v>20.1</v>
      </c>
      <c r="D39" s="16">
        <v>66.2</v>
      </c>
      <c r="E39" s="18">
        <v>1.13</v>
      </c>
    </row>
    <row r="40" spans="1:11">
      <c r="A40" s="7" t="s">
        <v>221</v>
      </c>
      <c r="B40" s="13">
        <v>362549</v>
      </c>
      <c r="C40" s="16">
        <v>38.1</v>
      </c>
      <c r="D40" s="16">
        <v>60</v>
      </c>
      <c r="E40" s="18">
        <v>1.77</v>
      </c>
    </row>
    <row r="41" spans="1:11">
      <c r="A41" s="7" t="s">
        <v>327</v>
      </c>
      <c r="B41" s="13">
        <v>349091</v>
      </c>
      <c r="C41" s="16">
        <v>26.7</v>
      </c>
      <c r="D41" s="16">
        <v>71.3</v>
      </c>
      <c r="E41" s="18">
        <v>1</v>
      </c>
    </row>
    <row r="42" spans="1:11">
      <c r="A42" s="7" t="s">
        <v>330</v>
      </c>
      <c r="B42" s="13">
        <v>139839</v>
      </c>
      <c r="C42" s="16">
        <v>29.1</v>
      </c>
      <c r="D42" s="16">
        <v>53.8</v>
      </c>
      <c r="E42" s="18">
        <v>2.18</v>
      </c>
    </row>
    <row r="43" spans="1:11">
      <c r="A43" s="7" t="s">
        <v>326</v>
      </c>
      <c r="B43" s="13">
        <v>126207</v>
      </c>
      <c r="C43" s="16">
        <v>33.5</v>
      </c>
      <c r="D43" s="16">
        <v>64.40000000000001</v>
      </c>
      <c r="E43" s="18">
        <v>0.9</v>
      </c>
    </row>
    <row r="44" spans="1:11">
      <c r="A44" s="7" t="s">
        <v>328</v>
      </c>
      <c r="B44" s="13">
        <v>92937</v>
      </c>
      <c r="C44" s="16">
        <v>16.1</v>
      </c>
      <c r="D44" s="16">
        <v>82.5</v>
      </c>
      <c r="E44" s="18">
        <v>1</v>
      </c>
    </row>
    <row r="45" spans="1:11">
      <c r="A45" s="7" t="s">
        <v>329</v>
      </c>
      <c r="B45" s="13">
        <v>68361</v>
      </c>
      <c r="C45" s="16">
        <v>0.5</v>
      </c>
      <c r="D45" s="16">
        <v>57.8</v>
      </c>
      <c r="E45" s="18">
        <v>1.03</v>
      </c>
    </row>
    <row r="48" spans="1:11" ht="86" customHeight="1">
      <c r="A48" s="12" t="s">
        <v>350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50" spans="1:11" ht="24" customHeight="1">
      <c r="A50" s="9" t="s">
        <v>351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2" spans="1:11" ht="30" customHeight="1">
      <c r="A52" s="10" t="s">
        <v>352</v>
      </c>
      <c r="B52" s="10" t="s">
        <v>91</v>
      </c>
      <c r="C52" s="10" t="s">
        <v>338</v>
      </c>
    </row>
    <row r="53" spans="1:11">
      <c r="A53" s="7" t="s">
        <v>353</v>
      </c>
      <c r="B53" s="13">
        <v>189257</v>
      </c>
      <c r="C53" s="16">
        <v>29.79</v>
      </c>
    </row>
    <row r="54" spans="1:11">
      <c r="A54" s="7" t="s">
        <v>354</v>
      </c>
      <c r="B54" s="13">
        <v>100794</v>
      </c>
      <c r="C54" s="16">
        <v>15.87</v>
      </c>
    </row>
    <row r="55" spans="1:11">
      <c r="A55" s="7" t="s">
        <v>355</v>
      </c>
      <c r="B55" s="13">
        <v>90110</v>
      </c>
      <c r="C55" s="16">
        <v>14.18</v>
      </c>
    </row>
    <row r="56" spans="1:11">
      <c r="A56" s="7" t="s">
        <v>356</v>
      </c>
      <c r="B56" s="13">
        <v>60802</v>
      </c>
      <c r="C56" s="16">
        <v>9.57</v>
      </c>
    </row>
    <row r="57" spans="1:11">
      <c r="A57" s="7" t="s">
        <v>357</v>
      </c>
      <c r="B57" s="13">
        <v>59081</v>
      </c>
      <c r="C57" s="16">
        <v>9.300000000000001</v>
      </c>
    </row>
    <row r="58" spans="1:11">
      <c r="A58" s="7" t="s">
        <v>358</v>
      </c>
      <c r="B58" s="13">
        <v>58784</v>
      </c>
      <c r="C58" s="16">
        <v>9.25</v>
      </c>
    </row>
    <row r="59" spans="1:11">
      <c r="A59" s="7" t="s">
        <v>359</v>
      </c>
      <c r="B59" s="13">
        <v>38597</v>
      </c>
      <c r="C59" s="16">
        <v>6.08</v>
      </c>
    </row>
    <row r="60" spans="1:11">
      <c r="A60" s="7" t="s">
        <v>360</v>
      </c>
      <c r="B60" s="13">
        <v>25187</v>
      </c>
      <c r="C60" s="16">
        <v>3.96</v>
      </c>
    </row>
    <row r="63" spans="1:11" ht="86" customHeight="1">
      <c r="A63" s="12" t="s">
        <v>361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</sheetData>
  <mergeCells count="7">
    <mergeCell ref="A1:K1"/>
    <mergeCell ref="A3:K3"/>
    <mergeCell ref="A33:K33"/>
    <mergeCell ref="A35:K35"/>
    <mergeCell ref="A48:K48"/>
    <mergeCell ref="A50:K50"/>
    <mergeCell ref="A63:K6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7"/>
  <sheetViews>
    <sheetView showGridLines="0" workbookViewId="0"/>
  </sheetViews>
  <sheetFormatPr defaultRowHeight="15"/>
  <cols>
    <col min="1" max="1" width="30.7109375" customWidth="1"/>
    <col min="2" max="2" width="18.7109375" customWidth="1"/>
    <col min="3" max="3" width="16.7109375" customWidth="1"/>
    <col min="4" max="5" width="22.7109375" customWidth="1"/>
    <col min="6" max="6" width="16.7109375" customWidth="1"/>
  </cols>
  <sheetData>
    <row r="1" spans="1:11" ht="86" customHeight="1">
      <c r="A1" s="8" t="s">
        <v>362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363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364</v>
      </c>
      <c r="B5" s="10" t="s">
        <v>365</v>
      </c>
      <c r="C5" s="10" t="s">
        <v>366</v>
      </c>
      <c r="D5" s="10" t="s">
        <v>367</v>
      </c>
      <c r="E5" s="10" t="s">
        <v>368</v>
      </c>
    </row>
    <row r="6" spans="1:11">
      <c r="A6" s="13">
        <v>7069224</v>
      </c>
      <c r="B6" s="13">
        <v>5730879</v>
      </c>
      <c r="C6" s="13">
        <v>1338345</v>
      </c>
      <c r="D6" s="16">
        <v>18.93</v>
      </c>
      <c r="E6" s="16">
        <v>18.23</v>
      </c>
    </row>
    <row r="9" spans="1:11" ht="86" customHeight="1">
      <c r="A9" s="12" t="s">
        <v>369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1" spans="1:11" ht="24" customHeight="1">
      <c r="A11" s="9" t="s">
        <v>370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3" spans="1:11" ht="30" customHeight="1">
      <c r="A13" s="10" t="s">
        <v>169</v>
      </c>
      <c r="B13" s="10" t="s">
        <v>371</v>
      </c>
      <c r="C13" s="10" t="s">
        <v>372</v>
      </c>
      <c r="D13" s="10" t="s">
        <v>366</v>
      </c>
      <c r="E13" s="10" t="s">
        <v>373</v>
      </c>
      <c r="F13" s="10" t="s">
        <v>374</v>
      </c>
    </row>
    <row r="14" spans="1:11">
      <c r="A14" s="7" t="s">
        <v>329</v>
      </c>
      <c r="B14" s="13">
        <v>89372</v>
      </c>
      <c r="C14" s="13">
        <v>54196</v>
      </c>
      <c r="D14" s="13">
        <v>35176</v>
      </c>
      <c r="E14" s="16">
        <v>39.36</v>
      </c>
      <c r="F14" s="13">
        <v>36</v>
      </c>
    </row>
    <row r="15" spans="1:11">
      <c r="A15" s="7" t="s">
        <v>217</v>
      </c>
      <c r="B15" s="13">
        <v>651594</v>
      </c>
      <c r="C15" s="13">
        <v>438079</v>
      </c>
      <c r="D15" s="13">
        <v>213515</v>
      </c>
      <c r="E15" s="16">
        <v>32.77</v>
      </c>
      <c r="F15" s="13">
        <v>133</v>
      </c>
    </row>
    <row r="16" spans="1:11">
      <c r="A16" s="7" t="s">
        <v>223</v>
      </c>
      <c r="B16" s="13">
        <v>249446</v>
      </c>
      <c r="C16" s="13">
        <v>171867</v>
      </c>
      <c r="D16" s="13">
        <v>77579</v>
      </c>
      <c r="E16" s="16">
        <v>31.1</v>
      </c>
      <c r="F16" s="13">
        <v>48</v>
      </c>
    </row>
    <row r="17" spans="1:6">
      <c r="A17" s="7" t="s">
        <v>234</v>
      </c>
      <c r="B17" s="13">
        <v>125565</v>
      </c>
      <c r="C17" s="13">
        <v>87025</v>
      </c>
      <c r="D17" s="13">
        <v>38540</v>
      </c>
      <c r="E17" s="16">
        <v>30.69</v>
      </c>
      <c r="F17" s="13">
        <v>29</v>
      </c>
    </row>
    <row r="18" spans="1:6">
      <c r="A18" s="7" t="s">
        <v>225</v>
      </c>
      <c r="B18" s="13">
        <v>150696</v>
      </c>
      <c r="C18" s="13">
        <v>105467</v>
      </c>
      <c r="D18" s="13">
        <v>45229</v>
      </c>
      <c r="E18" s="16">
        <v>30.01</v>
      </c>
      <c r="F18" s="13">
        <v>94</v>
      </c>
    </row>
    <row r="19" spans="1:6">
      <c r="A19" s="7" t="s">
        <v>178</v>
      </c>
      <c r="B19" s="13">
        <v>695740</v>
      </c>
      <c r="C19" s="13">
        <v>490532</v>
      </c>
      <c r="D19" s="13">
        <v>205208</v>
      </c>
      <c r="E19" s="16">
        <v>29.49</v>
      </c>
      <c r="F19" s="13">
        <v>109</v>
      </c>
    </row>
    <row r="20" spans="1:6">
      <c r="A20" s="7" t="s">
        <v>326</v>
      </c>
      <c r="B20" s="13">
        <v>126245</v>
      </c>
      <c r="C20" s="13">
        <v>92743</v>
      </c>
      <c r="D20" s="13">
        <v>33502</v>
      </c>
      <c r="E20" s="16">
        <v>26.54</v>
      </c>
      <c r="F20" s="13">
        <v>99</v>
      </c>
    </row>
    <row r="21" spans="1:6">
      <c r="A21" s="7" t="s">
        <v>327</v>
      </c>
      <c r="B21" s="13">
        <v>349292</v>
      </c>
      <c r="C21" s="13">
        <v>261658</v>
      </c>
      <c r="D21" s="13">
        <v>87634</v>
      </c>
      <c r="E21" s="16">
        <v>25.09</v>
      </c>
      <c r="F21" s="13">
        <v>184</v>
      </c>
    </row>
    <row r="22" spans="1:6">
      <c r="A22" s="7" t="s">
        <v>235</v>
      </c>
      <c r="B22" s="13">
        <v>96879</v>
      </c>
      <c r="C22" s="13">
        <v>74537</v>
      </c>
      <c r="D22" s="13">
        <v>22342</v>
      </c>
      <c r="E22" s="16">
        <v>23.06</v>
      </c>
      <c r="F22" s="13">
        <v>29</v>
      </c>
    </row>
    <row r="23" spans="1:6">
      <c r="A23" s="7" t="s">
        <v>328</v>
      </c>
      <c r="B23" s="13">
        <v>92971</v>
      </c>
      <c r="C23" s="13">
        <v>72571</v>
      </c>
      <c r="D23" s="13">
        <v>20400</v>
      </c>
      <c r="E23" s="16">
        <v>21.94</v>
      </c>
      <c r="F23" s="13">
        <v>67</v>
      </c>
    </row>
    <row r="24" spans="1:6">
      <c r="A24" s="7" t="s">
        <v>375</v>
      </c>
      <c r="B24" s="13">
        <v>64370</v>
      </c>
      <c r="C24" s="13">
        <v>52310</v>
      </c>
      <c r="D24" s="13">
        <v>12060</v>
      </c>
      <c r="E24" s="16">
        <v>18.74</v>
      </c>
      <c r="F24" s="13">
        <v>49</v>
      </c>
    </row>
    <row r="25" spans="1:6">
      <c r="A25" s="7" t="s">
        <v>376</v>
      </c>
      <c r="B25" s="13">
        <v>56759</v>
      </c>
      <c r="C25" s="13">
        <v>46154</v>
      </c>
      <c r="D25" s="13">
        <v>10605</v>
      </c>
      <c r="E25" s="16">
        <v>18.68</v>
      </c>
      <c r="F25" s="13">
        <v>22</v>
      </c>
    </row>
    <row r="26" spans="1:6">
      <c r="A26" s="7" t="s">
        <v>377</v>
      </c>
      <c r="B26" s="13">
        <v>52471</v>
      </c>
      <c r="C26" s="13">
        <v>43127</v>
      </c>
      <c r="D26" s="13">
        <v>9344</v>
      </c>
      <c r="E26" s="16">
        <v>17.81</v>
      </c>
      <c r="F26" s="13">
        <v>41</v>
      </c>
    </row>
    <row r="27" spans="1:6">
      <c r="A27" s="7" t="s">
        <v>229</v>
      </c>
      <c r="B27" s="13">
        <v>73738</v>
      </c>
      <c r="C27" s="13">
        <v>60640</v>
      </c>
      <c r="D27" s="13">
        <v>13098</v>
      </c>
      <c r="E27" s="16">
        <v>17.76</v>
      </c>
      <c r="F27" s="13">
        <v>66</v>
      </c>
    </row>
    <row r="28" spans="1:6">
      <c r="A28" s="7" t="s">
        <v>218</v>
      </c>
      <c r="B28" s="13">
        <v>1159052</v>
      </c>
      <c r="C28" s="13">
        <v>959258</v>
      </c>
      <c r="D28" s="13">
        <v>199794</v>
      </c>
      <c r="E28" s="16">
        <v>17.24</v>
      </c>
      <c r="F28" s="13">
        <v>69</v>
      </c>
    </row>
    <row r="57" spans="1:11" ht="118" customHeight="1">
      <c r="A57" s="12" t="s">
        <v>378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</row>
  </sheetData>
  <mergeCells count="5">
    <mergeCell ref="A1:K1"/>
    <mergeCell ref="A3:K3"/>
    <mergeCell ref="A9:K9"/>
    <mergeCell ref="A11:K11"/>
    <mergeCell ref="A57:K5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84"/>
  <sheetViews>
    <sheetView showGridLines="0" workbookViewId="0"/>
  </sheetViews>
  <sheetFormatPr defaultRowHeight="15"/>
  <cols>
    <col min="1" max="1" width="26.7109375" customWidth="1"/>
    <col min="2" max="2" width="14.7109375" customWidth="1"/>
    <col min="3" max="3" width="12.7109375" customWidth="1"/>
    <col min="4" max="13" width="9.7109375" customWidth="1"/>
    <col min="14" max="15" width="12.7109375" customWidth="1"/>
  </cols>
  <sheetData>
    <row r="1" spans="1:15" ht="54" customHeight="1">
      <c r="A1" s="8" t="s">
        <v>379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ht="24" customHeight="1">
      <c r="A3" s="9" t="s">
        <v>380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5" spans="1:15" ht="30" customHeight="1">
      <c r="A5" s="10" t="s">
        <v>169</v>
      </c>
      <c r="B5" s="10" t="s">
        <v>381</v>
      </c>
      <c r="C5" s="10" t="s">
        <v>382</v>
      </c>
      <c r="D5" s="10" t="s">
        <v>383</v>
      </c>
      <c r="E5" s="10" t="s">
        <v>384</v>
      </c>
      <c r="F5" s="10" t="s">
        <v>385</v>
      </c>
      <c r="G5" s="10" t="s">
        <v>386</v>
      </c>
      <c r="H5" s="10" t="s">
        <v>387</v>
      </c>
      <c r="I5" s="10" t="s">
        <v>388</v>
      </c>
      <c r="J5" s="10" t="s">
        <v>389</v>
      </c>
      <c r="K5" s="10" t="s">
        <v>390</v>
      </c>
      <c r="L5" s="10" t="s">
        <v>391</v>
      </c>
      <c r="M5" s="10" t="s">
        <v>392</v>
      </c>
      <c r="N5" s="10" t="s">
        <v>393</v>
      </c>
      <c r="O5" s="10" t="s">
        <v>394</v>
      </c>
    </row>
    <row r="6" spans="1:15">
      <c r="A6" s="7" t="s">
        <v>218</v>
      </c>
      <c r="B6" s="13">
        <v>48717</v>
      </c>
      <c r="C6" s="13">
        <v>47781</v>
      </c>
      <c r="D6" s="13">
        <v>54104</v>
      </c>
      <c r="E6" s="13">
        <v>51438</v>
      </c>
      <c r="F6" s="13">
        <v>56372</v>
      </c>
      <c r="G6" s="13">
        <v>56689</v>
      </c>
      <c r="H6" s="13">
        <v>49082</v>
      </c>
      <c r="I6" s="13">
        <v>51216</v>
      </c>
      <c r="J6" s="13">
        <v>54313</v>
      </c>
      <c r="K6" s="13">
        <v>51073</v>
      </c>
      <c r="L6" s="13">
        <v>47373</v>
      </c>
      <c r="M6" s="13">
        <v>44161</v>
      </c>
      <c r="N6" s="13">
        <v>612319</v>
      </c>
      <c r="O6" s="18">
        <v>1.3</v>
      </c>
    </row>
    <row r="7" spans="1:15">
      <c r="A7" s="7" t="s">
        <v>178</v>
      </c>
      <c r="B7" s="13">
        <v>27761</v>
      </c>
      <c r="C7" s="13">
        <v>26308</v>
      </c>
      <c r="D7" s="13">
        <v>30232</v>
      </c>
      <c r="E7" s="13">
        <v>29700</v>
      </c>
      <c r="F7" s="13">
        <v>37218</v>
      </c>
      <c r="G7" s="13">
        <v>34039</v>
      </c>
      <c r="H7" s="13">
        <v>29971</v>
      </c>
      <c r="I7" s="13">
        <v>30622</v>
      </c>
      <c r="J7" s="13">
        <v>29734</v>
      </c>
      <c r="K7" s="13">
        <v>30504</v>
      </c>
      <c r="L7" s="13">
        <v>29258</v>
      </c>
      <c r="M7" s="13">
        <v>27460</v>
      </c>
      <c r="N7" s="13">
        <v>362807</v>
      </c>
      <c r="O7" s="18">
        <v>1.4</v>
      </c>
    </row>
    <row r="8" spans="1:15">
      <c r="A8" s="7" t="s">
        <v>217</v>
      </c>
      <c r="B8" s="13">
        <v>79928</v>
      </c>
      <c r="C8" s="13">
        <v>59031</v>
      </c>
      <c r="D8" s="13">
        <v>29783</v>
      </c>
      <c r="E8" s="13">
        <v>19553</v>
      </c>
      <c r="F8" s="13">
        <v>9823</v>
      </c>
      <c r="G8" s="13">
        <v>4388</v>
      </c>
      <c r="H8" s="13">
        <v>4331</v>
      </c>
      <c r="I8" s="13">
        <v>3682</v>
      </c>
      <c r="J8" s="13">
        <v>3595</v>
      </c>
      <c r="K8" s="13">
        <v>31858</v>
      </c>
      <c r="L8" s="13">
        <v>47946</v>
      </c>
      <c r="M8" s="13">
        <v>63902</v>
      </c>
      <c r="N8" s="13">
        <v>357820</v>
      </c>
      <c r="O8" s="18">
        <v>22.2</v>
      </c>
    </row>
    <row r="9" spans="1:15">
      <c r="A9" s="7" t="s">
        <v>221</v>
      </c>
      <c r="B9" s="13">
        <v>17407</v>
      </c>
      <c r="C9" s="13">
        <v>19909</v>
      </c>
      <c r="D9" s="13">
        <v>16388</v>
      </c>
      <c r="E9" s="13">
        <v>14436</v>
      </c>
      <c r="F9" s="13">
        <v>16311</v>
      </c>
      <c r="G9" s="13">
        <v>16688</v>
      </c>
      <c r="H9" s="13">
        <v>14686</v>
      </c>
      <c r="I9" s="13">
        <v>14636</v>
      </c>
      <c r="J9" s="13">
        <v>15363</v>
      </c>
      <c r="K9" s="13">
        <v>15481</v>
      </c>
      <c r="L9" s="13">
        <v>15990</v>
      </c>
      <c r="M9" s="13">
        <v>16409</v>
      </c>
      <c r="N9" s="13">
        <v>193704</v>
      </c>
      <c r="O9" s="18">
        <v>1.4</v>
      </c>
    </row>
    <row r="10" spans="1:15">
      <c r="A10" s="7" t="s">
        <v>327</v>
      </c>
      <c r="B10" s="13">
        <v>4418</v>
      </c>
      <c r="C10" s="13">
        <v>4139</v>
      </c>
      <c r="D10" s="13">
        <v>10865</v>
      </c>
      <c r="E10" s="13">
        <v>12689</v>
      </c>
      <c r="F10" s="13">
        <v>20021</v>
      </c>
      <c r="G10" s="13">
        <v>23790</v>
      </c>
      <c r="H10" s="13">
        <v>25405</v>
      </c>
      <c r="I10" s="13">
        <v>23644</v>
      </c>
      <c r="J10" s="13">
        <v>19799</v>
      </c>
      <c r="K10" s="13">
        <v>15538</v>
      </c>
      <c r="L10" s="13">
        <v>10005</v>
      </c>
      <c r="M10" s="13">
        <v>4787</v>
      </c>
      <c r="N10" s="13">
        <v>175100</v>
      </c>
      <c r="O10" s="18">
        <v>6.1</v>
      </c>
    </row>
    <row r="11" spans="1:15">
      <c r="A11" s="7" t="s">
        <v>223</v>
      </c>
      <c r="B11" s="13">
        <v>10961</v>
      </c>
      <c r="C11" s="13">
        <v>9662</v>
      </c>
      <c r="D11" s="13">
        <v>10355</v>
      </c>
      <c r="E11" s="13">
        <v>10126</v>
      </c>
      <c r="F11" s="13">
        <v>11208</v>
      </c>
      <c r="G11" s="13">
        <v>11513</v>
      </c>
      <c r="H11" s="13">
        <v>13203</v>
      </c>
      <c r="I11" s="13">
        <v>14577</v>
      </c>
      <c r="J11" s="13">
        <v>11227</v>
      </c>
      <c r="K11" s="13">
        <v>11568</v>
      </c>
      <c r="L11" s="13">
        <v>9677</v>
      </c>
      <c r="M11" s="13">
        <v>9692</v>
      </c>
      <c r="N11" s="13">
        <v>133769</v>
      </c>
      <c r="O11" s="18">
        <v>1.5</v>
      </c>
    </row>
    <row r="12" spans="1:15">
      <c r="A12" s="7" t="s">
        <v>220</v>
      </c>
      <c r="B12" s="13">
        <v>5141</v>
      </c>
      <c r="C12" s="13">
        <v>6913</v>
      </c>
      <c r="D12" s="13">
        <v>28690</v>
      </c>
      <c r="E12" s="13">
        <v>15850</v>
      </c>
      <c r="F12" s="13">
        <v>11777</v>
      </c>
      <c r="G12" s="13">
        <v>10852</v>
      </c>
      <c r="H12" s="13">
        <v>10145</v>
      </c>
      <c r="I12" s="13">
        <v>9552</v>
      </c>
      <c r="J12" s="13">
        <v>5411</v>
      </c>
      <c r="K12" s="13">
        <v>4829</v>
      </c>
      <c r="L12" s="13">
        <v>4049</v>
      </c>
      <c r="M12" s="13">
        <v>4830</v>
      </c>
      <c r="N12" s="13">
        <v>118039</v>
      </c>
      <c r="O12" s="18">
        <v>7.1</v>
      </c>
    </row>
    <row r="13" spans="1:15">
      <c r="A13" s="7" t="s">
        <v>225</v>
      </c>
      <c r="B13" s="13">
        <v>8695</v>
      </c>
      <c r="C13" s="13">
        <v>9707</v>
      </c>
      <c r="D13" s="13">
        <v>6927</v>
      </c>
      <c r="E13" s="13">
        <v>6267</v>
      </c>
      <c r="F13" s="13">
        <v>6555</v>
      </c>
      <c r="G13" s="13">
        <v>6156</v>
      </c>
      <c r="H13" s="13">
        <v>7988</v>
      </c>
      <c r="I13" s="13">
        <v>6635</v>
      </c>
      <c r="J13" s="13">
        <v>5254</v>
      </c>
      <c r="K13" s="13">
        <v>6262</v>
      </c>
      <c r="L13" s="13">
        <v>5762</v>
      </c>
      <c r="M13" s="13">
        <v>6841</v>
      </c>
      <c r="N13" s="13">
        <v>83049</v>
      </c>
      <c r="O13" s="18">
        <v>1.8</v>
      </c>
    </row>
    <row r="14" spans="1:15">
      <c r="A14" s="7" t="s">
        <v>330</v>
      </c>
      <c r="B14" s="13">
        <v>4549</v>
      </c>
      <c r="C14" s="13">
        <v>3457</v>
      </c>
      <c r="D14" s="13">
        <v>7660</v>
      </c>
      <c r="E14" s="13">
        <v>6950</v>
      </c>
      <c r="F14" s="13">
        <v>6817</v>
      </c>
      <c r="G14" s="13">
        <v>6834</v>
      </c>
      <c r="H14" s="13">
        <v>6962</v>
      </c>
      <c r="I14" s="13">
        <v>6815</v>
      </c>
      <c r="J14" s="13">
        <v>5746</v>
      </c>
      <c r="K14" s="13">
        <v>5276</v>
      </c>
      <c r="L14" s="13">
        <v>4918</v>
      </c>
      <c r="M14" s="13">
        <v>4576</v>
      </c>
      <c r="N14" s="13">
        <v>70560</v>
      </c>
      <c r="O14" s="18">
        <v>2.2</v>
      </c>
    </row>
    <row r="15" spans="1:15">
      <c r="A15" s="7" t="s">
        <v>332</v>
      </c>
      <c r="B15" s="13">
        <v>4135</v>
      </c>
      <c r="C15" s="13">
        <v>5042</v>
      </c>
      <c r="D15" s="13">
        <v>7826</v>
      </c>
      <c r="E15" s="13">
        <v>5469</v>
      </c>
      <c r="F15" s="13">
        <v>5750</v>
      </c>
      <c r="G15" s="13">
        <v>6621</v>
      </c>
      <c r="H15" s="13">
        <v>6810</v>
      </c>
      <c r="I15" s="13">
        <v>7153</v>
      </c>
      <c r="J15" s="13">
        <v>6338</v>
      </c>
      <c r="K15" s="13">
        <v>5066</v>
      </c>
      <c r="L15" s="13">
        <v>4077</v>
      </c>
      <c r="M15" s="13">
        <v>3820</v>
      </c>
      <c r="N15" s="13">
        <v>68107</v>
      </c>
      <c r="O15" s="18">
        <v>2</v>
      </c>
    </row>
    <row r="36" spans="1:15" ht="134" customHeight="1">
      <c r="A36" s="12" t="s">
        <v>395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8" spans="1:15" ht="24" customHeight="1">
      <c r="A38" s="9" t="s">
        <v>396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40" spans="1:15" ht="30" customHeight="1">
      <c r="A40" s="10" t="s">
        <v>397</v>
      </c>
      <c r="B40" s="10" t="s">
        <v>91</v>
      </c>
      <c r="C40" s="10" t="s">
        <v>338</v>
      </c>
    </row>
    <row r="41" spans="1:15">
      <c r="A41" s="18">
        <v>0</v>
      </c>
      <c r="B41" s="13">
        <v>245499</v>
      </c>
      <c r="C41" s="16">
        <v>3.47</v>
      </c>
    </row>
    <row r="42" spans="1:15">
      <c r="A42" s="18">
        <v>1</v>
      </c>
      <c r="B42" s="13">
        <v>163002</v>
      </c>
      <c r="C42" s="16">
        <v>2.31</v>
      </c>
    </row>
    <row r="43" spans="1:15">
      <c r="A43" s="18">
        <v>2</v>
      </c>
      <c r="B43" s="13">
        <v>110633</v>
      </c>
      <c r="C43" s="16">
        <v>1.57</v>
      </c>
    </row>
    <row r="44" spans="1:15">
      <c r="A44" s="18">
        <v>3</v>
      </c>
      <c r="B44" s="13">
        <v>85498</v>
      </c>
      <c r="C44" s="16">
        <v>1.21</v>
      </c>
    </row>
    <row r="45" spans="1:15">
      <c r="A45" s="18">
        <v>4</v>
      </c>
      <c r="B45" s="13">
        <v>79647</v>
      </c>
      <c r="C45" s="16">
        <v>1.13</v>
      </c>
    </row>
    <row r="46" spans="1:15">
      <c r="A46" s="18">
        <v>5</v>
      </c>
      <c r="B46" s="13">
        <v>93798</v>
      </c>
      <c r="C46" s="16">
        <v>1.33</v>
      </c>
    </row>
    <row r="47" spans="1:15">
      <c r="A47" s="18">
        <v>6</v>
      </c>
      <c r="B47" s="13">
        <v>157218</v>
      </c>
      <c r="C47" s="16">
        <v>2.23</v>
      </c>
    </row>
    <row r="48" spans="1:15">
      <c r="A48" s="18">
        <v>7</v>
      </c>
      <c r="B48" s="13">
        <v>267040</v>
      </c>
      <c r="C48" s="16">
        <v>3.78</v>
      </c>
    </row>
    <row r="49" spans="1:3">
      <c r="A49" s="18">
        <v>8</v>
      </c>
      <c r="B49" s="13">
        <v>370553</v>
      </c>
      <c r="C49" s="16">
        <v>5.24</v>
      </c>
    </row>
    <row r="50" spans="1:3">
      <c r="A50" s="18">
        <v>9</v>
      </c>
      <c r="B50" s="13">
        <v>419101</v>
      </c>
      <c r="C50" s="16">
        <v>5.93</v>
      </c>
    </row>
    <row r="51" spans="1:3">
      <c r="A51" s="18">
        <v>10</v>
      </c>
      <c r="B51" s="13">
        <v>427583</v>
      </c>
      <c r="C51" s="16">
        <v>6.05</v>
      </c>
    </row>
    <row r="52" spans="1:3">
      <c r="A52" s="18">
        <v>11</v>
      </c>
      <c r="B52" s="13">
        <v>419454</v>
      </c>
      <c r="C52" s="16">
        <v>5.94</v>
      </c>
    </row>
    <row r="53" spans="1:3">
      <c r="A53" s="18">
        <v>12</v>
      </c>
      <c r="B53" s="13">
        <v>400635</v>
      </c>
      <c r="C53" s="16">
        <v>5.67</v>
      </c>
    </row>
    <row r="54" spans="1:3">
      <c r="A54" s="18">
        <v>13</v>
      </c>
      <c r="B54" s="13">
        <v>388919</v>
      </c>
      <c r="C54" s="16">
        <v>5.5</v>
      </c>
    </row>
    <row r="55" spans="1:3">
      <c r="A55" s="18">
        <v>14</v>
      </c>
      <c r="B55" s="13">
        <v>385157</v>
      </c>
      <c r="C55" s="16">
        <v>5.45</v>
      </c>
    </row>
    <row r="56" spans="1:3">
      <c r="A56" s="18">
        <v>15</v>
      </c>
      <c r="B56" s="13">
        <v>376143</v>
      </c>
      <c r="C56" s="16">
        <v>5.32</v>
      </c>
    </row>
    <row r="57" spans="1:3">
      <c r="A57" s="18">
        <v>16</v>
      </c>
      <c r="B57" s="13">
        <v>362817</v>
      </c>
      <c r="C57" s="16">
        <v>5.14</v>
      </c>
    </row>
    <row r="58" spans="1:3">
      <c r="A58" s="18">
        <v>17</v>
      </c>
      <c r="B58" s="13">
        <v>342302</v>
      </c>
      <c r="C58" s="16">
        <v>4.84</v>
      </c>
    </row>
    <row r="59" spans="1:3">
      <c r="A59" s="18">
        <v>18</v>
      </c>
      <c r="B59" s="13">
        <v>329861</v>
      </c>
      <c r="C59" s="16">
        <v>4.67</v>
      </c>
    </row>
    <row r="60" spans="1:3">
      <c r="A60" s="18">
        <v>19</v>
      </c>
      <c r="B60" s="13">
        <v>323951</v>
      </c>
      <c r="C60" s="16">
        <v>4.59</v>
      </c>
    </row>
    <row r="61" spans="1:3">
      <c r="A61" s="18">
        <v>20</v>
      </c>
      <c r="B61" s="13">
        <v>323591</v>
      </c>
      <c r="C61" s="16">
        <v>4.58</v>
      </c>
    </row>
    <row r="62" spans="1:3">
      <c r="A62" s="18">
        <v>21</v>
      </c>
      <c r="B62" s="13">
        <v>343371</v>
      </c>
      <c r="C62" s="16">
        <v>4.86</v>
      </c>
    </row>
    <row r="63" spans="1:3">
      <c r="A63" s="18">
        <v>22</v>
      </c>
      <c r="B63" s="13">
        <v>353073</v>
      </c>
      <c r="C63" s="16">
        <v>5</v>
      </c>
    </row>
    <row r="64" spans="1:3">
      <c r="A64" s="18">
        <v>23</v>
      </c>
      <c r="B64" s="13">
        <v>296349</v>
      </c>
      <c r="C64" s="16">
        <v>4.19</v>
      </c>
    </row>
    <row r="84" spans="1:15" ht="70" customHeight="1">
      <c r="A84" s="12" t="s">
        <v>398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</sheetData>
  <mergeCells count="5">
    <mergeCell ref="A1:O1"/>
    <mergeCell ref="A3:O3"/>
    <mergeCell ref="A36:O36"/>
    <mergeCell ref="A38:O38"/>
    <mergeCell ref="A84:O8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87"/>
  <sheetViews>
    <sheetView showGridLines="0" workbookViewId="0"/>
  </sheetViews>
  <sheetFormatPr defaultRowHeight="15"/>
  <cols>
    <col min="1" max="1" width="30.7109375" customWidth="1"/>
    <col min="2" max="2" width="16.7109375" customWidth="1"/>
    <col min="3" max="3" width="14.7109375" customWidth="1"/>
    <col min="4" max="4" width="22.7109375" customWidth="1"/>
    <col min="5" max="6" width="14.7109375" customWidth="1"/>
  </cols>
  <sheetData>
    <row r="1" spans="1:11" ht="70" customHeight="1">
      <c r="A1" s="8" t="s">
        <v>399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400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401</v>
      </c>
      <c r="B5" s="10" t="s">
        <v>91</v>
      </c>
      <c r="C5" s="10" t="s">
        <v>402</v>
      </c>
      <c r="D5" s="10" t="s">
        <v>403</v>
      </c>
    </row>
    <row r="6" spans="1:11">
      <c r="A6" s="7" t="s">
        <v>404</v>
      </c>
      <c r="B6" s="13">
        <v>2259561</v>
      </c>
      <c r="C6" s="16">
        <v>30.81</v>
      </c>
      <c r="D6" s="18">
        <v>6.5</v>
      </c>
    </row>
    <row r="7" spans="1:11">
      <c r="A7" s="7" t="s">
        <v>405</v>
      </c>
      <c r="B7" s="13">
        <v>1818742</v>
      </c>
      <c r="C7" s="16">
        <v>24.8</v>
      </c>
      <c r="D7" s="18">
        <v>4.55</v>
      </c>
    </row>
    <row r="8" spans="1:11">
      <c r="A8" s="7" t="s">
        <v>406</v>
      </c>
      <c r="B8" s="13">
        <v>1487092</v>
      </c>
      <c r="C8" s="16">
        <v>20.28</v>
      </c>
      <c r="D8" s="18">
        <v>10.42</v>
      </c>
    </row>
    <row r="9" spans="1:11">
      <c r="A9" s="7" t="s">
        <v>407</v>
      </c>
      <c r="B9" s="13">
        <v>1478606</v>
      </c>
      <c r="C9" s="16">
        <v>20.16</v>
      </c>
      <c r="D9" s="18">
        <v>15.93</v>
      </c>
    </row>
    <row r="10" spans="1:11">
      <c r="A10" s="7" t="s">
        <v>408</v>
      </c>
      <c r="B10" s="13">
        <v>289375</v>
      </c>
      <c r="C10" s="16">
        <v>3.95</v>
      </c>
      <c r="D10" s="18">
        <v>12.93</v>
      </c>
    </row>
    <row r="30" spans="1:11" ht="102" customHeight="1">
      <c r="A30" s="12" t="s">
        <v>409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2" spans="1:11" ht="24" customHeight="1">
      <c r="A32" s="9" t="s">
        <v>410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4" spans="1:6" ht="30" customHeight="1">
      <c r="A34" s="10" t="s">
        <v>169</v>
      </c>
      <c r="B34" s="10" t="s">
        <v>401</v>
      </c>
      <c r="C34" s="10" t="s">
        <v>91</v>
      </c>
      <c r="D34" s="10" t="s">
        <v>411</v>
      </c>
      <c r="E34" s="10" t="s">
        <v>412</v>
      </c>
      <c r="F34" s="10" t="s">
        <v>413</v>
      </c>
    </row>
    <row r="35" spans="1:6">
      <c r="A35" s="7" t="s">
        <v>330</v>
      </c>
      <c r="B35" s="11" t="s">
        <v>408</v>
      </c>
      <c r="C35" s="13">
        <v>10626</v>
      </c>
      <c r="D35" s="16">
        <v>3.67</v>
      </c>
      <c r="E35" s="16">
        <v>1.91</v>
      </c>
      <c r="F35" s="18">
        <v>1.93</v>
      </c>
    </row>
    <row r="36" spans="1:6">
      <c r="A36" s="7" t="s">
        <v>330</v>
      </c>
      <c r="B36" s="11" t="s">
        <v>405</v>
      </c>
      <c r="C36" s="13">
        <v>60533</v>
      </c>
      <c r="D36" s="16">
        <v>3.33</v>
      </c>
      <c r="E36" s="16">
        <v>1.91</v>
      </c>
      <c r="F36" s="18">
        <v>1.74</v>
      </c>
    </row>
    <row r="37" spans="1:6">
      <c r="A37" s="7" t="s">
        <v>330</v>
      </c>
      <c r="B37" s="11" t="s">
        <v>404</v>
      </c>
      <c r="C37" s="13">
        <v>43827</v>
      </c>
      <c r="D37" s="16">
        <v>1.94</v>
      </c>
      <c r="E37" s="16">
        <v>1.91</v>
      </c>
      <c r="F37" s="18">
        <v>1.02</v>
      </c>
    </row>
    <row r="38" spans="1:6">
      <c r="A38" s="7" t="s">
        <v>330</v>
      </c>
      <c r="B38" s="11" t="s">
        <v>407</v>
      </c>
      <c r="C38" s="13">
        <v>18931</v>
      </c>
      <c r="D38" s="16">
        <v>1.28</v>
      </c>
      <c r="E38" s="16">
        <v>1.91</v>
      </c>
      <c r="F38" s="18">
        <v>0.67</v>
      </c>
    </row>
    <row r="39" spans="1:6">
      <c r="A39" s="7" t="s">
        <v>330</v>
      </c>
      <c r="B39" s="11" t="s">
        <v>406</v>
      </c>
      <c r="C39" s="13">
        <v>5964</v>
      </c>
      <c r="D39" s="16">
        <v>0.4</v>
      </c>
      <c r="E39" s="16">
        <v>1.91</v>
      </c>
      <c r="F39" s="18">
        <v>0.21</v>
      </c>
    </row>
    <row r="40" spans="1:6">
      <c r="A40" s="7" t="s">
        <v>221</v>
      </c>
      <c r="B40" s="11" t="s">
        <v>405</v>
      </c>
      <c r="C40" s="13">
        <v>154208</v>
      </c>
      <c r="D40" s="16">
        <v>8.48</v>
      </c>
      <c r="E40" s="16">
        <v>4.94</v>
      </c>
      <c r="F40" s="18">
        <v>1.71</v>
      </c>
    </row>
    <row r="41" spans="1:6">
      <c r="A41" s="7" t="s">
        <v>221</v>
      </c>
      <c r="B41" s="11" t="s">
        <v>404</v>
      </c>
      <c r="C41" s="13">
        <v>131208</v>
      </c>
      <c r="D41" s="16">
        <v>5.81</v>
      </c>
      <c r="E41" s="16">
        <v>4.94</v>
      </c>
      <c r="F41" s="18">
        <v>1.17</v>
      </c>
    </row>
    <row r="42" spans="1:6">
      <c r="A42" s="7" t="s">
        <v>221</v>
      </c>
      <c r="B42" s="11" t="s">
        <v>407</v>
      </c>
      <c r="C42" s="13">
        <v>57091</v>
      </c>
      <c r="D42" s="16">
        <v>3.86</v>
      </c>
      <c r="E42" s="16">
        <v>4.94</v>
      </c>
      <c r="F42" s="18">
        <v>0.78</v>
      </c>
    </row>
    <row r="43" spans="1:6">
      <c r="A43" s="7" t="s">
        <v>221</v>
      </c>
      <c r="B43" s="11" t="s">
        <v>408</v>
      </c>
      <c r="C43" s="13">
        <v>10927</v>
      </c>
      <c r="D43" s="16">
        <v>3.78</v>
      </c>
      <c r="E43" s="16">
        <v>4.94</v>
      </c>
      <c r="F43" s="18">
        <v>0.76</v>
      </c>
    </row>
    <row r="44" spans="1:6">
      <c r="A44" s="7" t="s">
        <v>221</v>
      </c>
      <c r="B44" s="11" t="s">
        <v>406</v>
      </c>
      <c r="C44" s="13">
        <v>9200</v>
      </c>
      <c r="D44" s="16">
        <v>0.62</v>
      </c>
      <c r="E44" s="16">
        <v>4.94</v>
      </c>
      <c r="F44" s="18">
        <v>0.13</v>
      </c>
    </row>
    <row r="45" spans="1:6">
      <c r="A45" s="7" t="s">
        <v>217</v>
      </c>
      <c r="B45" s="11" t="s">
        <v>407</v>
      </c>
      <c r="C45" s="13">
        <v>228475</v>
      </c>
      <c r="D45" s="16">
        <v>15.45</v>
      </c>
      <c r="E45" s="16">
        <v>8.890000000000001</v>
      </c>
      <c r="F45" s="18">
        <v>1.74</v>
      </c>
    </row>
    <row r="46" spans="1:6">
      <c r="A46" s="7" t="s">
        <v>217</v>
      </c>
      <c r="B46" s="11" t="s">
        <v>406</v>
      </c>
      <c r="C46" s="13">
        <v>156329</v>
      </c>
      <c r="D46" s="16">
        <v>10.51</v>
      </c>
      <c r="E46" s="16">
        <v>8.890000000000001</v>
      </c>
      <c r="F46" s="18">
        <v>1.18</v>
      </c>
    </row>
    <row r="47" spans="1:6">
      <c r="A47" s="7" t="s">
        <v>217</v>
      </c>
      <c r="B47" s="11" t="s">
        <v>404</v>
      </c>
      <c r="C47" s="13">
        <v>174565</v>
      </c>
      <c r="D47" s="16">
        <v>7.73</v>
      </c>
      <c r="E47" s="16">
        <v>8.890000000000001</v>
      </c>
      <c r="F47" s="18">
        <v>0.87</v>
      </c>
    </row>
    <row r="48" spans="1:6">
      <c r="A48" s="7" t="s">
        <v>217</v>
      </c>
      <c r="B48" s="11" t="s">
        <v>405</v>
      </c>
      <c r="C48" s="13">
        <v>85284</v>
      </c>
      <c r="D48" s="16">
        <v>4.69</v>
      </c>
      <c r="E48" s="16">
        <v>8.890000000000001</v>
      </c>
      <c r="F48" s="18">
        <v>0.53</v>
      </c>
    </row>
    <row r="49" spans="1:6">
      <c r="A49" s="7" t="s">
        <v>217</v>
      </c>
      <c r="B49" s="11" t="s">
        <v>408</v>
      </c>
      <c r="C49" s="13">
        <v>6939</v>
      </c>
      <c r="D49" s="16">
        <v>2.4</v>
      </c>
      <c r="E49" s="16">
        <v>8.890000000000001</v>
      </c>
      <c r="F49" s="18">
        <v>0.27</v>
      </c>
    </row>
    <row r="50" spans="1:6">
      <c r="A50" s="7" t="s">
        <v>218</v>
      </c>
      <c r="B50" s="11" t="s">
        <v>404</v>
      </c>
      <c r="C50" s="13">
        <v>457134</v>
      </c>
      <c r="D50" s="16">
        <v>20.23</v>
      </c>
      <c r="E50" s="16">
        <v>15.8</v>
      </c>
      <c r="F50" s="18">
        <v>1.28</v>
      </c>
    </row>
    <row r="51" spans="1:6">
      <c r="A51" s="7" t="s">
        <v>218</v>
      </c>
      <c r="B51" s="11" t="s">
        <v>405</v>
      </c>
      <c r="C51" s="13">
        <v>361713</v>
      </c>
      <c r="D51" s="16">
        <v>19.89</v>
      </c>
      <c r="E51" s="16">
        <v>15.8</v>
      </c>
      <c r="F51" s="18">
        <v>1.26</v>
      </c>
    </row>
    <row r="52" spans="1:6">
      <c r="A52" s="7" t="s">
        <v>218</v>
      </c>
      <c r="B52" s="11" t="s">
        <v>408</v>
      </c>
      <c r="C52" s="13">
        <v>34662</v>
      </c>
      <c r="D52" s="16">
        <v>11.98</v>
      </c>
      <c r="E52" s="16">
        <v>15.8</v>
      </c>
      <c r="F52" s="18">
        <v>0.76</v>
      </c>
    </row>
    <row r="53" spans="1:6">
      <c r="A53" s="7" t="s">
        <v>218</v>
      </c>
      <c r="B53" s="11" t="s">
        <v>407</v>
      </c>
      <c r="C53" s="13">
        <v>170265</v>
      </c>
      <c r="D53" s="16">
        <v>11.52</v>
      </c>
      <c r="E53" s="16">
        <v>15.8</v>
      </c>
      <c r="F53" s="18">
        <v>0.73</v>
      </c>
    </row>
    <row r="54" spans="1:6">
      <c r="A54" s="7" t="s">
        <v>218</v>
      </c>
      <c r="B54" s="11" t="s">
        <v>406</v>
      </c>
      <c r="C54" s="13">
        <v>135236</v>
      </c>
      <c r="D54" s="16">
        <v>9.09</v>
      </c>
      <c r="E54" s="16">
        <v>15.8</v>
      </c>
      <c r="F54" s="18">
        <v>0.58</v>
      </c>
    </row>
    <row r="55" spans="1:6">
      <c r="A55" s="7" t="s">
        <v>178</v>
      </c>
      <c r="B55" s="11" t="s">
        <v>407</v>
      </c>
      <c r="C55" s="13">
        <v>178331</v>
      </c>
      <c r="D55" s="16">
        <v>12.06</v>
      </c>
      <c r="E55" s="16">
        <v>9.49</v>
      </c>
      <c r="F55" s="18">
        <v>1.27</v>
      </c>
    </row>
    <row r="56" spans="1:6">
      <c r="A56" s="7" t="s">
        <v>178</v>
      </c>
      <c r="B56" s="11" t="s">
        <v>404</v>
      </c>
      <c r="C56" s="13">
        <v>212681</v>
      </c>
      <c r="D56" s="16">
        <v>9.41</v>
      </c>
      <c r="E56" s="16">
        <v>9.49</v>
      </c>
      <c r="F56" s="18">
        <v>0.99</v>
      </c>
    </row>
    <row r="57" spans="1:6">
      <c r="A57" s="7" t="s">
        <v>178</v>
      </c>
      <c r="B57" s="11" t="s">
        <v>406</v>
      </c>
      <c r="C57" s="13">
        <v>130995</v>
      </c>
      <c r="D57" s="16">
        <v>8.81</v>
      </c>
      <c r="E57" s="16">
        <v>9.49</v>
      </c>
      <c r="F57" s="18">
        <v>0.93</v>
      </c>
    </row>
    <row r="58" spans="1:6">
      <c r="A58" s="7" t="s">
        <v>178</v>
      </c>
      <c r="B58" s="11" t="s">
        <v>405</v>
      </c>
      <c r="C58" s="13">
        <v>152354</v>
      </c>
      <c r="D58" s="16">
        <v>8.380000000000001</v>
      </c>
      <c r="E58" s="16">
        <v>9.49</v>
      </c>
      <c r="F58" s="18">
        <v>0.88</v>
      </c>
    </row>
    <row r="59" spans="1:6">
      <c r="A59" s="7" t="s">
        <v>178</v>
      </c>
      <c r="B59" s="11" t="s">
        <v>408</v>
      </c>
      <c r="C59" s="13">
        <v>21363</v>
      </c>
      <c r="D59" s="16">
        <v>7.38</v>
      </c>
      <c r="E59" s="16">
        <v>9.49</v>
      </c>
      <c r="F59" s="18">
        <v>0.78</v>
      </c>
    </row>
    <row r="60" spans="1:6">
      <c r="A60" s="7" t="s">
        <v>327</v>
      </c>
      <c r="B60" s="11" t="s">
        <v>406</v>
      </c>
      <c r="C60" s="13">
        <v>104591</v>
      </c>
      <c r="D60" s="16">
        <v>7.03</v>
      </c>
      <c r="E60" s="16">
        <v>4.76</v>
      </c>
      <c r="F60" s="18">
        <v>1.48</v>
      </c>
    </row>
    <row r="61" spans="1:6">
      <c r="A61" s="7" t="s">
        <v>327</v>
      </c>
      <c r="B61" s="11" t="s">
        <v>407</v>
      </c>
      <c r="C61" s="13">
        <v>98169</v>
      </c>
      <c r="D61" s="16">
        <v>6.64</v>
      </c>
      <c r="E61" s="16">
        <v>4.76</v>
      </c>
      <c r="F61" s="18">
        <v>1.39</v>
      </c>
    </row>
    <row r="62" spans="1:6">
      <c r="A62" s="7" t="s">
        <v>327</v>
      </c>
      <c r="B62" s="11" t="s">
        <v>404</v>
      </c>
      <c r="C62" s="13">
        <v>83074</v>
      </c>
      <c r="D62" s="16">
        <v>3.68</v>
      </c>
      <c r="E62" s="16">
        <v>4.76</v>
      </c>
      <c r="F62" s="18">
        <v>0.77</v>
      </c>
    </row>
    <row r="63" spans="1:6">
      <c r="A63" s="7" t="s">
        <v>327</v>
      </c>
      <c r="B63" s="11" t="s">
        <v>405</v>
      </c>
      <c r="C63" s="13">
        <v>58269</v>
      </c>
      <c r="D63" s="16">
        <v>3.2</v>
      </c>
      <c r="E63" s="16">
        <v>4.76</v>
      </c>
      <c r="F63" s="18">
        <v>0.67</v>
      </c>
    </row>
    <row r="64" spans="1:6">
      <c r="A64" s="7" t="s">
        <v>327</v>
      </c>
      <c r="B64" s="11" t="s">
        <v>408</v>
      </c>
      <c r="C64" s="13">
        <v>5178</v>
      </c>
      <c r="D64" s="16">
        <v>1.79</v>
      </c>
      <c r="E64" s="16">
        <v>4.76</v>
      </c>
      <c r="F64" s="18">
        <v>0.38</v>
      </c>
    </row>
    <row r="65" spans="1:6">
      <c r="A65" s="7" t="s">
        <v>225</v>
      </c>
      <c r="B65" s="11" t="s">
        <v>407</v>
      </c>
      <c r="C65" s="13">
        <v>53292</v>
      </c>
      <c r="D65" s="16">
        <v>3.6</v>
      </c>
      <c r="E65" s="16">
        <v>2.05</v>
      </c>
      <c r="F65" s="18">
        <v>1.75</v>
      </c>
    </row>
    <row r="66" spans="1:6">
      <c r="A66" s="7" t="s">
        <v>225</v>
      </c>
      <c r="B66" s="11" t="s">
        <v>406</v>
      </c>
      <c r="C66" s="13">
        <v>33265</v>
      </c>
      <c r="D66" s="16">
        <v>2.24</v>
      </c>
      <c r="E66" s="16">
        <v>2.05</v>
      </c>
      <c r="F66" s="18">
        <v>1.09</v>
      </c>
    </row>
    <row r="67" spans="1:6">
      <c r="A67" s="7" t="s">
        <v>225</v>
      </c>
      <c r="B67" s="11" t="s">
        <v>404</v>
      </c>
      <c r="C67" s="13">
        <v>43109</v>
      </c>
      <c r="D67" s="16">
        <v>1.91</v>
      </c>
      <c r="E67" s="16">
        <v>2.05</v>
      </c>
      <c r="F67" s="18">
        <v>0.93</v>
      </c>
    </row>
    <row r="68" spans="1:6">
      <c r="A68" s="7" t="s">
        <v>225</v>
      </c>
      <c r="B68" s="11" t="s">
        <v>408</v>
      </c>
      <c r="C68" s="13">
        <v>3038</v>
      </c>
      <c r="D68" s="16">
        <v>1.05</v>
      </c>
      <c r="E68" s="16">
        <v>2.05</v>
      </c>
      <c r="F68" s="18">
        <v>0.51</v>
      </c>
    </row>
    <row r="69" spans="1:6">
      <c r="A69" s="7" t="s">
        <v>225</v>
      </c>
      <c r="B69" s="11" t="s">
        <v>405</v>
      </c>
      <c r="C69" s="13">
        <v>17991</v>
      </c>
      <c r="D69" s="16">
        <v>0.99</v>
      </c>
      <c r="E69" s="16">
        <v>2.05</v>
      </c>
      <c r="F69" s="18">
        <v>0.48</v>
      </c>
    </row>
    <row r="70" spans="1:6">
      <c r="A70" s="7" t="s">
        <v>220</v>
      </c>
      <c r="B70" s="11" t="s">
        <v>408</v>
      </c>
      <c r="C70" s="13">
        <v>16416</v>
      </c>
      <c r="D70" s="16">
        <v>5.67</v>
      </c>
      <c r="E70" s="16">
        <v>2.55</v>
      </c>
      <c r="F70" s="18">
        <v>2.22</v>
      </c>
    </row>
    <row r="71" spans="1:6">
      <c r="A71" s="7" t="s">
        <v>220</v>
      </c>
      <c r="B71" s="11" t="s">
        <v>405</v>
      </c>
      <c r="C71" s="13">
        <v>73710</v>
      </c>
      <c r="D71" s="16">
        <v>4.05</v>
      </c>
      <c r="E71" s="16">
        <v>2.55</v>
      </c>
      <c r="F71" s="18">
        <v>1.59</v>
      </c>
    </row>
    <row r="72" spans="1:6">
      <c r="A72" s="7" t="s">
        <v>220</v>
      </c>
      <c r="B72" s="11" t="s">
        <v>404</v>
      </c>
      <c r="C72" s="13">
        <v>47212</v>
      </c>
      <c r="D72" s="16">
        <v>2.09</v>
      </c>
      <c r="E72" s="16">
        <v>2.55</v>
      </c>
      <c r="F72" s="18">
        <v>0.82</v>
      </c>
    </row>
    <row r="73" spans="1:6">
      <c r="A73" s="7" t="s">
        <v>220</v>
      </c>
      <c r="B73" s="11" t="s">
        <v>406</v>
      </c>
      <c r="C73" s="13">
        <v>30111</v>
      </c>
      <c r="D73" s="16">
        <v>2.02</v>
      </c>
      <c r="E73" s="16">
        <v>2.55</v>
      </c>
      <c r="F73" s="18">
        <v>0.79</v>
      </c>
    </row>
    <row r="74" spans="1:6">
      <c r="A74" s="7" t="s">
        <v>220</v>
      </c>
      <c r="B74" s="11" t="s">
        <v>407</v>
      </c>
      <c r="C74" s="13">
        <v>19760</v>
      </c>
      <c r="D74" s="16">
        <v>1.34</v>
      </c>
      <c r="E74" s="16">
        <v>2.55</v>
      </c>
      <c r="F74" s="18">
        <v>0.52</v>
      </c>
    </row>
    <row r="75" spans="1:6">
      <c r="A75" s="7" t="s">
        <v>223</v>
      </c>
      <c r="B75" s="11" t="s">
        <v>407</v>
      </c>
      <c r="C75" s="13">
        <v>81616</v>
      </c>
      <c r="D75" s="16">
        <v>5.52</v>
      </c>
      <c r="E75" s="16">
        <v>3.4</v>
      </c>
      <c r="F75" s="18">
        <v>1.62</v>
      </c>
    </row>
    <row r="76" spans="1:6">
      <c r="A76" s="7" t="s">
        <v>223</v>
      </c>
      <c r="B76" s="11" t="s">
        <v>406</v>
      </c>
      <c r="C76" s="13">
        <v>52300</v>
      </c>
      <c r="D76" s="16">
        <v>3.52</v>
      </c>
      <c r="E76" s="16">
        <v>3.4</v>
      </c>
      <c r="F76" s="18">
        <v>1.03</v>
      </c>
    </row>
    <row r="77" spans="1:6">
      <c r="A77" s="7" t="s">
        <v>223</v>
      </c>
      <c r="B77" s="11" t="s">
        <v>404</v>
      </c>
      <c r="C77" s="13">
        <v>75280</v>
      </c>
      <c r="D77" s="16">
        <v>3.33</v>
      </c>
      <c r="E77" s="16">
        <v>3.4</v>
      </c>
      <c r="F77" s="18">
        <v>0.98</v>
      </c>
    </row>
    <row r="78" spans="1:6">
      <c r="A78" s="7" t="s">
        <v>223</v>
      </c>
      <c r="B78" s="11" t="s">
        <v>405</v>
      </c>
      <c r="C78" s="13">
        <v>34841</v>
      </c>
      <c r="D78" s="16">
        <v>1.92</v>
      </c>
      <c r="E78" s="16">
        <v>3.4</v>
      </c>
      <c r="F78" s="18">
        <v>0.5600000000000001</v>
      </c>
    </row>
    <row r="79" spans="1:6">
      <c r="A79" s="7" t="s">
        <v>223</v>
      </c>
      <c r="B79" s="11" t="s">
        <v>408</v>
      </c>
      <c r="C79" s="13">
        <v>5409</v>
      </c>
      <c r="D79" s="16">
        <v>1.87</v>
      </c>
      <c r="E79" s="16">
        <v>3.4</v>
      </c>
      <c r="F79" s="18">
        <v>0.55</v>
      </c>
    </row>
    <row r="80" spans="1:6">
      <c r="A80" s="7" t="s">
        <v>331</v>
      </c>
      <c r="B80" s="11" t="s">
        <v>408</v>
      </c>
      <c r="C80" s="13">
        <v>11655</v>
      </c>
      <c r="D80" s="16">
        <v>4.03</v>
      </c>
      <c r="E80" s="16">
        <v>2.08</v>
      </c>
      <c r="F80" s="18">
        <v>1.93</v>
      </c>
    </row>
    <row r="81" spans="1:11">
      <c r="A81" s="7" t="s">
        <v>331</v>
      </c>
      <c r="B81" s="11" t="s">
        <v>407</v>
      </c>
      <c r="C81" s="13">
        <v>37920</v>
      </c>
      <c r="D81" s="16">
        <v>2.56</v>
      </c>
      <c r="E81" s="16">
        <v>2.08</v>
      </c>
      <c r="F81" s="18">
        <v>1.23</v>
      </c>
    </row>
    <row r="82" spans="1:11">
      <c r="A82" s="7" t="s">
        <v>331</v>
      </c>
      <c r="B82" s="11" t="s">
        <v>405</v>
      </c>
      <c r="C82" s="13">
        <v>39384</v>
      </c>
      <c r="D82" s="16">
        <v>2.17</v>
      </c>
      <c r="E82" s="16">
        <v>2.08</v>
      </c>
      <c r="F82" s="18">
        <v>1.04</v>
      </c>
    </row>
    <row r="83" spans="1:11">
      <c r="A83" s="7" t="s">
        <v>331</v>
      </c>
      <c r="B83" s="11" t="s">
        <v>404</v>
      </c>
      <c r="C83" s="13">
        <v>40228</v>
      </c>
      <c r="D83" s="16">
        <v>1.78</v>
      </c>
      <c r="E83" s="16">
        <v>2.08</v>
      </c>
      <c r="F83" s="18">
        <v>0.85</v>
      </c>
    </row>
    <row r="84" spans="1:11">
      <c r="A84" s="7" t="s">
        <v>331</v>
      </c>
      <c r="B84" s="11" t="s">
        <v>406</v>
      </c>
      <c r="C84" s="13">
        <v>23538</v>
      </c>
      <c r="D84" s="16">
        <v>1.58</v>
      </c>
      <c r="E84" s="16">
        <v>2.08</v>
      </c>
      <c r="F84" s="18">
        <v>0.76</v>
      </c>
    </row>
    <row r="87" spans="1:11" ht="134" customHeight="1">
      <c r="A87" s="12" t="s">
        <v>414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</row>
  </sheetData>
  <mergeCells count="5">
    <mergeCell ref="A1:K1"/>
    <mergeCell ref="A3:K3"/>
    <mergeCell ref="A30:K30"/>
    <mergeCell ref="A32:K32"/>
    <mergeCell ref="A87:K8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showGridLines="0" workbookViewId="0"/>
  </sheetViews>
  <sheetFormatPr defaultRowHeight="15"/>
  <cols>
    <col min="1" max="1" width="34.7109375" customWidth="1"/>
    <col min="2" max="3" width="16.7109375" customWidth="1"/>
    <col min="4" max="4" width="18.7109375" customWidth="1"/>
    <col min="5" max="5" width="16.7109375" customWidth="1"/>
  </cols>
  <sheetData>
    <row r="1" spans="1:11" ht="70" customHeight="1">
      <c r="A1" s="8" t="s">
        <v>415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4" customHeight="1">
      <c r="A3" s="9" t="s">
        <v>416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30" customHeight="1">
      <c r="A5" s="10" t="s">
        <v>181</v>
      </c>
      <c r="B5" s="10" t="s">
        <v>417</v>
      </c>
      <c r="C5" s="10" t="s">
        <v>418</v>
      </c>
      <c r="D5" s="10" t="s">
        <v>419</v>
      </c>
      <c r="E5" s="10" t="s">
        <v>420</v>
      </c>
    </row>
    <row r="6" spans="1:11">
      <c r="A6" s="15">
        <v>45536</v>
      </c>
      <c r="B6" s="13">
        <v>215838</v>
      </c>
      <c r="C6" s="16">
        <v>44.6</v>
      </c>
      <c r="D6" s="16">
        <v>23.3</v>
      </c>
      <c r="E6" s="16">
        <v>32.1</v>
      </c>
    </row>
    <row r="7" spans="1:11">
      <c r="A7" s="15">
        <v>45566</v>
      </c>
      <c r="B7" s="13">
        <v>277341</v>
      </c>
      <c r="C7" s="16">
        <v>44.5</v>
      </c>
      <c r="D7" s="16">
        <v>22.1</v>
      </c>
      <c r="E7" s="16">
        <v>33.3</v>
      </c>
    </row>
    <row r="8" spans="1:11">
      <c r="A8" s="15">
        <v>45597</v>
      </c>
      <c r="B8" s="13">
        <v>261881</v>
      </c>
      <c r="C8" s="16">
        <v>43.7</v>
      </c>
      <c r="D8" s="16">
        <v>21.1</v>
      </c>
      <c r="E8" s="16">
        <v>35.2</v>
      </c>
    </row>
    <row r="9" spans="1:11">
      <c r="A9" s="15">
        <v>45627</v>
      </c>
      <c r="B9" s="13">
        <v>271198</v>
      </c>
      <c r="C9" s="16">
        <v>47.3</v>
      </c>
      <c r="D9" s="16">
        <v>20</v>
      </c>
      <c r="E9" s="16">
        <v>32.8</v>
      </c>
    </row>
    <row r="10" spans="1:11">
      <c r="A10" s="15">
        <v>45658</v>
      </c>
      <c r="B10" s="13">
        <v>282110</v>
      </c>
      <c r="C10" s="16">
        <v>48.4</v>
      </c>
      <c r="D10" s="16">
        <v>19.9</v>
      </c>
      <c r="E10" s="16">
        <v>31.7</v>
      </c>
    </row>
    <row r="11" spans="1:11">
      <c r="A11" s="15">
        <v>45689</v>
      </c>
      <c r="B11" s="13">
        <v>229863</v>
      </c>
      <c r="C11" s="16">
        <v>47.7</v>
      </c>
      <c r="D11" s="16">
        <v>21.6</v>
      </c>
      <c r="E11" s="16">
        <v>30.8</v>
      </c>
    </row>
    <row r="12" spans="1:11">
      <c r="A12" s="15">
        <v>45717</v>
      </c>
      <c r="B12" s="13">
        <v>255996</v>
      </c>
      <c r="C12" s="16">
        <v>48</v>
      </c>
      <c r="D12" s="16">
        <v>22.8</v>
      </c>
      <c r="E12" s="16">
        <v>29.3</v>
      </c>
    </row>
    <row r="13" spans="1:11">
      <c r="A13" s="15">
        <v>45748</v>
      </c>
      <c r="B13" s="13">
        <v>249762</v>
      </c>
      <c r="C13" s="16">
        <v>46.5</v>
      </c>
      <c r="D13" s="16">
        <v>22.7</v>
      </c>
      <c r="E13" s="16">
        <v>30.8</v>
      </c>
    </row>
    <row r="14" spans="1:11">
      <c r="A14" s="15">
        <v>45778</v>
      </c>
      <c r="B14" s="13">
        <v>272776</v>
      </c>
      <c r="C14" s="16">
        <v>46.9</v>
      </c>
      <c r="D14" s="16">
        <v>23.4</v>
      </c>
      <c r="E14" s="16">
        <v>29.7</v>
      </c>
    </row>
    <row r="15" spans="1:11">
      <c r="A15" s="15">
        <v>45809</v>
      </c>
      <c r="B15" s="13">
        <v>282020</v>
      </c>
      <c r="C15" s="16">
        <v>46</v>
      </c>
      <c r="D15" s="16">
        <v>23.7</v>
      </c>
      <c r="E15" s="16">
        <v>30.3</v>
      </c>
    </row>
    <row r="16" spans="1:11">
      <c r="A16" s="15">
        <v>45839</v>
      </c>
      <c r="B16" s="13">
        <v>292024</v>
      </c>
      <c r="C16" s="16">
        <v>45.4</v>
      </c>
      <c r="D16" s="16">
        <v>22.3</v>
      </c>
      <c r="E16" s="16">
        <v>32.3</v>
      </c>
    </row>
    <row r="17" spans="1:5">
      <c r="A17" s="15">
        <v>45870</v>
      </c>
      <c r="B17" s="13">
        <v>281535</v>
      </c>
      <c r="C17" s="16">
        <v>48.5</v>
      </c>
      <c r="D17" s="16">
        <v>23.1</v>
      </c>
      <c r="E17" s="16">
        <v>28.4</v>
      </c>
    </row>
    <row r="18" spans="1:5">
      <c r="A18" s="15">
        <v>45901</v>
      </c>
      <c r="B18" s="13">
        <v>275332</v>
      </c>
      <c r="C18" s="16">
        <v>48.5</v>
      </c>
      <c r="D18" s="16">
        <v>24.1</v>
      </c>
      <c r="E18" s="16">
        <v>27.4</v>
      </c>
    </row>
    <row r="19" spans="1:5">
      <c r="A19" s="15">
        <v>45931</v>
      </c>
      <c r="B19" s="13">
        <v>292567</v>
      </c>
      <c r="C19" s="16">
        <v>47.9</v>
      </c>
      <c r="D19" s="16">
        <v>22.1</v>
      </c>
      <c r="E19" s="16">
        <v>30</v>
      </c>
    </row>
    <row r="20" spans="1:5">
      <c r="A20" s="15">
        <v>45962</v>
      </c>
      <c r="B20" s="13">
        <v>271224</v>
      </c>
      <c r="C20" s="16">
        <v>46.7</v>
      </c>
      <c r="D20" s="16">
        <v>22.2</v>
      </c>
      <c r="E20" s="16">
        <v>31.1</v>
      </c>
    </row>
    <row r="21" spans="1:5">
      <c r="A21" s="15">
        <v>45992</v>
      </c>
      <c r="B21" s="13">
        <v>281532</v>
      </c>
      <c r="C21" s="16">
        <v>54.3</v>
      </c>
      <c r="D21" s="16">
        <v>20.9</v>
      </c>
      <c r="E21" s="16">
        <v>24.8</v>
      </c>
    </row>
    <row r="22" spans="1:5">
      <c r="A22" s="15">
        <v>46023</v>
      </c>
      <c r="B22" s="13">
        <v>327258</v>
      </c>
      <c r="C22" s="16">
        <v>56.6</v>
      </c>
      <c r="D22" s="16">
        <v>20.1</v>
      </c>
      <c r="E22" s="16">
        <v>23.3</v>
      </c>
    </row>
    <row r="23" spans="1:5">
      <c r="A23" s="15">
        <v>46054</v>
      </c>
      <c r="B23" s="13">
        <v>306553</v>
      </c>
      <c r="C23" s="16">
        <v>55.4</v>
      </c>
      <c r="D23" s="16">
        <v>19.6</v>
      </c>
      <c r="E23" s="16">
        <v>25</v>
      </c>
    </row>
    <row r="24" spans="1:5">
      <c r="A24" s="15">
        <v>46082</v>
      </c>
      <c r="B24" s="13">
        <v>293399</v>
      </c>
      <c r="C24" s="16">
        <v>51</v>
      </c>
      <c r="D24" s="16">
        <v>22.4</v>
      </c>
      <c r="E24" s="16">
        <v>26.6</v>
      </c>
    </row>
    <row r="25" spans="1:5">
      <c r="A25" s="15">
        <v>46113</v>
      </c>
      <c r="B25" s="13">
        <v>269701</v>
      </c>
      <c r="C25" s="16">
        <v>50.5</v>
      </c>
      <c r="D25" s="16">
        <v>22.6</v>
      </c>
      <c r="E25" s="16">
        <v>26.8</v>
      </c>
    </row>
    <row r="26" spans="1:5">
      <c r="A26" s="15">
        <v>46143</v>
      </c>
      <c r="B26" s="13">
        <v>303177</v>
      </c>
      <c r="C26" s="16">
        <v>50.3</v>
      </c>
      <c r="D26" s="16">
        <v>23.1</v>
      </c>
      <c r="E26" s="16">
        <v>26.6</v>
      </c>
    </row>
    <row r="27" spans="1:5">
      <c r="A27" s="15">
        <v>46174</v>
      </c>
      <c r="B27" s="13">
        <v>305282</v>
      </c>
      <c r="C27" s="16">
        <v>50.7</v>
      </c>
      <c r="D27" s="16">
        <v>23.3</v>
      </c>
      <c r="E27" s="16">
        <v>26</v>
      </c>
    </row>
    <row r="28" spans="1:5">
      <c r="A28" s="15">
        <v>46204</v>
      </c>
      <c r="B28" s="13">
        <v>310592</v>
      </c>
      <c r="C28" s="16">
        <v>54.5</v>
      </c>
      <c r="D28" s="16">
        <v>21</v>
      </c>
      <c r="E28" s="16">
        <v>24.5</v>
      </c>
    </row>
    <row r="29" spans="1:5">
      <c r="A29" s="15">
        <v>46235</v>
      </c>
      <c r="B29" s="13">
        <v>299591</v>
      </c>
      <c r="C29" s="16">
        <v>55.7</v>
      </c>
      <c r="D29" s="16">
        <v>20.5</v>
      </c>
      <c r="E29" s="16">
        <v>23.8</v>
      </c>
    </row>
    <row r="30" spans="1:5">
      <c r="A30" s="15">
        <v>46266</v>
      </c>
      <c r="B30" s="13">
        <v>38373</v>
      </c>
      <c r="C30" s="16">
        <v>55</v>
      </c>
      <c r="D30" s="16">
        <v>19</v>
      </c>
      <c r="E30" s="16">
        <v>26.1</v>
      </c>
    </row>
    <row r="51" spans="1:11" ht="118" customHeight="1">
      <c r="A51" s="12" t="s">
        <v>421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3" spans="1:11" ht="24" customHeight="1">
      <c r="A53" s="9" t="s">
        <v>422</v>
      </c>
      <c r="B53" s="9"/>
      <c r="C53" s="9"/>
      <c r="D53" s="9"/>
      <c r="E53" s="9"/>
      <c r="F53" s="9"/>
      <c r="G53" s="9"/>
      <c r="H53" s="9"/>
      <c r="I53" s="9"/>
      <c r="J53" s="9"/>
      <c r="K53" s="9"/>
    </row>
    <row r="55" spans="1:11" ht="30" customHeight="1">
      <c r="A55" s="10" t="s">
        <v>169</v>
      </c>
      <c r="B55" s="10" t="s">
        <v>300</v>
      </c>
      <c r="C55" s="10" t="s">
        <v>91</v>
      </c>
      <c r="D55" s="10" t="s">
        <v>423</v>
      </c>
    </row>
    <row r="56" spans="1:11">
      <c r="A56" s="7" t="s">
        <v>230</v>
      </c>
      <c r="B56" s="11" t="s">
        <v>242</v>
      </c>
      <c r="C56" s="13">
        <v>104791</v>
      </c>
      <c r="D56" s="16">
        <v>100</v>
      </c>
    </row>
    <row r="57" spans="1:11">
      <c r="A57" s="7" t="s">
        <v>424</v>
      </c>
      <c r="B57" s="11" t="s">
        <v>242</v>
      </c>
      <c r="C57" s="13">
        <v>68660</v>
      </c>
      <c r="D57" s="16">
        <v>100</v>
      </c>
    </row>
    <row r="58" spans="1:11">
      <c r="A58" s="7" t="s">
        <v>425</v>
      </c>
      <c r="B58" s="11" t="s">
        <v>245</v>
      </c>
      <c r="C58" s="13">
        <v>73848</v>
      </c>
      <c r="D58" s="16">
        <v>100</v>
      </c>
    </row>
    <row r="59" spans="1:11">
      <c r="A59" s="7" t="s">
        <v>426</v>
      </c>
      <c r="B59" s="11" t="s">
        <v>245</v>
      </c>
      <c r="C59" s="13">
        <v>47589</v>
      </c>
      <c r="D59" s="16">
        <v>100</v>
      </c>
    </row>
    <row r="60" spans="1:11">
      <c r="A60" s="7" t="s">
        <v>427</v>
      </c>
      <c r="B60" s="11" t="s">
        <v>245</v>
      </c>
      <c r="C60" s="13">
        <v>46651</v>
      </c>
      <c r="D60" s="16">
        <v>100</v>
      </c>
    </row>
    <row r="61" spans="1:11">
      <c r="A61" s="7" t="s">
        <v>428</v>
      </c>
      <c r="B61" s="11" t="s">
        <v>243</v>
      </c>
      <c r="C61" s="13">
        <v>38594</v>
      </c>
      <c r="D61" s="16">
        <v>95.09999999999999</v>
      </c>
    </row>
    <row r="62" spans="1:11">
      <c r="A62" s="7" t="s">
        <v>220</v>
      </c>
      <c r="B62" s="11" t="s">
        <v>242</v>
      </c>
      <c r="C62" s="13">
        <v>187668</v>
      </c>
      <c r="D62" s="16">
        <v>63.6</v>
      </c>
    </row>
    <row r="63" spans="1:11">
      <c r="A63" s="7" t="s">
        <v>429</v>
      </c>
      <c r="B63" s="11" t="s">
        <v>244</v>
      </c>
      <c r="C63" s="13">
        <v>21520</v>
      </c>
      <c r="D63" s="16">
        <v>20.4</v>
      </c>
    </row>
    <row r="64" spans="1:11">
      <c r="A64" s="7" t="s">
        <v>430</v>
      </c>
      <c r="B64" s="11" t="s">
        <v>244</v>
      </c>
      <c r="C64" s="13">
        <v>20545</v>
      </c>
      <c r="D64" s="16">
        <v>17.9</v>
      </c>
    </row>
    <row r="65" spans="1:11">
      <c r="A65" s="7" t="s">
        <v>224</v>
      </c>
      <c r="B65" s="11" t="s">
        <v>244</v>
      </c>
      <c r="C65" s="13">
        <v>69223</v>
      </c>
      <c r="D65" s="16">
        <v>16.3</v>
      </c>
    </row>
    <row r="68" spans="1:11" ht="102" customHeight="1">
      <c r="A68" s="12" t="s">
        <v>431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</row>
  </sheetData>
  <mergeCells count="5">
    <mergeCell ref="A1:K1"/>
    <mergeCell ref="A3:K3"/>
    <mergeCell ref="A51:K51"/>
    <mergeCell ref="A53:K53"/>
    <mergeCell ref="A68:K6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1" width="34.7109375" customWidth="1"/>
    <col min="2" max="2" width="12.7109375" customWidth="1"/>
    <col min="3" max="3" width="14.7109375" customWidth="1"/>
    <col min="4" max="4" width="12.7109375" customWidth="1"/>
    <col min="5" max="5" width="14.7109375" customWidth="1"/>
  </cols>
  <sheetData>
    <row r="1" spans="1:11" ht="24" customHeight="1">
      <c r="A1" s="9" t="s">
        <v>432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0" customHeight="1">
      <c r="A3" s="10" t="s">
        <v>169</v>
      </c>
      <c r="B3" s="10" t="s">
        <v>433</v>
      </c>
      <c r="C3" s="10" t="s">
        <v>91</v>
      </c>
      <c r="D3" s="10" t="s">
        <v>434</v>
      </c>
      <c r="E3" s="10" t="s">
        <v>435</v>
      </c>
    </row>
    <row r="4" spans="1:11">
      <c r="A4" s="7" t="s">
        <v>218</v>
      </c>
      <c r="B4" s="11" t="s">
        <v>241</v>
      </c>
      <c r="C4" s="13">
        <v>1159053</v>
      </c>
      <c r="D4" s="16">
        <v>15.79</v>
      </c>
      <c r="E4" s="16">
        <v>15.79</v>
      </c>
    </row>
    <row r="5" spans="1:11">
      <c r="A5" s="7" t="s">
        <v>178</v>
      </c>
      <c r="B5" s="11" t="s">
        <v>241</v>
      </c>
      <c r="C5" s="13">
        <v>695757</v>
      </c>
      <c r="D5" s="16">
        <v>9.48</v>
      </c>
      <c r="E5" s="16">
        <v>25.27</v>
      </c>
    </row>
    <row r="6" spans="1:11">
      <c r="A6" s="7" t="s">
        <v>217</v>
      </c>
      <c r="B6" s="11" t="s">
        <v>240</v>
      </c>
      <c r="C6" s="13">
        <v>651594</v>
      </c>
      <c r="D6" s="16">
        <v>8.880000000000001</v>
      </c>
      <c r="E6" s="16">
        <v>34.15</v>
      </c>
    </row>
    <row r="7" spans="1:11">
      <c r="A7" s="7" t="s">
        <v>221</v>
      </c>
      <c r="B7" s="11" t="s">
        <v>241</v>
      </c>
      <c r="C7" s="13">
        <v>362642</v>
      </c>
      <c r="D7" s="16">
        <v>4.94</v>
      </c>
      <c r="E7" s="16">
        <v>39.09</v>
      </c>
    </row>
    <row r="8" spans="1:11">
      <c r="A8" s="7" t="s">
        <v>327</v>
      </c>
      <c r="B8" s="11" t="s">
        <v>241</v>
      </c>
      <c r="C8" s="13">
        <v>349299</v>
      </c>
      <c r="D8" s="16">
        <v>4.76</v>
      </c>
      <c r="E8" s="16">
        <v>43.85</v>
      </c>
    </row>
    <row r="9" spans="1:11">
      <c r="A9" s="7" t="s">
        <v>223</v>
      </c>
      <c r="B9" s="11" t="s">
        <v>240</v>
      </c>
      <c r="C9" s="13">
        <v>249446</v>
      </c>
      <c r="D9" s="16">
        <v>3.4</v>
      </c>
      <c r="E9" s="16">
        <v>47.25</v>
      </c>
    </row>
    <row r="10" spans="1:11">
      <c r="A10" s="7" t="s">
        <v>220</v>
      </c>
      <c r="B10" s="11" t="s">
        <v>242</v>
      </c>
      <c r="C10" s="13">
        <v>187668</v>
      </c>
      <c r="D10" s="16">
        <v>2.56</v>
      </c>
      <c r="E10" s="16">
        <v>49.8</v>
      </c>
    </row>
    <row r="11" spans="1:11">
      <c r="A11" s="7" t="s">
        <v>331</v>
      </c>
      <c r="B11" s="11" t="s">
        <v>246</v>
      </c>
      <c r="C11" s="13">
        <v>152736</v>
      </c>
      <c r="D11" s="16">
        <v>2.08</v>
      </c>
      <c r="E11" s="16">
        <v>51.88</v>
      </c>
    </row>
    <row r="12" spans="1:11">
      <c r="A12" s="7" t="s">
        <v>225</v>
      </c>
      <c r="B12" s="11" t="s">
        <v>240</v>
      </c>
      <c r="C12" s="13">
        <v>150696</v>
      </c>
      <c r="D12" s="16">
        <v>2.05</v>
      </c>
      <c r="E12" s="16">
        <v>53.94</v>
      </c>
    </row>
    <row r="13" spans="1:11">
      <c r="A13" s="7" t="s">
        <v>330</v>
      </c>
      <c r="B13" s="11" t="s">
        <v>241</v>
      </c>
      <c r="C13" s="13">
        <v>139896</v>
      </c>
      <c r="D13" s="16">
        <v>1.91</v>
      </c>
      <c r="E13" s="16">
        <v>55.84</v>
      </c>
    </row>
    <row r="14" spans="1:11">
      <c r="A14" s="7" t="s">
        <v>332</v>
      </c>
      <c r="B14" s="11" t="s">
        <v>243</v>
      </c>
      <c r="C14" s="13">
        <v>129570</v>
      </c>
      <c r="D14" s="16">
        <v>1.77</v>
      </c>
      <c r="E14" s="16">
        <v>57.61</v>
      </c>
    </row>
    <row r="15" spans="1:11">
      <c r="A15" s="7" t="s">
        <v>326</v>
      </c>
      <c r="B15" s="11" t="s">
        <v>241</v>
      </c>
      <c r="C15" s="13">
        <v>126247</v>
      </c>
      <c r="D15" s="16">
        <v>1.72</v>
      </c>
      <c r="E15" s="16">
        <v>59.33</v>
      </c>
    </row>
    <row r="16" spans="1:11">
      <c r="A16" s="7" t="s">
        <v>234</v>
      </c>
      <c r="B16" s="11" t="s">
        <v>240</v>
      </c>
      <c r="C16" s="13">
        <v>125565</v>
      </c>
      <c r="D16" s="16">
        <v>1.71</v>
      </c>
      <c r="E16" s="16">
        <v>61.04</v>
      </c>
    </row>
    <row r="17" spans="1:11">
      <c r="A17" s="7" t="s">
        <v>333</v>
      </c>
      <c r="B17" s="11" t="s">
        <v>246</v>
      </c>
      <c r="C17" s="13">
        <v>114654</v>
      </c>
      <c r="D17" s="16">
        <v>1.56</v>
      </c>
      <c r="E17" s="16">
        <v>62.6</v>
      </c>
    </row>
    <row r="18" spans="1:11">
      <c r="A18" s="7" t="s">
        <v>230</v>
      </c>
      <c r="B18" s="11" t="s">
        <v>242</v>
      </c>
      <c r="C18" s="13">
        <v>104791</v>
      </c>
      <c r="D18" s="16">
        <v>1.43</v>
      </c>
      <c r="E18" s="16">
        <v>64.03</v>
      </c>
    </row>
    <row r="19" spans="1:11">
      <c r="A19" s="7" t="s">
        <v>235</v>
      </c>
      <c r="B19" s="11" t="s">
        <v>240</v>
      </c>
      <c r="C19" s="13">
        <v>96879</v>
      </c>
      <c r="D19" s="16">
        <v>1.32</v>
      </c>
      <c r="E19" s="16">
        <v>65.34999999999999</v>
      </c>
    </row>
    <row r="20" spans="1:11">
      <c r="A20" s="7" t="s">
        <v>329</v>
      </c>
      <c r="B20" s="11" t="s">
        <v>249</v>
      </c>
      <c r="C20" s="13">
        <v>96164</v>
      </c>
      <c r="D20" s="16">
        <v>1.31</v>
      </c>
      <c r="E20" s="16">
        <v>66.66</v>
      </c>
    </row>
    <row r="21" spans="1:11">
      <c r="A21" s="7" t="s">
        <v>328</v>
      </c>
      <c r="B21" s="11" t="s">
        <v>241</v>
      </c>
      <c r="C21" s="13">
        <v>92971</v>
      </c>
      <c r="D21" s="16">
        <v>1.27</v>
      </c>
      <c r="E21" s="16">
        <v>67.93000000000001</v>
      </c>
    </row>
    <row r="22" spans="1:11">
      <c r="A22" s="7" t="s">
        <v>231</v>
      </c>
      <c r="B22" s="11" t="s">
        <v>240</v>
      </c>
      <c r="C22" s="13">
        <v>83895</v>
      </c>
      <c r="D22" s="16">
        <v>1.14</v>
      </c>
      <c r="E22" s="16">
        <v>69.06999999999999</v>
      </c>
    </row>
    <row r="23" spans="1:11">
      <c r="A23" s="7" t="s">
        <v>232</v>
      </c>
      <c r="B23" s="11" t="s">
        <v>243</v>
      </c>
      <c r="C23" s="13">
        <v>82540</v>
      </c>
      <c r="D23" s="16">
        <v>1.12</v>
      </c>
      <c r="E23" s="16">
        <v>70.19</v>
      </c>
    </row>
    <row r="24" spans="1:11">
      <c r="A24" s="7" t="s">
        <v>436</v>
      </c>
      <c r="B24" s="11" t="s">
        <v>243</v>
      </c>
      <c r="C24" s="13">
        <v>79134</v>
      </c>
      <c r="D24" s="16">
        <v>1.08</v>
      </c>
      <c r="E24" s="16">
        <v>71.27</v>
      </c>
    </row>
    <row r="25" spans="1:11">
      <c r="A25" s="7" t="s">
        <v>437</v>
      </c>
      <c r="B25" s="11" t="s">
        <v>243</v>
      </c>
      <c r="C25" s="13">
        <v>77394</v>
      </c>
      <c r="D25" s="16">
        <v>1.05</v>
      </c>
      <c r="E25" s="16">
        <v>72.33</v>
      </c>
    </row>
    <row r="26" spans="1:11">
      <c r="A26" s="7" t="s">
        <v>425</v>
      </c>
      <c r="B26" s="11" t="s">
        <v>245</v>
      </c>
      <c r="C26" s="13">
        <v>73848</v>
      </c>
      <c r="D26" s="16">
        <v>1.01</v>
      </c>
      <c r="E26" s="16">
        <v>73.33</v>
      </c>
    </row>
    <row r="27" spans="1:11">
      <c r="A27" s="7" t="s">
        <v>229</v>
      </c>
      <c r="B27" s="11" t="s">
        <v>240</v>
      </c>
      <c r="C27" s="13">
        <v>73738</v>
      </c>
      <c r="D27" s="16">
        <v>1</v>
      </c>
      <c r="E27" s="16">
        <v>74.34</v>
      </c>
    </row>
    <row r="28" spans="1:11">
      <c r="A28" s="7" t="s">
        <v>438</v>
      </c>
      <c r="B28" s="11" t="s">
        <v>249</v>
      </c>
      <c r="C28" s="13">
        <v>73635</v>
      </c>
      <c r="D28" s="16">
        <v>1</v>
      </c>
      <c r="E28" s="16">
        <v>75.34</v>
      </c>
    </row>
    <row r="31" spans="1:11" ht="86" customHeight="1">
      <c r="A31" s="12" t="s">
        <v>439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</sheetData>
  <mergeCells count="2">
    <mergeCell ref="A1:K1"/>
    <mergeCell ref="A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 封面与导读</vt:lpstr>
      <vt:lpstr>2 数据概况</vt:lpstr>
      <vt:lpstr>3 数据质量</vt:lpstr>
      <vt:lpstr>4 月度趋势</vt:lpstr>
      <vt:lpstr>5 同比增长归因</vt:lpstr>
      <vt:lpstr>6 口径变更警示</vt:lpstr>
      <vt:lpstr>7 处理时效</vt:lpstr>
      <vt:lpstr>8 结案≠解决</vt:lpstr>
      <vt:lpstr>9 重复上报</vt:lpstr>
      <vt:lpstr>10 季节性与时段</vt:lpstr>
      <vt:lpstr>11 行政区结构</vt:lpstr>
      <vt:lpstr>12 上报渠道</vt:lpstr>
      <vt:lpstr>13 类型排行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2026-09-16T12:22:11Z</dcterms:created>
  <dcterms:modified xsi:type="dcterms:W3CDTF">2026-09-16T12:22:11Z</dcterms:modified>
</cp:coreProperties>
</file>