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总览" sheetId="1" state="visible" r:id="rId1"/>
    <sheet xmlns:r="http://schemas.openxmlformats.org/officeDocument/2006/relationships" name="2-核心发现" sheetId="2" state="visible" r:id="rId2"/>
    <sheet xmlns:r="http://schemas.openxmlformats.org/officeDocument/2006/relationships" name="3-月度趋势" sheetId="3" state="visible" r:id="rId3"/>
    <sheet xmlns:r="http://schemas.openxmlformats.org/officeDocument/2006/relationships" name="4-投诉类型" sheetId="4" state="visible" r:id="rId4"/>
    <sheet xmlns:r="http://schemas.openxmlformats.org/officeDocument/2006/relationships" name="5-处理时效" sheetId="5" state="visible" r:id="rId5"/>
    <sheet xmlns:r="http://schemas.openxmlformats.org/officeDocument/2006/relationships" name="6-区域分布" sheetId="6" state="visible" r:id="rId6"/>
    <sheet xmlns:r="http://schemas.openxmlformats.org/officeDocument/2006/relationships" name="7-附-状态与渠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10"/>
    </font>
    <font>
      <b val="1"/>
      <color rgb="00FFFFFF"/>
      <sz val="11"/>
    </font>
    <font>
      <b val="1"/>
      <color rgb="001F4E79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3" fontId="0" fillId="0" borderId="1" pivotButton="0" quotePrefix="0" xfId="0"/>
    <xf numFmtId="3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月度总量（不完整月已标注）</a:t>
            </a:r>
          </a:p>
        </rich>
      </tx>
    </title>
    <plotArea>
      <lineChart>
        <grouping val="standard"/>
        <ser>
          <idx val="0"/>
          <order val="0"/>
          <tx>
            <strRef>
              <f>'3-月度趋势'!B3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'3-月度趋势'!$A$4:$A$28</f>
            </numRef>
          </cat>
          <val>
            <numRef>
              <f>'3-月度趋势'!$B$4:$B$28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主要投诉类型月度走势</a:t>
            </a:r>
          </a:p>
        </rich>
      </tx>
    </title>
    <plotArea>
      <lineChart>
        <grouping val="standard"/>
        <ser>
          <idx val="0"/>
          <order val="0"/>
          <tx>
            <strRef>
              <f>'3-月度趋势'!C3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'3-月度趋势'!$A$4:$A$28</f>
            </numRef>
          </cat>
          <val>
            <numRef>
              <f>'3-月度趋势'!$C$4:$C$28</f>
            </numRef>
          </val>
        </ser>
        <ser>
          <idx val="1"/>
          <order val="1"/>
          <tx>
            <strRef>
              <f>'3-月度趋势'!D3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'3-月度趋势'!$A$4:$A$28</f>
            </numRef>
          </cat>
          <val>
            <numRef>
              <f>'3-月度趋势'!$D$4:$D$28</f>
            </numRef>
          </val>
        </ser>
        <ser>
          <idx val="2"/>
          <order val="2"/>
          <tx>
            <strRef>
              <f>'3-月度趋势'!E3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'3-月度趋势'!$A$4:$A$28</f>
            </numRef>
          </cat>
          <val>
            <numRef>
              <f>'3-月度趋势'!$E$4:$E$28</f>
            </numRef>
          </val>
        </ser>
        <ser>
          <idx val="3"/>
          <order val="3"/>
          <tx>
            <strRef>
              <f>'3-月度趋势'!F3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'3-月度趋势'!$A$4:$A$28</f>
            </numRef>
          </cat>
          <val>
            <numRef>
              <f>'3-月度趋势'!$F$4:$F$28</f>
            </numRef>
          </val>
        </ser>
        <ser>
          <idx val="4"/>
          <order val="4"/>
          <tx>
            <strRef>
              <f>'3-月度趋势'!G3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'3-月度趋势'!$A$4:$A$28</f>
            </numRef>
          </cat>
          <val>
            <numRef>
              <f>'3-月度趋势'!$G$4:$G$28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投诉类型 Top 15（记录数）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'4-投诉类型'!B3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'4-投诉类型'!$A$4:$A$18</f>
            </numRef>
          </cat>
          <val>
            <numRef>
              <f>'4-投诉类型'!$B$4:$B$18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各机构中位处理时长（小时，对数轴）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'5-处理时效'!C3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'5-处理时效'!$A$4:$A$19</f>
            </numRef>
          </cat>
          <val>
            <numRef>
              <f>'5-处理时效'!$C$4:$C$19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各区记录数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'6-区域分布'!B3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'6-区域分布'!$A$4:$A$9</f>
            </numRef>
          </cat>
          <val>
            <numRef>
              <f>'6-区域分布'!$B$4:$B$9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51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2" customWidth="1" min="1" max="1"/>
    <col width="62" customWidth="1" min="2" max="2"/>
  </cols>
  <sheetData>
    <row r="1">
      <c r="A1" s="1" t="inlineStr">
        <is>
          <t>NYC 311 服务请求分析看板（2024-09-07 ～ 2026-09-07）</t>
        </is>
      </c>
    </row>
    <row r="2">
      <c r="A2" s="2" t="inlineStr">
        <is>
          <t>数据源：D:\项目1\原始数据 25 个 Parquet 分片，全量处理；单位：条（服务请求记录，非独立现实事件）</t>
        </is>
      </c>
    </row>
    <row r="3">
      <c r="A3" s="2" t="inlineStr">
        <is>
          <t>本看板无需运行代码即可阅读；核心结论见「2-核心发现」，支撑明细见后续各表。</t>
        </is>
      </c>
    </row>
    <row r="5">
      <c r="A5" s="3" t="inlineStr">
        <is>
          <t>指标</t>
        </is>
      </c>
      <c r="B5" s="3" t="inlineStr">
        <is>
          <t>值</t>
        </is>
      </c>
    </row>
    <row r="6">
      <c r="A6" s="4" t="inlineStr">
        <is>
          <t>总记录数</t>
        </is>
      </c>
      <c r="B6" s="4" t="inlineStr">
        <is>
          <t>7,525,498</t>
        </is>
      </c>
    </row>
    <row r="7">
      <c r="A7" s="5" t="inlineStr">
        <is>
          <t>时间范围（created_date）</t>
        </is>
      </c>
      <c r="B7" s="5" t="inlineStr">
        <is>
          <t>2024-09-07 ～ 2026-09-05</t>
        </is>
      </c>
    </row>
    <row r="8">
      <c r="A8" s="4" t="inlineStr">
        <is>
          <t>月份数</t>
        </is>
      </c>
      <c r="B8" s="4" t="inlineStr">
        <is>
          <t>25（其中 2024-09 与 2026-09 为不完整月）</t>
        </is>
      </c>
    </row>
    <row r="9">
      <c r="A9" s="5" t="inlineStr">
        <is>
          <t>机构（agency）数</t>
        </is>
      </c>
      <c r="B9" s="5" t="inlineStr">
        <is>
          <t>16</t>
        </is>
      </c>
    </row>
    <row r="10">
      <c r="A10" s="4" t="inlineStr">
        <is>
          <t>投诉类型数</t>
        </is>
      </c>
      <c r="B10" s="4" t="inlineStr">
        <is>
          <t>205</t>
        </is>
      </c>
    </row>
    <row r="11">
      <c r="A11" s="5" t="inlineStr">
        <is>
          <t>最大机构</t>
        </is>
      </c>
      <c r="B11" s="5" t="inlineStr">
        <is>
          <t>NYPD（警察局）</t>
        </is>
      </c>
    </row>
    <row r="12">
      <c r="A12" s="4" t="inlineStr">
        <is>
          <t>最大机构占比</t>
        </is>
      </c>
      <c r="B12" s="4" t="inlineStr">
        <is>
          <t>45.2%</t>
        </is>
      </c>
    </row>
    <row r="13">
      <c r="A13" s="5" t="inlineStr">
        <is>
          <t>最大投诉类型</t>
        </is>
      </c>
      <c r="B13" s="5" t="inlineStr">
        <is>
          <t>Illegal Parking（违章停车）</t>
        </is>
      </c>
    </row>
    <row r="14">
      <c r="A14" s="4" t="inlineStr">
        <is>
          <t>最大投诉类型占比</t>
        </is>
      </c>
      <c r="B14" s="4" t="inlineStr">
        <is>
          <t>15.4%</t>
        </is>
      </c>
    </row>
    <row r="15">
      <c r="A15" s="5" t="inlineStr">
        <is>
          <t>已关闭(Closed)记录</t>
        </is>
      </c>
      <c r="B15" s="5" t="inlineStr">
        <is>
          <t>7,275,349</t>
        </is>
      </c>
    </row>
    <row r="16">
      <c r="A16" s="4" t="inlineStr">
        <is>
          <t>已关闭占比</t>
        </is>
      </c>
      <c r="B16" s="4" t="inlineStr">
        <is>
          <t>96.7%</t>
        </is>
      </c>
    </row>
    <row r="17">
      <c r="A17" s="5" t="inlineStr">
        <is>
          <t>快照时未关闭记录</t>
        </is>
      </c>
      <c r="B17" s="5" t="inlineStr">
        <is>
          <t>250,149</t>
        </is>
      </c>
    </row>
    <row r="18">
      <c r="A18" s="4" t="inlineStr">
        <is>
          <t>未关闭占比</t>
        </is>
      </c>
      <c r="B18" s="4" t="inlineStr">
        <is>
          <t>3.3%</t>
        </is>
      </c>
    </row>
    <row r="19">
      <c r="A19" s="5" t="inlineStr">
        <is>
          <t>记录数最多区域</t>
        </is>
      </c>
      <c r="B19" s="5" t="inlineStr">
        <is>
          <t>BROOKLYN（布鲁克林）</t>
        </is>
      </c>
    </row>
    <row r="20">
      <c r="A20" s="4" t="inlineStr">
        <is>
          <t>该区域占比</t>
        </is>
      </c>
      <c r="B20" s="4" t="inlineStr">
        <is>
          <t>30.0%</t>
        </is>
      </c>
    </row>
    <row r="21">
      <c r="A21" s="5" t="inlineStr">
        <is>
          <t>主要受理渠道</t>
        </is>
      </c>
      <c r="B21" s="5" t="inlineStr">
        <is>
          <t>ONLINE（线上）/ PHONE（电话）/ MOBILE（App）</t>
        </is>
      </c>
    </row>
    <row r="22">
      <c r="A22" s="4" t="inlineStr">
        <is>
          <t>记录数最多月份</t>
        </is>
      </c>
      <c r="B22" s="4" t="inlineStr">
        <is>
          <t>2026-01（348,511 条）</t>
        </is>
      </c>
    </row>
    <row r="24">
      <c r="A24" s="6" t="inlineStr">
        <is>
          <t>数据质量摘要</t>
        </is>
      </c>
    </row>
    <row r="25">
      <c r="A25" s="3" t="inlineStr">
        <is>
          <t>检查项</t>
        </is>
      </c>
      <c r="B25" s="3" t="inlineStr">
        <is>
          <t>结果</t>
        </is>
      </c>
    </row>
    <row r="26">
      <c r="A26" s="4" t="inlineStr">
        <is>
          <t>unique_key 重复</t>
        </is>
      </c>
      <c r="B26" s="4" t="inlineStr">
        <is>
          <t>0 条</t>
        </is>
      </c>
    </row>
    <row r="27">
      <c r="A27" s="5" t="inlineStr">
        <is>
          <t>created_date 缺失</t>
        </is>
      </c>
      <c r="B27" s="5" t="inlineStr">
        <is>
          <t>0 条</t>
        </is>
      </c>
    </row>
    <row r="28">
      <c r="A28" s="4" t="inlineStr">
        <is>
          <t>closed_date 缺失（与未结案对应）</t>
        </is>
      </c>
      <c r="B28" s="4" t="inlineStr">
        <is>
          <t>240,304 条（3.2%）</t>
        </is>
      </c>
    </row>
    <row r="29">
      <c r="A29" s="5" t="inlineStr">
        <is>
          <t>closed_date 早于 created_date（已从时效计算中剔除）</t>
        </is>
      </c>
      <c r="B29" s="5" t="inlineStr">
        <is>
          <t>1,877 条（0.025%）</t>
        </is>
      </c>
    </row>
    <row r="30">
      <c r="A30" s="4" t="inlineStr">
        <is>
          <t>投诉类型口径变更</t>
        </is>
      </c>
      <c r="B30" s="4" t="inlineStr">
        <is>
          <t>2026-07 起 DEP 的 Water System 逐步停用，2026-08 完全拆分为 Water Maintenance / Sewer Maintenance</t>
        </is>
      </c>
    </row>
    <row r="31">
      <c r="A31" s="5" t="inlineStr">
        <is>
          <t>不完整月份</t>
        </is>
      </c>
      <c r="B31" s="5" t="inlineStr">
        <is>
          <t>2024-09（仅 9/7 起）与 2026-09（至 9/7），月度对比仅用完整月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核心发现（全部数字可回查「3~6」各支撑表）</t>
        </is>
      </c>
    </row>
    <row r="3">
      <c r="A3" s="7" t="inlineStr">
        <is>
          <t>发现1｜总量上升：完整月同比 +10.5%</t>
        </is>
      </c>
    </row>
    <row r="4" ht="78" customHeight="1">
      <c r="A4" s="8" t="inlineStr">
        <is>
          <t>对比两个可比的 11 个月完整区间：2024-10～2025-08 共 3,293,003 条，2025-10～2026-08 共 3,639,698 条，+10.5%。
增长主要来自：Street Condition（+75.1%）、HEAT/HOT WATER（+21.9%）、Illegal Parking（+10.9%）；
噪声类（Noise-Residential、Noise-Street/Sidewalk）同期基本持平（约 0%）。</t>
        </is>
      </c>
    </row>
    <row r="6">
      <c r="A6" s="7" t="inlineStr">
        <is>
          <t>发现2｜强季节性：供暖投诉冬夏相差约 20 倍</t>
        </is>
      </c>
    </row>
    <row r="7" ht="78" customHeight="1">
      <c r="A7" s="8" t="inlineStr">
        <is>
          <t>HEAT/HOT WATER 冬季爆发、夏季几乎消失：2026-01 达 79,928 条，而 2025-08 仅 2,929 条（约 27 倍）。
Noise-Residential 在冬季深夜供暖锅炉季与夏季均偏高（2025-01：70,837 为全期峰值）；
Noise-Street/Sidewalk 明显夏季高（2025-08：25,205 vs 2025-02：3,881）。
总量随之冬季高、春季低：1 月（约 34.9 万）为全年峰值，2-4 月为低谷。</t>
        </is>
      </c>
    </row>
    <row r="9">
      <c r="A9" s="7" t="inlineStr">
        <is>
          <t>发现3｜2026 年春 Street Condition（路面破损）异常激增</t>
        </is>
      </c>
    </row>
    <row r="10" ht="78" customHeight="1">
      <c r="A10" s="8" t="inlineStr">
        <is>
          <t>2026-03 Street Condition 共 28,690 条，约为 2025-03（7,035 条）的 4.1 倍；其中 DOT 受理 28,629 条，
Pothole（坑洼）22,790 条、Cave-in（塌陷）2,419 条；激增遍布全月每一天和全部五个区，4-5 月仍偏高（15,850 / 11,777）。
这是描述性事实；原因（如恶劣冬季后的路况恶化、或录入口径变化）无法仅凭本数据验证。</t>
        </is>
      </c>
    </row>
    <row r="12">
      <c r="A12" s="7" t="inlineStr">
        <is>
          <t>发现4｜处理时效按机构分层悬殊，且"关闭"含义不同</t>
        </is>
      </c>
    </row>
    <row r="13" ht="78" customHeight="1">
      <c r="A13" s="8" t="inlineStr">
        <is>
          <t>NYPD 中位 1.3 小时——其结案描述多为"到场后未发现违法"（快速处置/结案，不等于问题修复）；
HPD 中位 87.5 小时、DOB 158.9 小时、DPR 165.3 小时；DOHMH 呈现 60 天（约 1440 小时）自动结案特征。
全市月度中位时效也随季节波动：夏季约 4-6 小时，冬季 15-26 小时（投诉构成变化所致）。
快照时点（2026-09-07）仍有 250,149 条（3.3%）未关闭，集中在 HPD（59,718）、DPR（57,639）、DOT（28,715）。</t>
        </is>
      </c>
    </row>
    <row r="15">
      <c r="A15" s="7" t="inlineStr">
        <is>
          <t>发现5｜区域画像差异明显</t>
        </is>
      </c>
    </row>
    <row r="16" ht="78" customHeight="1">
      <c r="A16" s="8" t="inlineStr">
        <is>
          <t>总量：Brooklyn 30.0% &gt; Queens 24.2% &gt; Bronx 22.1% &gt; Manhattan 19.8% &gt; Staten Island 3.8%（绝对记录数，未经人口归一）。
构成差异：Bronx 以噪声-住宅 21.9% + HEAT/HOT WATER 13.7%（五区最高）呈住房质量压力型；
Manhattan 的 Encampment（流浪营地）占 4.6% 为五区最高、Blocked Driveway 仅 0.6% 为最低；
Queens 的 Street Condition 占 4.1% 偏高。</t>
        </is>
      </c>
    </row>
    <row r="18">
      <c r="A18" s="7" t="inlineStr">
        <is>
          <t>发现6｜受理渠道：线上为主</t>
        </is>
      </c>
    </row>
    <row r="19" ht="78" customHeight="1">
      <c r="A19" s="8" t="inlineStr">
        <is>
          <t>ONLINE 44.3%、PHONE 25.7%、MOBILE 22.1%、UNKNOWN 7.9%。线上+App 合计约 2/3。</t>
        </is>
      </c>
    </row>
  </sheetData>
  <mergeCells count="6">
    <mergeCell ref="A4:H4"/>
    <mergeCell ref="A7:H7"/>
    <mergeCell ref="A16:H16"/>
    <mergeCell ref="A10:H10"/>
    <mergeCell ref="A13:H13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月度趋势（条数；2024-09 与 2026-09 为不完整月）</t>
        </is>
      </c>
    </row>
    <row r="3">
      <c r="A3" s="3" t="inlineStr">
        <is>
          <t>月份</t>
        </is>
      </c>
      <c r="B3" s="3" t="inlineStr">
        <is>
          <t>总计</t>
        </is>
      </c>
      <c r="C3" s="3" t="inlineStr">
        <is>
          <t>HEAT/HOT WATER</t>
        </is>
      </c>
      <c r="D3" s="3" t="inlineStr">
        <is>
          <t>Noise - Residential</t>
        </is>
      </c>
      <c r="E3" s="3" t="inlineStr">
        <is>
          <t>Noise - Street/Sidewalk</t>
        </is>
      </c>
      <c r="F3" s="3" t="inlineStr">
        <is>
          <t>Illegal Parking</t>
        </is>
      </c>
      <c r="G3" s="3" t="inlineStr">
        <is>
          <t>Street Condition</t>
        </is>
      </c>
    </row>
    <row r="4">
      <c r="A4" s="4" t="inlineStr">
        <is>
          <t>2024-09</t>
        </is>
      </c>
      <c r="B4" s="9" t="n">
        <v>248139</v>
      </c>
      <c r="C4" s="9" t="n">
        <v>2696</v>
      </c>
      <c r="D4" s="9" t="n">
        <v>39381</v>
      </c>
      <c r="E4" s="9" t="n">
        <v>16795</v>
      </c>
      <c r="F4" s="9" t="n">
        <v>37255</v>
      </c>
      <c r="G4" s="9" t="n">
        <v>4036</v>
      </c>
    </row>
    <row r="5">
      <c r="A5" s="5" t="inlineStr">
        <is>
          <t>2024-10</t>
        </is>
      </c>
      <c r="B5" s="10" t="n">
        <v>306803</v>
      </c>
      <c r="C5" s="10" t="n">
        <v>19650</v>
      </c>
      <c r="D5" s="10" t="n">
        <v>38628</v>
      </c>
      <c r="E5" s="10" t="n">
        <v>18281</v>
      </c>
      <c r="F5" s="10" t="n">
        <v>42959</v>
      </c>
      <c r="G5" s="10" t="n">
        <v>4260</v>
      </c>
    </row>
    <row r="6">
      <c r="A6" s="4" t="inlineStr">
        <is>
          <t>2024-11</t>
        </is>
      </c>
      <c r="B6" s="9" t="n">
        <v>293515</v>
      </c>
      <c r="C6" s="9" t="n">
        <v>39368</v>
      </c>
      <c r="D6" s="9" t="n">
        <v>39103</v>
      </c>
      <c r="E6" s="9" t="n">
        <v>9256</v>
      </c>
      <c r="F6" s="9" t="n">
        <v>39784</v>
      </c>
      <c r="G6" s="9" t="n">
        <v>3630</v>
      </c>
    </row>
    <row r="7">
      <c r="A7" s="5" t="inlineStr">
        <is>
          <t>2024-12</t>
        </is>
      </c>
      <c r="B7" s="10" t="n">
        <v>313949</v>
      </c>
      <c r="C7" s="10" t="n">
        <v>62918</v>
      </c>
      <c r="D7" s="10" t="n">
        <v>47405</v>
      </c>
      <c r="E7" s="10" t="n">
        <v>4887</v>
      </c>
      <c r="F7" s="10" t="n">
        <v>39971</v>
      </c>
      <c r="G7" s="10" t="n">
        <v>5225</v>
      </c>
    </row>
    <row r="8">
      <c r="A8" s="4" t="inlineStr">
        <is>
          <t>2025-01</t>
        </is>
      </c>
      <c r="B8" s="9" t="n">
        <v>348180</v>
      </c>
      <c r="C8" s="9" t="n">
        <v>67229</v>
      </c>
      <c r="D8" s="9" t="n">
        <v>70837</v>
      </c>
      <c r="E8" s="9" t="n">
        <v>3757</v>
      </c>
      <c r="F8" s="9" t="n">
        <v>43139</v>
      </c>
      <c r="G8" s="9" t="n">
        <v>5474</v>
      </c>
    </row>
    <row r="9">
      <c r="A9" s="5" t="inlineStr">
        <is>
          <t>2025-02</t>
        </is>
      </c>
      <c r="B9" s="10" t="n">
        <v>255364</v>
      </c>
      <c r="C9" s="10" t="n">
        <v>40699</v>
      </c>
      <c r="D9" s="10" t="n">
        <v>26945</v>
      </c>
      <c r="E9" s="10" t="n">
        <v>3881</v>
      </c>
      <c r="F9" s="10" t="n">
        <v>42267</v>
      </c>
      <c r="G9" s="10" t="n">
        <v>5623</v>
      </c>
    </row>
    <row r="10">
      <c r="A10" s="4" t="inlineStr">
        <is>
          <t>2025-03</t>
        </is>
      </c>
      <c r="B10" s="9" t="n">
        <v>281221</v>
      </c>
      <c r="C10" s="9" t="n">
        <v>26276</v>
      </c>
      <c r="D10" s="9" t="n">
        <v>28850</v>
      </c>
      <c r="E10" s="9" t="n">
        <v>8320</v>
      </c>
      <c r="F10" s="9" t="n">
        <v>53740</v>
      </c>
      <c r="G10" s="9" t="n">
        <v>7035</v>
      </c>
    </row>
    <row r="11">
      <c r="A11" s="5" t="inlineStr">
        <is>
          <t>2025-04</t>
        </is>
      </c>
      <c r="B11" s="10" t="n">
        <v>272549</v>
      </c>
      <c r="C11" s="10" t="n">
        <v>16824</v>
      </c>
      <c r="D11" s="10" t="n">
        <v>28019</v>
      </c>
      <c r="E11" s="10" t="n">
        <v>13519</v>
      </c>
      <c r="F11" s="10" t="n">
        <v>47358</v>
      </c>
      <c r="G11" s="10" t="n">
        <v>6659</v>
      </c>
    </row>
    <row r="12">
      <c r="A12" s="4" t="inlineStr">
        <is>
          <t>2025-05</t>
        </is>
      </c>
      <c r="B12" s="9" t="n">
        <v>295058</v>
      </c>
      <c r="C12" s="9" t="n">
        <v>7463</v>
      </c>
      <c r="D12" s="9" t="n">
        <v>32905</v>
      </c>
      <c r="E12" s="9" t="n">
        <v>20870</v>
      </c>
      <c r="F12" s="9" t="n">
        <v>51557</v>
      </c>
      <c r="G12" s="9" t="n">
        <v>7449</v>
      </c>
    </row>
    <row r="13">
      <c r="A13" s="5" t="inlineStr">
        <is>
          <t>2025-06</t>
        </is>
      </c>
      <c r="B13" s="10" t="n">
        <v>306442</v>
      </c>
      <c r="C13" s="10" t="n">
        <v>4217</v>
      </c>
      <c r="D13" s="10" t="n">
        <v>29740</v>
      </c>
      <c r="E13" s="10" t="n">
        <v>24081</v>
      </c>
      <c r="F13" s="10" t="n">
        <v>48032</v>
      </c>
      <c r="G13" s="10" t="n">
        <v>7243</v>
      </c>
    </row>
    <row r="14">
      <c r="A14" s="4" t="inlineStr">
        <is>
          <t>2025-07</t>
        </is>
      </c>
      <c r="B14" s="9" t="n">
        <v>315883</v>
      </c>
      <c r="C14" s="9" t="n">
        <v>3008</v>
      </c>
      <c r="D14" s="9" t="n">
        <v>26659</v>
      </c>
      <c r="E14" s="9" t="n">
        <v>23287</v>
      </c>
      <c r="F14" s="9" t="n">
        <v>47001</v>
      </c>
      <c r="G14" s="9" t="n">
        <v>6138</v>
      </c>
    </row>
    <row r="15">
      <c r="A15" s="5" t="inlineStr">
        <is>
          <t>2025-08</t>
        </is>
      </c>
      <c r="B15" s="10" t="n">
        <v>304039</v>
      </c>
      <c r="C15" s="10" t="n">
        <v>2929</v>
      </c>
      <c r="D15" s="10" t="n">
        <v>32756</v>
      </c>
      <c r="E15" s="10" t="n">
        <v>25205</v>
      </c>
      <c r="F15" s="10" t="n">
        <v>47243</v>
      </c>
      <c r="G15" s="10" t="n">
        <v>5590</v>
      </c>
    </row>
    <row r="16">
      <c r="A16" s="4" t="inlineStr">
        <is>
          <t>2025-09</t>
        </is>
      </c>
      <c r="B16" s="9" t="n">
        <v>302684</v>
      </c>
      <c r="C16" s="9" t="n">
        <v>3595</v>
      </c>
      <c r="D16" s="9" t="n">
        <v>36142</v>
      </c>
      <c r="E16" s="9" t="n">
        <v>19799</v>
      </c>
      <c r="F16" s="9" t="n">
        <v>54313</v>
      </c>
      <c r="G16" s="9" t="n">
        <v>5411</v>
      </c>
    </row>
    <row r="17">
      <c r="A17" s="5" t="inlineStr">
        <is>
          <t>2025-10</t>
        </is>
      </c>
      <c r="B17" s="10" t="n">
        <v>336612</v>
      </c>
      <c r="C17" s="10" t="n">
        <v>31858</v>
      </c>
      <c r="D17" s="10" t="n">
        <v>49182</v>
      </c>
      <c r="E17" s="10" t="n">
        <v>15538</v>
      </c>
      <c r="F17" s="10" t="n">
        <v>51073</v>
      </c>
      <c r="G17" s="10" t="n">
        <v>4829</v>
      </c>
    </row>
    <row r="18">
      <c r="A18" s="4" t="inlineStr">
        <is>
          <t>2025-11</t>
        </is>
      </c>
      <c r="B18" s="9" t="n">
        <v>304905</v>
      </c>
      <c r="C18" s="9" t="n">
        <v>47946</v>
      </c>
      <c r="D18" s="9" t="n">
        <v>43928</v>
      </c>
      <c r="E18" s="9" t="n">
        <v>10005</v>
      </c>
      <c r="F18" s="9" t="n">
        <v>47373</v>
      </c>
      <c r="G18" s="9" t="n">
        <v>4049</v>
      </c>
    </row>
    <row r="19">
      <c r="A19" s="5" t="inlineStr">
        <is>
          <t>2025-12</t>
        </is>
      </c>
      <c r="B19" s="10" t="n">
        <v>332103</v>
      </c>
      <c r="C19" s="10" t="n">
        <v>63902</v>
      </c>
      <c r="D19" s="10" t="n">
        <v>57386</v>
      </c>
      <c r="E19" s="10" t="n">
        <v>4787</v>
      </c>
      <c r="F19" s="10" t="n">
        <v>44161</v>
      </c>
      <c r="G19" s="10" t="n">
        <v>4830</v>
      </c>
    </row>
    <row r="20">
      <c r="A20" s="4" t="inlineStr">
        <is>
          <t>2026-01</t>
        </is>
      </c>
      <c r="B20" s="9" t="n">
        <v>348511</v>
      </c>
      <c r="C20" s="9" t="n">
        <v>79928</v>
      </c>
      <c r="D20" s="9" t="n">
        <v>28739</v>
      </c>
      <c r="E20" s="9" t="n">
        <v>4418</v>
      </c>
      <c r="F20" s="9" t="n">
        <v>48717</v>
      </c>
      <c r="G20" s="9" t="n">
        <v>5141</v>
      </c>
    </row>
    <row r="21">
      <c r="A21" s="5" t="inlineStr">
        <is>
          <t>2026-02</t>
        </is>
      </c>
      <c r="B21" s="10" t="n">
        <v>334690</v>
      </c>
      <c r="C21" s="10" t="n">
        <v>59031</v>
      </c>
      <c r="D21" s="10" t="n">
        <v>26949</v>
      </c>
      <c r="E21" s="10" t="n">
        <v>4139</v>
      </c>
      <c r="F21" s="10" t="n">
        <v>47781</v>
      </c>
      <c r="G21" s="10" t="n">
        <v>6913</v>
      </c>
    </row>
    <row r="22">
      <c r="A22" s="4" t="inlineStr">
        <is>
          <t>2026-03</t>
        </is>
      </c>
      <c r="B22" s="9" t="n">
        <v>342387</v>
      </c>
      <c r="C22" s="9" t="n">
        <v>29783</v>
      </c>
      <c r="D22" s="9" t="n">
        <v>31823</v>
      </c>
      <c r="E22" s="9" t="n">
        <v>10865</v>
      </c>
      <c r="F22" s="9" t="n">
        <v>54104</v>
      </c>
      <c r="G22" s="9" t="n">
        <v>28690</v>
      </c>
    </row>
    <row r="23">
      <c r="A23" s="5" t="inlineStr">
        <is>
          <t>2026-04</t>
        </is>
      </c>
      <c r="B23" s="10" t="n">
        <v>302190</v>
      </c>
      <c r="C23" s="10" t="n">
        <v>19553</v>
      </c>
      <c r="D23" s="10" t="n">
        <v>30922</v>
      </c>
      <c r="E23" s="10" t="n">
        <v>12689</v>
      </c>
      <c r="F23" s="10" t="n">
        <v>51438</v>
      </c>
      <c r="G23" s="10" t="n">
        <v>15850</v>
      </c>
    </row>
    <row r="24">
      <c r="A24" s="4" t="inlineStr">
        <is>
          <t>2026-05</t>
        </is>
      </c>
      <c r="B24" s="9" t="n">
        <v>331978</v>
      </c>
      <c r="C24" s="9" t="n">
        <v>9823</v>
      </c>
      <c r="D24" s="9" t="n">
        <v>37268</v>
      </c>
      <c r="E24" s="9" t="n">
        <v>20021</v>
      </c>
      <c r="F24" s="9" t="n">
        <v>56372</v>
      </c>
      <c r="G24" s="9" t="n">
        <v>11777</v>
      </c>
    </row>
    <row r="25">
      <c r="A25" s="5" t="inlineStr">
        <is>
          <t>2026-06</t>
        </is>
      </c>
      <c r="B25" s="10" t="n">
        <v>334833</v>
      </c>
      <c r="C25" s="10" t="n">
        <v>4388</v>
      </c>
      <c r="D25" s="10" t="n">
        <v>34039</v>
      </c>
      <c r="E25" s="10" t="n">
        <v>23790</v>
      </c>
      <c r="F25" s="10" t="n">
        <v>56689</v>
      </c>
      <c r="G25" s="10" t="n">
        <v>10852</v>
      </c>
    </row>
    <row r="26">
      <c r="A26" s="4" t="inlineStr">
        <is>
          <t>2026-07</t>
        </is>
      </c>
      <c r="B26" s="9" t="n">
        <v>343043</v>
      </c>
      <c r="C26" s="9" t="n">
        <v>4331</v>
      </c>
      <c r="D26" s="9" t="n">
        <v>29971</v>
      </c>
      <c r="E26" s="9" t="n">
        <v>25405</v>
      </c>
      <c r="F26" s="9" t="n">
        <v>49082</v>
      </c>
      <c r="G26" s="9" t="n">
        <v>10145</v>
      </c>
    </row>
    <row r="27">
      <c r="A27" s="5" t="inlineStr">
        <is>
          <t>2026-08</t>
        </is>
      </c>
      <c r="B27" s="10" t="n">
        <v>328446</v>
      </c>
      <c r="C27" s="10" t="n">
        <v>3682</v>
      </c>
      <c r="D27" s="10" t="n">
        <v>30622</v>
      </c>
      <c r="E27" s="10" t="n">
        <v>23644</v>
      </c>
      <c r="F27" s="10" t="n">
        <v>51216</v>
      </c>
      <c r="G27" s="10" t="n">
        <v>9552</v>
      </c>
    </row>
    <row r="28">
      <c r="A28" s="4" t="inlineStr">
        <is>
          <t>2026-09</t>
        </is>
      </c>
      <c r="B28" s="9" t="n">
        <v>41974</v>
      </c>
      <c r="C28" s="9" t="n">
        <v>497</v>
      </c>
      <c r="D28" s="9" t="n">
        <v>3349</v>
      </c>
      <c r="E28" s="9" t="n">
        <v>2060</v>
      </c>
      <c r="F28" s="9" t="n">
        <v>6428</v>
      </c>
      <c r="G28" s="9" t="n">
        <v>1267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投诉类型 Top 20（全期 2024-09-07 ~ 2026-09-07）</t>
        </is>
      </c>
    </row>
    <row r="3">
      <c r="A3" s="3" t="inlineStr">
        <is>
          <t>投诉类型</t>
        </is>
      </c>
      <c r="B3" s="3" t="inlineStr">
        <is>
          <t>记录数</t>
        </is>
      </c>
      <c r="C3" s="3" t="inlineStr">
        <is>
          <t>占比%</t>
        </is>
      </c>
      <c r="D3" s="3" t="inlineStr">
        <is>
          <t>中位小时</t>
        </is>
      </c>
    </row>
    <row r="4">
      <c r="A4" s="4" t="inlineStr">
        <is>
          <t>Illegal Parking</t>
        </is>
      </c>
      <c r="B4" s="9" t="n">
        <v>1159053</v>
      </c>
      <c r="C4" s="11" t="n">
        <v>15.40167840055236</v>
      </c>
      <c r="D4" s="9" t="n">
        <v>1.5</v>
      </c>
    </row>
    <row r="5">
      <c r="A5" s="5" t="inlineStr">
        <is>
          <t>Noise - Residential</t>
        </is>
      </c>
      <c r="B5" s="10" t="n">
        <v>881548</v>
      </c>
      <c r="C5" s="12" t="n">
        <v>11.71414835270702</v>
      </c>
      <c r="D5" s="10" t="n">
        <v>1.3</v>
      </c>
    </row>
    <row r="6">
      <c r="A6" s="4" t="inlineStr">
        <is>
          <t>HEAT/HOT WATER</t>
        </is>
      </c>
      <c r="B6" s="9" t="n">
        <v>651594</v>
      </c>
      <c r="C6" s="11" t="n">
        <v>8.658483465147421</v>
      </c>
      <c r="D6" s="9" t="n">
        <v>41.8</v>
      </c>
    </row>
    <row r="7">
      <c r="A7" s="5" t="inlineStr">
        <is>
          <t>Blocked Driveway</t>
        </is>
      </c>
      <c r="B7" s="10" t="n">
        <v>362642</v>
      </c>
      <c r="C7" s="12" t="n">
        <v>4.818843882491232</v>
      </c>
      <c r="D7" s="10" t="n">
        <v>1.8</v>
      </c>
    </row>
    <row r="8">
      <c r="A8" s="4" t="inlineStr">
        <is>
          <t>Noise - Street/Sidewalk</t>
        </is>
      </c>
      <c r="B8" s="9" t="n">
        <v>349299</v>
      </c>
      <c r="C8" s="11" t="n">
        <v>4.641540001738091</v>
      </c>
      <c r="D8" s="9" t="n">
        <v>1</v>
      </c>
    </row>
    <row r="9">
      <c r="A9" s="5" t="inlineStr">
        <is>
          <t>UNSANITARY CONDITION</t>
        </is>
      </c>
      <c r="B9" s="10" t="n">
        <v>249446</v>
      </c>
      <c r="C9" s="12" t="n">
        <v>3.314677646582326</v>
      </c>
      <c r="D9" s="10" t="n">
        <v>250.1</v>
      </c>
    </row>
    <row r="10">
      <c r="A10" s="4" t="inlineStr">
        <is>
          <t>Street Condition</t>
        </is>
      </c>
      <c r="B10" s="9" t="n">
        <v>187668</v>
      </c>
      <c r="C10" s="11" t="n">
        <v>2.493761874629426</v>
      </c>
      <c r="D10" s="9" t="n">
        <v>27.7</v>
      </c>
    </row>
    <row r="11">
      <c r="A11" s="5" t="inlineStr">
        <is>
          <t>Water System</t>
        </is>
      </c>
      <c r="B11" s="10" t="n">
        <v>152736</v>
      </c>
      <c r="C11" s="12" t="n">
        <v>2.029579969325618</v>
      </c>
      <c r="D11" s="10" t="n">
        <v>3.2</v>
      </c>
    </row>
    <row r="12">
      <c r="A12" s="4" t="inlineStr">
        <is>
          <t>PLUMBING</t>
        </is>
      </c>
      <c r="B12" s="9" t="n">
        <v>150696</v>
      </c>
      <c r="C12" s="11" t="n">
        <v>2.002472128754801</v>
      </c>
      <c r="D12" s="9" t="n">
        <v>189.9</v>
      </c>
    </row>
    <row r="13">
      <c r="A13" s="5" t="inlineStr">
        <is>
          <t>Abandoned Vehicle</t>
        </is>
      </c>
      <c r="B13" s="10" t="n">
        <v>139896</v>
      </c>
      <c r="C13" s="12" t="n">
        <v>1.858960031615184</v>
      </c>
      <c r="D13" s="10" t="n">
        <v>2.2</v>
      </c>
    </row>
    <row r="14">
      <c r="A14" s="4" t="inlineStr">
        <is>
          <t>Dirty Condition</t>
        </is>
      </c>
      <c r="B14" s="9" t="n">
        <v>129570</v>
      </c>
      <c r="C14" s="11" t="n">
        <v>1.721746520961138</v>
      </c>
      <c r="D14" s="9" t="n">
        <v>24.7</v>
      </c>
    </row>
    <row r="15">
      <c r="A15" s="5" t="inlineStr">
        <is>
          <t>Noise - Commercial</t>
        </is>
      </c>
      <c r="B15" s="10" t="n">
        <v>126247</v>
      </c>
      <c r="C15" s="12" t="n">
        <v>1.67758997477642</v>
      </c>
      <c r="D15" s="10" t="n">
        <v>0.9</v>
      </c>
    </row>
    <row r="16">
      <c r="A16" s="4" t="inlineStr">
        <is>
          <t>PAINT/PLASTER</t>
        </is>
      </c>
      <c r="B16" s="9" t="n">
        <v>125565</v>
      </c>
      <c r="C16" s="11" t="n">
        <v>1.668527451605196</v>
      </c>
      <c r="D16" s="9" t="n">
        <v>174.6</v>
      </c>
    </row>
    <row r="17">
      <c r="A17" s="5" t="inlineStr">
        <is>
          <t>Noise</t>
        </is>
      </c>
      <c r="B17" s="10" t="n">
        <v>114654</v>
      </c>
      <c r="C17" s="12" t="n">
        <v>1.523540369022754</v>
      </c>
      <c r="D17" s="10" t="n">
        <v>67.59999999999999</v>
      </c>
    </row>
    <row r="18">
      <c r="A18" s="4" t="inlineStr">
        <is>
          <t>Traffic Signal Condition</t>
        </is>
      </c>
      <c r="B18" s="9" t="n">
        <v>104791</v>
      </c>
      <c r="C18" s="11" t="n">
        <v>1.392479275125713</v>
      </c>
      <c r="D18" s="9" t="n">
        <v>2.2</v>
      </c>
    </row>
    <row r="19">
      <c r="A19" s="5" t="inlineStr">
        <is>
          <t>DOOR/WINDOW</t>
        </is>
      </c>
      <c r="B19" s="10" t="n">
        <v>96879</v>
      </c>
      <c r="C19" s="12" t="n">
        <v>1.2873433758138</v>
      </c>
      <c r="D19" s="10" t="n">
        <v>288.3</v>
      </c>
    </row>
    <row r="20">
      <c r="A20" s="4" t="inlineStr">
        <is>
          <t>Encampment</t>
        </is>
      </c>
      <c r="B20" s="9" t="n">
        <v>96164</v>
      </c>
      <c r="C20" s="11" t="n">
        <v>1.277842343456872</v>
      </c>
      <c r="D20" s="9" t="n">
        <v>1.8</v>
      </c>
    </row>
    <row r="21">
      <c r="A21" s="5" t="inlineStr">
        <is>
          <t>Noise - Vehicle</t>
        </is>
      </c>
      <c r="B21" s="10" t="n">
        <v>92971</v>
      </c>
      <c r="C21" s="12" t="n">
        <v>1.235413257700686</v>
      </c>
      <c r="D21" s="10" t="n">
        <v>1</v>
      </c>
    </row>
    <row r="22">
      <c r="A22" s="4" t="inlineStr">
        <is>
          <t>WATER LEAK</t>
        </is>
      </c>
      <c r="B22" s="9" t="n">
        <v>83895</v>
      </c>
      <c r="C22" s="11" t="n">
        <v>1.114809943474837</v>
      </c>
      <c r="D22" s="9" t="n">
        <v>243.5</v>
      </c>
    </row>
    <row r="23">
      <c r="A23" s="5" t="inlineStr">
        <is>
          <t>Derelict Vehicles</t>
        </is>
      </c>
      <c r="B23" s="10" t="n">
        <v>82540</v>
      </c>
      <c r="C23" s="12" t="n">
        <v>1.096804490546672</v>
      </c>
      <c r="D23" s="10" t="n">
        <v>21</v>
      </c>
    </row>
    <row r="25">
      <c r="A25" s="2" t="inlineStr">
        <is>
          <t>注：Water System 在 2026-07 后被拆分为 Water Maintenance / Sewer Maintenance，故其全期计数不含 2026-08 之后。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机构处理时效（closed_date - created_date，小时；仅含正常关闭记录）</t>
        </is>
      </c>
    </row>
    <row r="3">
      <c r="A3" s="3" t="inlineStr">
        <is>
          <t>机构</t>
        </is>
      </c>
      <c r="B3" s="3" t="inlineStr">
        <is>
          <t>记录数</t>
        </is>
      </c>
      <c r="C3" s="3" t="inlineStr">
        <is>
          <t>中位小时</t>
        </is>
      </c>
      <c r="D3" s="3" t="inlineStr">
        <is>
          <t>P75小时</t>
        </is>
      </c>
      <c r="E3" s="3" t="inlineStr">
        <is>
          <t>P90小时</t>
        </is>
      </c>
      <c r="F3" s="3" t="inlineStr">
        <is>
          <t>未关闭数</t>
        </is>
      </c>
    </row>
    <row r="4">
      <c r="A4" s="4" t="inlineStr">
        <is>
          <t>NYPD</t>
        </is>
      </c>
      <c r="B4" s="9" t="n">
        <v>3403951</v>
      </c>
      <c r="C4" s="9" t="n">
        <v>1.3</v>
      </c>
      <c r="D4" s="9" t="n">
        <v>3.3</v>
      </c>
      <c r="E4" s="9" t="n">
        <v>7</v>
      </c>
      <c r="F4" s="9" t="n">
        <v>1143</v>
      </c>
    </row>
    <row r="5">
      <c r="A5" s="5" t="inlineStr">
        <is>
          <t>HPD</t>
        </is>
      </c>
      <c r="B5" s="10" t="n">
        <v>1633583</v>
      </c>
      <c r="C5" s="10" t="n">
        <v>87.5</v>
      </c>
      <c r="D5" s="10" t="n">
        <v>319.8</v>
      </c>
      <c r="E5" s="10" t="n">
        <v>890</v>
      </c>
      <c r="F5" s="10" t="n">
        <v>59718</v>
      </c>
    </row>
    <row r="6">
      <c r="A6" s="4" t="inlineStr">
        <is>
          <t>DSNY</t>
        </is>
      </c>
      <c r="B6" s="9" t="n">
        <v>686438</v>
      </c>
      <c r="C6" s="9" t="n">
        <v>33.8</v>
      </c>
      <c r="D6" s="9" t="n">
        <v>79</v>
      </c>
      <c r="E6" s="9" t="n">
        <v>170</v>
      </c>
      <c r="F6" s="9" t="n">
        <v>9858</v>
      </c>
    </row>
    <row r="7">
      <c r="A7" s="5" t="inlineStr">
        <is>
          <t>DOT</t>
        </is>
      </c>
      <c r="B7" s="10" t="n">
        <v>485140</v>
      </c>
      <c r="C7" s="10" t="n">
        <v>46.2</v>
      </c>
      <c r="D7" s="10" t="n">
        <v>187</v>
      </c>
      <c r="E7" s="10" t="n">
        <v>397.4</v>
      </c>
      <c r="F7" s="10" t="n">
        <v>28715</v>
      </c>
    </row>
    <row r="8">
      <c r="A8" s="4" t="inlineStr">
        <is>
          <t>DEP</t>
        </is>
      </c>
      <c r="B8" s="9" t="n">
        <v>424101</v>
      </c>
      <c r="C8" s="9" t="n">
        <v>22.4</v>
      </c>
      <c r="D8" s="9" t="n">
        <v>90.40000000000001</v>
      </c>
      <c r="E8" s="9" t="n">
        <v>227.9</v>
      </c>
      <c r="F8" s="9" t="n">
        <v>10623</v>
      </c>
    </row>
    <row r="9">
      <c r="A9" s="5" t="inlineStr">
        <is>
          <t>DPR</t>
        </is>
      </c>
      <c r="B9" s="10" t="n">
        <v>244023</v>
      </c>
      <c r="C9" s="10" t="n">
        <v>165.3</v>
      </c>
      <c r="D9" s="10" t="n">
        <v>933.7</v>
      </c>
      <c r="E9" s="10" t="n">
        <v>3429.3</v>
      </c>
      <c r="F9" s="10" t="n">
        <v>57639</v>
      </c>
    </row>
    <row r="10">
      <c r="A10" s="4" t="inlineStr">
        <is>
          <t>DOB</t>
        </is>
      </c>
      <c r="B10" s="9" t="n">
        <v>218945</v>
      </c>
      <c r="C10" s="9" t="n">
        <v>158.9</v>
      </c>
      <c r="D10" s="9" t="n">
        <v>1230.8</v>
      </c>
      <c r="E10" s="9" t="n">
        <v>3492.8</v>
      </c>
      <c r="F10" s="9" t="n">
        <v>18483</v>
      </c>
    </row>
    <row r="11">
      <c r="A11" s="5" t="inlineStr">
        <is>
          <t>DOHMH</t>
        </is>
      </c>
      <c r="B11" s="10" t="n">
        <v>169118</v>
      </c>
      <c r="C11" s="10" t="n">
        <v>62.6</v>
      </c>
      <c r="D11" s="10" t="n">
        <v>1439.2</v>
      </c>
      <c r="E11" s="10" t="n">
        <v>1441.1</v>
      </c>
      <c r="F11" s="10" t="n">
        <v>15088</v>
      </c>
    </row>
    <row r="12">
      <c r="A12" s="4" t="inlineStr">
        <is>
          <t>DHS</t>
        </is>
      </c>
      <c r="B12" s="9" t="n">
        <v>101425</v>
      </c>
      <c r="C12" s="9" t="n">
        <v>7.4</v>
      </c>
      <c r="D12" s="9" t="n">
        <v>25.8</v>
      </c>
      <c r="E12" s="9" t="n">
        <v>221</v>
      </c>
      <c r="F12" s="9" t="n">
        <v>2087</v>
      </c>
    </row>
    <row r="13">
      <c r="A13" s="5" t="inlineStr">
        <is>
          <t>TLC</t>
        </is>
      </c>
      <c r="B13" s="10" t="n">
        <v>75453</v>
      </c>
      <c r="C13" s="10" t="n">
        <v>970.7</v>
      </c>
      <c r="D13" s="10" t="n">
        <v>2861.1</v>
      </c>
      <c r="E13" s="10" t="n">
        <v>4836.4</v>
      </c>
      <c r="F13" s="10" t="n">
        <v>25309</v>
      </c>
    </row>
    <row r="14">
      <c r="A14" s="4" t="inlineStr">
        <is>
          <t>DCWP</t>
        </is>
      </c>
      <c r="B14" s="9" t="n">
        <v>38580</v>
      </c>
      <c r="C14" s="9" t="n">
        <v>123.8</v>
      </c>
      <c r="D14" s="9" t="n">
        <v>735.3</v>
      </c>
      <c r="E14" s="9" t="n">
        <v>785.3</v>
      </c>
      <c r="F14" s="9" t="n">
        <v>1526</v>
      </c>
    </row>
    <row r="15">
      <c r="A15" s="5" t="inlineStr">
        <is>
          <t>EDC</t>
        </is>
      </c>
      <c r="B15" s="10" t="n">
        <v>36776</v>
      </c>
      <c r="C15" s="10" t="n">
        <v>6296.5</v>
      </c>
      <c r="D15" s="10" t="n">
        <v>8130.1</v>
      </c>
      <c r="E15" s="10" t="n">
        <v>8639.1</v>
      </c>
      <c r="F15" s="10" t="n">
        <v>19226</v>
      </c>
    </row>
    <row r="16">
      <c r="A16" s="4" t="inlineStr">
        <is>
          <t>OOS</t>
        </is>
      </c>
      <c r="B16" s="9" t="n">
        <v>4196</v>
      </c>
      <c r="C16" s="9" t="n">
        <v>1030.9</v>
      </c>
      <c r="D16" s="9" t="n">
        <v>1322.3</v>
      </c>
      <c r="E16" s="9" t="n">
        <v>1877.9</v>
      </c>
      <c r="F16" s="9" t="n">
        <v>708</v>
      </c>
    </row>
    <row r="17">
      <c r="A17" s="5" t="inlineStr">
        <is>
          <t>DOE</t>
        </is>
      </c>
      <c r="B17" s="10" t="n">
        <v>2962</v>
      </c>
      <c r="C17" s="10" t="n">
        <v>449.7</v>
      </c>
      <c r="D17" s="10" t="n">
        <v>2698.2</v>
      </c>
      <c r="E17" s="10" t="n">
        <v>5679</v>
      </c>
      <c r="F17" s="10" t="n">
        <v>0</v>
      </c>
    </row>
    <row r="18">
      <c r="A18" s="4" t="inlineStr">
        <is>
          <t>OTI</t>
        </is>
      </c>
      <c r="B18" s="9" t="n">
        <v>436</v>
      </c>
      <c r="C18" s="9" t="n">
        <v>338.4</v>
      </c>
      <c r="D18" s="9" t="n">
        <v>521.1</v>
      </c>
      <c r="E18" s="9" t="n">
        <v>754.1</v>
      </c>
      <c r="F18" s="9" t="n">
        <v>26</v>
      </c>
    </row>
    <row r="19">
      <c r="A19" s="5" t="inlineStr">
        <is>
          <t>NYC311-PRD</t>
        </is>
      </c>
      <c r="B19" s="10" t="n">
        <v>371</v>
      </c>
      <c r="C19" s="10" t="n">
        <v>42.4</v>
      </c>
      <c r="D19" s="10" t="n">
        <v>170.1</v>
      </c>
      <c r="E19" s="10" t="n">
        <v>541.7</v>
      </c>
      <c r="F19" s="10" t="n">
        <v>0</v>
      </c>
    </row>
    <row r="21">
      <c r="A21" s="2" t="inlineStr">
        <is>
          <t>阅读提示：</t>
        </is>
      </c>
    </row>
    <row r="22">
      <c r="A22" s="2" t="inlineStr">
        <is>
          <t>1) NYPD 的"关闭"多为到场处置后未发现违法即结案（见 resolution_description），中位 1.3 小时不代表问题被修复；</t>
        </is>
      </c>
    </row>
    <row r="23">
      <c r="A23" s="2" t="inlineStr">
        <is>
          <t>2) HPD/DOB/DPR 涉及房屋检查与整改，耗时长是业务性质差异，不能直接比较优劣；</t>
        </is>
      </c>
    </row>
    <row r="24">
      <c r="A24" s="2" t="inlineStr">
        <is>
          <t>3) DOHMH 的 P75≈P90≈1440 小时（60 天），呈自动到期结案特征；</t>
        </is>
      </c>
    </row>
    <row r="25">
      <c r="A25" s="2" t="inlineStr">
        <is>
          <t>4) 快照时点未关闭记录存在右删失：靠近 2026-09 的请求尚未到关闭时间，不代表服务变慢；</t>
        </is>
      </c>
    </row>
    <row r="26">
      <c r="A26" s="2" t="inlineStr">
        <is>
          <t>5) 已剔除 closed&lt;created 的 1,877 条及晚于快照的 1 条异常；时效分母为时间正常的关闭记录 7,283,316 条（略多于 status=Closed 的 7,275,349 条，因少量非 Closed 状态记录亦有 closed_date）。</t>
        </is>
      </c>
    </row>
    <row r="27">
      <c r="A27" s="6" t="inlineStr">
        <is>
          <t>月度中位处理时长（小时）</t>
        </is>
      </c>
    </row>
    <row r="28">
      <c r="A28" s="3" t="inlineStr">
        <is>
          <t>月份</t>
        </is>
      </c>
      <c r="B28" s="3" t="inlineStr">
        <is>
          <t>关闭请求数</t>
        </is>
      </c>
      <c r="C28" s="3" t="inlineStr">
        <is>
          <t>中位小时</t>
        </is>
      </c>
      <c r="D28" s="3" t="inlineStr">
        <is>
          <t>P75小时</t>
        </is>
      </c>
      <c r="E28" s="3" t="inlineStr">
        <is>
          <t>P90小时</t>
        </is>
      </c>
    </row>
    <row r="29">
      <c r="A29" s="4" t="inlineStr">
        <is>
          <t>2024-09</t>
        </is>
      </c>
      <c r="B29" s="13" t="n">
        <v>243500</v>
      </c>
      <c r="C29" s="13" t="n">
        <v>4.8</v>
      </c>
      <c r="D29" s="13" t="n">
        <v>70.3</v>
      </c>
      <c r="E29" s="13" t="n">
        <v>345.4</v>
      </c>
    </row>
    <row r="30">
      <c r="A30" s="5" t="inlineStr">
        <is>
          <t>2024-10</t>
        </is>
      </c>
      <c r="B30" s="14" t="n">
        <v>299094</v>
      </c>
      <c r="C30" s="14" t="n">
        <v>7.5</v>
      </c>
      <c r="D30" s="14" t="n">
        <v>71</v>
      </c>
      <c r="E30" s="14" t="n">
        <v>396.6</v>
      </c>
    </row>
    <row r="31">
      <c r="A31" s="4" t="inlineStr">
        <is>
          <t>2024-11</t>
        </is>
      </c>
      <c r="B31" s="13" t="n">
        <v>287144</v>
      </c>
      <c r="C31" s="13" t="n">
        <v>12.7</v>
      </c>
      <c r="D31" s="13" t="n">
        <v>84.7</v>
      </c>
      <c r="E31" s="13" t="n">
        <v>509.4</v>
      </c>
    </row>
    <row r="32">
      <c r="A32" s="5" t="inlineStr">
        <is>
          <t>2024-12</t>
        </is>
      </c>
      <c r="B32" s="14" t="n">
        <v>310147</v>
      </c>
      <c r="C32" s="14" t="n">
        <v>18.3</v>
      </c>
      <c r="D32" s="14" t="n">
        <v>78.8</v>
      </c>
      <c r="E32" s="14" t="n">
        <v>534.3</v>
      </c>
    </row>
    <row r="33">
      <c r="A33" s="4" t="inlineStr">
        <is>
          <t>2025-01</t>
        </is>
      </c>
      <c r="B33" s="13" t="n">
        <v>345474</v>
      </c>
      <c r="C33" s="13" t="n">
        <v>15.1</v>
      </c>
      <c r="D33" s="13" t="n">
        <v>68.5</v>
      </c>
      <c r="E33" s="13" t="n">
        <v>393.8</v>
      </c>
    </row>
    <row r="34">
      <c r="A34" s="5" t="inlineStr">
        <is>
          <t>2025-02</t>
        </is>
      </c>
      <c r="B34" s="14" t="n">
        <v>251673</v>
      </c>
      <c r="C34" s="14" t="n">
        <v>13.8</v>
      </c>
      <c r="D34" s="14" t="n">
        <v>71.09999999999999</v>
      </c>
      <c r="E34" s="14" t="n">
        <v>445.6</v>
      </c>
    </row>
    <row r="35">
      <c r="A35" s="4" t="inlineStr">
        <is>
          <t>2025-03</t>
        </is>
      </c>
      <c r="B35" s="13" t="n">
        <v>277106</v>
      </c>
      <c r="C35" s="13" t="n">
        <v>8.4</v>
      </c>
      <c r="D35" s="13" t="n">
        <v>57.2</v>
      </c>
      <c r="E35" s="13" t="n">
        <v>477.6</v>
      </c>
    </row>
    <row r="36">
      <c r="A36" s="5" t="inlineStr">
        <is>
          <t>2025-04</t>
        </is>
      </c>
      <c r="B36" s="14" t="n">
        <v>267515</v>
      </c>
      <c r="C36" s="14" t="n">
        <v>7</v>
      </c>
      <c r="D36" s="14" t="n">
        <v>67.8</v>
      </c>
      <c r="E36" s="14" t="n">
        <v>452.3</v>
      </c>
    </row>
    <row r="37">
      <c r="A37" s="4" t="inlineStr">
        <is>
          <t>2025-05</t>
        </is>
      </c>
      <c r="B37" s="13" t="n">
        <v>290550</v>
      </c>
      <c r="C37" s="13" t="n">
        <v>4.1</v>
      </c>
      <c r="D37" s="13" t="n">
        <v>64.40000000000001</v>
      </c>
      <c r="E37" s="13" t="n">
        <v>399.6</v>
      </c>
    </row>
    <row r="38">
      <c r="A38" s="5" t="inlineStr">
        <is>
          <t>2025-06</t>
        </is>
      </c>
      <c r="B38" s="14" t="n">
        <v>302733</v>
      </c>
      <c r="C38" s="14" t="n">
        <v>3.5</v>
      </c>
      <c r="D38" s="14" t="n">
        <v>69.09999999999999</v>
      </c>
      <c r="E38" s="14" t="n">
        <v>496.3</v>
      </c>
    </row>
    <row r="39">
      <c r="A39" s="4" t="inlineStr">
        <is>
          <t>2025-07</t>
        </is>
      </c>
      <c r="B39" s="13" t="n">
        <v>311699</v>
      </c>
      <c r="C39" s="13" t="n">
        <v>4.6</v>
      </c>
      <c r="D39" s="13" t="n">
        <v>90.8</v>
      </c>
      <c r="E39" s="13" t="n">
        <v>522.7</v>
      </c>
    </row>
    <row r="40">
      <c r="A40" s="5" t="inlineStr">
        <is>
          <t>2025-08</t>
        </is>
      </c>
      <c r="B40" s="14" t="n">
        <v>298493</v>
      </c>
      <c r="C40" s="14" t="n">
        <v>3.9</v>
      </c>
      <c r="D40" s="14" t="n">
        <v>73</v>
      </c>
      <c r="E40" s="14" t="n">
        <v>399.4</v>
      </c>
    </row>
    <row r="41">
      <c r="A41" s="4" t="inlineStr">
        <is>
          <t>2025-09</t>
        </is>
      </c>
      <c r="B41" s="13" t="n">
        <v>295929</v>
      </c>
      <c r="C41" s="13" t="n">
        <v>3.7</v>
      </c>
      <c r="D41" s="13" t="n">
        <v>64.2</v>
      </c>
      <c r="E41" s="13" t="n">
        <v>322.3</v>
      </c>
    </row>
    <row r="42">
      <c r="A42" s="5" t="inlineStr">
        <is>
          <t>2025-10</t>
        </is>
      </c>
      <c r="B42" s="14" t="n">
        <v>329478</v>
      </c>
      <c r="C42" s="14" t="n">
        <v>4.8</v>
      </c>
      <c r="D42" s="14" t="n">
        <v>57.2</v>
      </c>
      <c r="E42" s="14" t="n">
        <v>351.8</v>
      </c>
    </row>
    <row r="43">
      <c r="A43" s="4" t="inlineStr">
        <is>
          <t>2025-11</t>
        </is>
      </c>
      <c r="B43" s="13" t="n">
        <v>300250</v>
      </c>
      <c r="C43" s="13" t="n">
        <v>7.7</v>
      </c>
      <c r="D43" s="13" t="n">
        <v>58.3</v>
      </c>
      <c r="E43" s="13" t="n">
        <v>349.2</v>
      </c>
    </row>
    <row r="44">
      <c r="A44" s="5" t="inlineStr">
        <is>
          <t>2025-12</t>
        </is>
      </c>
      <c r="B44" s="14" t="n">
        <v>327139</v>
      </c>
      <c r="C44" s="14" t="n">
        <v>12.4</v>
      </c>
      <c r="D44" s="14" t="n">
        <v>68.09999999999999</v>
      </c>
      <c r="E44" s="14" t="n">
        <v>366.5</v>
      </c>
    </row>
    <row r="45">
      <c r="A45" s="4" t="inlineStr">
        <is>
          <t>2026-01</t>
        </is>
      </c>
      <c r="B45" s="13" t="n">
        <v>339966</v>
      </c>
      <c r="C45" s="13" t="n">
        <v>25.8</v>
      </c>
      <c r="D45" s="13" t="n">
        <v>104</v>
      </c>
      <c r="E45" s="13" t="n">
        <v>457.9</v>
      </c>
    </row>
    <row r="46">
      <c r="A46" s="5" t="inlineStr">
        <is>
          <t>2026-02</t>
        </is>
      </c>
      <c r="B46" s="14" t="n">
        <v>323798</v>
      </c>
      <c r="C46" s="14" t="n">
        <v>16.5</v>
      </c>
      <c r="D46" s="14" t="n">
        <v>90.5</v>
      </c>
      <c r="E46" s="14" t="n">
        <v>447.8</v>
      </c>
    </row>
    <row r="47">
      <c r="A47" s="4" t="inlineStr">
        <is>
          <t>2026-03</t>
        </is>
      </c>
      <c r="B47" s="13" t="n">
        <v>330713</v>
      </c>
      <c r="C47" s="13" t="n">
        <v>8.300000000000001</v>
      </c>
      <c r="D47" s="13" t="n">
        <v>76.3</v>
      </c>
      <c r="E47" s="13" t="n">
        <v>464.1</v>
      </c>
    </row>
    <row r="48">
      <c r="A48" s="5" t="inlineStr">
        <is>
          <t>2026-04</t>
        </is>
      </c>
      <c r="B48" s="14" t="n">
        <v>291367</v>
      </c>
      <c r="C48" s="14" t="n">
        <v>6.4</v>
      </c>
      <c r="D48" s="14" t="n">
        <v>73.2</v>
      </c>
      <c r="E48" s="14" t="n">
        <v>412.8</v>
      </c>
    </row>
    <row r="49">
      <c r="A49" s="4" t="inlineStr">
        <is>
          <t>2026-05</t>
        </is>
      </c>
      <c r="B49" s="13" t="n">
        <v>318054</v>
      </c>
      <c r="C49" s="13" t="n">
        <v>5.1</v>
      </c>
      <c r="D49" s="13" t="n">
        <v>68.90000000000001</v>
      </c>
      <c r="E49" s="13" t="n">
        <v>336.2</v>
      </c>
    </row>
    <row r="50">
      <c r="A50" s="5" t="inlineStr">
        <is>
          <t>2026-06</t>
        </is>
      </c>
      <c r="B50" s="14" t="n">
        <v>318044</v>
      </c>
      <c r="C50" s="14" t="n">
        <v>5.6</v>
      </c>
      <c r="D50" s="14" t="n">
        <v>68</v>
      </c>
      <c r="E50" s="14" t="n">
        <v>315.1</v>
      </c>
    </row>
    <row r="51">
      <c r="A51" s="4" t="inlineStr">
        <is>
          <t>2026-07</t>
        </is>
      </c>
      <c r="B51" s="13" t="n">
        <v>316407</v>
      </c>
      <c r="C51" s="13" t="n">
        <v>4.8</v>
      </c>
      <c r="D51" s="13" t="n">
        <v>77</v>
      </c>
      <c r="E51" s="13" t="n">
        <v>338.5</v>
      </c>
    </row>
    <row r="52">
      <c r="A52" s="5" t="inlineStr">
        <is>
          <t>2026-08</t>
        </is>
      </c>
      <c r="B52" s="14" t="n">
        <v>281249</v>
      </c>
      <c r="C52" s="14" t="n">
        <v>3.9</v>
      </c>
      <c r="D52" s="14" t="n">
        <v>46.4</v>
      </c>
      <c r="E52" s="14" t="n">
        <v>176.7</v>
      </c>
    </row>
    <row r="53">
      <c r="A53" s="4" t="inlineStr">
        <is>
          <t>2026-09</t>
        </is>
      </c>
      <c r="B53" s="13" t="n">
        <v>25794</v>
      </c>
      <c r="C53" s="13" t="n">
        <v>1.8</v>
      </c>
      <c r="D53" s="13" t="n">
        <v>7</v>
      </c>
      <c r="E53" s="13" t="n">
        <v>25.9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6" customWidth="1" min="5" max="5"/>
    <col width="18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区域（borough）总量与投诉构成</t>
        </is>
      </c>
    </row>
    <row r="3">
      <c r="A3" s="3" t="inlineStr">
        <is>
          <t>区域</t>
        </is>
      </c>
      <c r="B3" s="3" t="inlineStr">
        <is>
          <t>记录数</t>
        </is>
      </c>
      <c r="C3" s="3" t="inlineStr">
        <is>
          <t>占比%</t>
        </is>
      </c>
    </row>
    <row r="4">
      <c r="A4" s="4" t="inlineStr">
        <is>
          <t>BROOKLYN</t>
        </is>
      </c>
      <c r="B4" s="9" t="n">
        <v>2259561</v>
      </c>
      <c r="C4" s="11" t="n">
        <v>30.02540164119371</v>
      </c>
    </row>
    <row r="5">
      <c r="A5" s="5" t="inlineStr">
        <is>
          <t>QUEENS</t>
        </is>
      </c>
      <c r="B5" s="10" t="n">
        <v>1818742</v>
      </c>
      <c r="C5" s="12" t="n">
        <v>24.16772949776879</v>
      </c>
    </row>
    <row r="6">
      <c r="A6" s="4" t="inlineStr">
        <is>
          <t>BRONX</t>
        </is>
      </c>
      <c r="B6" s="9" t="n">
        <v>1664397</v>
      </c>
      <c r="C6" s="11" t="n">
        <v>22.11676888360079</v>
      </c>
    </row>
    <row r="7">
      <c r="A7" s="5" t="inlineStr">
        <is>
          <t>MANHATTAN</t>
        </is>
      </c>
      <c r="B7" s="10" t="n">
        <v>1487092</v>
      </c>
      <c r="C7" s="12" t="n">
        <v>19.76071218143969</v>
      </c>
    </row>
    <row r="8">
      <c r="A8" s="4" t="inlineStr">
        <is>
          <t>STATEN ISLAND</t>
        </is>
      </c>
      <c r="B8" s="9" t="n">
        <v>289375</v>
      </c>
      <c r="C8" s="11" t="n">
        <v>3.845260473127492</v>
      </c>
    </row>
    <row r="9">
      <c r="A9" s="5" t="inlineStr">
        <is>
          <t>Unspecified</t>
        </is>
      </c>
      <c r="B9" s="10" t="n">
        <v>6331</v>
      </c>
      <c r="C9" s="12" t="n">
        <v>0.0841273228695297</v>
      </c>
    </row>
    <row r="10">
      <c r="A10" s="6" t="inlineStr">
        <is>
          <t>各区投诉类型构成（占该区总记录 %）</t>
        </is>
      </c>
    </row>
    <row r="11">
      <c r="A11" s="3" t="inlineStr">
        <is>
          <t>borough</t>
        </is>
      </c>
      <c r="B11" s="3" t="inlineStr">
        <is>
          <t>Illegal Parking</t>
        </is>
      </c>
      <c r="C11" s="3" t="inlineStr">
        <is>
          <t>Noise - Residential</t>
        </is>
      </c>
      <c r="D11" s="3" t="inlineStr">
        <is>
          <t>HEAT/HOT WATER</t>
        </is>
      </c>
      <c r="E11" s="3" t="inlineStr">
        <is>
          <t>Blocked Driveway</t>
        </is>
      </c>
      <c r="F11" s="3" t="inlineStr">
        <is>
          <t>Noise - Street/Sidewalk</t>
        </is>
      </c>
      <c r="G11" s="3" t="inlineStr">
        <is>
          <t>Street Condition</t>
        </is>
      </c>
      <c r="H11" s="3" t="inlineStr">
        <is>
          <t>Encampment</t>
        </is>
      </c>
    </row>
    <row r="12">
      <c r="A12" s="4" t="inlineStr">
        <is>
          <t>BROOKLYN</t>
        </is>
      </c>
      <c r="B12" s="11" t="n">
        <v>20.2</v>
      </c>
      <c r="C12" s="11" t="n">
        <v>9.4</v>
      </c>
      <c r="D12" s="11" t="n">
        <v>7.7</v>
      </c>
      <c r="E12" s="11" t="n">
        <v>5.8</v>
      </c>
      <c r="F12" s="11" t="n">
        <v>3.7</v>
      </c>
      <c r="G12" s="11" t="n">
        <v>2.1</v>
      </c>
      <c r="H12" s="11" t="n">
        <v>0.6</v>
      </c>
    </row>
    <row r="13">
      <c r="A13" s="5" t="inlineStr">
        <is>
          <t>QUEENS</t>
        </is>
      </c>
      <c r="B13" s="12" t="n">
        <v>19.9</v>
      </c>
      <c r="C13" s="12" t="n">
        <v>8.4</v>
      </c>
      <c r="D13" s="12" t="n">
        <v>4.7</v>
      </c>
      <c r="E13" s="12" t="n">
        <v>8.5</v>
      </c>
      <c r="F13" s="12" t="n">
        <v>3.2</v>
      </c>
      <c r="G13" s="12" t="n">
        <v>4.1</v>
      </c>
      <c r="H13" s="12" t="n">
        <v>0.5</v>
      </c>
    </row>
    <row r="14">
      <c r="A14" s="4" t="inlineStr">
        <is>
          <t>BRONX</t>
        </is>
      </c>
      <c r="B14" s="11" t="n">
        <v>10.2</v>
      </c>
      <c r="C14" s="11" t="n">
        <v>21.9</v>
      </c>
      <c r="D14" s="11" t="n">
        <v>13.7</v>
      </c>
      <c r="E14" s="11" t="n">
        <v>3.4</v>
      </c>
      <c r="F14" s="11" t="n">
        <v>5.9</v>
      </c>
      <c r="G14" s="11" t="n">
        <v>1.2</v>
      </c>
      <c r="H14" s="11" t="n">
        <v>0.3</v>
      </c>
    </row>
    <row r="15">
      <c r="A15" s="5" t="inlineStr">
        <is>
          <t>MANHATTAN</t>
        </is>
      </c>
      <c r="B15" s="12" t="n">
        <v>9.1</v>
      </c>
      <c r="C15" s="12" t="n">
        <v>8.800000000000001</v>
      </c>
      <c r="D15" s="12" t="n">
        <v>10.5</v>
      </c>
      <c r="E15" s="12" t="n">
        <v>0.6</v>
      </c>
      <c r="F15" s="12" t="n">
        <v>7</v>
      </c>
      <c r="G15" s="12" t="n">
        <v>2</v>
      </c>
      <c r="H15" s="12" t="n">
        <v>4.6</v>
      </c>
    </row>
    <row r="16">
      <c r="A16" s="4" t="inlineStr">
        <is>
          <t>STATEN ISLAND</t>
        </is>
      </c>
      <c r="B16" s="11" t="n">
        <v>12</v>
      </c>
      <c r="C16" s="11" t="n">
        <v>7.4</v>
      </c>
      <c r="D16" s="11" t="n">
        <v>2.4</v>
      </c>
      <c r="E16" s="11" t="n">
        <v>3.8</v>
      </c>
      <c r="F16" s="11" t="n">
        <v>1.8</v>
      </c>
      <c r="G16" s="11" t="n">
        <v>5.7</v>
      </c>
      <c r="H16" s="11" t="n">
        <v>0.1</v>
      </c>
    </row>
    <row r="18">
      <c r="A18" s="2" t="inlineStr">
        <is>
          <t>注：Unspecified（6,331 条，0.1%）未列入构成表；记录数为绝对量，未经各区人口/户数归一，不代表人均强度。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</cols>
  <sheetData>
    <row r="1">
      <c r="A1" s="1" t="inlineStr">
        <is>
          <t>状态与受理渠道构成（全期）</t>
        </is>
      </c>
    </row>
    <row r="2">
      <c r="A2" s="6" t="inlineStr">
        <is>
          <t>状态（status）</t>
        </is>
      </c>
    </row>
    <row r="3">
      <c r="A3" s="3" t="inlineStr">
        <is>
          <t>状态</t>
        </is>
      </c>
      <c r="B3" s="3" t="inlineStr">
        <is>
          <t>记录数</t>
        </is>
      </c>
      <c r="C3" s="3" t="inlineStr">
        <is>
          <t>占比%</t>
        </is>
      </c>
    </row>
    <row r="4">
      <c r="A4" s="4" t="inlineStr">
        <is>
          <t>Closed</t>
        </is>
      </c>
      <c r="B4" s="9" t="n">
        <v>7275349</v>
      </c>
      <c r="C4" s="11" t="n">
        <v>96.67598077894645</v>
      </c>
    </row>
    <row r="5">
      <c r="A5" s="5" t="inlineStr">
        <is>
          <t>In Progress</t>
        </is>
      </c>
      <c r="B5" s="10" t="n">
        <v>140752</v>
      </c>
      <c r="C5" s="12" t="n">
        <v>1.870334694129212</v>
      </c>
    </row>
    <row r="6">
      <c r="A6" s="4" t="inlineStr">
        <is>
          <t>Open</t>
        </is>
      </c>
      <c r="B6" s="9" t="n">
        <v>81247</v>
      </c>
      <c r="C6" s="11" t="n">
        <v>1.079622903361346</v>
      </c>
    </row>
    <row r="7">
      <c r="A7" s="5" t="inlineStr">
        <is>
          <t>Assigned</t>
        </is>
      </c>
      <c r="B7" s="10" t="n">
        <v>15753</v>
      </c>
      <c r="C7" s="12" t="n">
        <v>0.2093283394667037</v>
      </c>
    </row>
    <row r="8">
      <c r="A8" s="4" t="inlineStr">
        <is>
          <t>Pending</t>
        </is>
      </c>
      <c r="B8" s="9" t="n">
        <v>9475</v>
      </c>
      <c r="C8" s="11" t="n">
        <v>0.1259052889257296</v>
      </c>
    </row>
    <row r="9">
      <c r="A9" s="5" t="inlineStr">
        <is>
          <t>Started</t>
        </is>
      </c>
      <c r="B9" s="10" t="n">
        <v>2620</v>
      </c>
      <c r="C9" s="12" t="n">
        <v>0.03481497171349989</v>
      </c>
    </row>
    <row r="10">
      <c r="A10" s="4" t="inlineStr">
        <is>
          <t>Unspecified</t>
        </is>
      </c>
      <c r="B10" s="9" t="n">
        <v>302</v>
      </c>
      <c r="C10" s="11" t="n">
        <v>0.004013023457052277</v>
      </c>
    </row>
    <row r="12">
      <c r="A12" s="6" t="inlineStr">
        <is>
          <t>受理渠道（open_data_channel_type）</t>
        </is>
      </c>
    </row>
    <row r="13">
      <c r="A13" s="3" t="inlineStr">
        <is>
          <t>渠道</t>
        </is>
      </c>
      <c r="B13" s="3" t="inlineStr">
        <is>
          <t>记录数</t>
        </is>
      </c>
      <c r="C13" s="3" t="inlineStr">
        <is>
          <t>占比%</t>
        </is>
      </c>
    </row>
    <row r="14">
      <c r="A14" s="4" t="inlineStr">
        <is>
          <t>ONLINE</t>
        </is>
      </c>
      <c r="B14" s="9" t="n">
        <v>3332605</v>
      </c>
      <c r="C14" s="11" t="n">
        <v>44.28417893407187</v>
      </c>
    </row>
    <row r="15">
      <c r="A15" s="5" t="inlineStr">
        <is>
          <t>PHONE</t>
        </is>
      </c>
      <c r="B15" s="10" t="n">
        <v>1933637</v>
      </c>
      <c r="C15" s="12" t="n">
        <v>25.6944723126629</v>
      </c>
    </row>
    <row r="16">
      <c r="A16" s="4" t="inlineStr">
        <is>
          <t>MOBILE</t>
        </is>
      </c>
      <c r="B16" s="9" t="n">
        <v>1666474</v>
      </c>
      <c r="C16" s="11" t="n">
        <v>22.14436838598589</v>
      </c>
    </row>
    <row r="17">
      <c r="A17" s="5" t="inlineStr">
        <is>
          <t>UNKNOWN</t>
        </is>
      </c>
      <c r="B17" s="10" t="n">
        <v>590822</v>
      </c>
      <c r="C17" s="12" t="n">
        <v>7.850935579279936</v>
      </c>
    </row>
    <row r="18">
      <c r="A18" s="4" t="inlineStr">
        <is>
          <t>OTHER</t>
        </is>
      </c>
      <c r="B18" s="9" t="n">
        <v>1960</v>
      </c>
      <c r="C18" s="11" t="n">
        <v>0.02604478799941213</v>
      </c>
    </row>
    <row r="20">
      <c r="A20" s="6" t="inlineStr">
        <is>
          <t>未关闭记录 Top（快照 2026-09-07）</t>
        </is>
      </c>
    </row>
    <row r="21">
      <c r="A21" s="3" t="inlineStr">
        <is>
          <t>投诉类型</t>
        </is>
      </c>
      <c r="B21" s="3" t="inlineStr">
        <is>
          <t>未关闭数</t>
        </is>
      </c>
    </row>
    <row r="22">
      <c r="A22" s="4" t="inlineStr">
        <is>
          <t>Overgrown Tree/Branches</t>
        </is>
      </c>
      <c r="B22" s="9" t="n">
        <v>19391</v>
      </c>
    </row>
    <row r="23">
      <c r="A23" s="5" t="inlineStr">
        <is>
          <t>Noise - Helicopter</t>
        </is>
      </c>
      <c r="B23" s="10" t="n">
        <v>19226</v>
      </c>
    </row>
    <row r="24">
      <c r="A24" s="4" t="inlineStr">
        <is>
          <t>HEAT/HOT WATER</t>
        </is>
      </c>
      <c r="B24" s="9" t="n">
        <v>16283</v>
      </c>
    </row>
    <row r="25">
      <c r="A25" s="5" t="inlineStr">
        <is>
          <t>For Hire Vehicle Complaint</t>
        </is>
      </c>
      <c r="B25" s="10" t="n">
        <v>13196</v>
      </c>
    </row>
    <row r="26">
      <c r="A26" s="4" t="inlineStr">
        <is>
          <t>Damaged Tree</t>
        </is>
      </c>
      <c r="B26" s="9" t="n">
        <v>12492</v>
      </c>
    </row>
    <row r="27">
      <c r="A27" s="5" t="inlineStr">
        <is>
          <t>Street Condition</t>
        </is>
      </c>
      <c r="B27" s="10" t="n">
        <v>12059</v>
      </c>
    </row>
    <row r="28">
      <c r="A28" s="4" t="inlineStr">
        <is>
          <t>UNSANITARY CONDITION</t>
        </is>
      </c>
      <c r="B28" s="9" t="n">
        <v>11710</v>
      </c>
    </row>
    <row r="29">
      <c r="A29" s="5" t="inlineStr">
        <is>
          <t>Building/Use</t>
        </is>
      </c>
      <c r="B29" s="10" t="n">
        <v>9987</v>
      </c>
    </row>
    <row r="30">
      <c r="A30" s="4" t="inlineStr">
        <is>
          <t>Root/Sewer/Sidewalk Condition</t>
        </is>
      </c>
      <c r="B30" s="9" t="n">
        <v>9612</v>
      </c>
    </row>
    <row r="31">
      <c r="A31" s="5" t="inlineStr">
        <is>
          <t>Taxi Complaint</t>
        </is>
      </c>
      <c r="B31" s="10" t="n">
        <v>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2026-09-16T13:14:23Z</dcterms:created>
  <dcterms:modified xmlns:dcterms="http://purl.org/dc/terms/" xmlns:xsi="http://www.w3.org/2001/XMLSchema-instance" xsi:type="dcterms:W3CDTF">2026-09-16T13:14:23Z</dcterms:modified>
</cp:coreProperties>
</file>