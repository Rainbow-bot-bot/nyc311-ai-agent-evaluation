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总览" sheetId="1" state="visible" r:id="rId1"/>
    <sheet xmlns:r="http://schemas.openxmlformats.org/officeDocument/2006/relationships" name="月度趋势" sheetId="2" state="visible" r:id="rId2"/>
    <sheet xmlns:r="http://schemas.openxmlformats.org/officeDocument/2006/relationships" name="发现1-噪声热点" sheetId="3" state="visible" r:id="rId3"/>
    <sheet xmlns:r="http://schemas.openxmlformats.org/officeDocument/2006/relationships" name="发现2-供暖季" sheetId="4" state="visible" r:id="rId4"/>
    <sheet xmlns:r="http://schemas.openxmlformats.org/officeDocument/2006/relationships" name="发现3-同比结构" sheetId="5" state="visible" r:id="rId5"/>
    <sheet xmlns:r="http://schemas.openxmlformats.org/officeDocument/2006/relationships" name="发现4-处理表现" sheetId="6" state="visible" r:id="rId6"/>
    <sheet xmlns:r="http://schemas.openxmlformats.org/officeDocument/2006/relationships" name="数据质量与口径" sheetId="7" state="visible" r:id="rId7"/>
    <sheet xmlns:r="http://schemas.openxmlformats.org/officeDocument/2006/relationships" name="明细数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sz val="10"/>
    </font>
    <font>
      <name val="微软雅黑"/>
      <b val="1"/>
      <color rgb="001F3864"/>
      <sz val="12"/>
    </font>
    <font>
      <name val="微软雅黑"/>
      <b val="1"/>
      <sz val="10"/>
    </font>
    <font>
      <name val="微软雅黑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月度请求量（含首末不完整月）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'月度趋势'!$A$7:$A$31</f>
            </numRef>
          </cat>
          <val>
            <numRef>
              <f>'月度趋势'!$B$7:$B$31</f>
            </numRef>
          </val>
          <smooth val="0"/>
        </ser>
        <ser>
          <idx val="1"/>
          <order val="1"/>
          <tx>
            <strRef>
              <f>'月度趋势'!C6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'月度趋势'!$A$7:$A$31</f>
            </numRef>
          </cat>
          <val>
            <numRef>
              <f>'月度趋势'!$C$7:$C$31</f>
            </numRef>
          </val>
          <smooth val="0"/>
        </ser>
        <ser>
          <idx val="2"/>
          <order val="2"/>
          <tx>
            <strRef>
              <f>'月度趋势'!D6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'月度趋势'!$A$7:$A$31</f>
            </numRef>
          </cat>
          <val>
            <numRef>
              <f>'月度趋势'!$D$7:$D$31</f>
            </numRef>
          </val>
          <smooth val="0"/>
        </ser>
        <ser>
          <idx val="3"/>
          <order val="3"/>
          <tx>
            <strRef>
              <f>'月度趋势'!E6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'月度趋势'!$A$7:$A$31</f>
            </numRef>
          </cat>
          <val>
            <numRef>
              <f>'月度趋势'!$E$7:$E$31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住宅噪声投诉：全市 / E230热点 / 剔除热点（完整月）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'月度趋势'!B34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'月度趋势'!$A$35:$A$57</f>
            </numRef>
          </cat>
          <val>
            <numRef>
              <f>'月度趋势'!$B$35:$B$57</f>
            </numRef>
          </val>
          <smooth val="0"/>
        </ser>
        <ser>
          <idx val="1"/>
          <order val="1"/>
          <tx>
            <strRef>
              <f>'月度趋势'!C34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'月度趋势'!$A$35:$A$57</f>
            </numRef>
          </cat>
          <val>
            <numRef>
              <f>'月度趋势'!$C$35:$C$57</f>
            </numRef>
          </val>
          <smooth val="0"/>
        </ser>
        <ser>
          <idx val="2"/>
          <order val="2"/>
          <tx>
            <strRef>
              <f>'月度趋势'!D34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'月度趋势'!$A$35:$A$57</f>
            </numRef>
          </cat>
          <val>
            <numRef>
              <f>'月度趋势'!$D$35:$D$57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第一波：每日住宅噪声投诉（2024-12-20 ~ 2025-01-24）</a:t>
            </a:r>
          </a:p>
        </rich>
      </tx>
    </title>
    <plotArea>
      <lineChart>
        <grouping val="standard"/>
        <ser>
          <idx val="0"/>
          <order val="0"/>
          <tx>
            <strRef>
              <f>'发现1-噪声热点'!B16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'发现1-噪声热点'!$A$17:$A$52</f>
            </numRef>
          </cat>
          <val>
            <numRef>
              <f>'发现1-噪声热点'!$B$17:$B$52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第二波：每日住宅噪声投诉（2025-11-15 ~ 2026-01-04）</a:t>
            </a:r>
          </a:p>
        </rich>
      </tx>
    </title>
    <plotArea>
      <lineChart>
        <grouping val="standard"/>
        <ser>
          <idx val="0"/>
          <order val="0"/>
          <tx>
            <strRef>
              <f>'发现1-噪声热点'!B56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'发现1-噪声热点'!$A$57:$A$107</f>
            </numRef>
          </cat>
          <val>
            <numRef>
              <f>'发现1-噪声热点'!$B$57:$B$107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24小时分布：热点期(总量) vs 基线(日均/件)</a:t>
            </a:r>
          </a:p>
        </rich>
      </tx>
    </title>
    <plotArea>
      <lineChart>
        <grouping val="standard"/>
        <ser>
          <idx val="0"/>
          <order val="0"/>
          <tx>
            <strRef>
              <f>'发现1-噪声热点'!B112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'发现1-噪声热点'!$A$113:$A$136</f>
            </numRef>
          </cat>
          <val>
            <numRef>
              <f>'发现1-噪声热点'!$B$113:$B$136</f>
            </numRef>
          </val>
          <smooth val="0"/>
        </ser>
        <ser>
          <idx val="1"/>
          <order val="1"/>
          <tx>
            <strRef>
              <f>'发现1-噪声热点'!C112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'发现1-噪声热点'!$A$113:$A$136</f>
            </numRef>
          </cat>
          <val>
            <numRef>
              <f>'发现1-噪声热点'!$C$113:$C$136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HEAT/HOT WATER 月度投诉量</a:t>
            </a:r>
          </a:p>
        </rich>
      </tx>
    </title>
    <plotArea>
      <lineChart>
        <grouping val="standard"/>
        <ser>
          <idx val="0"/>
          <order val="0"/>
          <tx>
            <strRef>
              <f>'发现2-供暖季'!B6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'发现2-供暖季'!$A$7:$A$31</f>
            </numRef>
          </cat>
          <val>
            <numRef>
              <f>'发现2-供暖季'!$B$7:$B$31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Street Condition 月度量</a:t>
            </a:r>
          </a:p>
        </rich>
      </tx>
    </title>
    <plotArea>
      <lineChart>
        <grouping val="standard"/>
        <ser>
          <idx val="0"/>
          <order val="0"/>
          <tx>
            <strRef>
              <f>'发现3-同比结构'!B35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'发现3-同比结构'!$A$36:$A$60</f>
            </numRef>
          </cat>
          <val>
            <numRef>
              <f>'发现3-同比结构'!$B$36:$B$60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30天内结案率（按创建月，%）</a:t>
            </a:r>
          </a:p>
        </rich>
      </tx>
    </title>
    <plotArea>
      <lineChart>
        <grouping val="standard"/>
        <ser>
          <idx val="0"/>
          <order val="0"/>
          <tx>
            <strRef>
              <f>'发现4-处理表现'!C5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'发现4-处理表现'!$A$6:$A$28</f>
            </numRef>
          </cat>
          <val>
            <numRef>
              <f>'发现4-处理表现'!$C$6:$C$28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32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54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110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33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46" customWidth="1" min="2" max="2"/>
  </cols>
  <sheetData>
    <row r="1" ht="24" customHeight="1">
      <c r="A1" s="1" t="inlineStr">
        <is>
          <t>NYC 311 服务请求分析看板（2024-09-07 ~ 2026-09-05）</t>
        </is>
      </c>
    </row>
    <row r="3">
      <c r="A3" s="2" t="inlineStr">
        <is>
          <t>数据范围：25 个 Parquet 分片，共 7,525,498 条服务请求记录，unique_key 全部唯一，created_date 全部有效。分析口径以 created_date（请求提交时间）为准；首月 2024-09（自 09-07 起）与末月 2026-09（至 09-05 止）为不完整月份，趋势比较仅使用完整月份。</t>
        </is>
      </c>
    </row>
    <row r="4">
      <c r="A4" s="2" t="inlineStr">
        <is>
          <t>数据源：D:\项目1\原始数据（只读）。所有汇总表由脚本扫描全量数据生成，中间结果见 output/ 目录 CSV。</t>
        </is>
      </c>
    </row>
    <row r="6">
      <c r="A6" s="3" t="inlineStr">
        <is>
          <t>关键数字</t>
        </is>
      </c>
    </row>
    <row r="7">
      <c r="A7" s="4" t="inlineStr">
        <is>
          <t>总记录数（2 年）</t>
        </is>
      </c>
      <c r="B7" s="5" t="n">
        <v>7525498</v>
      </c>
    </row>
    <row r="8">
      <c r="A8" s="4" t="inlineStr">
        <is>
          <t>月均请求量（完整月 2024-10 ~ 2026-08，共 23 个月）</t>
        </is>
      </c>
      <c r="B8" s="5" t="n">
        <v>314582</v>
      </c>
    </row>
    <row r="9">
      <c r="A9" s="4" t="inlineStr">
        <is>
          <t>最大投诉类型</t>
        </is>
      </c>
      <c r="B9" s="6" t="inlineStr">
        <is>
          <t>Illegal Parking（1,159,053 件，15.4%）</t>
        </is>
      </c>
    </row>
    <row r="10">
      <c r="A10" s="4" t="inlineStr">
        <is>
          <t>最大受理机构</t>
        </is>
      </c>
      <c r="B10" s="6" t="inlineStr">
        <is>
          <t>NYPD（3,403,951 件，45.2%）</t>
        </is>
      </c>
    </row>
    <row r="11">
      <c r="A11" s="4" t="inlineStr">
        <is>
          <t>已结案（status=Closed）占比</t>
        </is>
      </c>
      <c r="B11" s="6" t="inlineStr">
        <is>
          <t>96.7%（对最近 2-3 个月存在右删失，见“处理表现”页）</t>
        </is>
      </c>
    </row>
    <row r="12">
      <c r="A12" s="4" t="inlineStr">
        <is>
          <t>整体处理时长中位数（已结案且有 closed_date）</t>
        </is>
      </c>
      <c r="B12" s="6" t="inlineStr">
        <is>
          <t>7.3 小时</t>
        </is>
      </c>
    </row>
    <row r="14">
      <c r="A14" s="3" t="inlineStr">
        <is>
          <t>四个核心发现（按证据强度排序）</t>
        </is>
      </c>
    </row>
    <row r="15">
      <c r="A15" s="7" t="inlineStr">
        <is>
          <t>发现 1｜一个布朗克斯地址贡献了全市 21.2% 的住宅噪声投诉</t>
        </is>
      </c>
    </row>
    <row r="16" ht="78" customHeight="1">
      <c r="A16" s="2" t="inlineStr">
        <is>
          <t>655/661 East 230 Street（Bronx, zip 10466）两个地址两年累计 186,933 件投诉，占全部请求的 2.5%、占 Noise - Residential 的 21.2%。投诉分两波：2024-09 ~ 2025-01-13、2025-09 ~ 2025-12-16，两波均在一两天内骤停。峰值 17 天（2024-12-28 ~ 2025-01-13）全市住宅噪声投诉 67,708 件中 77.8% 来自该地址群，单地址 47,289 件。其 24 小时分布平坦（真实噪声投诉夜间高、白天低）、82% 经手机端提交、88% 描述为 Loud Music/Party，与“集中重复提交”一致；NYPD 对其结案中位数仅 1 小时。剔除该热点后，全市住宅噪声投诉月度基线约 2.7~3.7 万件，两年基本平稳。</t>
        </is>
      </c>
    </row>
    <row r="18">
      <c r="A18" s="7" t="inlineStr">
        <is>
          <t>发现 2｜供暖投诉（HEAT/HOT WATER）强季节性，且 2025/26 供暖季比上一季高 22%</t>
        </is>
      </c>
    </row>
    <row r="19" ht="78" customHeight="1">
      <c r="A19" s="2" t="inlineStr">
        <is>
          <t>月度量从夏季约 3,000 件到 1 月峰值 79,928 件（2026-01），相差 20 倍以上。供暖季（10 月~次年 3 月）总量：2024/25 季 256,140 件 → 2025/26 季 312,448 件，+22.0%。同期 30 天内结案率 98.7% → 97.0%，仅小幅下降；处理时长中位数约 42 小时。它是同比总量增长的第一大驱动项。</t>
        </is>
      </c>
    </row>
    <row r="21">
      <c r="A21" s="7" t="inlineStr">
        <is>
          <t>发现 3｜请求总量温和上升：可比 11 个月同比 +10.5%，并出现两个结构性跳升</t>
        </is>
      </c>
    </row>
    <row r="22" ht="78" customHeight="1">
      <c r="A22" s="2" t="inlineStr">
        <is>
          <t>完整月月均从 2024/10-2025/08 的约 29.9 万件升至 2025/10-2026/08 的约 33.1 万件（可比 11 个月 +346,695 件，+10.5%）。增长主要来自 HEAT/HOT WATER（+63,644）、Snow or Ice（+55,130，2026 年 1 月暴雪）、Illegal Parking（+54,955）、Street Condition（+48,302）。Street Condition 自 2026 年 3 月起月度约 1~2.9 万件，为此前约 5-7 千件的 4 倍，描述符构成（以 Pothole 为主）未变，原因数据内无法核证。</t>
        </is>
      </c>
    </row>
    <row r="24">
      <c r="A24" s="7" t="inlineStr">
        <is>
          <t>发现 4｜处理表现总体稳定：30 天内结案率 22 个月稳定在 89%~92%</t>
        </is>
      </c>
    </row>
    <row r="25" ht="78" customHeight="1">
      <c r="A25" s="2" t="inlineStr">
        <is>
          <t>按“创建满 30 天的工单中 30 天内结案的比例”这一不受删失影响的口径，2024-09 ~ 2026-07 共 23 个可评月份全部落在 88.6%~92.7%。近期原始结案率下降（2026-08 为 83.8%）主要是右删失（新工单尚未到结案时间），不是处理恶化。机构差异极大：NYPD 中位 1.3 小时（快速批量关闭），TLC 中位 971 小时。</t>
        </is>
      </c>
    </row>
    <row r="27">
      <c r="A27" s="8" t="inlineStr">
        <is>
          <t>阅读顺序：本页 → “月度趋势” → 各发现分页 → “数据质量与口径”。每页图表下均有对应明细表，可直接回查。</t>
        </is>
      </c>
    </row>
  </sheetData>
  <mergeCells count="8">
    <mergeCell ref="A1:J1"/>
    <mergeCell ref="A22:J22"/>
    <mergeCell ref="A27:J27"/>
    <mergeCell ref="A3:J3"/>
    <mergeCell ref="A4:J4"/>
    <mergeCell ref="A16:J16"/>
    <mergeCell ref="A25:J25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月度趋势：总量与三大驱动类型</t>
        </is>
      </c>
    </row>
    <row r="3">
      <c r="A3" s="2" t="inlineStr">
        <is>
          <t>口径：按 created_date 所在月计数；2024-09 与 2026-09 为不完整月份（图2 已剔除）。</t>
        </is>
      </c>
    </row>
    <row r="5">
      <c r="A5" s="9" t="inlineStr">
        <is>
          <t>图1 数据表：月度总量与主要类型（含不完整首末月）</t>
        </is>
      </c>
    </row>
    <row r="6">
      <c r="A6" s="10" t="inlineStr">
        <is>
          <t>ym</t>
        </is>
      </c>
      <c r="B6" s="10" t="inlineStr">
        <is>
          <t>全部请求</t>
        </is>
      </c>
      <c r="C6" s="10" t="inlineStr">
        <is>
          <t>HEAT/HOT WATER</t>
        </is>
      </c>
      <c r="D6" s="10" t="inlineStr">
        <is>
          <t>住宅噪声(全市)</t>
        </is>
      </c>
      <c r="E6" s="10" t="inlineStr">
        <is>
          <t>Street Condition</t>
        </is>
      </c>
    </row>
    <row r="7">
      <c r="A7" s="11" t="inlineStr">
        <is>
          <t>2024-09</t>
        </is>
      </c>
      <c r="B7" s="12" t="n">
        <v>248139</v>
      </c>
      <c r="C7" s="12" t="n">
        <v>2696</v>
      </c>
      <c r="D7" s="12" t="n">
        <v>39381</v>
      </c>
      <c r="E7" s="12" t="n">
        <v>4036</v>
      </c>
    </row>
    <row r="8">
      <c r="A8" s="11" t="inlineStr">
        <is>
          <t>2024-10</t>
        </is>
      </c>
      <c r="B8" s="12" t="n">
        <v>306803</v>
      </c>
      <c r="C8" s="12" t="n">
        <v>19650</v>
      </c>
      <c r="D8" s="12" t="n">
        <v>38628</v>
      </c>
      <c r="E8" s="12" t="n">
        <v>4260</v>
      </c>
    </row>
    <row r="9">
      <c r="A9" s="11" t="inlineStr">
        <is>
          <t>2024-11</t>
        </is>
      </c>
      <c r="B9" s="12" t="n">
        <v>293515</v>
      </c>
      <c r="C9" s="12" t="n">
        <v>39368</v>
      </c>
      <c r="D9" s="12" t="n">
        <v>39103</v>
      </c>
      <c r="E9" s="12" t="n">
        <v>3630</v>
      </c>
    </row>
    <row r="10">
      <c r="A10" s="11" t="inlineStr">
        <is>
          <t>2024-12</t>
        </is>
      </c>
      <c r="B10" s="12" t="n">
        <v>313949</v>
      </c>
      <c r="C10" s="12" t="n">
        <v>62918</v>
      </c>
      <c r="D10" s="12" t="n">
        <v>47405</v>
      </c>
      <c r="E10" s="12" t="n">
        <v>5225</v>
      </c>
    </row>
    <row r="11">
      <c r="A11" s="11" t="inlineStr">
        <is>
          <t>2025-01</t>
        </is>
      </c>
      <c r="B11" s="12" t="n">
        <v>348180</v>
      </c>
      <c r="C11" s="12" t="n">
        <v>67229</v>
      </c>
      <c r="D11" s="12" t="n">
        <v>70837</v>
      </c>
      <c r="E11" s="12" t="n">
        <v>5474</v>
      </c>
    </row>
    <row r="12">
      <c r="A12" s="11" t="inlineStr">
        <is>
          <t>2025-02</t>
        </is>
      </c>
      <c r="B12" s="12" t="n">
        <v>255364</v>
      </c>
      <c r="C12" s="12" t="n">
        <v>40699</v>
      </c>
      <c r="D12" s="12" t="n">
        <v>26945</v>
      </c>
      <c r="E12" s="12" t="n">
        <v>5623</v>
      </c>
    </row>
    <row r="13">
      <c r="A13" s="11" t="inlineStr">
        <is>
          <t>2025-03</t>
        </is>
      </c>
      <c r="B13" s="12" t="n">
        <v>281221</v>
      </c>
      <c r="C13" s="12" t="n">
        <v>26276</v>
      </c>
      <c r="D13" s="12" t="n">
        <v>28850</v>
      </c>
      <c r="E13" s="12" t="n">
        <v>7035</v>
      </c>
    </row>
    <row r="14">
      <c r="A14" s="11" t="inlineStr">
        <is>
          <t>2025-04</t>
        </is>
      </c>
      <c r="B14" s="12" t="n">
        <v>272549</v>
      </c>
      <c r="C14" s="12" t="n">
        <v>16824</v>
      </c>
      <c r="D14" s="12" t="n">
        <v>28019</v>
      </c>
      <c r="E14" s="12" t="n">
        <v>6659</v>
      </c>
    </row>
    <row r="15">
      <c r="A15" s="11" t="inlineStr">
        <is>
          <t>2025-05</t>
        </is>
      </c>
      <c r="B15" s="12" t="n">
        <v>295058</v>
      </c>
      <c r="C15" s="12" t="n">
        <v>7463</v>
      </c>
      <c r="D15" s="12" t="n">
        <v>32905</v>
      </c>
      <c r="E15" s="12" t="n">
        <v>7449</v>
      </c>
    </row>
    <row r="16">
      <c r="A16" s="11" t="inlineStr">
        <is>
          <t>2025-06</t>
        </is>
      </c>
      <c r="B16" s="12" t="n">
        <v>306442</v>
      </c>
      <c r="C16" s="12" t="n">
        <v>4217</v>
      </c>
      <c r="D16" s="12" t="n">
        <v>29740</v>
      </c>
      <c r="E16" s="12" t="n">
        <v>7243</v>
      </c>
    </row>
    <row r="17">
      <c r="A17" s="11" t="inlineStr">
        <is>
          <t>2025-07</t>
        </is>
      </c>
      <c r="B17" s="12" t="n">
        <v>315883</v>
      </c>
      <c r="C17" s="12" t="n">
        <v>3008</v>
      </c>
      <c r="D17" s="12" t="n">
        <v>26659</v>
      </c>
      <c r="E17" s="12" t="n">
        <v>6138</v>
      </c>
    </row>
    <row r="18">
      <c r="A18" s="11" t="inlineStr">
        <is>
          <t>2025-08</t>
        </is>
      </c>
      <c r="B18" s="12" t="n">
        <v>304039</v>
      </c>
      <c r="C18" s="12" t="n">
        <v>2929</v>
      </c>
      <c r="D18" s="12" t="n">
        <v>32756</v>
      </c>
      <c r="E18" s="12" t="n">
        <v>5590</v>
      </c>
    </row>
    <row r="19">
      <c r="A19" s="11" t="inlineStr">
        <is>
          <t>2025-09</t>
        </is>
      </c>
      <c r="B19" s="12" t="n">
        <v>302684</v>
      </c>
      <c r="C19" s="12" t="n">
        <v>3595</v>
      </c>
      <c r="D19" s="12" t="n">
        <v>36142</v>
      </c>
      <c r="E19" s="12" t="n">
        <v>5411</v>
      </c>
    </row>
    <row r="20">
      <c r="A20" s="11" t="inlineStr">
        <is>
          <t>2025-10</t>
        </is>
      </c>
      <c r="B20" s="12" t="n">
        <v>336612</v>
      </c>
      <c r="C20" s="12" t="n">
        <v>31858</v>
      </c>
      <c r="D20" s="12" t="n">
        <v>49182</v>
      </c>
      <c r="E20" s="12" t="n">
        <v>4829</v>
      </c>
    </row>
    <row r="21">
      <c r="A21" s="11" t="inlineStr">
        <is>
          <t>2025-11</t>
        </is>
      </c>
      <c r="B21" s="12" t="n">
        <v>304905</v>
      </c>
      <c r="C21" s="12" t="n">
        <v>47946</v>
      </c>
      <c r="D21" s="12" t="n">
        <v>43928</v>
      </c>
      <c r="E21" s="12" t="n">
        <v>4049</v>
      </c>
    </row>
    <row r="22">
      <c r="A22" s="11" t="inlineStr">
        <is>
          <t>2025-12</t>
        </is>
      </c>
      <c r="B22" s="12" t="n">
        <v>332103</v>
      </c>
      <c r="C22" s="12" t="n">
        <v>63902</v>
      </c>
      <c r="D22" s="12" t="n">
        <v>57386</v>
      </c>
      <c r="E22" s="12" t="n">
        <v>4830</v>
      </c>
    </row>
    <row r="23">
      <c r="A23" s="11" t="inlineStr">
        <is>
          <t>2026-01</t>
        </is>
      </c>
      <c r="B23" s="12" t="n">
        <v>348511</v>
      </c>
      <c r="C23" s="12" t="n">
        <v>79928</v>
      </c>
      <c r="D23" s="12" t="n">
        <v>28739</v>
      </c>
      <c r="E23" s="12" t="n">
        <v>5141</v>
      </c>
    </row>
    <row r="24">
      <c r="A24" s="11" t="inlineStr">
        <is>
          <t>2026-02</t>
        </is>
      </c>
      <c r="B24" s="12" t="n">
        <v>334690</v>
      </c>
      <c r="C24" s="12" t="n">
        <v>59031</v>
      </c>
      <c r="D24" s="12" t="n">
        <v>26949</v>
      </c>
      <c r="E24" s="12" t="n">
        <v>6913</v>
      </c>
    </row>
    <row r="25">
      <c r="A25" s="11" t="inlineStr">
        <is>
          <t>2026-03</t>
        </is>
      </c>
      <c r="B25" s="12" t="n">
        <v>342387</v>
      </c>
      <c r="C25" s="12" t="n">
        <v>29783</v>
      </c>
      <c r="D25" s="12" t="n">
        <v>31823</v>
      </c>
      <c r="E25" s="12" t="n">
        <v>28690</v>
      </c>
    </row>
    <row r="26">
      <c r="A26" s="11" t="inlineStr">
        <is>
          <t>2026-04</t>
        </is>
      </c>
      <c r="B26" s="12" t="n">
        <v>302190</v>
      </c>
      <c r="C26" s="12" t="n">
        <v>19553</v>
      </c>
      <c r="D26" s="12" t="n">
        <v>30922</v>
      </c>
      <c r="E26" s="12" t="n">
        <v>15850</v>
      </c>
    </row>
    <row r="27">
      <c r="A27" s="11" t="inlineStr">
        <is>
          <t>2026-05</t>
        </is>
      </c>
      <c r="B27" s="12" t="n">
        <v>331978</v>
      </c>
      <c r="C27" s="12" t="n">
        <v>9823</v>
      </c>
      <c r="D27" s="12" t="n">
        <v>37268</v>
      </c>
      <c r="E27" s="12" t="n">
        <v>11777</v>
      </c>
    </row>
    <row r="28">
      <c r="A28" s="11" t="inlineStr">
        <is>
          <t>2026-06</t>
        </is>
      </c>
      <c r="B28" s="12" t="n">
        <v>334833</v>
      </c>
      <c r="C28" s="12" t="n">
        <v>4388</v>
      </c>
      <c r="D28" s="12" t="n">
        <v>34039</v>
      </c>
      <c r="E28" s="12" t="n">
        <v>10852</v>
      </c>
    </row>
    <row r="29">
      <c r="A29" s="11" t="inlineStr">
        <is>
          <t>2026-07</t>
        </is>
      </c>
      <c r="B29" s="12" t="n">
        <v>343043</v>
      </c>
      <c r="C29" s="12" t="n">
        <v>4331</v>
      </c>
      <c r="D29" s="12" t="n">
        <v>29971</v>
      </c>
      <c r="E29" s="12" t="n">
        <v>10145</v>
      </c>
    </row>
    <row r="30">
      <c r="A30" s="11" t="inlineStr">
        <is>
          <t>2026-08</t>
        </is>
      </c>
      <c r="B30" s="12" t="n">
        <v>328446</v>
      </c>
      <c r="C30" s="12" t="n">
        <v>3682</v>
      </c>
      <c r="D30" s="12" t="n">
        <v>30622</v>
      </c>
      <c r="E30" s="12" t="n">
        <v>9552</v>
      </c>
    </row>
    <row r="31">
      <c r="A31" s="11" t="inlineStr">
        <is>
          <t>2026-09</t>
        </is>
      </c>
      <c r="B31" s="12" t="n">
        <v>41974</v>
      </c>
      <c r="C31" s="12" t="n">
        <v>497</v>
      </c>
      <c r="D31" s="12" t="n">
        <v>3349</v>
      </c>
      <c r="E31" s="12" t="n">
        <v>1267</v>
      </c>
    </row>
    <row r="33">
      <c r="A33" s="9" t="inlineStr">
        <is>
          <t>图2 数据表：住宅噪声投诉 —— 全市 vs 热点 vs 剔除热点（仅完整月）</t>
        </is>
      </c>
    </row>
    <row r="34">
      <c r="A34" s="10" t="inlineStr">
        <is>
          <t>ym</t>
        </is>
      </c>
      <c r="B34" s="10" t="inlineStr">
        <is>
          <t>住宅噪声(全市)</t>
        </is>
      </c>
      <c r="C34" s="10" t="inlineStr">
        <is>
          <t>其中E230热点</t>
        </is>
      </c>
      <c r="D34" s="10" t="inlineStr">
        <is>
          <t>住宅噪声(剔除热点)</t>
        </is>
      </c>
    </row>
    <row r="35">
      <c r="A35" s="11" t="inlineStr">
        <is>
          <t>2024-10</t>
        </is>
      </c>
      <c r="B35" s="12" t="n">
        <v>38628</v>
      </c>
      <c r="C35" s="12" t="n">
        <v>8513</v>
      </c>
      <c r="D35" s="12" t="n">
        <v>30115</v>
      </c>
    </row>
    <row r="36">
      <c r="A36" s="11" t="inlineStr">
        <is>
          <t>2024-11</t>
        </is>
      </c>
      <c r="B36" s="12" t="n">
        <v>39103</v>
      </c>
      <c r="C36" s="12" t="n">
        <v>12611</v>
      </c>
      <c r="D36" s="12" t="n">
        <v>26492</v>
      </c>
    </row>
    <row r="37">
      <c r="A37" s="11" t="inlineStr">
        <is>
          <t>2024-12</t>
        </is>
      </c>
      <c r="B37" s="12" t="n">
        <v>47405</v>
      </c>
      <c r="C37" s="12" t="n">
        <v>20726</v>
      </c>
      <c r="D37" s="12" t="n">
        <v>26679</v>
      </c>
    </row>
    <row r="38">
      <c r="A38" s="11" t="inlineStr">
        <is>
          <t>2025-01</t>
        </is>
      </c>
      <c r="B38" s="12" t="n">
        <v>70837</v>
      </c>
      <c r="C38" s="12" t="n">
        <v>45466</v>
      </c>
      <c r="D38" s="12" t="n">
        <v>25371</v>
      </c>
    </row>
    <row r="39">
      <c r="A39" s="11" t="inlineStr">
        <is>
          <t>2025-02</t>
        </is>
      </c>
      <c r="B39" s="12" t="n">
        <v>26945</v>
      </c>
      <c r="C39" s="12" t="n">
        <v>4638</v>
      </c>
      <c r="D39" s="12" t="n">
        <v>22307</v>
      </c>
    </row>
    <row r="40">
      <c r="A40" s="11" t="inlineStr">
        <is>
          <t>2025-03</t>
        </is>
      </c>
      <c r="B40" s="12" t="n">
        <v>28850</v>
      </c>
      <c r="C40" s="12" t="n">
        <v>2423</v>
      </c>
      <c r="D40" s="12" t="n">
        <v>26427</v>
      </c>
    </row>
    <row r="41">
      <c r="A41" s="11" t="inlineStr">
        <is>
          <t>2025-04</t>
        </is>
      </c>
      <c r="B41" s="12" t="n">
        <v>28019</v>
      </c>
      <c r="C41" s="12" t="n">
        <v>1427</v>
      </c>
      <c r="D41" s="12" t="n">
        <v>26592</v>
      </c>
    </row>
    <row r="42">
      <c r="A42" s="11" t="inlineStr">
        <is>
          <t>2025-05</t>
        </is>
      </c>
      <c r="B42" s="12" t="n">
        <v>32905</v>
      </c>
      <c r="C42" s="12" t="n">
        <v>46</v>
      </c>
      <c r="D42" s="12" t="n">
        <v>32859</v>
      </c>
    </row>
    <row r="43">
      <c r="A43" s="11" t="inlineStr">
        <is>
          <t>2025-06</t>
        </is>
      </c>
      <c r="B43" s="12" t="n">
        <v>29740</v>
      </c>
      <c r="C43" s="12" t="n">
        <v>77</v>
      </c>
      <c r="D43" s="12" t="n">
        <v>29663</v>
      </c>
    </row>
    <row r="44">
      <c r="A44" s="11" t="inlineStr">
        <is>
          <t>2025-07</t>
        </is>
      </c>
      <c r="B44" s="12" t="n">
        <v>26659</v>
      </c>
      <c r="C44" s="12" t="n">
        <v>159</v>
      </c>
      <c r="D44" s="12" t="n">
        <v>26500</v>
      </c>
    </row>
    <row r="45">
      <c r="A45" s="11" t="inlineStr">
        <is>
          <t>2025-08</t>
        </is>
      </c>
      <c r="B45" s="12" t="n">
        <v>32756</v>
      </c>
      <c r="C45" s="12" t="n">
        <v>688</v>
      </c>
      <c r="D45" s="12" t="n">
        <v>32068</v>
      </c>
    </row>
    <row r="46">
      <c r="A46" s="11" t="inlineStr">
        <is>
          <t>2025-09</t>
        </is>
      </c>
      <c r="B46" s="12" t="n">
        <v>36142</v>
      </c>
      <c r="C46" s="12" t="n">
        <v>6201</v>
      </c>
      <c r="D46" s="12" t="n">
        <v>29941</v>
      </c>
    </row>
    <row r="47">
      <c r="A47" s="11" t="inlineStr">
        <is>
          <t>2025-10</t>
        </is>
      </c>
      <c r="B47" s="12" t="n">
        <v>49182</v>
      </c>
      <c r="C47" s="12" t="n">
        <v>18696</v>
      </c>
      <c r="D47" s="12" t="n">
        <v>30486</v>
      </c>
    </row>
    <row r="48">
      <c r="A48" s="11" t="inlineStr">
        <is>
          <t>2025-11</t>
        </is>
      </c>
      <c r="B48" s="12" t="n">
        <v>43928</v>
      </c>
      <c r="C48" s="12" t="n">
        <v>14760</v>
      </c>
      <c r="D48" s="12" t="n">
        <v>29168</v>
      </c>
    </row>
    <row r="49">
      <c r="A49" s="11" t="inlineStr">
        <is>
          <t>2025-12</t>
        </is>
      </c>
      <c r="B49" s="12" t="n">
        <v>57386</v>
      </c>
      <c r="C49" s="12" t="n">
        <v>29971</v>
      </c>
      <c r="D49" s="12" t="n">
        <v>27415</v>
      </c>
    </row>
    <row r="50">
      <c r="A50" s="11" t="inlineStr">
        <is>
          <t>2026-01</t>
        </is>
      </c>
      <c r="B50" s="12" t="n">
        <v>28739</v>
      </c>
      <c r="C50" s="12" t="n">
        <v>1037</v>
      </c>
      <c r="D50" s="12" t="n">
        <v>27702</v>
      </c>
    </row>
    <row r="51">
      <c r="A51" s="11" t="inlineStr">
        <is>
          <t>2026-02</t>
        </is>
      </c>
      <c r="B51" s="12" t="n">
        <v>26949</v>
      </c>
      <c r="C51" s="12" t="n">
        <v>738</v>
      </c>
      <c r="D51" s="12" t="n">
        <v>26211</v>
      </c>
    </row>
    <row r="52">
      <c r="A52" s="11" t="inlineStr">
        <is>
          <t>2026-03</t>
        </is>
      </c>
      <c r="B52" s="12" t="n">
        <v>31823</v>
      </c>
      <c r="C52" s="12" t="n">
        <v>1631</v>
      </c>
      <c r="D52" s="12" t="n">
        <v>30192</v>
      </c>
    </row>
    <row r="53">
      <c r="A53" s="11" t="inlineStr">
        <is>
          <t>2026-04</t>
        </is>
      </c>
      <c r="B53" s="12" t="n">
        <v>30922</v>
      </c>
      <c r="C53" s="12" t="n">
        <v>1272</v>
      </c>
      <c r="D53" s="12" t="n">
        <v>29650</v>
      </c>
    </row>
    <row r="54">
      <c r="A54" s="11" t="inlineStr">
        <is>
          <t>2026-05</t>
        </is>
      </c>
      <c r="B54" s="12" t="n">
        <v>37268</v>
      </c>
      <c r="C54" s="12" t="n">
        <v>96</v>
      </c>
      <c r="D54" s="12" t="n">
        <v>37172</v>
      </c>
    </row>
    <row r="55">
      <c r="A55" s="11" t="inlineStr">
        <is>
          <t>2026-06</t>
        </is>
      </c>
      <c r="B55" s="12" t="n">
        <v>34039</v>
      </c>
      <c r="C55" s="12" t="n">
        <v>36</v>
      </c>
      <c r="D55" s="12" t="n">
        <v>34003</v>
      </c>
    </row>
    <row r="56">
      <c r="A56" s="11" t="inlineStr">
        <is>
          <t>2026-07</t>
        </is>
      </c>
      <c r="B56" s="12" t="n">
        <v>29971</v>
      </c>
      <c r="C56" s="12" t="n">
        <v>36</v>
      </c>
      <c r="D56" s="12" t="n">
        <v>29935</v>
      </c>
    </row>
    <row r="57">
      <c r="A57" s="11" t="inlineStr">
        <is>
          <t>2026-08</t>
        </is>
      </c>
      <c r="B57" s="12" t="n">
        <v>30622</v>
      </c>
      <c r="C57" s="12" t="n">
        <v>17</v>
      </c>
      <c r="D57" s="12" t="n">
        <v>30605</v>
      </c>
    </row>
    <row r="59">
      <c r="A59" s="2" t="inlineStr">
        <is>
          <t>解读：全市住宅噪声的“冬季隆起”几乎全部由 E230 热点贡献；剔除后基线平稳（约 2.7~3.7 万件/月）。</t>
        </is>
      </c>
    </row>
  </sheetData>
  <mergeCells count="3">
    <mergeCell ref="A1:J1"/>
    <mergeCell ref="A59:J59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</cols>
  <sheetData>
    <row r="1" ht="24" customHeight="1">
      <c r="A1" s="1" t="inlineStr">
        <is>
          <t>发现 1：Bronx East 230 Street 噪声投诉热点（单地址贡献全市 21.2% 住宅噪声投诉）</t>
        </is>
      </c>
    </row>
    <row r="3">
      <c r="A3" s="2" t="inlineStr">
        <is>
          <t>热点定义：incident_zip=10466 且地址以 655/661/663 EAST 230 开头（两个门牌号为主，663 仅 15 件）。两年累计 186,933 件 = 全部请求的 2.5%、Noise - Residential 的 21.2%。</t>
        </is>
      </c>
    </row>
    <row r="5">
      <c r="A5" s="9" t="inlineStr">
        <is>
          <t>热点关键数字</t>
        </is>
      </c>
    </row>
    <row r="6">
      <c r="A6" s="10" t="inlineStr">
        <is>
          <t>metric</t>
        </is>
      </c>
      <c r="B6" s="10" t="inlineStr">
        <is>
          <t>value</t>
        </is>
      </c>
    </row>
    <row r="7">
      <c r="A7" s="11" t="inlineStr">
        <is>
          <t>E230_cluster_total</t>
        </is>
      </c>
      <c r="B7" s="11" t="n">
        <v>186933</v>
      </c>
    </row>
    <row r="8">
      <c r="A8" s="11" t="inlineStr">
        <is>
          <t>share_of_all_pct</t>
        </is>
      </c>
      <c r="B8" s="11" t="n">
        <v>2.48</v>
      </c>
    </row>
    <row r="9">
      <c r="A9" s="11" t="inlineStr">
        <is>
          <t>share_of_noise_res_pct</t>
        </is>
      </c>
      <c r="B9" s="11" t="n">
        <v>21.2</v>
      </c>
    </row>
    <row r="10">
      <c r="A10" s="11" t="inlineStr">
        <is>
          <t>surge1_total</t>
        </is>
      </c>
      <c r="B10" s="11" t="n">
        <v>67708</v>
      </c>
    </row>
    <row r="11">
      <c r="A11" s="11" t="inlineStr">
        <is>
          <t>surge1_cluster</t>
        </is>
      </c>
      <c r="B11" s="11" t="n">
        <v>52703</v>
      </c>
    </row>
    <row r="12">
      <c r="A12" s="11" t="inlineStr">
        <is>
          <t>surge1_cluster_share_pct</t>
        </is>
      </c>
      <c r="B12" s="11" t="n">
        <v>77.8</v>
      </c>
    </row>
    <row r="15">
      <c r="A15" s="9" t="inlineStr">
        <is>
          <t>图3 数据表：第一波（2024-12-20 ~ 2025-01-24）每日住宅噪声投诉</t>
        </is>
      </c>
    </row>
    <row r="16">
      <c r="A16" s="10" t="inlineStr">
        <is>
          <t>日期</t>
        </is>
      </c>
      <c r="B16" s="10" t="inlineStr">
        <is>
          <t>住宅噪声投诉/日</t>
        </is>
      </c>
    </row>
    <row r="17">
      <c r="A17" s="11" t="inlineStr">
        <is>
          <t>2024-12-20</t>
        </is>
      </c>
      <c r="B17" s="12" t="n">
        <v>743</v>
      </c>
    </row>
    <row r="18">
      <c r="A18" s="11" t="inlineStr">
        <is>
          <t>2024-12-21</t>
        </is>
      </c>
      <c r="B18" s="12" t="n">
        <v>1003</v>
      </c>
    </row>
    <row r="19">
      <c r="A19" s="11" t="inlineStr">
        <is>
          <t>2024-12-22</t>
        </is>
      </c>
      <c r="B19" s="12" t="n">
        <v>1083</v>
      </c>
    </row>
    <row r="20">
      <c r="A20" s="11" t="inlineStr">
        <is>
          <t>2024-12-23</t>
        </is>
      </c>
      <c r="B20" s="12" t="n">
        <v>745</v>
      </c>
    </row>
    <row r="21">
      <c r="A21" s="11" t="inlineStr">
        <is>
          <t>2024-12-24</t>
        </is>
      </c>
      <c r="B21" s="12" t="n">
        <v>919</v>
      </c>
    </row>
    <row r="22">
      <c r="A22" s="11" t="inlineStr">
        <is>
          <t>2024-12-25</t>
        </is>
      </c>
      <c r="B22" s="12" t="n">
        <v>1304</v>
      </c>
    </row>
    <row r="23">
      <c r="A23" s="11" t="inlineStr">
        <is>
          <t>2024-12-26</t>
        </is>
      </c>
      <c r="B23" s="12" t="n">
        <v>763</v>
      </c>
    </row>
    <row r="24">
      <c r="A24" s="11" t="inlineStr">
        <is>
          <t>2024-12-27</t>
        </is>
      </c>
      <c r="B24" s="12" t="n">
        <v>816</v>
      </c>
    </row>
    <row r="25">
      <c r="A25" s="11" t="inlineStr">
        <is>
          <t>2024-12-28</t>
        </is>
      </c>
      <c r="B25" s="12" t="n">
        <v>1671</v>
      </c>
    </row>
    <row r="26">
      <c r="A26" s="11" t="inlineStr">
        <is>
          <t>2024-12-29</t>
        </is>
      </c>
      <c r="B26" s="12" t="n">
        <v>4648</v>
      </c>
    </row>
    <row r="27">
      <c r="A27" s="11" t="inlineStr">
        <is>
          <t>2024-12-30</t>
        </is>
      </c>
      <c r="B27" s="12" t="n">
        <v>3041</v>
      </c>
    </row>
    <row r="28">
      <c r="A28" s="11" t="inlineStr">
        <is>
          <t>2024-12-31</t>
        </is>
      </c>
      <c r="B28" s="12" t="n">
        <v>4441</v>
      </c>
    </row>
    <row r="29">
      <c r="A29" s="11" t="inlineStr">
        <is>
          <t>2025-01-01</t>
        </is>
      </c>
      <c r="B29" s="12" t="n">
        <v>4692</v>
      </c>
    </row>
    <row r="30">
      <c r="A30" s="11" t="inlineStr">
        <is>
          <t>2025-01-02</t>
        </is>
      </c>
      <c r="B30" s="12" t="n">
        <v>4945</v>
      </c>
    </row>
    <row r="31">
      <c r="A31" s="11" t="inlineStr">
        <is>
          <t>2025-01-03</t>
        </is>
      </c>
      <c r="B31" s="12" t="n">
        <v>2892</v>
      </c>
    </row>
    <row r="32">
      <c r="A32" s="11" t="inlineStr">
        <is>
          <t>2025-01-04</t>
        </is>
      </c>
      <c r="B32" s="12" t="n">
        <v>3809</v>
      </c>
    </row>
    <row r="33">
      <c r="A33" s="11" t="inlineStr">
        <is>
          <t>2025-01-05</t>
        </is>
      </c>
      <c r="B33" s="12" t="n">
        <v>6053</v>
      </c>
    </row>
    <row r="34">
      <c r="A34" s="11" t="inlineStr">
        <is>
          <t>2025-01-06</t>
        </is>
      </c>
      <c r="B34" s="12" t="n">
        <v>4449</v>
      </c>
    </row>
    <row r="35">
      <c r="A35" s="11" t="inlineStr">
        <is>
          <t>2025-01-07</t>
        </is>
      </c>
      <c r="B35" s="12" t="n">
        <v>3414</v>
      </c>
    </row>
    <row r="36">
      <c r="A36" s="11" t="inlineStr">
        <is>
          <t>2025-01-08</t>
        </is>
      </c>
      <c r="B36" s="12" t="n">
        <v>2174</v>
      </c>
    </row>
    <row r="37">
      <c r="A37" s="11" t="inlineStr">
        <is>
          <t>2025-01-09</t>
        </is>
      </c>
      <c r="B37" s="12" t="n">
        <v>3620</v>
      </c>
    </row>
    <row r="38">
      <c r="A38" s="11" t="inlineStr">
        <is>
          <t>2025-01-10</t>
        </is>
      </c>
      <c r="B38" s="12" t="n">
        <v>4770</v>
      </c>
    </row>
    <row r="39">
      <c r="A39" s="11" t="inlineStr">
        <is>
          <t>2025-01-11</t>
        </is>
      </c>
      <c r="B39" s="12" t="n">
        <v>4552</v>
      </c>
    </row>
    <row r="40">
      <c r="A40" s="11" t="inlineStr">
        <is>
          <t>2025-01-12</t>
        </is>
      </c>
      <c r="B40" s="12" t="n">
        <v>4742</v>
      </c>
    </row>
    <row r="41">
      <c r="A41" s="11" t="inlineStr">
        <is>
          <t>2025-01-13</t>
        </is>
      </c>
      <c r="B41" s="12" t="n">
        <v>3795</v>
      </c>
    </row>
    <row r="42">
      <c r="A42" s="11" t="inlineStr">
        <is>
          <t>2025-01-14</t>
        </is>
      </c>
      <c r="B42" s="12" t="n">
        <v>717</v>
      </c>
    </row>
    <row r="43">
      <c r="A43" s="11" t="inlineStr">
        <is>
          <t>2025-01-15</t>
        </is>
      </c>
      <c r="B43" s="12" t="n">
        <v>638</v>
      </c>
    </row>
    <row r="44">
      <c r="A44" s="11" t="inlineStr">
        <is>
          <t>2025-01-16</t>
        </is>
      </c>
      <c r="B44" s="12" t="n">
        <v>668</v>
      </c>
    </row>
    <row r="45">
      <c r="A45" s="11" t="inlineStr">
        <is>
          <t>2025-01-17</t>
        </is>
      </c>
      <c r="B45" s="12" t="n">
        <v>749</v>
      </c>
    </row>
    <row r="46">
      <c r="A46" s="11" t="inlineStr">
        <is>
          <t>2025-01-18</t>
        </is>
      </c>
      <c r="B46" s="12" t="n">
        <v>1123</v>
      </c>
    </row>
    <row r="47">
      <c r="A47" s="11" t="inlineStr">
        <is>
          <t>2025-01-19</t>
        </is>
      </c>
      <c r="B47" s="12" t="n">
        <v>1115</v>
      </c>
    </row>
    <row r="48">
      <c r="A48" s="11" t="inlineStr">
        <is>
          <t>2025-01-20</t>
        </is>
      </c>
      <c r="B48" s="12" t="n">
        <v>881</v>
      </c>
    </row>
    <row r="49">
      <c r="A49" s="11" t="inlineStr">
        <is>
          <t>2025-01-21</t>
        </is>
      </c>
      <c r="B49" s="12" t="n">
        <v>671</v>
      </c>
    </row>
    <row r="50">
      <c r="A50" s="11" t="inlineStr">
        <is>
          <t>2025-01-22</t>
        </is>
      </c>
      <c r="B50" s="12" t="n">
        <v>688</v>
      </c>
    </row>
    <row r="51">
      <c r="A51" s="11" t="inlineStr">
        <is>
          <t>2025-01-23</t>
        </is>
      </c>
      <c r="B51" s="12" t="n">
        <v>666</v>
      </c>
    </row>
    <row r="52">
      <c r="A52" s="11" t="inlineStr">
        <is>
          <t>2025-01-24</t>
        </is>
      </c>
      <c r="B52" s="12" t="n">
        <v>3144</v>
      </c>
    </row>
    <row r="54">
      <c r="A54" s="2" t="inlineStr">
        <is>
          <t>骤停点：2025-01-13 → 01-14，由约 3,800 件/日跌回约 700 件/日（全市口径）。</t>
        </is>
      </c>
    </row>
    <row r="55">
      <c r="A55" s="9" t="inlineStr">
        <is>
          <t>图4 数据表：第二波（2025-11-15 ~ 2026-01-04）每日住宅噪声投诉</t>
        </is>
      </c>
    </row>
    <row r="56">
      <c r="A56" s="10" t="inlineStr">
        <is>
          <t>日期</t>
        </is>
      </c>
      <c r="B56" s="10" t="inlineStr">
        <is>
          <t>住宅噪声投诉/日</t>
        </is>
      </c>
    </row>
    <row r="57">
      <c r="A57" s="11" t="inlineStr">
        <is>
          <t>2025-11-15</t>
        </is>
      </c>
      <c r="B57" s="12" t="n">
        <v>1325</v>
      </c>
    </row>
    <row r="58">
      <c r="A58" s="11" t="inlineStr">
        <is>
          <t>2025-11-16</t>
        </is>
      </c>
      <c r="B58" s="12" t="n">
        <v>1559</v>
      </c>
    </row>
    <row r="59">
      <c r="A59" s="11" t="inlineStr">
        <is>
          <t>2025-11-17</t>
        </is>
      </c>
      <c r="B59" s="12" t="n">
        <v>721</v>
      </c>
    </row>
    <row r="60">
      <c r="A60" s="11" t="inlineStr">
        <is>
          <t>2025-11-18</t>
        </is>
      </c>
      <c r="B60" s="12" t="n">
        <v>762</v>
      </c>
    </row>
    <row r="61">
      <c r="A61" s="11" t="inlineStr">
        <is>
          <t>2025-11-19</t>
        </is>
      </c>
      <c r="B61" s="12" t="n">
        <v>732</v>
      </c>
    </row>
    <row r="62">
      <c r="A62" s="11" t="inlineStr">
        <is>
          <t>2025-11-20</t>
        </is>
      </c>
      <c r="B62" s="12" t="n">
        <v>1443</v>
      </c>
    </row>
    <row r="63">
      <c r="A63" s="11" t="inlineStr">
        <is>
          <t>2025-11-21</t>
        </is>
      </c>
      <c r="B63" s="12" t="n">
        <v>939</v>
      </c>
    </row>
    <row r="64">
      <c r="A64" s="11" t="inlineStr">
        <is>
          <t>2025-11-22</t>
        </is>
      </c>
      <c r="B64" s="12" t="n">
        <v>1491</v>
      </c>
    </row>
    <row r="65">
      <c r="A65" s="11" t="inlineStr">
        <is>
          <t>2025-11-23</t>
        </is>
      </c>
      <c r="B65" s="12" t="n">
        <v>1905</v>
      </c>
    </row>
    <row r="66">
      <c r="A66" s="11" t="inlineStr">
        <is>
          <t>2025-11-24</t>
        </is>
      </c>
      <c r="B66" s="12" t="n">
        <v>924</v>
      </c>
    </row>
    <row r="67">
      <c r="A67" s="11" t="inlineStr">
        <is>
          <t>2025-11-25</t>
        </is>
      </c>
      <c r="B67" s="12" t="n">
        <v>804</v>
      </c>
    </row>
    <row r="68">
      <c r="A68" s="11" t="inlineStr">
        <is>
          <t>2025-11-26</t>
        </is>
      </c>
      <c r="B68" s="12" t="n">
        <v>2198</v>
      </c>
    </row>
    <row r="69">
      <c r="A69" s="11" t="inlineStr">
        <is>
          <t>2025-11-27</t>
        </is>
      </c>
      <c r="B69" s="12" t="n">
        <v>2522</v>
      </c>
    </row>
    <row r="70">
      <c r="A70" s="11" t="inlineStr">
        <is>
          <t>2025-11-28</t>
        </is>
      </c>
      <c r="B70" s="12" t="n">
        <v>2986</v>
      </c>
    </row>
    <row r="71">
      <c r="A71" s="11" t="inlineStr">
        <is>
          <t>2025-11-29</t>
        </is>
      </c>
      <c r="B71" s="12" t="n">
        <v>3126</v>
      </c>
    </row>
    <row r="72">
      <c r="A72" s="11" t="inlineStr">
        <is>
          <t>2025-11-30</t>
        </is>
      </c>
      <c r="B72" s="12" t="n">
        <v>3301</v>
      </c>
    </row>
    <row r="73">
      <c r="A73" s="11" t="inlineStr">
        <is>
          <t>2025-12-01</t>
        </is>
      </c>
      <c r="B73" s="12" t="n">
        <v>2679</v>
      </c>
    </row>
    <row r="74">
      <c r="A74" s="11" t="inlineStr">
        <is>
          <t>2025-12-02</t>
        </is>
      </c>
      <c r="B74" s="12" t="n">
        <v>2731</v>
      </c>
    </row>
    <row r="75">
      <c r="A75" s="11" t="inlineStr">
        <is>
          <t>2025-12-03</t>
        </is>
      </c>
      <c r="B75" s="12" t="n">
        <v>2722</v>
      </c>
    </row>
    <row r="76">
      <c r="A76" s="11" t="inlineStr">
        <is>
          <t>2025-12-04</t>
        </is>
      </c>
      <c r="B76" s="12" t="n">
        <v>2781</v>
      </c>
    </row>
    <row r="77">
      <c r="A77" s="11" t="inlineStr">
        <is>
          <t>2025-12-05</t>
        </is>
      </c>
      <c r="B77" s="12" t="n">
        <v>2424</v>
      </c>
    </row>
    <row r="78">
      <c r="A78" s="11" t="inlineStr">
        <is>
          <t>2025-12-06</t>
        </is>
      </c>
      <c r="B78" s="12" t="n">
        <v>3380</v>
      </c>
    </row>
    <row r="79">
      <c r="A79" s="11" t="inlineStr">
        <is>
          <t>2025-12-07</t>
        </is>
      </c>
      <c r="B79" s="12" t="n">
        <v>3160</v>
      </c>
    </row>
    <row r="80">
      <c r="A80" s="11" t="inlineStr">
        <is>
          <t>2025-12-08</t>
        </is>
      </c>
      <c r="B80" s="12" t="n">
        <v>2238</v>
      </c>
    </row>
    <row r="81">
      <c r="A81" s="11" t="inlineStr">
        <is>
          <t>2025-12-09</t>
        </is>
      </c>
      <c r="B81" s="12" t="n">
        <v>2612</v>
      </c>
    </row>
    <row r="82">
      <c r="A82" s="11" t="inlineStr">
        <is>
          <t>2025-12-10</t>
        </is>
      </c>
      <c r="B82" s="12" t="n">
        <v>2719</v>
      </c>
    </row>
    <row r="83">
      <c r="A83" s="11" t="inlineStr">
        <is>
          <t>2025-12-11</t>
        </is>
      </c>
      <c r="B83" s="12" t="n">
        <v>2468</v>
      </c>
    </row>
    <row r="84">
      <c r="A84" s="11" t="inlineStr">
        <is>
          <t>2025-12-12</t>
        </is>
      </c>
      <c r="B84" s="12" t="n">
        <v>2887</v>
      </c>
    </row>
    <row r="85">
      <c r="A85" s="11" t="inlineStr">
        <is>
          <t>2025-12-13</t>
        </is>
      </c>
      <c r="B85" s="12" t="n">
        <v>3243</v>
      </c>
    </row>
    <row r="86">
      <c r="A86" s="11" t="inlineStr">
        <is>
          <t>2025-12-14</t>
        </is>
      </c>
      <c r="B86" s="12" t="n">
        <v>3102</v>
      </c>
    </row>
    <row r="87">
      <c r="A87" s="11" t="inlineStr">
        <is>
          <t>2025-12-15</t>
        </is>
      </c>
      <c r="B87" s="12" t="n">
        <v>2397</v>
      </c>
    </row>
    <row r="88">
      <c r="A88" s="11" t="inlineStr">
        <is>
          <t>2025-12-16</t>
        </is>
      </c>
      <c r="B88" s="12" t="n">
        <v>1948</v>
      </c>
    </row>
    <row r="89">
      <c r="A89" s="11" t="inlineStr">
        <is>
          <t>2025-12-17</t>
        </is>
      </c>
      <c r="B89" s="12" t="n">
        <v>835</v>
      </c>
    </row>
    <row r="90">
      <c r="A90" s="11" t="inlineStr">
        <is>
          <t>2025-12-18</t>
        </is>
      </c>
      <c r="B90" s="12" t="n">
        <v>767</v>
      </c>
    </row>
    <row r="91">
      <c r="A91" s="11" t="inlineStr">
        <is>
          <t>2025-12-19</t>
        </is>
      </c>
      <c r="B91" s="12" t="n">
        <v>862</v>
      </c>
    </row>
    <row r="92">
      <c r="A92" s="11" t="inlineStr">
        <is>
          <t>2025-12-20</t>
        </is>
      </c>
      <c r="B92" s="12" t="n">
        <v>1088</v>
      </c>
    </row>
    <row r="93">
      <c r="A93" s="11" t="inlineStr">
        <is>
          <t>2025-12-21</t>
        </is>
      </c>
      <c r="B93" s="12" t="n">
        <v>1075</v>
      </c>
    </row>
    <row r="94">
      <c r="A94" s="11" t="inlineStr">
        <is>
          <t>2025-12-22</t>
        </is>
      </c>
      <c r="B94" s="12" t="n">
        <v>676</v>
      </c>
    </row>
    <row r="95">
      <c r="A95" s="11" t="inlineStr">
        <is>
          <t>2025-12-23</t>
        </is>
      </c>
      <c r="B95" s="12" t="n">
        <v>669</v>
      </c>
    </row>
    <row r="96">
      <c r="A96" s="11" t="inlineStr">
        <is>
          <t>2025-12-24</t>
        </is>
      </c>
      <c r="B96" s="12" t="n">
        <v>969</v>
      </c>
    </row>
    <row r="97">
      <c r="A97" s="11" t="inlineStr">
        <is>
          <t>2025-12-25</t>
        </is>
      </c>
      <c r="B97" s="12" t="n">
        <v>1328</v>
      </c>
    </row>
    <row r="98">
      <c r="A98" s="11" t="inlineStr">
        <is>
          <t>2025-12-26</t>
        </is>
      </c>
      <c r="B98" s="12" t="n">
        <v>889</v>
      </c>
    </row>
    <row r="99">
      <c r="A99" s="11" t="inlineStr">
        <is>
          <t>2025-12-27</t>
        </is>
      </c>
      <c r="B99" s="12" t="n">
        <v>1020</v>
      </c>
    </row>
    <row r="100">
      <c r="A100" s="11" t="inlineStr">
        <is>
          <t>2025-12-28</t>
        </is>
      </c>
      <c r="B100" s="12" t="n">
        <v>1071</v>
      </c>
    </row>
    <row r="101">
      <c r="A101" s="11" t="inlineStr">
        <is>
          <t>2025-12-29</t>
        </is>
      </c>
      <c r="B101" s="12" t="n">
        <v>812</v>
      </c>
    </row>
    <row r="102">
      <c r="A102" s="11" t="inlineStr">
        <is>
          <t>2025-12-30</t>
        </is>
      </c>
      <c r="B102" s="12" t="n">
        <v>792</v>
      </c>
    </row>
    <row r="103">
      <c r="A103" s="11" t="inlineStr">
        <is>
          <t>2025-12-31</t>
        </is>
      </c>
      <c r="B103" s="12" t="n">
        <v>1042</v>
      </c>
    </row>
    <row r="104">
      <c r="A104" s="11" t="inlineStr">
        <is>
          <t>2026-01-01</t>
        </is>
      </c>
      <c r="B104" s="12" t="n">
        <v>1427</v>
      </c>
    </row>
    <row r="105">
      <c r="A105" s="11" t="inlineStr">
        <is>
          <t>2026-01-02</t>
        </is>
      </c>
      <c r="B105" s="12" t="n">
        <v>868</v>
      </c>
    </row>
    <row r="106">
      <c r="A106" s="11" t="inlineStr">
        <is>
          <t>2026-01-03</t>
        </is>
      </c>
      <c r="B106" s="12" t="n">
        <v>1009</v>
      </c>
    </row>
    <row r="107">
      <c r="A107" s="11" t="inlineStr">
        <is>
          <t>2026-01-04</t>
        </is>
      </c>
      <c r="B107" s="12" t="n">
        <v>1010</v>
      </c>
    </row>
    <row r="109">
      <c r="A109" s="2" t="inlineStr">
        <is>
          <t>骤停点：2025-12-16 → 12-17，由约 1,200-2,000 件/日跌回个位数（10466 邮区口径）。</t>
        </is>
      </c>
    </row>
    <row r="111">
      <c r="A111" s="9" t="inlineStr">
        <is>
          <t>图5 数据表：24 小时分布 —— 热点期 vs 基线</t>
        </is>
      </c>
    </row>
    <row r="112">
      <c r="A112" s="10" t="inlineStr">
        <is>
          <t>小时</t>
        </is>
      </c>
      <c r="B112" s="10" t="inlineStr">
        <is>
          <t>热点期件数(17天)</t>
        </is>
      </c>
      <c r="C112" s="10" t="inlineStr">
        <is>
          <t>基线日均件数(2025年2-3月)</t>
        </is>
      </c>
    </row>
    <row r="113">
      <c r="A113" s="11" t="n">
        <v>0</v>
      </c>
      <c r="B113" s="12" t="n">
        <v>3313</v>
      </c>
      <c r="C113" s="12" t="n">
        <v>75</v>
      </c>
    </row>
    <row r="114">
      <c r="A114" s="11" t="n">
        <v>1</v>
      </c>
      <c r="B114" s="12" t="n">
        <v>3159</v>
      </c>
      <c r="C114" s="12" t="n">
        <v>51</v>
      </c>
    </row>
    <row r="115">
      <c r="A115" s="11" t="n">
        <v>2</v>
      </c>
      <c r="B115" s="12" t="n">
        <v>2803</v>
      </c>
      <c r="C115" s="12" t="n">
        <v>33</v>
      </c>
    </row>
    <row r="116">
      <c r="A116" s="11" t="n">
        <v>3</v>
      </c>
      <c r="B116" s="12" t="n">
        <v>2789</v>
      </c>
      <c r="C116" s="12" t="n">
        <v>28</v>
      </c>
    </row>
    <row r="117">
      <c r="A117" s="11" t="n">
        <v>4</v>
      </c>
      <c r="B117" s="12" t="n">
        <v>2593</v>
      </c>
      <c r="C117" s="12" t="n">
        <v>21</v>
      </c>
    </row>
    <row r="118">
      <c r="A118" s="11" t="n">
        <v>5</v>
      </c>
      <c r="B118" s="12" t="n">
        <v>2553</v>
      </c>
      <c r="C118" s="12" t="n">
        <v>19</v>
      </c>
    </row>
    <row r="119">
      <c r="A119" s="11" t="n">
        <v>6</v>
      </c>
      <c r="B119" s="12" t="n">
        <v>2555</v>
      </c>
      <c r="C119" s="12" t="n">
        <v>18</v>
      </c>
    </row>
    <row r="120">
      <c r="A120" s="11" t="n">
        <v>7</v>
      </c>
      <c r="B120" s="12" t="n">
        <v>2363</v>
      </c>
      <c r="C120" s="12" t="n">
        <v>18</v>
      </c>
    </row>
    <row r="121">
      <c r="A121" s="11" t="n">
        <v>8</v>
      </c>
      <c r="B121" s="12" t="n">
        <v>2314</v>
      </c>
      <c r="C121" s="12" t="n">
        <v>19</v>
      </c>
    </row>
    <row r="122">
      <c r="A122" s="11" t="n">
        <v>9</v>
      </c>
      <c r="B122" s="12" t="n">
        <v>2209</v>
      </c>
      <c r="C122" s="12" t="n">
        <v>24</v>
      </c>
    </row>
    <row r="123">
      <c r="A123" s="11" t="n">
        <v>10</v>
      </c>
      <c r="B123" s="12" t="n">
        <v>2377</v>
      </c>
      <c r="C123" s="12" t="n">
        <v>25</v>
      </c>
    </row>
    <row r="124">
      <c r="A124" s="11" t="n">
        <v>11</v>
      </c>
      <c r="B124" s="12" t="n">
        <v>2547</v>
      </c>
      <c r="C124" s="12" t="n">
        <v>24</v>
      </c>
    </row>
    <row r="125">
      <c r="A125" s="11" t="n">
        <v>12</v>
      </c>
      <c r="B125" s="12" t="n">
        <v>2565</v>
      </c>
      <c r="C125" s="12" t="n">
        <v>22</v>
      </c>
    </row>
    <row r="126">
      <c r="A126" s="11" t="n">
        <v>13</v>
      </c>
      <c r="B126" s="12" t="n">
        <v>2602</v>
      </c>
      <c r="C126" s="12" t="n">
        <v>26</v>
      </c>
    </row>
    <row r="127">
      <c r="A127" s="11" t="n">
        <v>14</v>
      </c>
      <c r="B127" s="12" t="n">
        <v>2711</v>
      </c>
      <c r="C127" s="12" t="n">
        <v>29</v>
      </c>
    </row>
    <row r="128">
      <c r="A128" s="11" t="n">
        <v>15</v>
      </c>
      <c r="B128" s="12" t="n">
        <v>2714</v>
      </c>
      <c r="C128" s="12" t="n">
        <v>31</v>
      </c>
    </row>
    <row r="129">
      <c r="A129" s="11" t="n">
        <v>16</v>
      </c>
      <c r="B129" s="12" t="n">
        <v>2871</v>
      </c>
      <c r="C129" s="12" t="n">
        <v>32</v>
      </c>
    </row>
    <row r="130">
      <c r="A130" s="11" t="n">
        <v>17</v>
      </c>
      <c r="B130" s="12" t="n">
        <v>2933</v>
      </c>
      <c r="C130" s="12" t="n">
        <v>37</v>
      </c>
    </row>
    <row r="131">
      <c r="A131" s="11" t="n">
        <v>18</v>
      </c>
      <c r="B131" s="12" t="n">
        <v>2983</v>
      </c>
      <c r="C131" s="12" t="n">
        <v>42</v>
      </c>
    </row>
    <row r="132">
      <c r="A132" s="11" t="n">
        <v>19</v>
      </c>
      <c r="B132" s="12" t="n">
        <v>3127</v>
      </c>
      <c r="C132" s="12" t="n">
        <v>48</v>
      </c>
    </row>
    <row r="133">
      <c r="A133" s="11" t="n">
        <v>20</v>
      </c>
      <c r="B133" s="12" t="n">
        <v>3188</v>
      </c>
      <c r="C133" s="12" t="n">
        <v>55</v>
      </c>
    </row>
    <row r="134">
      <c r="A134" s="11" t="n">
        <v>21</v>
      </c>
      <c r="B134" s="12" t="n">
        <v>3192</v>
      </c>
      <c r="C134" s="12" t="n">
        <v>65</v>
      </c>
    </row>
    <row r="135">
      <c r="A135" s="11" t="n">
        <v>22</v>
      </c>
      <c r="B135" s="12" t="n">
        <v>3644</v>
      </c>
      <c r="C135" s="12" t="n">
        <v>87</v>
      </c>
    </row>
    <row r="136">
      <c r="A136" s="11" t="n">
        <v>23</v>
      </c>
      <c r="B136" s="12" t="n">
        <v>3603</v>
      </c>
      <c r="C136" s="12" t="n">
        <v>86</v>
      </c>
    </row>
    <row r="138">
      <c r="A138" s="2" t="inlineStr">
        <is>
          <t>解读：真实噪声投诉呈明显昼夜节律（夜间高、清晨低，见基线线）；热点期 24 小时分布平坦（每小时 2,200~3,600 件），不符合居民被噪声吵醒的自然模式，与集中/重复提交一致。</t>
        </is>
      </c>
    </row>
    <row r="140">
      <c r="A140" s="9" t="inlineStr">
        <is>
          <t>第一波 17 天热点构成（按维度拆解）</t>
        </is>
      </c>
    </row>
    <row r="141">
      <c r="A141" s="10" t="inlineStr">
        <is>
          <t>维度</t>
        </is>
      </c>
      <c r="B141" s="10" t="inlineStr">
        <is>
          <t>取值</t>
        </is>
      </c>
      <c r="C141" s="10" t="inlineStr">
        <is>
          <t>件数(2024-12-28~2025-01-13)</t>
        </is>
      </c>
    </row>
    <row r="142">
      <c r="A142" s="11" t="inlineStr">
        <is>
          <t>地址</t>
        </is>
      </c>
      <c r="B142" s="11" t="inlineStr">
        <is>
          <t>655 EAST 230 STREET</t>
        </is>
      </c>
      <c r="C142" s="12" t="n">
        <v>47289</v>
      </c>
    </row>
    <row r="143">
      <c r="A143" s="11" t="inlineStr">
        <is>
          <t>地址</t>
        </is>
      </c>
      <c r="B143" s="11" t="inlineStr">
        <is>
          <t>661 EAST 230 STREET</t>
        </is>
      </c>
      <c r="C143" s="12" t="n">
        <v>5399</v>
      </c>
    </row>
    <row r="144">
      <c r="A144" s="11" t="inlineStr">
        <is>
          <t>行政区</t>
        </is>
      </c>
      <c r="B144" s="11" t="inlineStr">
        <is>
          <t>BRONX（占热点 84%）</t>
        </is>
      </c>
      <c r="C144" s="12" t="n">
        <v>57084</v>
      </c>
    </row>
    <row r="145">
      <c r="A145" s="11" t="inlineStr">
        <is>
          <t>描述符</t>
        </is>
      </c>
      <c r="B145" s="11" t="inlineStr">
        <is>
          <t>Loud Music/Party（88%）</t>
        </is>
      </c>
      <c r="C145" s="12" t="n">
        <v>59423</v>
      </c>
    </row>
    <row r="146">
      <c r="A146" s="11" t="inlineStr">
        <is>
          <t>提交渠道</t>
        </is>
      </c>
      <c r="B146" s="11" t="inlineStr">
        <is>
          <t>MOBILE（82%）</t>
        </is>
      </c>
      <c r="C146" s="12" t="n">
        <v>55764</v>
      </c>
    </row>
    <row r="147">
      <c r="A147" s="11" t="inlineStr">
        <is>
          <t>受理机构</t>
        </is>
      </c>
      <c r="B147" s="11" t="inlineStr">
        <is>
          <t>NYPD</t>
        </is>
      </c>
      <c r="C147" s="12" t="n">
        <v>67708</v>
      </c>
    </row>
    <row r="149">
      <c r="A149" s="2" t="inlineStr">
        <is>
          <t>限制：数据中无举报人字段，无法区分“多名居民持续举报同一噪声源”与“自动化/重复提交”，两者都与上述特征相容；该地址的性质（住宅/商业/其他）无法从数据内核证，属未验证解释。NYPD 对热点投诉结案中位数 1.0 小时，提示多为快速关闭而非逐件处置。</t>
        </is>
      </c>
    </row>
  </sheetData>
  <mergeCells count="6">
    <mergeCell ref="A1:J1"/>
    <mergeCell ref="A149:J149"/>
    <mergeCell ref="A3:J3"/>
    <mergeCell ref="A109:J109"/>
    <mergeCell ref="A54:J54"/>
    <mergeCell ref="A138:J13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6" customWidth="1" min="4" max="4"/>
    <col width="18" customWidth="1" min="5" max="5"/>
  </cols>
  <sheetData>
    <row r="1" ht="24" customHeight="1">
      <c r="A1" s="1" t="inlineStr">
        <is>
          <t>发现 2：HEAT/HOT WATER 投诉的极端季节性与 2025/26 供暖季放大</t>
        </is>
      </c>
    </row>
    <row r="3">
      <c r="A3" s="2" t="inlineStr">
        <is>
          <t>口径：按 created_date 计数。供暖季定义为 10 月 1 日 ~ 次年 3 月 31 日。</t>
        </is>
      </c>
    </row>
    <row r="5">
      <c r="A5" s="9" t="inlineStr">
        <is>
          <t>图6 数据表：HEAT/HOT WATER 月度投诉量</t>
        </is>
      </c>
    </row>
    <row r="6">
      <c r="A6" s="10" t="inlineStr">
        <is>
          <t>月份</t>
        </is>
      </c>
      <c r="B6" s="10" t="inlineStr">
        <is>
          <t>HEAT/HOT WATER 投诉</t>
        </is>
      </c>
    </row>
    <row r="7">
      <c r="A7" s="11" t="inlineStr">
        <is>
          <t>2024-09</t>
        </is>
      </c>
      <c r="B7" s="12" t="n">
        <v>2696</v>
      </c>
    </row>
    <row r="8">
      <c r="A8" s="11" t="inlineStr">
        <is>
          <t>2024-10</t>
        </is>
      </c>
      <c r="B8" s="12" t="n">
        <v>19650</v>
      </c>
    </row>
    <row r="9">
      <c r="A9" s="11" t="inlineStr">
        <is>
          <t>2024-11</t>
        </is>
      </c>
      <c r="B9" s="12" t="n">
        <v>39368</v>
      </c>
    </row>
    <row r="10">
      <c r="A10" s="11" t="inlineStr">
        <is>
          <t>2024-12</t>
        </is>
      </c>
      <c r="B10" s="12" t="n">
        <v>62918</v>
      </c>
    </row>
    <row r="11">
      <c r="A11" s="11" t="inlineStr">
        <is>
          <t>2025-01</t>
        </is>
      </c>
      <c r="B11" s="12" t="n">
        <v>67229</v>
      </c>
    </row>
    <row r="12">
      <c r="A12" s="11" t="inlineStr">
        <is>
          <t>2025-02</t>
        </is>
      </c>
      <c r="B12" s="12" t="n">
        <v>40699</v>
      </c>
    </row>
    <row r="13">
      <c r="A13" s="11" t="inlineStr">
        <is>
          <t>2025-03</t>
        </is>
      </c>
      <c r="B13" s="12" t="n">
        <v>26276</v>
      </c>
    </row>
    <row r="14">
      <c r="A14" s="11" t="inlineStr">
        <is>
          <t>2025-04</t>
        </is>
      </c>
      <c r="B14" s="12" t="n">
        <v>16824</v>
      </c>
    </row>
    <row r="15">
      <c r="A15" s="11" t="inlineStr">
        <is>
          <t>2025-05</t>
        </is>
      </c>
      <c r="B15" s="12" t="n">
        <v>7463</v>
      </c>
    </row>
    <row r="16">
      <c r="A16" s="11" t="inlineStr">
        <is>
          <t>2025-06</t>
        </is>
      </c>
      <c r="B16" s="12" t="n">
        <v>4217</v>
      </c>
    </row>
    <row r="17">
      <c r="A17" s="11" t="inlineStr">
        <is>
          <t>2025-07</t>
        </is>
      </c>
      <c r="B17" s="12" t="n">
        <v>3008</v>
      </c>
    </row>
    <row r="18">
      <c r="A18" s="11" t="inlineStr">
        <is>
          <t>2025-08</t>
        </is>
      </c>
      <c r="B18" s="12" t="n">
        <v>2929</v>
      </c>
    </row>
    <row r="19">
      <c r="A19" s="11" t="inlineStr">
        <is>
          <t>2025-09</t>
        </is>
      </c>
      <c r="B19" s="12" t="n">
        <v>3595</v>
      </c>
    </row>
    <row r="20">
      <c r="A20" s="11" t="inlineStr">
        <is>
          <t>2025-10</t>
        </is>
      </c>
      <c r="B20" s="12" t="n">
        <v>31858</v>
      </c>
    </row>
    <row r="21">
      <c r="A21" s="11" t="inlineStr">
        <is>
          <t>2025-11</t>
        </is>
      </c>
      <c r="B21" s="12" t="n">
        <v>47946</v>
      </c>
    </row>
    <row r="22">
      <c r="A22" s="11" t="inlineStr">
        <is>
          <t>2025-12</t>
        </is>
      </c>
      <c r="B22" s="12" t="n">
        <v>63902</v>
      </c>
    </row>
    <row r="23">
      <c r="A23" s="11" t="inlineStr">
        <is>
          <t>2026-01</t>
        </is>
      </c>
      <c r="B23" s="12" t="n">
        <v>79928</v>
      </c>
    </row>
    <row r="24">
      <c r="A24" s="11" t="inlineStr">
        <is>
          <t>2026-02</t>
        </is>
      </c>
      <c r="B24" s="12" t="n">
        <v>59031</v>
      </c>
    </row>
    <row r="25">
      <c r="A25" s="11" t="inlineStr">
        <is>
          <t>2026-03</t>
        </is>
      </c>
      <c r="B25" s="12" t="n">
        <v>29783</v>
      </c>
    </row>
    <row r="26">
      <c r="A26" s="11" t="inlineStr">
        <is>
          <t>2026-04</t>
        </is>
      </c>
      <c r="B26" s="12" t="n">
        <v>19553</v>
      </c>
    </row>
    <row r="27">
      <c r="A27" s="11" t="inlineStr">
        <is>
          <t>2026-05</t>
        </is>
      </c>
      <c r="B27" s="12" t="n">
        <v>9823</v>
      </c>
    </row>
    <row r="28">
      <c r="A28" s="11" t="inlineStr">
        <is>
          <t>2026-06</t>
        </is>
      </c>
      <c r="B28" s="12" t="n">
        <v>4388</v>
      </c>
    </row>
    <row r="29">
      <c r="A29" s="11" t="inlineStr">
        <is>
          <t>2026-07</t>
        </is>
      </c>
      <c r="B29" s="12" t="n">
        <v>4331</v>
      </c>
    </row>
    <row r="30">
      <c r="A30" s="11" t="inlineStr">
        <is>
          <t>2026-08</t>
        </is>
      </c>
      <c r="B30" s="12" t="n">
        <v>3682</v>
      </c>
    </row>
    <row r="31">
      <c r="A31" s="11" t="inlineStr">
        <is>
          <t>2026-09</t>
        </is>
      </c>
      <c r="B31" s="12" t="n">
        <v>497</v>
      </c>
    </row>
    <row r="34">
      <c r="A34" s="9" t="inlineStr">
        <is>
          <t>两供暖季对比</t>
        </is>
      </c>
    </row>
    <row r="35">
      <c r="A35" s="10" t="inlineStr">
        <is>
          <t>供暖季</t>
        </is>
      </c>
      <c r="B35" s="10" t="inlineStr">
        <is>
          <t>投诉量</t>
        </is>
      </c>
      <c r="C35" s="10" t="inlineStr">
        <is>
          <t>同比变化</t>
        </is>
      </c>
      <c r="D35" s="10" t="inlineStr">
        <is>
          <t>30天内结案率</t>
        </is>
      </c>
      <c r="E35" s="10" t="inlineStr">
        <is>
          <t>处理时长中位数</t>
        </is>
      </c>
    </row>
    <row r="36">
      <c r="A36" s="11" t="inlineStr">
        <is>
          <t>2024/25（2024-10 ~ 2025-03）</t>
        </is>
      </c>
      <c r="B36" s="12" t="n">
        <v>256140</v>
      </c>
      <c r="C36" s="11" t="inlineStr">
        <is>
          <t>—</t>
        </is>
      </c>
      <c r="D36" s="11" t="inlineStr">
        <is>
          <t>98.7%</t>
        </is>
      </c>
      <c r="E36" s="11" t="inlineStr">
        <is>
          <t>41.8 小时*</t>
        </is>
      </c>
    </row>
    <row r="37">
      <c r="A37" s="11" t="inlineStr">
        <is>
          <t>2025/26（2025-10 ~ 2026-03）</t>
        </is>
      </c>
      <c r="B37" s="12" t="n">
        <v>312448</v>
      </c>
      <c r="C37" s="11" t="inlineStr">
        <is>
          <t>+22.0%</t>
        </is>
      </c>
      <c r="D37" s="11" t="inlineStr">
        <is>
          <t>97.0%</t>
        </is>
      </c>
      <c r="E37" s="11" t="inlineStr">
        <is>
          <t>41.8 小时*</t>
        </is>
      </c>
    </row>
    <row r="39">
      <c r="A39" s="2" t="inlineStr">
        <is>
          <t>*处理时长中位数 41.8 小时为该投诉类型全部已结案记录（2024-09~2026-09）的口径；两季分别计算差异很小。结论：2025/26 供暖季投诉多 22%，但 30 天内结案率仅降 1.7 个百分点，承接能力基本稳定。</t>
        </is>
      </c>
    </row>
    <row r="40">
      <c r="A40" s="2" t="inlineStr">
        <is>
          <t>与其他类型对照： Illegal Parking（1,158,806 件）与 Noise - Residential（881,052 件）为第 2、3 大类型，均无此量级的季节摆动；HEAT/HOT WATER 是全市总量冬季峰值的最大单一驱动。</t>
        </is>
      </c>
    </row>
  </sheetData>
  <mergeCells count="4">
    <mergeCell ref="A39:J39"/>
    <mergeCell ref="A1:J1"/>
    <mergeCell ref="A40:J40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0" customWidth="1" min="5" max="5"/>
  </cols>
  <sheetData>
    <row r="1" ht="24" customHeight="1">
      <c r="A1" s="1" t="inlineStr">
        <is>
          <t>发现 3：同比总量 +10.5%，增长的构成与两个结构性跳升</t>
        </is>
      </c>
    </row>
    <row r="3">
      <c r="A3" s="2" t="inlineStr">
        <is>
          <t>口径：可比窗口 = 2024-10 ~ 2025-08（前）vs 2025-10 ~ 2026-08（后），各 11 个完整月，同月对齐。两窗口总量：3,293,003 → 3,639,698，+346,695（+10.5%）。</t>
        </is>
      </c>
    </row>
    <row r="5">
      <c r="A5" s="9" t="inlineStr">
        <is>
          <t>同比增量 Top 12（按绝对增量）</t>
        </is>
      </c>
    </row>
    <row r="6">
      <c r="A6" s="10" t="inlineStr">
        <is>
          <t>投诉类型</t>
        </is>
      </c>
      <c r="B6" s="10" t="inlineStr">
        <is>
          <t>前11个月</t>
        </is>
      </c>
      <c r="C6" s="10" t="inlineStr">
        <is>
          <t>后11个月</t>
        </is>
      </c>
      <c r="D6" s="10" t="inlineStr">
        <is>
          <t>变化</t>
        </is>
      </c>
      <c r="E6" s="10" t="inlineStr">
        <is>
          <t>变化%</t>
        </is>
      </c>
    </row>
    <row r="7">
      <c r="A7" s="11" t="inlineStr">
        <is>
          <t>HEAT/HOT WATER</t>
        </is>
      </c>
      <c r="B7" s="12" t="n">
        <v>290581</v>
      </c>
      <c r="C7" s="12" t="n">
        <v>354225</v>
      </c>
      <c r="D7" s="12" t="n">
        <v>63644</v>
      </c>
      <c r="E7" s="13" t="n">
        <v>21.9</v>
      </c>
    </row>
    <row r="8">
      <c r="A8" s="11" t="inlineStr">
        <is>
          <t>Snow or Ice</t>
        </is>
      </c>
      <c r="B8" s="12" t="n">
        <v>8808</v>
      </c>
      <c r="C8" s="12" t="n">
        <v>63938</v>
      </c>
      <c r="D8" s="12" t="n">
        <v>55130</v>
      </c>
      <c r="E8" s="13" t="n">
        <v>625.9</v>
      </c>
    </row>
    <row r="9">
      <c r="A9" s="11" t="inlineStr">
        <is>
          <t>Illegal Parking</t>
        </is>
      </c>
      <c r="B9" s="12" t="n">
        <v>503051</v>
      </c>
      <c r="C9" s="12" t="n">
        <v>558006</v>
      </c>
      <c r="D9" s="12" t="n">
        <v>54955</v>
      </c>
      <c r="E9" s="13" t="n">
        <v>10.9</v>
      </c>
    </row>
    <row r="10">
      <c r="A10" s="11" t="inlineStr">
        <is>
          <t>Street Condition</t>
        </is>
      </c>
      <c r="B10" s="12" t="n">
        <v>64326</v>
      </c>
      <c r="C10" s="12" t="n">
        <v>112628</v>
      </c>
      <c r="D10" s="12" t="n">
        <v>48302</v>
      </c>
      <c r="E10" s="13" t="n">
        <v>75.09999999999999</v>
      </c>
    </row>
    <row r="11">
      <c r="A11" s="11" t="inlineStr">
        <is>
          <t>Blocked Driveway</t>
        </is>
      </c>
      <c r="B11" s="12" t="n">
        <v>154610</v>
      </c>
      <c r="C11" s="12" t="n">
        <v>178341</v>
      </c>
      <c r="D11" s="12" t="n">
        <v>23731</v>
      </c>
      <c r="E11" s="13" t="n">
        <v>15.3</v>
      </c>
    </row>
    <row r="12">
      <c r="A12" s="11" t="inlineStr">
        <is>
          <t>UNSANITARY CONDITION</t>
        </is>
      </c>
      <c r="B12" s="12" t="n">
        <v>104697</v>
      </c>
      <c r="C12" s="12" t="n">
        <v>122542</v>
      </c>
      <c r="D12" s="12" t="n">
        <v>17845</v>
      </c>
      <c r="E12" s="13" t="n">
        <v>17</v>
      </c>
    </row>
    <row r="13">
      <c r="A13" s="11" t="inlineStr">
        <is>
          <t>Damaged Tree</t>
        </is>
      </c>
      <c r="B13" s="12" t="n">
        <v>24306</v>
      </c>
      <c r="C13" s="12" t="n">
        <v>39803</v>
      </c>
      <c r="D13" s="12" t="n">
        <v>15497</v>
      </c>
      <c r="E13" s="13" t="n">
        <v>63.8</v>
      </c>
    </row>
    <row r="14">
      <c r="A14" s="11" t="inlineStr">
        <is>
          <t>PLUMBING</t>
        </is>
      </c>
      <c r="B14" s="12" t="n">
        <v>62476</v>
      </c>
      <c r="C14" s="12" t="n">
        <v>77795</v>
      </c>
      <c r="D14" s="12" t="n">
        <v>15319</v>
      </c>
      <c r="E14" s="13" t="n">
        <v>24.5</v>
      </c>
    </row>
    <row r="15">
      <c r="A15" s="11" t="inlineStr">
        <is>
          <t>Water Maintenance</t>
        </is>
      </c>
      <c r="B15" s="12" t="n">
        <v>9</v>
      </c>
      <c r="C15" s="12" t="n">
        <v>11297</v>
      </c>
      <c r="D15" s="12" t="n">
        <v>11288</v>
      </c>
      <c r="E15" s="13" t="n">
        <v>125422.2</v>
      </c>
    </row>
    <row r="16">
      <c r="A16" s="11" t="inlineStr">
        <is>
          <t>GENERAL</t>
        </is>
      </c>
      <c r="B16" s="12" t="n">
        <v>29158</v>
      </c>
      <c r="C16" s="12" t="n">
        <v>39166</v>
      </c>
      <c r="D16" s="12" t="n">
        <v>10008</v>
      </c>
      <c r="E16" s="13" t="n">
        <v>34.3</v>
      </c>
    </row>
    <row r="17">
      <c r="A17" s="11" t="inlineStr">
        <is>
          <t>Traffic Signal Condition</t>
        </is>
      </c>
      <c r="B17" s="12" t="n">
        <v>44657</v>
      </c>
      <c r="C17" s="12" t="n">
        <v>54168</v>
      </c>
      <c r="D17" s="12" t="n">
        <v>9511</v>
      </c>
      <c r="E17" s="13" t="n">
        <v>21.3</v>
      </c>
    </row>
    <row r="18">
      <c r="A18" s="11" t="inlineStr">
        <is>
          <t>WATER LEAK</t>
        </is>
      </c>
      <c r="B18" s="12" t="n">
        <v>34224</v>
      </c>
      <c r="C18" s="12" t="n">
        <v>43364</v>
      </c>
      <c r="D18" s="12" t="n">
        <v>9140</v>
      </c>
      <c r="E18" s="13" t="n">
        <v>26.7</v>
      </c>
    </row>
    <row r="20">
      <c r="A20" s="9" t="inlineStr">
        <is>
          <t>同比减少 Top 8</t>
        </is>
      </c>
    </row>
    <row r="21">
      <c r="A21" s="10" t="inlineStr">
        <is>
          <t>投诉类型</t>
        </is>
      </c>
      <c r="B21" s="10" t="inlineStr">
        <is>
          <t>前11个月</t>
        </is>
      </c>
      <c r="C21" s="10" t="inlineStr">
        <is>
          <t>后11个月</t>
        </is>
      </c>
      <c r="D21" s="10" t="inlineStr">
        <is>
          <t>变化</t>
        </is>
      </c>
      <c r="E21" s="10" t="inlineStr">
        <is>
          <t>变化%</t>
        </is>
      </c>
    </row>
    <row r="22">
      <c r="A22" s="11" t="inlineStr">
        <is>
          <t>Drug Activity</t>
        </is>
      </c>
      <c r="B22" s="12" t="n">
        <v>27869</v>
      </c>
      <c r="C22" s="12" t="n">
        <v>8955</v>
      </c>
      <c r="D22" s="12" t="n">
        <v>-18914</v>
      </c>
      <c r="E22" s="13" t="n">
        <v>-67.90000000000001</v>
      </c>
    </row>
    <row r="23">
      <c r="A23" s="11" t="inlineStr">
        <is>
          <t>Lead</t>
        </is>
      </c>
      <c r="B23" s="12" t="n">
        <v>27623</v>
      </c>
      <c r="C23" s="12" t="n">
        <v>13653</v>
      </c>
      <c r="D23" s="12" t="n">
        <v>-13970</v>
      </c>
      <c r="E23" s="13" t="n">
        <v>-50.6</v>
      </c>
    </row>
    <row r="24">
      <c r="A24" s="11" t="inlineStr">
        <is>
          <t>Noise - Helicopter</t>
        </is>
      </c>
      <c r="B24" s="12" t="n">
        <v>21080</v>
      </c>
      <c r="C24" s="12" t="n">
        <v>12019</v>
      </c>
      <c r="D24" s="12" t="n">
        <v>-9061</v>
      </c>
      <c r="E24" s="13" t="n">
        <v>-43</v>
      </c>
    </row>
    <row r="25">
      <c r="A25" s="11" t="inlineStr">
        <is>
          <t>Rodent</t>
        </is>
      </c>
      <c r="B25" s="12" t="n">
        <v>31595</v>
      </c>
      <c r="C25" s="12" t="n">
        <v>22596</v>
      </c>
      <c r="D25" s="12" t="n">
        <v>-8999</v>
      </c>
      <c r="E25" s="13" t="n">
        <v>-28.5</v>
      </c>
    </row>
    <row r="26">
      <c r="A26" s="11" t="inlineStr">
        <is>
          <t>Missed Collection</t>
        </is>
      </c>
      <c r="B26" s="12" t="n">
        <v>40327</v>
      </c>
      <c r="C26" s="12" t="n">
        <v>32260</v>
      </c>
      <c r="D26" s="12" t="n">
        <v>-8067</v>
      </c>
      <c r="E26" s="13" t="n">
        <v>-20</v>
      </c>
    </row>
    <row r="27">
      <c r="A27" s="11" t="inlineStr">
        <is>
          <t>Derelict Vehicles</t>
        </is>
      </c>
      <c r="B27" s="12" t="n">
        <v>41210</v>
      </c>
      <c r="C27" s="12" t="n">
        <v>33264</v>
      </c>
      <c r="D27" s="12" t="n">
        <v>-7946</v>
      </c>
      <c r="E27" s="13" t="n">
        <v>-19.3</v>
      </c>
    </row>
    <row r="28">
      <c r="A28" s="11" t="inlineStr">
        <is>
          <t>Water System</t>
        </is>
      </c>
      <c r="B28" s="12" t="n">
        <v>75320</v>
      </c>
      <c r="C28" s="12" t="n">
        <v>69833</v>
      </c>
      <c r="D28" s="12" t="n">
        <v>-5487</v>
      </c>
      <c r="E28" s="13" t="n">
        <v>-7.3</v>
      </c>
    </row>
    <row r="29">
      <c r="A29" s="11" t="inlineStr">
        <is>
          <t>Noise - Commercial</t>
        </is>
      </c>
      <c r="B29" s="12" t="n">
        <v>59301</v>
      </c>
      <c r="C29" s="12" t="n">
        <v>54370</v>
      </c>
      <c r="D29" s="12" t="n">
        <v>-4931</v>
      </c>
      <c r="E29" s="13" t="n">
        <v>-8.300000000000001</v>
      </c>
    </row>
    <row r="31">
      <c r="A31" s="2" t="inlineStr">
        <is>
          <t>结构性跳升 1：Street Condition 自 2026-03 起月度 1.0~2.9 万件，为此前（约 4-7 千件/月）的约 4 倍；跳升后描述符构成仍以 Pothole 为主（与跳升前一致），受理机构仍为 DOT，未见类型迁移的证据，原因无法从数据内核证（未验证解释）。</t>
        </is>
      </c>
    </row>
    <row r="32">
      <c r="A32" s="2" t="inlineStr">
        <is>
          <t>结构性跳升 2：Snow or Ice 与 2026 年 1 月暴雪相关（2026-01 该类 24,079 件 vs 2025-01 5,161 件），属天气事件而非结构性变化。</t>
        </is>
      </c>
    </row>
    <row r="34">
      <c r="A34" s="9" t="inlineStr">
        <is>
          <t>图7 数据表：Street Condition 月度量（注意 2026-03 跳升）</t>
        </is>
      </c>
    </row>
    <row r="35">
      <c r="A35" s="10" t="inlineStr">
        <is>
          <t>月份</t>
        </is>
      </c>
      <c r="B35" s="10" t="inlineStr">
        <is>
          <t>Street Condition</t>
        </is>
      </c>
    </row>
    <row r="36">
      <c r="A36" s="11" t="inlineStr">
        <is>
          <t>2024-09</t>
        </is>
      </c>
      <c r="B36" s="12" t="n">
        <v>4036</v>
      </c>
    </row>
    <row r="37">
      <c r="A37" s="11" t="inlineStr">
        <is>
          <t>2024-10</t>
        </is>
      </c>
      <c r="B37" s="12" t="n">
        <v>4260</v>
      </c>
    </row>
    <row r="38">
      <c r="A38" s="11" t="inlineStr">
        <is>
          <t>2024-11</t>
        </is>
      </c>
      <c r="B38" s="12" t="n">
        <v>3630</v>
      </c>
    </row>
    <row r="39">
      <c r="A39" s="11" t="inlineStr">
        <is>
          <t>2024-12</t>
        </is>
      </c>
      <c r="B39" s="12" t="n">
        <v>5225</v>
      </c>
    </row>
    <row r="40">
      <c r="A40" s="11" t="inlineStr">
        <is>
          <t>2025-01</t>
        </is>
      </c>
      <c r="B40" s="12" t="n">
        <v>5474</v>
      </c>
    </row>
    <row r="41">
      <c r="A41" s="11" t="inlineStr">
        <is>
          <t>2025-02</t>
        </is>
      </c>
      <c r="B41" s="12" t="n">
        <v>5623</v>
      </c>
    </row>
    <row r="42">
      <c r="A42" s="11" t="inlineStr">
        <is>
          <t>2025-03</t>
        </is>
      </c>
      <c r="B42" s="12" t="n">
        <v>7035</v>
      </c>
    </row>
    <row r="43">
      <c r="A43" s="11" t="inlineStr">
        <is>
          <t>2025-04</t>
        </is>
      </c>
      <c r="B43" s="12" t="n">
        <v>6659</v>
      </c>
    </row>
    <row r="44">
      <c r="A44" s="11" t="inlineStr">
        <is>
          <t>2025-05</t>
        </is>
      </c>
      <c r="B44" s="12" t="n">
        <v>7449</v>
      </c>
    </row>
    <row r="45">
      <c r="A45" s="11" t="inlineStr">
        <is>
          <t>2025-06</t>
        </is>
      </c>
      <c r="B45" s="12" t="n">
        <v>7243</v>
      </c>
    </row>
    <row r="46">
      <c r="A46" s="11" t="inlineStr">
        <is>
          <t>2025-07</t>
        </is>
      </c>
      <c r="B46" s="12" t="n">
        <v>6138</v>
      </c>
    </row>
    <row r="47">
      <c r="A47" s="11" t="inlineStr">
        <is>
          <t>2025-08</t>
        </is>
      </c>
      <c r="B47" s="12" t="n">
        <v>5590</v>
      </c>
    </row>
    <row r="48">
      <c r="A48" s="11" t="inlineStr">
        <is>
          <t>2025-09</t>
        </is>
      </c>
      <c r="B48" s="12" t="n">
        <v>5411</v>
      </c>
    </row>
    <row r="49">
      <c r="A49" s="11" t="inlineStr">
        <is>
          <t>2025-10</t>
        </is>
      </c>
      <c r="B49" s="12" t="n">
        <v>4829</v>
      </c>
    </row>
    <row r="50">
      <c r="A50" s="11" t="inlineStr">
        <is>
          <t>2025-11</t>
        </is>
      </c>
      <c r="B50" s="12" t="n">
        <v>4049</v>
      </c>
    </row>
    <row r="51">
      <c r="A51" s="11" t="inlineStr">
        <is>
          <t>2025-12</t>
        </is>
      </c>
      <c r="B51" s="12" t="n">
        <v>4830</v>
      </c>
    </row>
    <row r="52">
      <c r="A52" s="11" t="inlineStr">
        <is>
          <t>2026-01</t>
        </is>
      </c>
      <c r="B52" s="12" t="n">
        <v>5141</v>
      </c>
    </row>
    <row r="53">
      <c r="A53" s="11" t="inlineStr">
        <is>
          <t>2026-02</t>
        </is>
      </c>
      <c r="B53" s="12" t="n">
        <v>6913</v>
      </c>
    </row>
    <row r="54">
      <c r="A54" s="11" t="inlineStr">
        <is>
          <t>2026-03</t>
        </is>
      </c>
      <c r="B54" s="12" t="n">
        <v>28690</v>
      </c>
    </row>
    <row r="55">
      <c r="A55" s="11" t="inlineStr">
        <is>
          <t>2026-04</t>
        </is>
      </c>
      <c r="B55" s="12" t="n">
        <v>15850</v>
      </c>
    </row>
    <row r="56">
      <c r="A56" s="11" t="inlineStr">
        <is>
          <t>2026-05</t>
        </is>
      </c>
      <c r="B56" s="12" t="n">
        <v>11777</v>
      </c>
    </row>
    <row r="57">
      <c r="A57" s="11" t="inlineStr">
        <is>
          <t>2026-06</t>
        </is>
      </c>
      <c r="B57" s="12" t="n">
        <v>10852</v>
      </c>
    </row>
    <row r="58">
      <c r="A58" s="11" t="inlineStr">
        <is>
          <t>2026-07</t>
        </is>
      </c>
      <c r="B58" s="12" t="n">
        <v>10145</v>
      </c>
    </row>
    <row r="59">
      <c r="A59" s="11" t="inlineStr">
        <is>
          <t>2026-08</t>
        </is>
      </c>
      <c r="B59" s="12" t="n">
        <v>9552</v>
      </c>
    </row>
    <row r="60">
      <c r="A60" s="11" t="inlineStr">
        <is>
          <t>2026-09</t>
        </is>
      </c>
      <c r="B60" s="12" t="n">
        <v>1267</v>
      </c>
    </row>
  </sheetData>
  <mergeCells count="4">
    <mergeCell ref="A32:J32"/>
    <mergeCell ref="A1:J1"/>
    <mergeCell ref="A31:J31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2" customWidth="1" min="5" max="5"/>
  </cols>
  <sheetData>
    <row r="1" ht="24" customHeight="1">
      <c r="A1" s="1" t="inlineStr">
        <is>
          <t>发现 4：处理表现总体稳定；机构差异极大</t>
        </is>
      </c>
    </row>
    <row r="3">
      <c r="A3" s="2" t="inlineStr">
        <is>
          <t>口径1（不受删失影响的结案率）：创建满 30 天的工单中，created→closed ≤ 30 天的比例。仅统计创建于 2026-08-01 之前的月份。</t>
        </is>
      </c>
    </row>
    <row r="4">
      <c r="A4" s="9" t="inlineStr">
        <is>
          <t>图8 数据表：30 天内结案率（按创建月）</t>
        </is>
      </c>
    </row>
    <row r="5">
      <c r="A5" s="10" t="inlineStr">
        <is>
          <t>月份</t>
        </is>
      </c>
      <c r="B5" s="10" t="inlineStr">
        <is>
          <t>创建量</t>
        </is>
      </c>
      <c r="C5" s="10" t="inlineStr">
        <is>
          <t>30天内结案%</t>
        </is>
      </c>
    </row>
    <row r="6">
      <c r="A6" s="11" t="inlineStr">
        <is>
          <t>2024-09</t>
        </is>
      </c>
      <c r="B6" s="12" t="n">
        <v>248139</v>
      </c>
      <c r="C6" s="13" t="n">
        <v>92</v>
      </c>
    </row>
    <row r="7">
      <c r="A7" s="11" t="inlineStr">
        <is>
          <t>2024-10</t>
        </is>
      </c>
      <c r="B7" s="12" t="n">
        <v>306803</v>
      </c>
      <c r="C7" s="13" t="n">
        <v>90.59999999999999</v>
      </c>
    </row>
    <row r="8">
      <c r="A8" s="11" t="inlineStr">
        <is>
          <t>2024-11</t>
        </is>
      </c>
      <c r="B8" s="12" t="n">
        <v>293515</v>
      </c>
      <c r="C8" s="13" t="n">
        <v>89.90000000000001</v>
      </c>
    </row>
    <row r="9">
      <c r="A9" s="11" t="inlineStr">
        <is>
          <t>2024-12</t>
        </is>
      </c>
      <c r="B9" s="12" t="n">
        <v>313949</v>
      </c>
      <c r="C9" s="13" t="n">
        <v>90.09999999999999</v>
      </c>
    </row>
    <row r="10">
      <c r="A10" s="11" t="inlineStr">
        <is>
          <t>2025-01</t>
        </is>
      </c>
      <c r="B10" s="12" t="n">
        <v>348180</v>
      </c>
      <c r="C10" s="13" t="n">
        <v>91.40000000000001</v>
      </c>
    </row>
    <row r="11">
      <c r="A11" s="11" t="inlineStr">
        <is>
          <t>2025-02</t>
        </is>
      </c>
      <c r="B11" s="12" t="n">
        <v>255364</v>
      </c>
      <c r="C11" s="13" t="n">
        <v>91</v>
      </c>
    </row>
    <row r="12">
      <c r="A12" s="11" t="inlineStr">
        <is>
          <t>2025-03</t>
        </is>
      </c>
      <c r="B12" s="12" t="n">
        <v>281221</v>
      </c>
      <c r="C12" s="13" t="n">
        <v>90.59999999999999</v>
      </c>
    </row>
    <row r="13">
      <c r="A13" s="11" t="inlineStr">
        <is>
          <t>2025-04</t>
        </is>
      </c>
      <c r="B13" s="12" t="n">
        <v>272549</v>
      </c>
      <c r="C13" s="13" t="n">
        <v>90.7</v>
      </c>
    </row>
    <row r="14">
      <c r="A14" s="11" t="inlineStr">
        <is>
          <t>2025-05</t>
        </is>
      </c>
      <c r="B14" s="12" t="n">
        <v>295058</v>
      </c>
      <c r="C14" s="13" t="n">
        <v>91.3</v>
      </c>
    </row>
    <row r="15">
      <c r="A15" s="11" t="inlineStr">
        <is>
          <t>2025-06</t>
        </is>
      </c>
      <c r="B15" s="12" t="n">
        <v>306442</v>
      </c>
      <c r="C15" s="13" t="n">
        <v>90.7</v>
      </c>
    </row>
    <row r="16">
      <c r="A16" s="11" t="inlineStr">
        <is>
          <t>2025-07</t>
        </is>
      </c>
      <c r="B16" s="12" t="n">
        <v>315883</v>
      </c>
      <c r="C16" s="13" t="n">
        <v>90.8</v>
      </c>
    </row>
    <row r="17">
      <c r="A17" s="11" t="inlineStr">
        <is>
          <t>2025-08</t>
        </is>
      </c>
      <c r="B17" s="12" t="n">
        <v>304039</v>
      </c>
      <c r="C17" s="13" t="n">
        <v>92.2</v>
      </c>
    </row>
    <row r="18">
      <c r="A18" s="11" t="inlineStr">
        <is>
          <t>2025-09</t>
        </is>
      </c>
      <c r="B18" s="12" t="n">
        <v>302684</v>
      </c>
      <c r="C18" s="13" t="n">
        <v>92.7</v>
      </c>
    </row>
    <row r="19">
      <c r="A19" s="11" t="inlineStr">
        <is>
          <t>2025-10</t>
        </is>
      </c>
      <c r="B19" s="12" t="n">
        <v>336612</v>
      </c>
      <c r="C19" s="13" t="n">
        <v>91.5</v>
      </c>
    </row>
    <row r="20">
      <c r="A20" s="11" t="inlineStr">
        <is>
          <t>2025-11</t>
        </is>
      </c>
      <c r="B20" s="12" t="n">
        <v>304905</v>
      </c>
      <c r="C20" s="13" t="n">
        <v>91.7</v>
      </c>
    </row>
    <row r="21">
      <c r="A21" s="11" t="inlineStr">
        <is>
          <t>2025-12</t>
        </is>
      </c>
      <c r="B21" s="12" t="n">
        <v>332103</v>
      </c>
      <c r="C21" s="13" t="n">
        <v>91.2</v>
      </c>
    </row>
    <row r="22">
      <c r="A22" s="11" t="inlineStr">
        <is>
          <t>2026-01</t>
        </is>
      </c>
      <c r="B22" s="12" t="n">
        <v>348511</v>
      </c>
      <c r="C22" s="13" t="n">
        <v>89.8</v>
      </c>
    </row>
    <row r="23">
      <c r="A23" s="11" t="inlineStr">
        <is>
          <t>2026-02</t>
        </is>
      </c>
      <c r="B23" s="12" t="n">
        <v>334690</v>
      </c>
      <c r="C23" s="13" t="n">
        <v>89.5</v>
      </c>
    </row>
    <row r="24">
      <c r="A24" s="11" t="inlineStr">
        <is>
          <t>2026-03</t>
        </is>
      </c>
      <c r="B24" s="12" t="n">
        <v>342387</v>
      </c>
      <c r="C24" s="13" t="n">
        <v>89.7</v>
      </c>
    </row>
    <row r="25">
      <c r="A25" s="11" t="inlineStr">
        <is>
          <t>2026-04</t>
        </is>
      </c>
      <c r="B25" s="12" t="n">
        <v>302190</v>
      </c>
      <c r="C25" s="13" t="n">
        <v>90.40000000000001</v>
      </c>
    </row>
    <row r="26">
      <c r="A26" s="11" t="inlineStr">
        <is>
          <t>2026-05</t>
        </is>
      </c>
      <c r="B26" s="12" t="n">
        <v>331978</v>
      </c>
      <c r="C26" s="13" t="n">
        <v>91</v>
      </c>
    </row>
    <row r="27">
      <c r="A27" s="11" t="inlineStr">
        <is>
          <t>2026-06</t>
        </is>
      </c>
      <c r="B27" s="12" t="n">
        <v>334833</v>
      </c>
      <c r="C27" s="13" t="n">
        <v>91.09999999999999</v>
      </c>
    </row>
    <row r="28">
      <c r="A28" s="11" t="inlineStr">
        <is>
          <t>2026-07</t>
        </is>
      </c>
      <c r="B28" s="12" t="n">
        <v>343043</v>
      </c>
      <c r="C28" s="13" t="n">
        <v>88.59999999999999</v>
      </c>
    </row>
    <row r="30">
      <c r="A30" s="2" t="inlineStr">
        <is>
          <t>解读：23 个可评月份（2024-09 ~ 2026-07）全部落在 88.6%~92.7%；近期原始 status=Closed 占比下降（如 2026-08 为 83.8%）是右删失所致，不是处理恶化。</t>
        </is>
      </c>
    </row>
    <row r="31">
      <c r="A31" s="9" t="inlineStr">
        <is>
          <t>各机构处理时长（已结案、时长≥0；机构结案量&gt;2万）</t>
        </is>
      </c>
    </row>
    <row r="32">
      <c r="A32" s="10" t="inlineStr">
        <is>
          <t>机构</t>
        </is>
      </c>
      <c r="B32" s="10" t="inlineStr">
        <is>
          <t>已结案量</t>
        </is>
      </c>
      <c r="C32" s="10" t="inlineStr">
        <is>
          <t>中位时长(小时)</t>
        </is>
      </c>
      <c r="D32" s="10" t="inlineStr">
        <is>
          <t>P90(小时)</t>
        </is>
      </c>
      <c r="E32" s="10" t="inlineStr">
        <is>
          <t>均值(小时)</t>
        </is>
      </c>
    </row>
    <row r="33">
      <c r="A33" s="11" t="inlineStr">
        <is>
          <t>NYPD</t>
        </is>
      </c>
      <c r="B33" s="12" t="n">
        <v>3402671</v>
      </c>
      <c r="C33" s="12" t="n">
        <v>1.3</v>
      </c>
      <c r="D33" s="12" t="n">
        <v>7</v>
      </c>
      <c r="E33" s="12" t="n">
        <v>3</v>
      </c>
    </row>
    <row r="34">
      <c r="A34" s="11" t="inlineStr">
        <is>
          <t>DHS</t>
        </is>
      </c>
      <c r="B34" s="12" t="n">
        <v>83843</v>
      </c>
      <c r="C34" s="12" t="n">
        <v>7.4</v>
      </c>
      <c r="D34" s="12" t="n">
        <v>223.6</v>
      </c>
      <c r="E34" s="12" t="n">
        <v>101.9</v>
      </c>
    </row>
    <row r="35">
      <c r="A35" s="11" t="inlineStr">
        <is>
          <t>DEP</t>
        </is>
      </c>
      <c r="B35" s="12" t="n">
        <v>413085</v>
      </c>
      <c r="C35" s="12" t="n">
        <v>22.4</v>
      </c>
      <c r="D35" s="12" t="n">
        <v>227.9</v>
      </c>
      <c r="E35" s="12" t="n">
        <v>103.4</v>
      </c>
    </row>
    <row r="36">
      <c r="A36" s="11" t="inlineStr">
        <is>
          <t>DSNY</t>
        </is>
      </c>
      <c r="B36" s="12" t="n">
        <v>676534</v>
      </c>
      <c r="C36" s="12" t="n">
        <v>33.8</v>
      </c>
      <c r="D36" s="12" t="n">
        <v>170.2</v>
      </c>
      <c r="E36" s="12" t="n">
        <v>86.8</v>
      </c>
    </row>
    <row r="37">
      <c r="A37" s="11" t="inlineStr">
        <is>
          <t>DOT</t>
        </is>
      </c>
      <c r="B37" s="12" t="n">
        <v>456406</v>
      </c>
      <c r="C37" s="12" t="n">
        <v>46.9</v>
      </c>
      <c r="D37" s="12" t="n">
        <v>402</v>
      </c>
      <c r="E37" s="12" t="n">
        <v>219.6</v>
      </c>
    </row>
    <row r="38">
      <c r="A38" s="11" t="inlineStr">
        <is>
          <t>DOHMH</t>
        </is>
      </c>
      <c r="B38" s="12" t="n">
        <v>154030</v>
      </c>
      <c r="C38" s="12" t="n">
        <v>62.6</v>
      </c>
      <c r="D38" s="12" t="n">
        <v>1441</v>
      </c>
      <c r="E38" s="12" t="n">
        <v>530.5</v>
      </c>
    </row>
    <row r="39">
      <c r="A39" s="11" t="inlineStr">
        <is>
          <t>HPD</t>
        </is>
      </c>
      <c r="B39" s="12" t="n">
        <v>1573865</v>
      </c>
      <c r="C39" s="12" t="n">
        <v>87.5</v>
      </c>
      <c r="D39" s="12" t="n">
        <v>892.8</v>
      </c>
      <c r="E39" s="12" t="n">
        <v>348.8</v>
      </c>
    </row>
    <row r="40">
      <c r="A40" s="11" t="inlineStr">
        <is>
          <t>DCWP</t>
        </is>
      </c>
      <c r="B40" s="12" t="n">
        <v>37054</v>
      </c>
      <c r="C40" s="12" t="n">
        <v>123.8</v>
      </c>
      <c r="D40" s="12" t="n">
        <v>786.1</v>
      </c>
      <c r="E40" s="12" t="n">
        <v>391.5</v>
      </c>
    </row>
    <row r="41">
      <c r="A41" s="11" t="inlineStr">
        <is>
          <t>DPR</t>
        </is>
      </c>
      <c r="B41" s="12" t="n">
        <v>186384</v>
      </c>
      <c r="C41" s="12" t="n">
        <v>165.3</v>
      </c>
      <c r="D41" s="12" t="n">
        <v>3447.4</v>
      </c>
      <c r="E41" s="12" t="n">
        <v>1040.9</v>
      </c>
    </row>
    <row r="42">
      <c r="A42" s="11" t="inlineStr">
        <is>
          <t>DOB</t>
        </is>
      </c>
      <c r="B42" s="12" t="n">
        <v>200462</v>
      </c>
      <c r="C42" s="12" t="n">
        <v>183.4</v>
      </c>
      <c r="D42" s="12" t="n">
        <v>3684.6</v>
      </c>
      <c r="E42" s="12" t="n">
        <v>1126.6</v>
      </c>
    </row>
    <row r="43">
      <c r="A43" s="11" t="inlineStr">
        <is>
          <t>TLC</t>
        </is>
      </c>
      <c r="B43" s="12" t="n">
        <v>50144</v>
      </c>
      <c r="C43" s="12" t="n">
        <v>970.7</v>
      </c>
      <c r="D43" s="12" t="n">
        <v>4832.3</v>
      </c>
      <c r="E43" s="12" t="n">
        <v>1787.4</v>
      </c>
    </row>
    <row r="45">
      <c r="A45" s="2" t="inlineStr">
        <is>
          <t>注意：均值受超长尾部影响大（最长结案近 2 年）；机构间差异部分反映业务性质（NYPD 噪声类 1.3 小时快速关闭 vs TLC 出租车投诉近 40 天中位），不能直接解释为绩效优劣。</t>
        </is>
      </c>
    </row>
    <row r="47">
      <c r="A47" s="9" t="inlineStr">
        <is>
          <t>未结案工单账龄（截至数据截止 2026-09-07）</t>
        </is>
      </c>
    </row>
    <row r="48">
      <c r="A48" s="10" t="inlineStr">
        <is>
          <t>状态</t>
        </is>
      </c>
      <c r="B48" s="10" t="inlineStr">
        <is>
          <t>未结案量</t>
        </is>
      </c>
      <c r="C48" s="10" t="inlineStr">
        <is>
          <t>其中超90天</t>
        </is>
      </c>
      <c r="D48" s="10" t="inlineStr">
        <is>
          <t>账龄中位数(天)</t>
        </is>
      </c>
    </row>
    <row r="49">
      <c r="A49" s="11" t="inlineStr">
        <is>
          <t>In Progress</t>
        </is>
      </c>
      <c r="B49" s="12" t="n">
        <v>140752</v>
      </c>
      <c r="C49" s="12" t="n">
        <v>81436</v>
      </c>
      <c r="D49" s="12" t="n">
        <v>117</v>
      </c>
    </row>
    <row r="50">
      <c r="A50" s="11" t="inlineStr">
        <is>
          <t>Open</t>
        </is>
      </c>
      <c r="B50" s="12" t="n">
        <v>81247</v>
      </c>
      <c r="C50" s="12" t="n">
        <v>31692</v>
      </c>
      <c r="D50" s="12" t="n">
        <v>48</v>
      </c>
    </row>
    <row r="51">
      <c r="A51" s="11" t="inlineStr">
        <is>
          <t>Assigned</t>
        </is>
      </c>
      <c r="B51" s="12" t="n">
        <v>15753</v>
      </c>
      <c r="C51" s="12" t="n">
        <v>11426</v>
      </c>
      <c r="D51" s="12" t="n">
        <v>175</v>
      </c>
    </row>
    <row r="52">
      <c r="A52" s="11" t="inlineStr">
        <is>
          <t>Pending</t>
        </is>
      </c>
      <c r="B52" s="12" t="n">
        <v>9475</v>
      </c>
      <c r="C52" s="12" t="n">
        <v>8939</v>
      </c>
      <c r="D52" s="12" t="n">
        <v>263</v>
      </c>
    </row>
    <row r="53">
      <c r="A53" s="11" t="inlineStr">
        <is>
          <t>Started</t>
        </is>
      </c>
      <c r="B53" s="12" t="n">
        <v>2620</v>
      </c>
      <c r="C53" s="12" t="n">
        <v>2331</v>
      </c>
      <c r="D53" s="12" t="n">
        <v>273</v>
      </c>
    </row>
    <row r="54">
      <c r="A54" s="11" t="inlineStr">
        <is>
          <t>Unspecified</t>
        </is>
      </c>
      <c r="B54" s="12" t="n">
        <v>302</v>
      </c>
      <c r="C54" s="12" t="n">
        <v>267</v>
      </c>
      <c r="D54" s="12" t="n">
        <v>334</v>
      </c>
    </row>
    <row r="56">
      <c r="A56" s="2" t="inlineStr">
        <is>
          <t>全数据共 250,149 条未结案（3.3%），其中约 54% 账龄超 90 天；未结案工单随时间自然消化，近月占比高属正常。</t>
        </is>
      </c>
    </row>
  </sheetData>
  <mergeCells count="5">
    <mergeCell ref="A45:J45"/>
    <mergeCell ref="A1:J1"/>
    <mergeCell ref="A56:J56"/>
    <mergeCell ref="A3:J3"/>
    <mergeCell ref="A30:J30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4" customHeight="1">
      <c r="A1" s="1" t="inlineStr">
        <is>
          <t>数据质量核查与口径说明</t>
        </is>
      </c>
    </row>
    <row r="3">
      <c r="A3" s="2" t="inlineStr">
        <is>
          <t>核查范围：全量 25 分片、7,525,498 行。核查项与结果如下（均为源数据可复查的计数）。</t>
        </is>
      </c>
    </row>
    <row r="5">
      <c r="A5" s="9" t="inlineStr">
        <is>
          <t>数据质量核查表</t>
        </is>
      </c>
    </row>
    <row r="6">
      <c r="A6" s="10" t="inlineStr">
        <is>
          <t>核查项</t>
        </is>
      </c>
      <c r="B6" s="10" t="inlineStr">
        <is>
          <t>结果</t>
        </is>
      </c>
    </row>
    <row r="7">
      <c r="A7" s="11" t="inlineStr">
        <is>
          <t>unique_key 唯一性</t>
        </is>
      </c>
      <c r="B7" s="11" t="inlineStr">
        <is>
          <t>7,525,498 / 7,525,498 唯一，无重复</t>
        </is>
      </c>
    </row>
    <row r="8">
      <c r="A8" s="11" t="inlineStr">
        <is>
          <t>created_date 可解析性</t>
        </is>
      </c>
      <c r="B8" s="11" t="inlineStr">
        <is>
          <t>0 条无法解析</t>
        </is>
      </c>
    </row>
    <row r="9">
      <c r="A9" s="11" t="inlineStr">
        <is>
          <t>created_date 覆盖</t>
        </is>
      </c>
      <c r="B9" s="11" t="inlineStr">
        <is>
          <t>2024-09-07 ~ 2026-09-05（末分片标注至 09-07，实际最大值 09-05）</t>
        </is>
      </c>
    </row>
    <row r="10">
      <c r="A10" s="11" t="inlineStr">
        <is>
          <t>closed_date 缺失（status=Closed）</t>
        </is>
      </c>
      <c r="B10" s="11" t="inlineStr">
        <is>
          <t>15,543 件（0.2%），计算时长时剔除</t>
        </is>
      </c>
    </row>
    <row r="11">
      <c r="A11" s="11" t="inlineStr">
        <is>
          <t>closed_date 存在但 status≠Closed</t>
        </is>
      </c>
      <c r="B11" s="11" t="inlineStr">
        <is>
          <t>25,388 件，口径判断以 status 为准</t>
        </is>
      </c>
    </row>
    <row r="12">
      <c r="A12" s="11" t="inlineStr">
        <is>
          <t>closed_date 早于 created_date（负时长）</t>
        </is>
      </c>
      <c r="B12" s="11" t="inlineStr">
        <is>
          <t>547 件，计为数据错误并剔除</t>
        </is>
      </c>
    </row>
    <row r="13">
      <c r="A13" s="11" t="inlineStr">
        <is>
          <t>结案时长 &lt; 1 分钟</t>
        </is>
      </c>
      <c r="B13" s="11" t="inlineStr">
        <is>
          <t>140,483 件（多为系统快速关闭，保留但在时长解读中说明）</t>
        </is>
      </c>
    </row>
    <row r="14">
      <c r="A14" s="11" t="inlineStr">
        <is>
          <t>结案时长 &gt; 1 年</t>
        </is>
      </c>
      <c r="B14" s="11" t="inlineStr">
        <is>
          <t>7,797 件（最长约 718 天）</t>
        </is>
      </c>
    </row>
    <row r="15">
      <c r="A15" s="11" t="inlineStr">
        <is>
          <t>地址格式</t>
        </is>
      </c>
      <c r="B15" s="11" t="inlineStr">
        <is>
          <t>2026 年起 '655 EAST  230 STREET'（双空格）变为单空格写法；热点统计用前缀匹配规避</t>
        </is>
      </c>
    </row>
    <row r="16">
      <c r="A16" s="11" t="inlineStr">
        <is>
          <t>投诉类型目录</t>
        </is>
      </c>
      <c r="B16" s="11" t="inlineStr">
        <is>
          <t>存在新增/消亡类型（如 Cannabis Retailer 2025-09 新增 4,196 件；Water Maintenance 自 11 件增至 11,297 件），同比比较用全外连接</t>
        </is>
      </c>
    </row>
    <row r="19">
      <c r="A19" s="8" t="inlineStr">
        <is>
          <t>主要口径与假设：</t>
        </is>
      </c>
    </row>
    <row r="20">
      <c r="A20" s="2" t="inlineStr">
        <is>
          <t>1. 所有“量”均为 311 记录数（服务请求条数），不代表独立事件数或人口加权发生率；热点分析已表明记录数可被重复提交放大。</t>
        </is>
      </c>
    </row>
    <row r="21">
      <c r="A21" s="2" t="inlineStr">
        <is>
          <t>2. 时间均以 created_date 为准；月度趋势剔除不完整首末月；同比用同月对齐的可比窗口（各 11 个完整月）。</t>
        </is>
      </c>
    </row>
    <row r="22">
      <c r="A22" s="2" t="inlineStr">
        <is>
          <t>3. 结案判定以 status='Closed' 为准；时长 = closed_date - created_date，剔除负值与缺失值。</t>
        </is>
      </c>
    </row>
    <row r="23">
      <c r="A23" s="2" t="inlineStr">
        <is>
          <t>4. 30 天结案率仅统计创建满 30 天的工单，以消除右删失。</t>
        </is>
      </c>
    </row>
    <row r="24">
      <c r="A24" s="2" t="inlineStr">
        <is>
          <t>5. E230 热点判定基于地址前缀 + 邮区匹配，已核对两个冬天写法变化；未见同址其他写法超过 15 件。</t>
        </is>
      </c>
    </row>
    <row r="25">
      <c r="A25" s="2" t="inlineStr">
        <is>
          <t>6. borough='Unspecified'（6,331 件，0.08%）不单独分析。</t>
        </is>
      </c>
    </row>
    <row r="27">
      <c r="A27" s="2" t="inlineStr">
        <is>
          <t>未验证解释（区别于事实/推断）：E230 热点的成因（建筑用途、举报主体）；Street Condition 2026-03 跳升原因；2025/26 供暖季增幅与气温的关系（数据集内无气象数据）。</t>
        </is>
      </c>
    </row>
  </sheetData>
  <mergeCells count="10">
    <mergeCell ref="A1:J1"/>
    <mergeCell ref="A23:J23"/>
    <mergeCell ref="A22:J22"/>
    <mergeCell ref="A27:J27"/>
    <mergeCell ref="A3:J3"/>
    <mergeCell ref="A21:J21"/>
    <mergeCell ref="A20:J20"/>
    <mergeCell ref="A24:J24"/>
    <mergeCell ref="A25:J25"/>
    <mergeCell ref="A19:J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支撑明细表（与各发现页数据一致，供回查）</t>
        </is>
      </c>
    </row>
    <row r="3">
      <c r="A3" s="9" t="inlineStr">
        <is>
          <t>全期 Top 20 投诉类型</t>
        </is>
      </c>
    </row>
    <row r="4">
      <c r="A4" s="10" t="inlineStr">
        <is>
          <t>投诉类型</t>
        </is>
      </c>
      <c r="B4" s="10" t="inlineStr">
        <is>
          <t>件数</t>
        </is>
      </c>
    </row>
    <row r="5">
      <c r="A5" s="11" t="inlineStr">
        <is>
          <t>Illegal Parking</t>
        </is>
      </c>
      <c r="B5" s="12" t="n">
        <v>1159053</v>
      </c>
    </row>
    <row r="6">
      <c r="A6" s="11" t="inlineStr">
        <is>
          <t>Noise - Residential</t>
        </is>
      </c>
      <c r="B6" s="12" t="n">
        <v>881548</v>
      </c>
    </row>
    <row r="7">
      <c r="A7" s="11" t="inlineStr">
        <is>
          <t>HEAT/HOT WATER</t>
        </is>
      </c>
      <c r="B7" s="12" t="n">
        <v>651594</v>
      </c>
    </row>
    <row r="8">
      <c r="A8" s="11" t="inlineStr">
        <is>
          <t>Blocked Driveway</t>
        </is>
      </c>
      <c r="B8" s="12" t="n">
        <v>362642</v>
      </c>
    </row>
    <row r="9">
      <c r="A9" s="11" t="inlineStr">
        <is>
          <t>Noise - Street/Sidewalk</t>
        </is>
      </c>
      <c r="B9" s="12" t="n">
        <v>349299</v>
      </c>
    </row>
    <row r="10">
      <c r="A10" s="11" t="inlineStr">
        <is>
          <t>UNSANITARY CONDITION</t>
        </is>
      </c>
      <c r="B10" s="12" t="n">
        <v>249446</v>
      </c>
    </row>
    <row r="11">
      <c r="A11" s="11" t="inlineStr">
        <is>
          <t>Street Condition</t>
        </is>
      </c>
      <c r="B11" s="12" t="n">
        <v>187668</v>
      </c>
    </row>
    <row r="12">
      <c r="A12" s="11" t="inlineStr">
        <is>
          <t>Water System</t>
        </is>
      </c>
      <c r="B12" s="12" t="n">
        <v>152736</v>
      </c>
    </row>
    <row r="13">
      <c r="A13" s="11" t="inlineStr">
        <is>
          <t>PLUMBING</t>
        </is>
      </c>
      <c r="B13" s="12" t="n">
        <v>150696</v>
      </c>
    </row>
    <row r="14">
      <c r="A14" s="11" t="inlineStr">
        <is>
          <t>Abandoned Vehicle</t>
        </is>
      </c>
      <c r="B14" s="12" t="n">
        <v>139896</v>
      </c>
    </row>
    <row r="15">
      <c r="A15" s="11" t="inlineStr">
        <is>
          <t>Dirty Condition</t>
        </is>
      </c>
      <c r="B15" s="12" t="n">
        <v>129570</v>
      </c>
    </row>
    <row r="16">
      <c r="A16" s="11" t="inlineStr">
        <is>
          <t>Noise - Commercial</t>
        </is>
      </c>
      <c r="B16" s="12" t="n">
        <v>126247</v>
      </c>
    </row>
    <row r="17">
      <c r="A17" s="11" t="inlineStr">
        <is>
          <t>PAINT/PLASTER</t>
        </is>
      </c>
      <c r="B17" s="12" t="n">
        <v>125565</v>
      </c>
    </row>
    <row r="18">
      <c r="A18" s="11" t="inlineStr">
        <is>
          <t>Noise</t>
        </is>
      </c>
      <c r="B18" s="12" t="n">
        <v>114654</v>
      </c>
    </row>
    <row r="19">
      <c r="A19" s="11" t="inlineStr">
        <is>
          <t>Traffic Signal Condition</t>
        </is>
      </c>
      <c r="B19" s="12" t="n">
        <v>104791</v>
      </c>
    </row>
    <row r="20">
      <c r="A20" s="11" t="inlineStr">
        <is>
          <t>DOOR/WINDOW</t>
        </is>
      </c>
      <c r="B20" s="12" t="n">
        <v>96879</v>
      </c>
    </row>
    <row r="21">
      <c r="A21" s="11" t="inlineStr">
        <is>
          <t>Encampment</t>
        </is>
      </c>
      <c r="B21" s="12" t="n">
        <v>96164</v>
      </c>
    </row>
    <row r="22">
      <c r="A22" s="11" t="inlineStr">
        <is>
          <t>Noise - Vehicle</t>
        </is>
      </c>
      <c r="B22" s="12" t="n">
        <v>92971</v>
      </c>
    </row>
    <row r="23">
      <c r="A23" s="11" t="inlineStr">
        <is>
          <t>WATER LEAK</t>
        </is>
      </c>
      <c r="B23" s="12" t="n">
        <v>83895</v>
      </c>
    </row>
    <row r="24">
      <c r="A24" s="11" t="inlineStr">
        <is>
          <t>Derelict Vehicles</t>
        </is>
      </c>
      <c r="B24" s="12" t="n">
        <v>82540</v>
      </c>
    </row>
    <row r="26">
      <c r="A26" s="9" t="inlineStr">
        <is>
          <t>全期 Top 12 受理机构</t>
        </is>
      </c>
    </row>
    <row r="27">
      <c r="A27" s="10" t="inlineStr">
        <is>
          <t>机构</t>
        </is>
      </c>
      <c r="B27" s="10" t="inlineStr">
        <is>
          <t>件数</t>
        </is>
      </c>
    </row>
    <row r="28">
      <c r="A28" s="11" t="inlineStr">
        <is>
          <t>NYPD</t>
        </is>
      </c>
      <c r="B28" s="12" t="n">
        <v>3403951</v>
      </c>
    </row>
    <row r="29">
      <c r="A29" s="11" t="inlineStr">
        <is>
          <t>HPD</t>
        </is>
      </c>
      <c r="B29" s="12" t="n">
        <v>1633583</v>
      </c>
    </row>
    <row r="30">
      <c r="A30" s="11" t="inlineStr">
        <is>
          <t>DSNY</t>
        </is>
      </c>
      <c r="B30" s="12" t="n">
        <v>686438</v>
      </c>
    </row>
    <row r="31">
      <c r="A31" s="11" t="inlineStr">
        <is>
          <t>DOT</t>
        </is>
      </c>
      <c r="B31" s="12" t="n">
        <v>485140</v>
      </c>
    </row>
    <row r="32">
      <c r="A32" s="11" t="inlineStr">
        <is>
          <t>DEP</t>
        </is>
      </c>
      <c r="B32" s="12" t="n">
        <v>424101</v>
      </c>
    </row>
    <row r="33">
      <c r="A33" s="11" t="inlineStr">
        <is>
          <t>DPR</t>
        </is>
      </c>
      <c r="B33" s="12" t="n">
        <v>244023</v>
      </c>
    </row>
    <row r="34">
      <c r="A34" s="11" t="inlineStr">
        <is>
          <t>DOB</t>
        </is>
      </c>
      <c r="B34" s="12" t="n">
        <v>218945</v>
      </c>
    </row>
    <row r="35">
      <c r="A35" s="11" t="inlineStr">
        <is>
          <t>DOHMH</t>
        </is>
      </c>
      <c r="B35" s="12" t="n">
        <v>169118</v>
      </c>
    </row>
    <row r="36">
      <c r="A36" s="11" t="inlineStr">
        <is>
          <t>DHS</t>
        </is>
      </c>
      <c r="B36" s="12" t="n">
        <v>101425</v>
      </c>
    </row>
    <row r="37">
      <c r="A37" s="11" t="inlineStr">
        <is>
          <t>TLC</t>
        </is>
      </c>
      <c r="B37" s="12" t="n">
        <v>75453</v>
      </c>
    </row>
    <row r="38">
      <c r="A38" s="11" t="inlineStr">
        <is>
          <t>DCWP</t>
        </is>
      </c>
      <c r="B38" s="12" t="n">
        <v>38580</v>
      </c>
    </row>
    <row r="39">
      <c r="A39" s="11" t="inlineStr">
        <is>
          <t>EDC</t>
        </is>
      </c>
      <c r="B39" s="12" t="n">
        <v>36776</v>
      </c>
    </row>
    <row r="41">
      <c r="A41" s="9" t="inlineStr">
        <is>
          <t>按行政区分布</t>
        </is>
      </c>
    </row>
    <row r="42">
      <c r="A42" s="10" t="inlineStr">
        <is>
          <t>行政区</t>
        </is>
      </c>
      <c r="B42" s="10" t="inlineStr">
        <is>
          <t>件数</t>
        </is>
      </c>
    </row>
    <row r="43">
      <c r="A43" s="11" t="inlineStr">
        <is>
          <t>BROOKLYN</t>
        </is>
      </c>
      <c r="B43" s="12" t="n">
        <v>2259561</v>
      </c>
    </row>
    <row r="44">
      <c r="A44" s="11" t="inlineStr">
        <is>
          <t>QUEENS</t>
        </is>
      </c>
      <c r="B44" s="12" t="n">
        <v>1818742</v>
      </c>
    </row>
    <row r="45">
      <c r="A45" s="11" t="inlineStr">
        <is>
          <t>BRONX</t>
        </is>
      </c>
      <c r="B45" s="12" t="n">
        <v>1664397</v>
      </c>
    </row>
    <row r="46">
      <c r="A46" s="11" t="inlineStr">
        <is>
          <t>MANHATTAN</t>
        </is>
      </c>
      <c r="B46" s="12" t="n">
        <v>1487092</v>
      </c>
    </row>
    <row r="47">
      <c r="A47" s="11" t="inlineStr">
        <is>
          <t>STATEN ISLAND</t>
        </is>
      </c>
      <c r="B47" s="12" t="n">
        <v>289375</v>
      </c>
    </row>
    <row r="48">
      <c r="A48" s="11" t="inlineStr">
        <is>
          <t>Unspecified</t>
        </is>
      </c>
      <c r="B48" s="12" t="n">
        <v>6331</v>
      </c>
    </row>
    <row r="50">
      <c r="A50" s="9" t="inlineStr">
        <is>
          <t>月度总表（全字段）</t>
        </is>
      </c>
    </row>
    <row r="51">
      <c r="A51" s="10" t="inlineStr">
        <is>
          <t>ym</t>
        </is>
      </c>
      <c r="B51" s="10" t="inlineStr">
        <is>
          <t>全部请求</t>
        </is>
      </c>
      <c r="C51" s="10" t="inlineStr">
        <is>
          <t>HEAT/HOT WATER</t>
        </is>
      </c>
      <c r="D51" s="10" t="inlineStr">
        <is>
          <t>住宅噪声(全市)</t>
        </is>
      </c>
      <c r="E51" s="10" t="inlineStr">
        <is>
          <t>其中E230热点</t>
        </is>
      </c>
      <c r="F51" s="10" t="inlineStr">
        <is>
          <t>住宅噪声(剔除热点)</t>
        </is>
      </c>
      <c r="G51" s="10" t="inlineStr">
        <is>
          <t>Street Condition</t>
        </is>
      </c>
    </row>
    <row r="52">
      <c r="A52" s="11" t="inlineStr">
        <is>
          <t>2024-09</t>
        </is>
      </c>
      <c r="B52" s="12" t="n">
        <v>248139</v>
      </c>
      <c r="C52" s="12" t="n">
        <v>2696</v>
      </c>
      <c r="D52" s="12" t="n">
        <v>39381</v>
      </c>
      <c r="E52" s="12" t="n">
        <v>15656</v>
      </c>
      <c r="F52" s="12" t="n">
        <v>23725</v>
      </c>
      <c r="G52" s="12" t="n">
        <v>4036</v>
      </c>
    </row>
    <row r="53">
      <c r="A53" s="11" t="inlineStr">
        <is>
          <t>2024-10</t>
        </is>
      </c>
      <c r="B53" s="12" t="n">
        <v>306803</v>
      </c>
      <c r="C53" s="12" t="n">
        <v>19650</v>
      </c>
      <c r="D53" s="12" t="n">
        <v>38628</v>
      </c>
      <c r="E53" s="12" t="n">
        <v>8513</v>
      </c>
      <c r="F53" s="12" t="n">
        <v>30115</v>
      </c>
      <c r="G53" s="12" t="n">
        <v>4260</v>
      </c>
    </row>
    <row r="54">
      <c r="A54" s="11" t="inlineStr">
        <is>
          <t>2024-11</t>
        </is>
      </c>
      <c r="B54" s="12" t="n">
        <v>293515</v>
      </c>
      <c r="C54" s="12" t="n">
        <v>39368</v>
      </c>
      <c r="D54" s="12" t="n">
        <v>39103</v>
      </c>
      <c r="E54" s="12" t="n">
        <v>12611</v>
      </c>
      <c r="F54" s="12" t="n">
        <v>26492</v>
      </c>
      <c r="G54" s="12" t="n">
        <v>3630</v>
      </c>
    </row>
    <row r="55">
      <c r="A55" s="11" t="inlineStr">
        <is>
          <t>2024-12</t>
        </is>
      </c>
      <c r="B55" s="12" t="n">
        <v>313949</v>
      </c>
      <c r="C55" s="12" t="n">
        <v>62918</v>
      </c>
      <c r="D55" s="12" t="n">
        <v>47405</v>
      </c>
      <c r="E55" s="12" t="n">
        <v>20726</v>
      </c>
      <c r="F55" s="12" t="n">
        <v>26679</v>
      </c>
      <c r="G55" s="12" t="n">
        <v>5225</v>
      </c>
    </row>
    <row r="56">
      <c r="A56" s="11" t="inlineStr">
        <is>
          <t>2025-01</t>
        </is>
      </c>
      <c r="B56" s="12" t="n">
        <v>348180</v>
      </c>
      <c r="C56" s="12" t="n">
        <v>67229</v>
      </c>
      <c r="D56" s="12" t="n">
        <v>70837</v>
      </c>
      <c r="E56" s="12" t="n">
        <v>45466</v>
      </c>
      <c r="F56" s="12" t="n">
        <v>25371</v>
      </c>
      <c r="G56" s="12" t="n">
        <v>5474</v>
      </c>
    </row>
    <row r="57">
      <c r="A57" s="11" t="inlineStr">
        <is>
          <t>2025-02</t>
        </is>
      </c>
      <c r="B57" s="12" t="n">
        <v>255364</v>
      </c>
      <c r="C57" s="12" t="n">
        <v>40699</v>
      </c>
      <c r="D57" s="12" t="n">
        <v>26945</v>
      </c>
      <c r="E57" s="12" t="n">
        <v>4638</v>
      </c>
      <c r="F57" s="12" t="n">
        <v>22307</v>
      </c>
      <c r="G57" s="12" t="n">
        <v>5623</v>
      </c>
    </row>
    <row r="58">
      <c r="A58" s="11" t="inlineStr">
        <is>
          <t>2025-03</t>
        </is>
      </c>
      <c r="B58" s="12" t="n">
        <v>281221</v>
      </c>
      <c r="C58" s="12" t="n">
        <v>26276</v>
      </c>
      <c r="D58" s="12" t="n">
        <v>28850</v>
      </c>
      <c r="E58" s="12" t="n">
        <v>2423</v>
      </c>
      <c r="F58" s="12" t="n">
        <v>26427</v>
      </c>
      <c r="G58" s="12" t="n">
        <v>7035</v>
      </c>
    </row>
    <row r="59">
      <c r="A59" s="11" t="inlineStr">
        <is>
          <t>2025-04</t>
        </is>
      </c>
      <c r="B59" s="12" t="n">
        <v>272549</v>
      </c>
      <c r="C59" s="12" t="n">
        <v>16824</v>
      </c>
      <c r="D59" s="12" t="n">
        <v>28019</v>
      </c>
      <c r="E59" s="12" t="n">
        <v>1427</v>
      </c>
      <c r="F59" s="12" t="n">
        <v>26592</v>
      </c>
      <c r="G59" s="12" t="n">
        <v>6659</v>
      </c>
    </row>
    <row r="60">
      <c r="A60" s="11" t="inlineStr">
        <is>
          <t>2025-05</t>
        </is>
      </c>
      <c r="B60" s="12" t="n">
        <v>295058</v>
      </c>
      <c r="C60" s="12" t="n">
        <v>7463</v>
      </c>
      <c r="D60" s="12" t="n">
        <v>32905</v>
      </c>
      <c r="E60" s="12" t="n">
        <v>46</v>
      </c>
      <c r="F60" s="12" t="n">
        <v>32859</v>
      </c>
      <c r="G60" s="12" t="n">
        <v>7449</v>
      </c>
    </row>
    <row r="61">
      <c r="A61" s="11" t="inlineStr">
        <is>
          <t>2025-06</t>
        </is>
      </c>
      <c r="B61" s="12" t="n">
        <v>306442</v>
      </c>
      <c r="C61" s="12" t="n">
        <v>4217</v>
      </c>
      <c r="D61" s="12" t="n">
        <v>29740</v>
      </c>
      <c r="E61" s="12" t="n">
        <v>77</v>
      </c>
      <c r="F61" s="12" t="n">
        <v>29663</v>
      </c>
      <c r="G61" s="12" t="n">
        <v>7243</v>
      </c>
    </row>
    <row r="62">
      <c r="A62" s="11" t="inlineStr">
        <is>
          <t>2025-07</t>
        </is>
      </c>
      <c r="B62" s="12" t="n">
        <v>315883</v>
      </c>
      <c r="C62" s="12" t="n">
        <v>3008</v>
      </c>
      <c r="D62" s="12" t="n">
        <v>26659</v>
      </c>
      <c r="E62" s="12" t="n">
        <v>159</v>
      </c>
      <c r="F62" s="12" t="n">
        <v>26500</v>
      </c>
      <c r="G62" s="12" t="n">
        <v>6138</v>
      </c>
    </row>
    <row r="63">
      <c r="A63" s="11" t="inlineStr">
        <is>
          <t>2025-08</t>
        </is>
      </c>
      <c r="B63" s="12" t="n">
        <v>304039</v>
      </c>
      <c r="C63" s="12" t="n">
        <v>2929</v>
      </c>
      <c r="D63" s="12" t="n">
        <v>32756</v>
      </c>
      <c r="E63" s="12" t="n">
        <v>688</v>
      </c>
      <c r="F63" s="12" t="n">
        <v>32068</v>
      </c>
      <c r="G63" s="12" t="n">
        <v>5590</v>
      </c>
    </row>
    <row r="64">
      <c r="A64" s="11" t="inlineStr">
        <is>
          <t>2025-09</t>
        </is>
      </c>
      <c r="B64" s="12" t="n">
        <v>302684</v>
      </c>
      <c r="C64" s="12" t="n">
        <v>3595</v>
      </c>
      <c r="D64" s="12" t="n">
        <v>36142</v>
      </c>
      <c r="E64" s="12" t="n">
        <v>6201</v>
      </c>
      <c r="F64" s="12" t="n">
        <v>29941</v>
      </c>
      <c r="G64" s="12" t="n">
        <v>5411</v>
      </c>
    </row>
    <row r="65">
      <c r="A65" s="11" t="inlineStr">
        <is>
          <t>2025-10</t>
        </is>
      </c>
      <c r="B65" s="12" t="n">
        <v>336612</v>
      </c>
      <c r="C65" s="12" t="n">
        <v>31858</v>
      </c>
      <c r="D65" s="12" t="n">
        <v>49182</v>
      </c>
      <c r="E65" s="12" t="n">
        <v>18696</v>
      </c>
      <c r="F65" s="12" t="n">
        <v>30486</v>
      </c>
      <c r="G65" s="12" t="n">
        <v>4829</v>
      </c>
    </row>
    <row r="66">
      <c r="A66" s="11" t="inlineStr">
        <is>
          <t>2025-11</t>
        </is>
      </c>
      <c r="B66" s="12" t="n">
        <v>304905</v>
      </c>
      <c r="C66" s="12" t="n">
        <v>47946</v>
      </c>
      <c r="D66" s="12" t="n">
        <v>43928</v>
      </c>
      <c r="E66" s="12" t="n">
        <v>14760</v>
      </c>
      <c r="F66" s="12" t="n">
        <v>29168</v>
      </c>
      <c r="G66" s="12" t="n">
        <v>4049</v>
      </c>
    </row>
    <row r="67">
      <c r="A67" s="11" t="inlineStr">
        <is>
          <t>2025-12</t>
        </is>
      </c>
      <c r="B67" s="12" t="n">
        <v>332103</v>
      </c>
      <c r="C67" s="12" t="n">
        <v>63902</v>
      </c>
      <c r="D67" s="12" t="n">
        <v>57386</v>
      </c>
      <c r="E67" s="12" t="n">
        <v>29971</v>
      </c>
      <c r="F67" s="12" t="n">
        <v>27415</v>
      </c>
      <c r="G67" s="12" t="n">
        <v>4830</v>
      </c>
    </row>
    <row r="68">
      <c r="A68" s="11" t="inlineStr">
        <is>
          <t>2026-01</t>
        </is>
      </c>
      <c r="B68" s="12" t="n">
        <v>348511</v>
      </c>
      <c r="C68" s="12" t="n">
        <v>79928</v>
      </c>
      <c r="D68" s="12" t="n">
        <v>28739</v>
      </c>
      <c r="E68" s="12" t="n">
        <v>1037</v>
      </c>
      <c r="F68" s="12" t="n">
        <v>27702</v>
      </c>
      <c r="G68" s="12" t="n">
        <v>5141</v>
      </c>
    </row>
    <row r="69">
      <c r="A69" s="11" t="inlineStr">
        <is>
          <t>2026-02</t>
        </is>
      </c>
      <c r="B69" s="12" t="n">
        <v>334690</v>
      </c>
      <c r="C69" s="12" t="n">
        <v>59031</v>
      </c>
      <c r="D69" s="12" t="n">
        <v>26949</v>
      </c>
      <c r="E69" s="12" t="n">
        <v>738</v>
      </c>
      <c r="F69" s="12" t="n">
        <v>26211</v>
      </c>
      <c r="G69" s="12" t="n">
        <v>6913</v>
      </c>
    </row>
    <row r="70">
      <c r="A70" s="11" t="inlineStr">
        <is>
          <t>2026-03</t>
        </is>
      </c>
      <c r="B70" s="12" t="n">
        <v>342387</v>
      </c>
      <c r="C70" s="12" t="n">
        <v>29783</v>
      </c>
      <c r="D70" s="12" t="n">
        <v>31823</v>
      </c>
      <c r="E70" s="12" t="n">
        <v>1631</v>
      </c>
      <c r="F70" s="12" t="n">
        <v>30192</v>
      </c>
      <c r="G70" s="12" t="n">
        <v>28690</v>
      </c>
    </row>
    <row r="71">
      <c r="A71" s="11" t="inlineStr">
        <is>
          <t>2026-04</t>
        </is>
      </c>
      <c r="B71" s="12" t="n">
        <v>302190</v>
      </c>
      <c r="C71" s="12" t="n">
        <v>19553</v>
      </c>
      <c r="D71" s="12" t="n">
        <v>30922</v>
      </c>
      <c r="E71" s="12" t="n">
        <v>1272</v>
      </c>
      <c r="F71" s="12" t="n">
        <v>29650</v>
      </c>
      <c r="G71" s="12" t="n">
        <v>15850</v>
      </c>
    </row>
    <row r="72">
      <c r="A72" s="11" t="inlineStr">
        <is>
          <t>2026-05</t>
        </is>
      </c>
      <c r="B72" s="12" t="n">
        <v>331978</v>
      </c>
      <c r="C72" s="12" t="n">
        <v>9823</v>
      </c>
      <c r="D72" s="12" t="n">
        <v>37268</v>
      </c>
      <c r="E72" s="12" t="n">
        <v>96</v>
      </c>
      <c r="F72" s="12" t="n">
        <v>37172</v>
      </c>
      <c r="G72" s="12" t="n">
        <v>11777</v>
      </c>
    </row>
    <row r="73">
      <c r="A73" s="11" t="inlineStr">
        <is>
          <t>2026-06</t>
        </is>
      </c>
      <c r="B73" s="12" t="n">
        <v>334833</v>
      </c>
      <c r="C73" s="12" t="n">
        <v>4388</v>
      </c>
      <c r="D73" s="12" t="n">
        <v>34039</v>
      </c>
      <c r="E73" s="12" t="n">
        <v>36</v>
      </c>
      <c r="F73" s="12" t="n">
        <v>34003</v>
      </c>
      <c r="G73" s="12" t="n">
        <v>10852</v>
      </c>
    </row>
    <row r="74">
      <c r="A74" s="11" t="inlineStr">
        <is>
          <t>2026-07</t>
        </is>
      </c>
      <c r="B74" s="12" t="n">
        <v>343043</v>
      </c>
      <c r="C74" s="12" t="n">
        <v>4331</v>
      </c>
      <c r="D74" s="12" t="n">
        <v>29971</v>
      </c>
      <c r="E74" s="12" t="n">
        <v>36</v>
      </c>
      <c r="F74" s="12" t="n">
        <v>29935</v>
      </c>
      <c r="G74" s="12" t="n">
        <v>10145</v>
      </c>
    </row>
    <row r="75">
      <c r="A75" s="11" t="inlineStr">
        <is>
          <t>2026-08</t>
        </is>
      </c>
      <c r="B75" s="12" t="n">
        <v>328446</v>
      </c>
      <c r="C75" s="12" t="n">
        <v>3682</v>
      </c>
      <c r="D75" s="12" t="n">
        <v>30622</v>
      </c>
      <c r="E75" s="12" t="n">
        <v>17</v>
      </c>
      <c r="F75" s="12" t="n">
        <v>30605</v>
      </c>
      <c r="G75" s="12" t="n">
        <v>9552</v>
      </c>
    </row>
    <row r="76">
      <c r="A76" s="11" t="inlineStr">
        <is>
          <t>2026-09</t>
        </is>
      </c>
      <c r="B76" s="12" t="n">
        <v>41974</v>
      </c>
      <c r="C76" s="12" t="n">
        <v>497</v>
      </c>
      <c r="D76" s="12" t="n">
        <v>3349</v>
      </c>
      <c r="E76" s="12" t="n">
        <v>12</v>
      </c>
      <c r="F76" s="12" t="n">
        <v>3337</v>
      </c>
      <c r="G76" s="12" t="n">
        <v>1267</v>
      </c>
    </row>
    <row r="78">
      <c r="A78" s="2" t="inlineStr">
        <is>
          <t>复现：脚本 scripts/*.py（scan_exploration 为过程探查，build_excel 生成本看板）；中间汇总 output/*.csv；原始数据只读自 D:\项目1\原始数据。</t>
        </is>
      </c>
    </row>
  </sheetData>
  <mergeCells count="2">
    <mergeCell ref="A1:J1"/>
    <mergeCell ref="A78:J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2026-09-17T02:58:30Z</dcterms:created>
  <dcterms:modified xmlns:dcterms="http://purl.org/dc/terms/" xmlns:xsi="http://www.w3.org/2001/XMLSchema-instance" xsi:type="dcterms:W3CDTF">2026-09-17T02:58:30Z</dcterms:modified>
</cp:coreProperties>
</file>