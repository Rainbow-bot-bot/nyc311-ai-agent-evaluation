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Default Extension="vml" ContentType="application/vnd.openxmlformats-officedocument.vmlDrawing"/>
  <Override PartName="/xl/comments/scoreNotes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项目2\交付成果\"/>
    </mc:Choice>
  </mc:AlternateContent>
  <xr:revisionPtr revIDLastSave="0" documentId="13_ncr:1_{48308A17-289E-4867-85CD-C2F0BEB76E28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评测总览" sheetId="13" r:id="rId1"/>
    <sheet name="评分细项" sheetId="15" r:id="rId2"/>
    <sheet name="单AI分析" sheetId="12" r:id="rId3"/>
    <sheet name="分维度比较" sheetId="14" r:id="rId4"/>
    <sheet name="运行记录" sheetId="4" r:id="rId5"/>
    <sheet name="评分与用量" sheetId="5" r:id="rId6"/>
    <sheet name="API计价" sheetId="6" r:id="rId7"/>
    <sheet name="行为记录" sheetId="7" r:id="rId8"/>
    <sheet name="核验记录" sheetId="8" r:id="rId9"/>
    <sheet name="字段说明" sheetId="9" r:id="rId10"/>
  </sheets>
  <definedNames>
    <definedName name="_xlnm.Print_Area" localSheetId="2">单AI分析!$A$1:$W$41</definedName>
    <definedName name="_xlnm.Print_Area" localSheetId="3">分维度比较!$A$1:$H$161</definedName>
    <definedName name="_xlnm.Print_Area" localSheetId="0">评测总览!$A$1:$AD$38</definedName>
    <definedName name="_xlnm.Print_Area" localSheetId="1">评分细项!$A$1:$M$25</definedName>
    <definedName name="_xlnm.Print_Area" localSheetId="4">运行记录!$A$1:$R$16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95" i="8" l="1"/>
  <c r="W294" i="8"/>
  <c r="W293" i="8"/>
  <c r="W292" i="8"/>
  <c r="W291" i="8"/>
  <c r="W290" i="8"/>
  <c r="W289" i="8"/>
  <c r="W288" i="8"/>
  <c r="W287" i="8"/>
  <c r="W286" i="8"/>
  <c r="W285" i="8"/>
  <c r="W284" i="8"/>
  <c r="W283" i="8"/>
  <c r="W282" i="8"/>
  <c r="W281" i="8"/>
  <c r="W280" i="8"/>
  <c r="W279" i="8"/>
  <c r="W278" i="8"/>
  <c r="W277" i="8"/>
  <c r="W276" i="8"/>
  <c r="W275" i="8"/>
  <c r="W274" i="8"/>
  <c r="W273" i="8"/>
  <c r="W272" i="8"/>
  <c r="W271" i="8"/>
  <c r="W270" i="8"/>
  <c r="W269" i="8"/>
  <c r="W268" i="8"/>
  <c r="W267" i="8"/>
  <c r="W266" i="8"/>
  <c r="W265" i="8"/>
  <c r="W264" i="8"/>
  <c r="W263" i="8"/>
  <c r="W262" i="8"/>
  <c r="W261" i="8"/>
  <c r="W260" i="8"/>
  <c r="W259" i="8"/>
  <c r="W258" i="8"/>
  <c r="W257" i="8"/>
  <c r="W256" i="8"/>
  <c r="W255" i="8"/>
  <c r="W254" i="8"/>
  <c r="W253" i="8"/>
  <c r="W252" i="8"/>
  <c r="W251" i="8"/>
  <c r="W250" i="8"/>
  <c r="W249" i="8"/>
  <c r="W248" i="8"/>
  <c r="W247" i="8"/>
  <c r="W246" i="8"/>
  <c r="W245" i="8"/>
  <c r="W244" i="8"/>
  <c r="W243" i="8"/>
  <c r="W242" i="8"/>
  <c r="W241" i="8"/>
  <c r="W240" i="8"/>
  <c r="W239" i="8"/>
  <c r="W238" i="8"/>
  <c r="W237" i="8"/>
  <c r="W236" i="8"/>
  <c r="W235" i="8"/>
  <c r="W234" i="8"/>
  <c r="W233" i="8"/>
  <c r="W232" i="8"/>
  <c r="W231" i="8"/>
  <c r="W230" i="8"/>
  <c r="W229" i="8"/>
  <c r="W228" i="8"/>
  <c r="W227" i="8"/>
  <c r="W226" i="8"/>
  <c r="W225" i="8"/>
  <c r="W224" i="8"/>
  <c r="W223" i="8"/>
  <c r="W222" i="8"/>
  <c r="W221" i="8"/>
  <c r="W220" i="8"/>
  <c r="W219" i="8"/>
  <c r="W218" i="8"/>
  <c r="W217" i="8"/>
  <c r="W216" i="8"/>
  <c r="W215" i="8"/>
  <c r="W214" i="8"/>
  <c r="W213" i="8"/>
  <c r="W212" i="8"/>
  <c r="W211" i="8"/>
  <c r="W210" i="8"/>
  <c r="W209" i="8"/>
  <c r="W208" i="8"/>
  <c r="W207" i="8"/>
  <c r="W206" i="8"/>
  <c r="W205" i="8"/>
  <c r="W204" i="8"/>
  <c r="W203" i="8"/>
  <c r="W202" i="8"/>
  <c r="W201" i="8"/>
  <c r="W200" i="8"/>
  <c r="W199" i="8"/>
  <c r="W198" i="8"/>
  <c r="W197" i="8"/>
  <c r="W196" i="8"/>
  <c r="W195" i="8"/>
  <c r="W194" i="8"/>
  <c r="W193" i="8"/>
  <c r="W192" i="8"/>
  <c r="W191" i="8"/>
  <c r="W190" i="8"/>
  <c r="W189" i="8"/>
  <c r="W188" i="8"/>
  <c r="W187" i="8"/>
  <c r="W186" i="8"/>
  <c r="W185" i="8"/>
  <c r="W184" i="8"/>
  <c r="W183" i="8"/>
  <c r="W182" i="8"/>
  <c r="W181" i="8"/>
  <c r="W180" i="8"/>
  <c r="W179" i="8"/>
  <c r="W178" i="8"/>
  <c r="W177" i="8"/>
  <c r="W176" i="8"/>
  <c r="W175" i="8"/>
  <c r="W174" i="8"/>
  <c r="W173" i="8"/>
  <c r="W172" i="8"/>
  <c r="W171" i="8"/>
  <c r="W170" i="8"/>
  <c r="W169" i="8"/>
  <c r="W168" i="8"/>
  <c r="W167" i="8"/>
  <c r="W166" i="8"/>
  <c r="W165" i="8"/>
  <c r="W164" i="8"/>
  <c r="W163" i="8"/>
  <c r="W162" i="8"/>
  <c r="W161" i="8"/>
  <c r="W160" i="8"/>
  <c r="W159" i="8"/>
  <c r="W158" i="8"/>
  <c r="W157" i="8"/>
  <c r="W156" i="8"/>
  <c r="W155" i="8"/>
  <c r="W154" i="8"/>
  <c r="W153" i="8"/>
  <c r="W152" i="8"/>
  <c r="W151" i="8"/>
  <c r="W150" i="8"/>
  <c r="W149" i="8"/>
  <c r="W148" i="8"/>
  <c r="W147" i="8"/>
  <c r="W146" i="8"/>
  <c r="W145" i="8"/>
  <c r="W144" i="8"/>
  <c r="W143" i="8"/>
  <c r="W142" i="8"/>
  <c r="W141" i="8"/>
  <c r="W140" i="8"/>
  <c r="W139" i="8"/>
  <c r="W138" i="8"/>
  <c r="W137" i="8"/>
  <c r="W136" i="8"/>
  <c r="W135" i="8"/>
  <c r="W134" i="8"/>
  <c r="W133" i="8"/>
  <c r="W132" i="8"/>
  <c r="W131" i="8"/>
  <c r="W130" i="8"/>
  <c r="W129" i="8"/>
  <c r="W128" i="8"/>
  <c r="W127" i="8"/>
  <c r="W126" i="8"/>
  <c r="W125" i="8"/>
  <c r="W124" i="8"/>
  <c r="W123" i="8"/>
  <c r="W122" i="8"/>
  <c r="W121" i="8"/>
  <c r="W120" i="8"/>
  <c r="W119" i="8"/>
  <c r="W118" i="8"/>
  <c r="W117" i="8"/>
  <c r="W116" i="8"/>
  <c r="W115" i="8"/>
  <c r="W114" i="8"/>
  <c r="W113" i="8"/>
  <c r="W112" i="8"/>
  <c r="W111" i="8"/>
  <c r="W110" i="8"/>
  <c r="W109" i="8"/>
  <c r="W108" i="8"/>
  <c r="W107" i="8"/>
  <c r="W106" i="8"/>
  <c r="W105" i="8"/>
  <c r="W104" i="8"/>
  <c r="W103" i="8"/>
  <c r="W102" i="8"/>
  <c r="W101" i="8"/>
  <c r="W100" i="8"/>
  <c r="W99" i="8"/>
  <c r="W98" i="8"/>
  <c r="W97" i="8"/>
  <c r="W96" i="8"/>
  <c r="W95" i="8"/>
  <c r="W94" i="8"/>
  <c r="W93" i="8"/>
  <c r="W92" i="8"/>
  <c r="W91" i="8"/>
  <c r="W90" i="8"/>
  <c r="W89" i="8"/>
  <c r="W88" i="8"/>
  <c r="W87" i="8"/>
  <c r="W86" i="8"/>
  <c r="W85" i="8"/>
  <c r="W84" i="8"/>
  <c r="W83" i="8"/>
  <c r="W82" i="8"/>
  <c r="W81" i="8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W66" i="8"/>
  <c r="W65" i="8"/>
  <c r="W64" i="8"/>
  <c r="W63" i="8"/>
  <c r="W62" i="8"/>
  <c r="W61" i="8"/>
  <c r="W60" i="8"/>
  <c r="W59" i="8"/>
  <c r="W58" i="8"/>
  <c r="W57" i="8"/>
  <c r="W56" i="8"/>
  <c r="W55" i="8"/>
  <c r="W54" i="8"/>
  <c r="W53" i="8"/>
  <c r="W52" i="8"/>
  <c r="W51" i="8"/>
  <c r="W50" i="8"/>
  <c r="W49" i="8"/>
  <c r="W48" i="8"/>
  <c r="W47" i="8"/>
  <c r="W46" i="8"/>
  <c r="W45" i="8"/>
  <c r="W44" i="8"/>
  <c r="W43" i="8"/>
  <c r="W42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W26" i="8"/>
  <c r="W25" i="8"/>
  <c r="W24" i="8"/>
  <c r="W23" i="8"/>
  <c r="W22" i="8"/>
  <c r="W21" i="8"/>
  <c r="W20" i="8"/>
  <c r="W19" i="8"/>
  <c r="W18" i="8"/>
  <c r="W17" i="8"/>
  <c r="W16" i="8"/>
  <c r="W15" i="8"/>
  <c r="W14" i="8"/>
  <c r="W13" i="8"/>
  <c r="W12" i="8"/>
  <c r="W11" i="8"/>
  <c r="W10" i="8"/>
  <c r="W9" i="8"/>
  <c r="W8" i="8"/>
  <c r="W7" i="8"/>
  <c r="W6" i="8"/>
  <c r="W5" i="8"/>
  <c r="W4" i="8"/>
  <c r="W3" i="8"/>
  <c r="W2" i="8"/>
  <c r="R16" i="4"/>
  <c r="Q16" i="4"/>
  <c r="P16" i="4"/>
  <c r="N16" i="4"/>
  <c r="O16" i="4" s="1"/>
  <c r="M16" i="4"/>
  <c r="N15" i="4"/>
  <c r="O15" i="4" s="1"/>
  <c r="M15" i="4"/>
  <c r="N14" i="4"/>
  <c r="O14" i="4" s="1"/>
  <c r="M14" i="4"/>
  <c r="N13" i="4"/>
  <c r="O13" i="4" s="1"/>
  <c r="M13" i="4"/>
  <c r="R12" i="4"/>
  <c r="Q12" i="4"/>
  <c r="P12" i="4"/>
  <c r="N12" i="4"/>
  <c r="O12" i="4" s="1"/>
  <c r="M12" i="4"/>
  <c r="R11" i="4"/>
  <c r="Q11" i="4"/>
  <c r="P11" i="4"/>
  <c r="N11" i="4"/>
  <c r="O11" i="4" s="1"/>
  <c r="M11" i="4"/>
  <c r="R10" i="4"/>
  <c r="Q10" i="4"/>
  <c r="P10" i="4"/>
  <c r="N10" i="4"/>
  <c r="O10" i="4" s="1"/>
  <c r="M10" i="4"/>
  <c r="R9" i="4"/>
  <c r="Q9" i="4"/>
  <c r="P9" i="4"/>
  <c r="N9" i="4"/>
  <c r="O9" i="4" s="1"/>
  <c r="M9" i="4"/>
  <c r="R8" i="4"/>
  <c r="Q8" i="4"/>
  <c r="P8" i="4"/>
  <c r="N8" i="4"/>
  <c r="O8" i="4" s="1"/>
  <c r="M8" i="4"/>
  <c r="R7" i="4"/>
  <c r="Q7" i="4"/>
  <c r="P7" i="4"/>
  <c r="N7" i="4"/>
  <c r="O7" i="4" s="1"/>
  <c r="M7" i="4"/>
  <c r="R6" i="4"/>
  <c r="Q6" i="4"/>
  <c r="P6" i="4"/>
  <c r="N6" i="4"/>
  <c r="O6" i="4" s="1"/>
  <c r="M6" i="4"/>
  <c r="N5" i="4"/>
  <c r="O5" i="4" s="1"/>
  <c r="M5" i="4"/>
  <c r="R4" i="4"/>
  <c r="Q4" i="4"/>
  <c r="P4" i="4"/>
  <c r="N4" i="4"/>
  <c r="O4" i="4" s="1"/>
  <c r="M4" i="4"/>
  <c r="N3" i="4"/>
  <c r="O3" i="4" s="1"/>
  <c r="M3" i="4"/>
  <c r="R2" i="4"/>
  <c r="Q2" i="4"/>
  <c r="P2" i="4"/>
  <c r="N2" i="4"/>
  <c r="O2" i="4" s="1"/>
  <c r="M2" i="4"/>
  <c r="I23" i="12"/>
  <c r="D23" i="12"/>
  <c r="I22" i="12"/>
  <c r="D22" i="12"/>
  <c r="AK18" i="12"/>
  <c r="N33" i="12" s="1"/>
  <c r="AK17" i="12"/>
  <c r="AK16" i="12"/>
  <c r="N31" i="12" s="1"/>
  <c r="AK15" i="12"/>
  <c r="R15" i="12"/>
  <c r="AK12" i="12"/>
  <c r="F33" i="12" s="1"/>
  <c r="AE12" i="12"/>
  <c r="AB12" i="12"/>
  <c r="AK11" i="12"/>
  <c r="F32" i="12" s="1"/>
  <c r="AE11" i="12"/>
  <c r="AB11" i="12"/>
  <c r="AK10" i="12"/>
  <c r="F31" i="12" s="1"/>
  <c r="AE10" i="12"/>
  <c r="AB10" i="12"/>
  <c r="AK9" i="12"/>
  <c r="AE9" i="12"/>
  <c r="AB9" i="12"/>
  <c r="AE8" i="12"/>
  <c r="AB8" i="12"/>
  <c r="AE7" i="12"/>
  <c r="AB7" i="12"/>
  <c r="T5" i="12"/>
  <c r="Q5" i="12"/>
  <c r="J3" i="12"/>
  <c r="AB2" i="12"/>
  <c r="E5" i="12" s="1"/>
  <c r="AA2" i="12"/>
  <c r="B5" i="12" s="1"/>
  <c r="L22" i="15"/>
  <c r="K22" i="15"/>
  <c r="E22" i="15"/>
  <c r="D22" i="15"/>
  <c r="E20" i="15"/>
  <c r="D20" i="15"/>
  <c r="L19" i="15"/>
  <c r="K19" i="15"/>
  <c r="E19" i="15"/>
  <c r="D19" i="15"/>
  <c r="F19" i="15" s="1"/>
  <c r="L18" i="15"/>
  <c r="K18" i="15"/>
  <c r="E18" i="15"/>
  <c r="D18" i="15"/>
  <c r="F18" i="15" s="1"/>
  <c r="L17" i="15"/>
  <c r="K17" i="15"/>
  <c r="M17" i="15" s="1"/>
  <c r="E17" i="15"/>
  <c r="D17" i="15"/>
  <c r="L16" i="15"/>
  <c r="K16" i="15"/>
  <c r="E16" i="15"/>
  <c r="D16" i="15"/>
  <c r="L14" i="15"/>
  <c r="K14" i="15"/>
  <c r="M14" i="15" s="1"/>
  <c r="E14" i="15"/>
  <c r="D14" i="15"/>
  <c r="L13" i="15"/>
  <c r="K13" i="15"/>
  <c r="E13" i="15"/>
  <c r="D13" i="15"/>
  <c r="F13" i="15" s="1"/>
  <c r="L12" i="15"/>
  <c r="K12" i="15"/>
  <c r="M12" i="15" s="1"/>
  <c r="E12" i="15"/>
  <c r="D12" i="15"/>
  <c r="E11" i="15"/>
  <c r="D11" i="15"/>
  <c r="L10" i="15"/>
  <c r="K10" i="15"/>
  <c r="L9" i="15"/>
  <c r="K9" i="15"/>
  <c r="E9" i="15"/>
  <c r="D9" i="15"/>
  <c r="F9" i="15" s="1"/>
  <c r="L8" i="15"/>
  <c r="K8" i="15"/>
  <c r="E8" i="15"/>
  <c r="D8" i="15"/>
  <c r="F8" i="15" s="1"/>
  <c r="L7" i="15"/>
  <c r="K7" i="15"/>
  <c r="E7" i="15"/>
  <c r="D7" i="15"/>
  <c r="L6" i="15"/>
  <c r="K6" i="15"/>
  <c r="E6" i="15"/>
  <c r="D6" i="15"/>
  <c r="A1" i="15"/>
  <c r="I36" i="13"/>
  <c r="G36" i="13"/>
  <c r="I35" i="13"/>
  <c r="G35" i="13"/>
  <c r="I34" i="13"/>
  <c r="G34" i="13"/>
  <c r="I33" i="13"/>
  <c r="G33" i="13"/>
  <c r="I32" i="13"/>
  <c r="G32" i="13"/>
  <c r="I31" i="13"/>
  <c r="G31" i="13"/>
  <c r="B26" i="13"/>
  <c r="L26" i="13" s="1"/>
  <c r="B25" i="13"/>
  <c r="J25" i="13" s="1"/>
  <c r="B24" i="13"/>
  <c r="B23" i="13"/>
  <c r="B22" i="13"/>
  <c r="B21" i="13"/>
  <c r="L21" i="13" s="1"/>
  <c r="N16" i="13"/>
  <c r="L16" i="13"/>
  <c r="I16" i="13"/>
  <c r="H16" i="13"/>
  <c r="D16" i="13"/>
  <c r="BF16" i="13" s="1"/>
  <c r="C16" i="13"/>
  <c r="BE16" i="13" s="1"/>
  <c r="N15" i="13"/>
  <c r="L15" i="13"/>
  <c r="I15" i="13"/>
  <c r="H15" i="13"/>
  <c r="D15" i="13"/>
  <c r="BF15" i="13" s="1"/>
  <c r="C15" i="13"/>
  <c r="BE15" i="13" s="1"/>
  <c r="N14" i="13"/>
  <c r="L14" i="13"/>
  <c r="I14" i="13"/>
  <c r="H14" i="13"/>
  <c r="D14" i="13"/>
  <c r="F26" i="13" s="1"/>
  <c r="C14" i="13"/>
  <c r="D26" i="13" s="1"/>
  <c r="H26" i="13" s="1"/>
  <c r="N13" i="13"/>
  <c r="L13" i="13"/>
  <c r="I13" i="13"/>
  <c r="H13" i="13"/>
  <c r="D13" i="13"/>
  <c r="F25" i="13" s="1"/>
  <c r="C13" i="13"/>
  <c r="D25" i="13" s="1"/>
  <c r="N12" i="13"/>
  <c r="L12" i="13"/>
  <c r="I12" i="13"/>
  <c r="H12" i="13"/>
  <c r="D12" i="13"/>
  <c r="BF12" i="13" s="1"/>
  <c r="C12" i="13"/>
  <c r="D24" i="13" s="1"/>
  <c r="N11" i="13"/>
  <c r="L11" i="13"/>
  <c r="I11" i="13"/>
  <c r="H11" i="13"/>
  <c r="D11" i="13"/>
  <c r="F23" i="13" s="1"/>
  <c r="C11" i="13"/>
  <c r="BE11" i="13" s="1"/>
  <c r="N10" i="13"/>
  <c r="L10" i="13"/>
  <c r="I10" i="13"/>
  <c r="H10" i="13"/>
  <c r="D10" i="13"/>
  <c r="BF10" i="13" s="1"/>
  <c r="C10" i="13"/>
  <c r="D22" i="13" s="1"/>
  <c r="N9" i="13"/>
  <c r="L9" i="13"/>
  <c r="I9" i="13"/>
  <c r="H9" i="13"/>
  <c r="D9" i="13"/>
  <c r="C9" i="13"/>
  <c r="H15" i="14"/>
  <c r="G15" i="14"/>
  <c r="F15" i="14"/>
  <c r="E15" i="14"/>
  <c r="D15" i="14"/>
  <c r="C15" i="14"/>
  <c r="B15" i="14"/>
  <c r="H13" i="14"/>
  <c r="G13" i="14"/>
  <c r="F13" i="14"/>
  <c r="E13" i="14"/>
  <c r="D13" i="14"/>
  <c r="C13" i="14"/>
  <c r="B13" i="14"/>
  <c r="H12" i="14"/>
  <c r="G12" i="14"/>
  <c r="F12" i="14"/>
  <c r="E12" i="14"/>
  <c r="D12" i="14"/>
  <c r="C12" i="14"/>
  <c r="B12" i="14"/>
  <c r="H11" i="14"/>
  <c r="G11" i="14"/>
  <c r="F11" i="14"/>
  <c r="E11" i="14"/>
  <c r="D11" i="14"/>
  <c r="C11" i="14"/>
  <c r="B11" i="14"/>
  <c r="H10" i="14"/>
  <c r="G10" i="14"/>
  <c r="F10" i="14"/>
  <c r="E10" i="14"/>
  <c r="D10" i="14"/>
  <c r="C10" i="14"/>
  <c r="B10" i="14"/>
  <c r="H9" i="14"/>
  <c r="G9" i="14"/>
  <c r="F9" i="14"/>
  <c r="E9" i="14"/>
  <c r="D9" i="14"/>
  <c r="C9" i="14"/>
  <c r="B9" i="14"/>
  <c r="H8" i="14"/>
  <c r="G8" i="14"/>
  <c r="F8" i="14"/>
  <c r="E8" i="14"/>
  <c r="D8" i="14"/>
  <c r="C8" i="14"/>
  <c r="B8" i="14"/>
  <c r="H7" i="14"/>
  <c r="G7" i="14"/>
  <c r="F7" i="14"/>
  <c r="E7" i="14"/>
  <c r="D7" i="14"/>
  <c r="C7" i="14"/>
  <c r="B7" i="14"/>
  <c r="H6" i="14"/>
  <c r="G6" i="14"/>
  <c r="F6" i="14"/>
  <c r="E6" i="14"/>
  <c r="D6" i="14"/>
  <c r="C6" i="14"/>
  <c r="B6" i="14"/>
  <c r="L22" i="13" l="1"/>
  <c r="J29" i="12"/>
  <c r="J9" i="13"/>
  <c r="D23" i="13"/>
  <c r="F24" i="13"/>
  <c r="M6" i="15"/>
  <c r="F11" i="15"/>
  <c r="M16" i="15"/>
  <c r="F22" i="15"/>
  <c r="M23" i="12"/>
  <c r="L24" i="13"/>
  <c r="F7" i="15"/>
  <c r="F12" i="15"/>
  <c r="F17" i="15"/>
  <c r="M22" i="15"/>
  <c r="BF11" i="13"/>
  <c r="J16" i="13"/>
  <c r="N30" i="12"/>
  <c r="M13" i="15"/>
  <c r="BE12" i="13"/>
  <c r="E30" i="12"/>
  <c r="M22" i="12"/>
  <c r="J11" i="13"/>
  <c r="J26" i="13"/>
  <c r="N26" i="13" s="1"/>
  <c r="H23" i="13"/>
  <c r="M9" i="15"/>
  <c r="BE13" i="13"/>
  <c r="E10" i="13"/>
  <c r="F30" i="12"/>
  <c r="J13" i="13"/>
  <c r="BE10" i="13"/>
  <c r="E5" i="13"/>
  <c r="I37" i="13"/>
  <c r="J18" i="12"/>
  <c r="M32" i="12"/>
  <c r="BD13" i="13"/>
  <c r="J24" i="13"/>
  <c r="M8" i="15"/>
  <c r="H5" i="13"/>
  <c r="F22" i="13"/>
  <c r="H22" i="13" s="1"/>
  <c r="B18" i="12"/>
  <c r="L23" i="13"/>
  <c r="K32" i="13"/>
  <c r="M7" i="15"/>
  <c r="L25" i="13"/>
  <c r="N25" i="13" s="1"/>
  <c r="K35" i="13"/>
  <c r="H24" i="13"/>
  <c r="K36" i="13"/>
  <c r="F14" i="15"/>
  <c r="M18" i="15"/>
  <c r="E13" i="13"/>
  <c r="K33" i="13"/>
  <c r="E15" i="13"/>
  <c r="F6" i="15"/>
  <c r="M10" i="15"/>
  <c r="E16" i="13"/>
  <c r="K34" i="13"/>
  <c r="BD16" i="13"/>
  <c r="M19" i="15"/>
  <c r="J12" i="13"/>
  <c r="G37" i="13"/>
  <c r="F16" i="15"/>
  <c r="F20" i="15"/>
  <c r="U32" i="12"/>
  <c r="BC10" i="13"/>
  <c r="H25" i="13"/>
  <c r="BC12" i="13"/>
  <c r="BF13" i="13"/>
  <c r="M30" i="12"/>
  <c r="BD12" i="13"/>
  <c r="E9" i="13"/>
  <c r="U30" i="12"/>
  <c r="J10" i="13"/>
  <c r="BC11" i="13"/>
  <c r="E14" i="13"/>
  <c r="J22" i="13"/>
  <c r="N22" i="13" s="1"/>
  <c r="AA3" i="12"/>
  <c r="E31" i="12"/>
  <c r="BD11" i="13"/>
  <c r="J15" i="13"/>
  <c r="BC16" i="13"/>
  <c r="K31" i="13"/>
  <c r="AB3" i="12"/>
  <c r="M33" i="12"/>
  <c r="M31" i="12"/>
  <c r="BC9" i="13"/>
  <c r="E12" i="13"/>
  <c r="D21" i="13"/>
  <c r="N5" i="12"/>
  <c r="D24" i="12"/>
  <c r="BE9" i="13"/>
  <c r="N32" i="12"/>
  <c r="BD10" i="13"/>
  <c r="F10" i="13" s="1"/>
  <c r="J14" i="13"/>
  <c r="BC15" i="13"/>
  <c r="H5" i="12"/>
  <c r="U31" i="12"/>
  <c r="BD9" i="13"/>
  <c r="BC14" i="13"/>
  <c r="F21" i="13"/>
  <c r="J23" i="13"/>
  <c r="I24" i="12"/>
  <c r="BD14" i="13"/>
  <c r="B5" i="13"/>
  <c r="BF9" i="13"/>
  <c r="E11" i="13"/>
  <c r="BE14" i="13"/>
  <c r="J21" i="13"/>
  <c r="N21" i="13" s="1"/>
  <c r="B29" i="12"/>
  <c r="BC13" i="13"/>
  <c r="BF14" i="13"/>
  <c r="E33" i="12"/>
  <c r="BD15" i="13"/>
  <c r="E32" i="12"/>
  <c r="F9" i="13" l="1"/>
  <c r="H21" i="13"/>
  <c r="N24" i="13"/>
  <c r="F16" i="13"/>
  <c r="F15" i="13"/>
  <c r="F13" i="13"/>
  <c r="N23" i="13"/>
  <c r="M24" i="12"/>
  <c r="F11" i="13"/>
  <c r="K37" i="13"/>
  <c r="M31" i="13" s="1"/>
  <c r="F12" i="13"/>
  <c r="K5" i="13"/>
  <c r="F14" i="13"/>
  <c r="K5" i="12"/>
  <c r="M34" i="13" l="1"/>
  <c r="M32" i="13"/>
  <c r="M35" i="13"/>
  <c r="M36" i="13"/>
  <c r="M33" i="13"/>
  <c r="M37" i="13" l="1"/>
</calcChain>
</file>

<file path=xl/sharedStrings.xml><?xml version="1.0" encoding="utf-8"?>
<sst xmlns="http://schemas.openxmlformats.org/spreadsheetml/2006/main" count="24060" uniqueCount="4755">
  <si>
    <t>AI</t>
  </si>
  <si>
    <t>GPT</t>
  </si>
  <si>
    <t>轮次</t>
  </si>
  <si>
    <t>第二轮</t>
  </si>
  <si>
    <t>分钟</t>
  </si>
  <si>
    <t>AWR</t>
  </si>
  <si>
    <t>未缓存输入</t>
  </si>
  <si>
    <t>缓存读取</t>
  </si>
  <si>
    <t>缓存写入</t>
  </si>
  <si>
    <t>输出</t>
  </si>
  <si>
    <t>必要探索</t>
  </si>
  <si>
    <t>管理动作</t>
  </si>
  <si>
    <t>确认无收益</t>
  </si>
  <si>
    <t>Grok</t>
  </si>
  <si>
    <t>DeepSeek</t>
  </si>
  <si>
    <t>GLM</t>
  </si>
  <si>
    <t>Qwen</t>
  </si>
  <si>
    <t>Gemini</t>
  </si>
  <si>
    <t>运行工具</t>
  </si>
  <si>
    <t>第一轮</t>
  </si>
  <si>
    <t>Kimi</t>
  </si>
  <si>
    <t>Claude</t>
  </si>
  <si>
    <t>指标</t>
  </si>
  <si>
    <t>直接贡献交付</t>
  </si>
  <si>
    <t>总 Token</t>
  </si>
  <si>
    <t>首交修正任务</t>
  </si>
  <si>
    <t>Token 构成</t>
  </si>
  <si>
    <t>动作构成</t>
  </si>
  <si>
    <t>两轮变化</t>
  </si>
  <si>
    <t>耗时（分钟）</t>
  </si>
  <si>
    <t>最短耗时（分钟）</t>
  </si>
  <si>
    <t>修正</t>
  </si>
  <si>
    <t>状态</t>
  </si>
  <si>
    <t>变化</t>
  </si>
  <si>
    <t>GPT</t>
    <phoneticPr fontId="1" type="noConversion"/>
  </si>
  <si>
    <t>第二轮</t>
    <phoneticPr fontId="1" type="noConversion"/>
  </si>
  <si>
    <t>AI</t>
    <phoneticPr fontId="1" type="noConversion"/>
  </si>
  <si>
    <t>轮次</t>
    <phoneticPr fontId="1" type="noConversion"/>
  </si>
  <si>
    <t>运行状态</t>
    <phoneticPr fontId="1" type="noConversion"/>
  </si>
  <si>
    <t>参与类别</t>
    <phoneticPr fontId="1" type="noConversion"/>
  </si>
  <si>
    <t>运行工具</t>
    <phoneticPr fontId="1" type="noConversion"/>
  </si>
  <si>
    <t>评分状态</t>
    <phoneticPr fontId="1" type="noConversion"/>
  </si>
  <si>
    <t>API计价说明</t>
    <phoneticPr fontId="1" type="noConversion"/>
  </si>
  <si>
    <t>原生用时（秒）</t>
    <phoneticPr fontId="1" type="noConversion"/>
  </si>
  <si>
    <t>模型</t>
    <phoneticPr fontId="1" type="noConversion"/>
  </si>
  <si>
    <t>参与编号</t>
    <phoneticPr fontId="1" type="noConversion"/>
  </si>
  <si>
    <t>运行编号</t>
    <phoneticPr fontId="1" type="noConversion"/>
  </si>
  <si>
    <t>证据编号</t>
    <phoneticPr fontId="1" type="noConversion"/>
  </si>
  <si>
    <t>第一轮</t>
    <phoneticPr fontId="1" type="noConversion"/>
  </si>
  <si>
    <t>已完成</t>
    <phoneticPr fontId="1" type="noConversion"/>
  </si>
  <si>
    <t>第一轮主样本</t>
    <phoneticPr fontId="1" type="noConversion"/>
  </si>
  <si>
    <t>Codex</t>
    <phoneticPr fontId="1" type="noConversion"/>
  </si>
  <si>
    <t>标准API价（固定汇率）</t>
    <phoneticPr fontId="1" type="noConversion"/>
  </si>
  <si>
    <t>gpt-6-astra</t>
    <phoneticPr fontId="1" type="noConversion"/>
  </si>
  <si>
    <t>manifest:20260916_105830_GPT_886636b7</t>
    <phoneticPr fontId="1" type="noConversion"/>
  </si>
  <si>
    <t>20260916_105830_GPT_886636b7</t>
    <phoneticPr fontId="1" type="noConversion"/>
  </si>
  <si>
    <t>RUN:manifest:20260916_105830_GPT_886636b7</t>
    <phoneticPr fontId="1" type="noConversion"/>
  </si>
  <si>
    <t>Grok</t>
    <phoneticPr fontId="1" type="noConversion"/>
  </si>
  <si>
    <t>Cursor</t>
    <phoneticPr fontId="1" type="noConversion"/>
  </si>
  <si>
    <t>Token缺失</t>
    <phoneticPr fontId="1" type="noConversion"/>
  </si>
  <si>
    <t>manifest:20260916_133206_Grok_2a33e3a3</t>
    <phoneticPr fontId="1" type="noConversion"/>
  </si>
  <si>
    <t>20260916_133206_Grok_2a33e3a3</t>
    <phoneticPr fontId="1" type="noConversion"/>
  </si>
  <si>
    <t>RUN:manifest:20260916_133206_Grok_2a33e3a3</t>
    <phoneticPr fontId="1" type="noConversion"/>
  </si>
  <si>
    <t>DeepSeek</t>
    <phoneticPr fontId="1" type="noConversion"/>
  </si>
  <si>
    <t>Claude Code</t>
    <phoneticPr fontId="1" type="noConversion"/>
  </si>
  <si>
    <t>闲时–忙时价</t>
    <phoneticPr fontId="1" type="noConversion"/>
  </si>
  <si>
    <t>deepseek-v4.1-flash</t>
    <phoneticPr fontId="1" type="noConversion"/>
  </si>
  <si>
    <t>manifest:20260916_153015_DeepSeek_a32f78bc</t>
    <phoneticPr fontId="1" type="noConversion"/>
  </si>
  <si>
    <t>20260916_153015_DeepSeek_a32f78bc</t>
    <phoneticPr fontId="1" type="noConversion"/>
  </si>
  <si>
    <t>RUN:manifest:20260916_153015_DeepSeek_a32f78bc</t>
    <phoneticPr fontId="1" type="noConversion"/>
  </si>
  <si>
    <t>Gemini</t>
    <phoneticPr fontId="1" type="noConversion"/>
  </si>
  <si>
    <t>Antigravity</t>
    <phoneticPr fontId="1" type="noConversion"/>
  </si>
  <si>
    <t>gemini-3.8-flash</t>
    <phoneticPr fontId="1" type="noConversion"/>
  </si>
  <si>
    <t>manifest:20260916_153701_Gemini_1dd2676d</t>
    <phoneticPr fontId="1" type="noConversion"/>
  </si>
  <si>
    <t>20260916_153701_Gemini_1dd2676d</t>
    <phoneticPr fontId="1" type="noConversion"/>
  </si>
  <si>
    <t>RUN:manifest:20260916_153701_Gemini_1dd2676d</t>
    <phoneticPr fontId="1" type="noConversion"/>
  </si>
  <si>
    <t>Qwen</t>
    <phoneticPr fontId="1" type="noConversion"/>
  </si>
  <si>
    <t>标准API价（显式缓存）</t>
    <phoneticPr fontId="1" type="noConversion"/>
  </si>
  <si>
    <t>qwen3.8-max-0902</t>
    <phoneticPr fontId="1" type="noConversion"/>
  </si>
  <si>
    <t>manifest:20260916_192639_Qwen_8fc12d57</t>
    <phoneticPr fontId="1" type="noConversion"/>
  </si>
  <si>
    <t>20260916_192639_Qwen_8fc12d57</t>
    <phoneticPr fontId="1" type="noConversion"/>
  </si>
  <si>
    <t>RUN:manifest:20260916_192639_Qwen_8fc12d57</t>
    <phoneticPr fontId="1" type="noConversion"/>
  </si>
  <si>
    <t>GLM</t>
    <phoneticPr fontId="1" type="noConversion"/>
  </si>
  <si>
    <t>标准API价</t>
    <phoneticPr fontId="1" type="noConversion"/>
  </si>
  <si>
    <t>glm-5.3</t>
    <phoneticPr fontId="1" type="noConversion"/>
  </si>
  <si>
    <t>manifest:20260916_210900_GLM_ce9faeda</t>
    <phoneticPr fontId="1" type="noConversion"/>
  </si>
  <si>
    <t>20260916_210900_GLM_ce9faeda</t>
    <phoneticPr fontId="1" type="noConversion"/>
  </si>
  <si>
    <t>RUN:manifest:20260916_210900_GLM_ce9faeda</t>
    <phoneticPr fontId="1" type="noConversion"/>
  </si>
  <si>
    <t>第二轮主样本</t>
    <phoneticPr fontId="1" type="noConversion"/>
  </si>
  <si>
    <t>manifest:20260917_103101_DeepSeek_6a24da15</t>
    <phoneticPr fontId="1" type="noConversion"/>
  </si>
  <si>
    <t>20260917_103101_DeepSeek_6a24da15</t>
    <phoneticPr fontId="1" type="noConversion"/>
  </si>
  <si>
    <t>RUN:manifest:20260917_103101_DeepSeek_6a24da15</t>
    <phoneticPr fontId="1" type="noConversion"/>
  </si>
  <si>
    <t>manifest:20260917_104522_GPT_b97ef10b</t>
    <phoneticPr fontId="1" type="noConversion"/>
  </si>
  <si>
    <t>20260917_104522_GPT_b97ef10b</t>
    <phoneticPr fontId="1" type="noConversion"/>
  </si>
  <si>
    <t>RUN:manifest:20260917_104522_GPT_b97ef10b</t>
    <phoneticPr fontId="1" type="noConversion"/>
  </si>
  <si>
    <t>manifest:20260917_104919_GLM_b5270231</t>
    <phoneticPr fontId="1" type="noConversion"/>
  </si>
  <si>
    <t>20260917_104919_GLM_b5270231</t>
    <phoneticPr fontId="1" type="noConversion"/>
  </si>
  <si>
    <t>RUN:manifest:20260917_104919_GLM_b5270231</t>
    <phoneticPr fontId="1" type="noConversion"/>
  </si>
  <si>
    <t>Kimi</t>
    <phoneticPr fontId="1" type="noConversion"/>
  </si>
  <si>
    <t>失败</t>
    <phoneticPr fontId="1" type="noConversion"/>
  </si>
  <si>
    <t>补充失败样本</t>
    <phoneticPr fontId="1" type="noConversion"/>
  </si>
  <si>
    <t>未评分</t>
    <phoneticPr fontId="1" type="noConversion"/>
  </si>
  <si>
    <t>kimi-k3</t>
    <phoneticPr fontId="1" type="noConversion"/>
  </si>
  <si>
    <t>manifest:20260917_104919_Kimi_006567a6</t>
    <phoneticPr fontId="1" type="noConversion"/>
  </si>
  <si>
    <t>20260917_104919_Kimi_006567a6</t>
    <phoneticPr fontId="1" type="noConversion"/>
  </si>
  <si>
    <t>RUN:manifest:20260917_104919_Kimi_006567a6</t>
    <phoneticPr fontId="1" type="noConversion"/>
  </si>
  <si>
    <t>manifest:20260917_104919_Qwen_ca834dcf</t>
    <phoneticPr fontId="1" type="noConversion"/>
  </si>
  <si>
    <t>20260917_104919_Qwen_ca834dcf</t>
    <phoneticPr fontId="1" type="noConversion"/>
  </si>
  <si>
    <t>RUN:manifest:20260917_104919_Qwen_ca834dcf</t>
    <phoneticPr fontId="1" type="noConversion"/>
  </si>
  <si>
    <t>manifest:20260917_135307_Gemini_Antigravity_b8812ad3</t>
    <phoneticPr fontId="1" type="noConversion"/>
  </si>
  <si>
    <t>20260917_135307_Gemini_Antigravity_b8812ad3</t>
    <phoneticPr fontId="1" type="noConversion"/>
  </si>
  <si>
    <t>RUN:manifest:20260917_135307_Gemini_Antigravity_b8812ad3</t>
    <phoneticPr fontId="1" type="noConversion"/>
  </si>
  <si>
    <t>manifest:20260917_135616_Grok_Cursor_a1f4906a</t>
    <phoneticPr fontId="1" type="noConversion"/>
  </si>
  <si>
    <t>20260917_135616_Grok_Cursor_a1f4906a</t>
    <phoneticPr fontId="1" type="noConversion"/>
  </si>
  <si>
    <t>RUN:manifest:20260917_135616_Grok_Cursor_a1f4906a</t>
    <phoneticPr fontId="1" type="noConversion"/>
  </si>
  <si>
    <t>Claude</t>
    <phoneticPr fontId="1" type="noConversion"/>
  </si>
  <si>
    <t>混合交付</t>
    <phoneticPr fontId="1" type="noConversion"/>
  </si>
  <si>
    <t>混合成果</t>
    <phoneticPr fontId="1" type="noConversion"/>
  </si>
  <si>
    <t>成果质量</t>
    <phoneticPr fontId="1" type="noConversion"/>
  </si>
  <si>
    <t>decision:baseline:Claude</t>
    <phoneticPr fontId="1" type="noConversion"/>
  </si>
  <si>
    <t>RUN:decision:baseline:Claude</t>
    <phoneticPr fontId="1" type="noConversion"/>
  </si>
  <si>
    <t>原生分钟</t>
    <phoneticPr fontId="1" type="noConversion"/>
  </si>
  <si>
    <t>总Token</t>
    <phoneticPr fontId="1" type="noConversion"/>
  </si>
  <si>
    <t>API费用低（元）</t>
    <phoneticPr fontId="1" type="noConversion"/>
  </si>
  <si>
    <t>API费用高（元）</t>
    <phoneticPr fontId="1" type="noConversion"/>
  </si>
  <si>
    <t>指标类别</t>
    <phoneticPr fontId="1" type="noConversion"/>
  </si>
  <si>
    <t>指标</t>
    <phoneticPr fontId="1" type="noConversion"/>
  </si>
  <si>
    <t>数值</t>
    <phoneticPr fontId="1" type="noConversion"/>
  </si>
  <si>
    <t>单位</t>
    <phoneticPr fontId="1" type="noConversion"/>
  </si>
  <si>
    <t>数据版本</t>
    <phoneticPr fontId="1" type="noConversion"/>
  </si>
  <si>
    <t>指标编号</t>
    <phoneticPr fontId="1" type="noConversion"/>
  </si>
  <si>
    <t>Token用量</t>
    <phoneticPr fontId="1" type="noConversion"/>
  </si>
  <si>
    <t>推理Token（输出子集）</t>
    <phoneticPr fontId="1" type="noConversion"/>
  </si>
  <si>
    <t>Token</t>
    <phoneticPr fontId="1" type="noConversion"/>
  </si>
  <si>
    <t>原生usage</t>
    <phoneticPr fontId="1" type="noConversion"/>
  </si>
  <si>
    <t>487b6de8926d3154a897</t>
    <phoneticPr fontId="1" type="noConversion"/>
  </si>
  <si>
    <t>MET:487b6de8926d3154a897</t>
    <phoneticPr fontId="1" type="noConversion"/>
  </si>
  <si>
    <t>未缓存输入Token</t>
    <phoneticPr fontId="1" type="noConversion"/>
  </si>
  <si>
    <t>61731b0a16ecd8a1e5b4</t>
    <phoneticPr fontId="1" type="noConversion"/>
  </si>
  <si>
    <t>MET:61731b0a16ecd8a1e5b4</t>
    <phoneticPr fontId="1" type="noConversion"/>
  </si>
  <si>
    <t>缓存写入Token</t>
    <phoneticPr fontId="1" type="noConversion"/>
  </si>
  <si>
    <t>f476d7d121342b380ca5</t>
    <phoneticPr fontId="1" type="noConversion"/>
  </si>
  <si>
    <t>MET:f476d7d121342b380ca5</t>
    <phoneticPr fontId="1" type="noConversion"/>
  </si>
  <si>
    <t>缓存读取Token</t>
    <phoneticPr fontId="1" type="noConversion"/>
  </si>
  <si>
    <t>c3d8eda4862e97acdb51</t>
    <phoneticPr fontId="1" type="noConversion"/>
  </si>
  <si>
    <t>MET:c3d8eda4862e97acdb51</t>
    <phoneticPr fontId="1" type="noConversion"/>
  </si>
  <si>
    <t>输出Token</t>
    <phoneticPr fontId="1" type="noConversion"/>
  </si>
  <si>
    <t>cc6869e44d0f5c62c245</t>
    <phoneticPr fontId="1" type="noConversion"/>
  </si>
  <si>
    <t>MET:cc6869e44d0f5c62c245</t>
    <phoneticPr fontId="1" type="noConversion"/>
  </si>
  <si>
    <t>人工负担证据</t>
    <phoneticPr fontId="1" type="noConversion"/>
  </si>
  <si>
    <t>评测方或身份任务数</t>
    <phoneticPr fontId="1" type="noConversion"/>
  </si>
  <si>
    <t>项</t>
    <phoneticPr fontId="1" type="noConversion"/>
  </si>
  <si>
    <t>修正任务</t>
    <phoneticPr fontId="1" type="noConversion"/>
  </si>
  <si>
    <t>c56f51b64acef4f0d8ee</t>
    <phoneticPr fontId="1" type="noConversion"/>
  </si>
  <si>
    <t>MET:c56f51b64acef4f0d8ee</t>
    <phoneticPr fontId="1" type="noConversion"/>
  </si>
  <si>
    <t>首交后需处理任务数</t>
    <phoneticPr fontId="1" type="noConversion"/>
  </si>
  <si>
    <t>18e9f09dd698eb4e64aa</t>
    <phoneticPr fontId="1" type="noConversion"/>
  </si>
  <si>
    <t>MET:18e9f09dd698eb4e64aa</t>
    <phoneticPr fontId="1" type="noConversion"/>
  </si>
  <si>
    <t>分</t>
    <phoneticPr fontId="1" type="noConversion"/>
  </si>
  <si>
    <t>实验条件</t>
    <phoneticPr fontId="1" type="noConversion"/>
  </si>
  <si>
    <t>条件复核2026-09-17</t>
    <phoneticPr fontId="1" type="noConversion"/>
  </si>
  <si>
    <t>是=1/否=0</t>
    <phoneticPr fontId="1" type="noConversion"/>
  </si>
  <si>
    <t>行为二审</t>
    <phoneticPr fontId="1" type="noConversion"/>
  </si>
  <si>
    <t>比例（0—1）</t>
    <phoneticPr fontId="1" type="noConversion"/>
  </si>
  <si>
    <t>动作二审2026-09-18</t>
    <phoneticPr fontId="1" type="noConversion"/>
  </si>
  <si>
    <t>次</t>
    <phoneticPr fontId="1" type="noConversion"/>
  </si>
  <si>
    <t>秒</t>
    <phoneticPr fontId="1" type="noConversion"/>
  </si>
  <si>
    <t>Token类型</t>
    <phoneticPr fontId="1" type="noConversion"/>
  </si>
  <si>
    <t>计价档</t>
    <phoneticPr fontId="1" type="noConversion"/>
  </si>
  <si>
    <t>单价</t>
    <phoneticPr fontId="1" type="noConversion"/>
  </si>
  <si>
    <t>单价单位</t>
    <phoneticPr fontId="1" type="noConversion"/>
  </si>
  <si>
    <t>计费Token</t>
    <phoneticPr fontId="1" type="noConversion"/>
  </si>
  <si>
    <t>人民币系数</t>
    <phoneticPr fontId="1" type="noConversion"/>
  </si>
  <si>
    <t>单价基数</t>
    <phoneticPr fontId="1" type="noConversion"/>
  </si>
  <si>
    <t>分项费用（元）</t>
    <phoneticPr fontId="1" type="noConversion"/>
  </si>
  <si>
    <t>未缓存输入</t>
    <phoneticPr fontId="1" type="noConversion"/>
  </si>
  <si>
    <t>低</t>
    <phoneticPr fontId="1" type="noConversion"/>
  </si>
  <si>
    <t>USD/百万Token</t>
    <phoneticPr fontId="1" type="noConversion"/>
  </si>
  <si>
    <t>价目2026-09-16</t>
    <phoneticPr fontId="1" type="noConversion"/>
  </si>
  <si>
    <t>MET:f166abd00bf529b929a6</t>
    <phoneticPr fontId="1" type="noConversion"/>
  </si>
  <si>
    <t>高</t>
    <phoneticPr fontId="1" type="noConversion"/>
  </si>
  <si>
    <t>MET:8707afb4c113eae8a006</t>
    <phoneticPr fontId="1" type="noConversion"/>
  </si>
  <si>
    <t>缓存读取</t>
    <phoneticPr fontId="1" type="noConversion"/>
  </si>
  <si>
    <t>MET:3854c90ef75d75f4ae60</t>
    <phoneticPr fontId="1" type="noConversion"/>
  </si>
  <si>
    <t>MET:d40f16b4dbfa2df7b266</t>
    <phoneticPr fontId="1" type="noConversion"/>
  </si>
  <si>
    <t>缓存写入</t>
    <phoneticPr fontId="1" type="noConversion"/>
  </si>
  <si>
    <t>MET:9c4bb4ba42f2d158680c</t>
    <phoneticPr fontId="1" type="noConversion"/>
  </si>
  <si>
    <t>MET:6623b30d8d2260a1266d</t>
    <phoneticPr fontId="1" type="noConversion"/>
  </si>
  <si>
    <t>输出</t>
    <phoneticPr fontId="1" type="noConversion"/>
  </si>
  <si>
    <t>MET:ea3d25ff553bdfdf2d6d</t>
    <phoneticPr fontId="1" type="noConversion"/>
  </si>
  <si>
    <t>MET:af3465f7dc567b3d5b82</t>
    <phoneticPr fontId="1" type="noConversion"/>
  </si>
  <si>
    <t>CNY/百万Token</t>
    <phoneticPr fontId="1" type="noConversion"/>
  </si>
  <si>
    <t>MET:79931de8756434fc193c</t>
    <phoneticPr fontId="1" type="noConversion"/>
  </si>
  <si>
    <t>MET:079605176a604aea094d</t>
    <phoneticPr fontId="1" type="noConversion"/>
  </si>
  <si>
    <t>MET:009e2d1f2ba313db83a4</t>
    <phoneticPr fontId="1" type="noConversion"/>
  </si>
  <si>
    <t>MET:f964e0ebbc1908606953</t>
    <phoneticPr fontId="1" type="noConversion"/>
  </si>
  <si>
    <t>MET:3c686bbe01951e2b53a5</t>
    <phoneticPr fontId="1" type="noConversion"/>
  </si>
  <si>
    <t>MET:6891269068a1524df82f</t>
    <phoneticPr fontId="1" type="noConversion"/>
  </si>
  <si>
    <t>MET:2d58d51dcc873a3eeb26</t>
    <phoneticPr fontId="1" type="noConversion"/>
  </si>
  <si>
    <t>MET:2f468417f1f207725824</t>
    <phoneticPr fontId="1" type="noConversion"/>
  </si>
  <si>
    <t>MET:6131e80fde0b9e06afa8</t>
    <phoneticPr fontId="1" type="noConversion"/>
  </si>
  <si>
    <t>MET:66840a1fbdd4970c5a28</t>
    <phoneticPr fontId="1" type="noConversion"/>
  </si>
  <si>
    <t>MET:a4d93009f468fd632f46</t>
    <phoneticPr fontId="1" type="noConversion"/>
  </si>
  <si>
    <t>MET:2b23ddacf05962ea45ee</t>
    <phoneticPr fontId="1" type="noConversion"/>
  </si>
  <si>
    <t>MET:3e92db0a8db23eb0a76b</t>
    <phoneticPr fontId="1" type="noConversion"/>
  </si>
  <si>
    <t>MET:1903b45da19dfe925b6a</t>
    <phoneticPr fontId="1" type="noConversion"/>
  </si>
  <si>
    <t>MET:8cbc9c3b5ff28673e557</t>
    <phoneticPr fontId="1" type="noConversion"/>
  </si>
  <si>
    <t>MET:06f15040ee3cb38d1905</t>
    <phoneticPr fontId="1" type="noConversion"/>
  </si>
  <si>
    <t>MET:d96e56225bb220713680</t>
    <phoneticPr fontId="1" type="noConversion"/>
  </si>
  <si>
    <t>MET:3ee14eed7cd74f523217</t>
    <phoneticPr fontId="1" type="noConversion"/>
  </si>
  <si>
    <t>MET:5272a7f5294b40a14b63</t>
    <phoneticPr fontId="1" type="noConversion"/>
  </si>
  <si>
    <t>MET:3afab7e8a01c8af89798</t>
    <phoneticPr fontId="1" type="noConversion"/>
  </si>
  <si>
    <t>MET:fdabe30dea6384699a9a</t>
    <phoneticPr fontId="1" type="noConversion"/>
  </si>
  <si>
    <t>MET:ca2f3b513f77f08eb416</t>
    <phoneticPr fontId="1" type="noConversion"/>
  </si>
  <si>
    <t>MET:2fab2b5795aed09ce8c0</t>
    <phoneticPr fontId="1" type="noConversion"/>
  </si>
  <si>
    <t>MET:f0eb9d4393d82a1e2226</t>
    <phoneticPr fontId="1" type="noConversion"/>
  </si>
  <si>
    <t>MET:e12613aef3fb19367dce</t>
    <phoneticPr fontId="1" type="noConversion"/>
  </si>
  <si>
    <t>MET:73ad866e09289c8dea8c</t>
    <phoneticPr fontId="1" type="noConversion"/>
  </si>
  <si>
    <t>MET:bbf28786a01a52b2a832</t>
    <phoneticPr fontId="1" type="noConversion"/>
  </si>
  <si>
    <t>MET:d80c6dd4577011a31766</t>
    <phoneticPr fontId="1" type="noConversion"/>
  </si>
  <si>
    <t>MET:46bedd6aa222d4d5c3d6</t>
    <phoneticPr fontId="1" type="noConversion"/>
  </si>
  <si>
    <t>MET:e4ca814db82fb4af6d07</t>
    <phoneticPr fontId="1" type="noConversion"/>
  </si>
  <si>
    <t>MET:dd420ed58d370cfa87f7</t>
    <phoneticPr fontId="1" type="noConversion"/>
  </si>
  <si>
    <t>MET:9a26b727d842f9c2b03d</t>
    <phoneticPr fontId="1" type="noConversion"/>
  </si>
  <si>
    <t>MET:25e3f26ed29d35bf42c8</t>
    <phoneticPr fontId="1" type="noConversion"/>
  </si>
  <si>
    <t>MET:468efb7df19c010d8dcc</t>
    <phoneticPr fontId="1" type="noConversion"/>
  </si>
  <si>
    <t>MET:b549c2eccadf368549e3</t>
    <phoneticPr fontId="1" type="noConversion"/>
  </si>
  <si>
    <t>MET:68daa3754cc9d253ec38</t>
    <phoneticPr fontId="1" type="noConversion"/>
  </si>
  <si>
    <t>MET:19859ff4b45f6957e36e</t>
    <phoneticPr fontId="1" type="noConversion"/>
  </si>
  <si>
    <t>MET:8e10c2b218c93ddc826f</t>
    <phoneticPr fontId="1" type="noConversion"/>
  </si>
  <si>
    <t>MET:0402e0f14deb15037e1a</t>
    <phoneticPr fontId="1" type="noConversion"/>
  </si>
  <si>
    <t>MET:150465c5923839cbd0c8</t>
    <phoneticPr fontId="1" type="noConversion"/>
  </si>
  <si>
    <t>MET:0dde198bde8186e6cb26</t>
    <phoneticPr fontId="1" type="noConversion"/>
  </si>
  <si>
    <t>MET:8b53fcb1e943c6f6076b</t>
    <phoneticPr fontId="1" type="noConversion"/>
  </si>
  <si>
    <t>MET:d61026a741f25b39a388</t>
    <phoneticPr fontId="1" type="noConversion"/>
  </si>
  <si>
    <t>MET:15cc69fecad12ab95a01</t>
    <phoneticPr fontId="1" type="noConversion"/>
  </si>
  <si>
    <t>MET:177479fb59ab743b6dbd</t>
    <phoneticPr fontId="1" type="noConversion"/>
  </si>
  <si>
    <t>MET:681963dc48e24af59ce7</t>
    <phoneticPr fontId="1" type="noConversion"/>
  </si>
  <si>
    <t>MET:212c24c0dbeb24cdd433</t>
    <phoneticPr fontId="1" type="noConversion"/>
  </si>
  <si>
    <t>MET:eb6ae6078130fce3102e</t>
    <phoneticPr fontId="1" type="noConversion"/>
  </si>
  <si>
    <t>MET:5064d96517ff5ea82c89</t>
    <phoneticPr fontId="1" type="noConversion"/>
  </si>
  <si>
    <t>MET:bdc136abba4de87857e4</t>
    <phoneticPr fontId="1" type="noConversion"/>
  </si>
  <si>
    <t>MET:f7ae7f87281859175527</t>
    <phoneticPr fontId="1" type="noConversion"/>
  </si>
  <si>
    <t>MET:0b717bb525a471ef7d30</t>
    <phoneticPr fontId="1" type="noConversion"/>
  </si>
  <si>
    <t>MET:ec9664dfdd3b6776455d</t>
    <phoneticPr fontId="1" type="noConversion"/>
  </si>
  <si>
    <t>MET:d4151611a2e1826ee165</t>
    <phoneticPr fontId="1" type="noConversion"/>
  </si>
  <si>
    <t>MET:bd4745ba22b7ff88997a</t>
    <phoneticPr fontId="1" type="noConversion"/>
  </si>
  <si>
    <t>MET:81dd333344e3a1d11b3d</t>
    <phoneticPr fontId="1" type="noConversion"/>
  </si>
  <si>
    <t>MET:c544464976e4b2178935</t>
    <phoneticPr fontId="1" type="noConversion"/>
  </si>
  <si>
    <t>MET:2aaf817260603a130ede</t>
    <phoneticPr fontId="1" type="noConversion"/>
  </si>
  <si>
    <t>MET:c496a8996ea6a33c40c7</t>
    <phoneticPr fontId="1" type="noConversion"/>
  </si>
  <si>
    <t>MET:b4c31aee8416f4c5db47</t>
    <phoneticPr fontId="1" type="noConversion"/>
  </si>
  <si>
    <t>MET:0587771591db2b53503b</t>
    <phoneticPr fontId="1" type="noConversion"/>
  </si>
  <si>
    <t>MET:8b1271e068a7c1245b18</t>
    <phoneticPr fontId="1" type="noConversion"/>
  </si>
  <si>
    <t>MET:d3205e8c5c967a43e077</t>
    <phoneticPr fontId="1" type="noConversion"/>
  </si>
  <si>
    <t>MET:0e21643a13d1aac6ff49</t>
    <phoneticPr fontId="1" type="noConversion"/>
  </si>
  <si>
    <t>动作序号</t>
    <phoneticPr fontId="1" type="noConversion"/>
  </si>
  <si>
    <t>操作类型</t>
    <phoneticPr fontId="1" type="noConversion"/>
  </si>
  <si>
    <t>动作目的</t>
    <phoneticPr fontId="1" type="noConversion"/>
  </si>
  <si>
    <t>返回文本可见</t>
    <phoneticPr fontId="1" type="noConversion"/>
  </si>
  <si>
    <t>执行成功标记</t>
    <phoneticPr fontId="1" type="noConversion"/>
  </si>
  <si>
    <t>返回摘录含错误字样</t>
    <phoneticPr fontId="1" type="noConversion"/>
  </si>
  <si>
    <t>结构化替换请求</t>
    <phoneticPr fontId="1" type="noConversion"/>
  </si>
  <si>
    <t>结构化替换确认</t>
    <phoneticPr fontId="1" type="noConversion"/>
  </si>
  <si>
    <t>相邻同参数重读</t>
    <phoneticPr fontId="1" type="noConversion"/>
  </si>
  <si>
    <t>动作评审</t>
    <phoneticPr fontId="1" type="noConversion"/>
  </si>
  <si>
    <t>评审版本</t>
    <phoneticPr fontId="1" type="noConversion"/>
  </si>
  <si>
    <t>观测耗时（秒）</t>
    <phoneticPr fontId="1" type="noConversion"/>
  </si>
  <si>
    <t>工具名称</t>
    <phoneticPr fontId="1" type="noConversion"/>
  </si>
  <si>
    <t>行为编号</t>
    <phoneticPr fontId="1" type="noConversion"/>
  </si>
  <si>
    <t>执行阶段</t>
    <phoneticPr fontId="1" type="noConversion"/>
  </si>
  <si>
    <t>批量执行</t>
    <phoneticPr fontId="1" type="noConversion"/>
  </si>
  <si>
    <t>批量执行代码</t>
    <phoneticPr fontId="1" type="noConversion"/>
  </si>
  <si>
    <t>是</t>
    <phoneticPr fontId="1" type="noConversion"/>
  </si>
  <si>
    <t>否</t>
    <phoneticPr fontId="1" type="noConversion"/>
  </si>
  <si>
    <t>必要探索</t>
    <phoneticPr fontId="1" type="noConversion"/>
  </si>
  <si>
    <t>exec</t>
    <phoneticPr fontId="1" type="noConversion"/>
  </si>
  <si>
    <t>20260916_105830_GPT_886636b7:0001</t>
    <phoneticPr fontId="1" type="noConversion"/>
  </si>
  <si>
    <t>ACT:20260916_105830_GPT_886636b7:0001</t>
    <phoneticPr fontId="1" type="noConversion"/>
  </si>
  <si>
    <t>原单模型运行</t>
    <phoneticPr fontId="1" type="noConversion"/>
  </si>
  <si>
    <t>20260916_105830_GPT_886636b7:0002</t>
    <phoneticPr fontId="1" type="noConversion"/>
  </si>
  <si>
    <t>ACT:20260916_105830_GPT_886636b7:0002</t>
    <phoneticPr fontId="1" type="noConversion"/>
  </si>
  <si>
    <t>20260916_105830_GPT_886636b7:0003</t>
    <phoneticPr fontId="1" type="noConversion"/>
  </si>
  <si>
    <t>ACT:20260916_105830_GPT_886636b7:0003</t>
    <phoneticPr fontId="1" type="noConversion"/>
  </si>
  <si>
    <t>20260916_105830_GPT_886636b7:0004</t>
    <phoneticPr fontId="1" type="noConversion"/>
  </si>
  <si>
    <t>ACT:20260916_105830_GPT_886636b7:0004</t>
    <phoneticPr fontId="1" type="noConversion"/>
  </si>
  <si>
    <t>20260916_105830_GPT_886636b7:0005</t>
    <phoneticPr fontId="1" type="noConversion"/>
  </si>
  <si>
    <t>ACT:20260916_105830_GPT_886636b7:0005</t>
    <phoneticPr fontId="1" type="noConversion"/>
  </si>
  <si>
    <t>直接贡献交付</t>
    <phoneticPr fontId="1" type="noConversion"/>
  </si>
  <si>
    <t>20260916_105830_GPT_886636b7:0006</t>
    <phoneticPr fontId="1" type="noConversion"/>
  </si>
  <si>
    <t>ACT:20260916_105830_GPT_886636b7:0006</t>
    <phoneticPr fontId="1" type="noConversion"/>
  </si>
  <si>
    <t>20260916_105830_GPT_886636b7:0007</t>
    <phoneticPr fontId="1" type="noConversion"/>
  </si>
  <si>
    <t>ACT:20260916_105830_GPT_886636b7:0007</t>
    <phoneticPr fontId="1" type="noConversion"/>
  </si>
  <si>
    <t>20260916_105830_GPT_886636b7:0008</t>
    <phoneticPr fontId="1" type="noConversion"/>
  </si>
  <si>
    <t>ACT:20260916_105830_GPT_886636b7:0008</t>
    <phoneticPr fontId="1" type="noConversion"/>
  </si>
  <si>
    <t>20260916_105830_GPT_886636b7:0009</t>
    <phoneticPr fontId="1" type="noConversion"/>
  </si>
  <si>
    <t>ACT:20260916_105830_GPT_886636b7:0009</t>
    <phoneticPr fontId="1" type="noConversion"/>
  </si>
  <si>
    <t>20260916_105830_GPT_886636b7:0010</t>
    <phoneticPr fontId="1" type="noConversion"/>
  </si>
  <si>
    <t>ACT:20260916_105830_GPT_886636b7:0010</t>
    <phoneticPr fontId="1" type="noConversion"/>
  </si>
  <si>
    <t>20260916_105830_GPT_886636b7:0011</t>
    <phoneticPr fontId="1" type="noConversion"/>
  </si>
  <si>
    <t>ACT:20260916_105830_GPT_886636b7:0011</t>
    <phoneticPr fontId="1" type="noConversion"/>
  </si>
  <si>
    <t>20260916_105830_GPT_886636b7:0012</t>
    <phoneticPr fontId="1" type="noConversion"/>
  </si>
  <si>
    <t>ACT:20260916_105830_GPT_886636b7:0012</t>
    <phoneticPr fontId="1" type="noConversion"/>
  </si>
  <si>
    <t>20260916_105830_GPT_886636b7:0013</t>
    <phoneticPr fontId="1" type="noConversion"/>
  </si>
  <si>
    <t>ACT:20260916_105830_GPT_886636b7:0013</t>
    <phoneticPr fontId="1" type="noConversion"/>
  </si>
  <si>
    <t>20260916_105830_GPT_886636b7:0014</t>
    <phoneticPr fontId="1" type="noConversion"/>
  </si>
  <si>
    <t>ACT:20260916_105830_GPT_886636b7:0014</t>
    <phoneticPr fontId="1" type="noConversion"/>
  </si>
  <si>
    <t>20260916_105830_GPT_886636b7:0015</t>
    <phoneticPr fontId="1" type="noConversion"/>
  </si>
  <si>
    <t>ACT:20260916_105830_GPT_886636b7:0015</t>
    <phoneticPr fontId="1" type="noConversion"/>
  </si>
  <si>
    <t>20260916_105830_GPT_886636b7:0016</t>
    <phoneticPr fontId="1" type="noConversion"/>
  </si>
  <si>
    <t>ACT:20260916_105830_GPT_886636b7:0016</t>
    <phoneticPr fontId="1" type="noConversion"/>
  </si>
  <si>
    <t>20260916_105830_GPT_886636b7:0017</t>
    <phoneticPr fontId="1" type="noConversion"/>
  </si>
  <si>
    <t>ACT:20260916_105830_GPT_886636b7:0017</t>
    <phoneticPr fontId="1" type="noConversion"/>
  </si>
  <si>
    <t>20260916_105830_GPT_886636b7:0018</t>
    <phoneticPr fontId="1" type="noConversion"/>
  </si>
  <si>
    <t>ACT:20260916_105830_GPT_886636b7:0018</t>
    <phoneticPr fontId="1" type="noConversion"/>
  </si>
  <si>
    <t>20260916_105830_GPT_886636b7:0019</t>
    <phoneticPr fontId="1" type="noConversion"/>
  </si>
  <si>
    <t>ACT:20260916_105830_GPT_886636b7:0019</t>
    <phoneticPr fontId="1" type="noConversion"/>
  </si>
  <si>
    <t>20260916_105830_GPT_886636b7:0020</t>
    <phoneticPr fontId="1" type="noConversion"/>
  </si>
  <si>
    <t>ACT:20260916_105830_GPT_886636b7:0020</t>
    <phoneticPr fontId="1" type="noConversion"/>
  </si>
  <si>
    <t>20260916_105830_GPT_886636b7:0021</t>
    <phoneticPr fontId="1" type="noConversion"/>
  </si>
  <si>
    <t>ACT:20260916_105830_GPT_886636b7:0021</t>
    <phoneticPr fontId="1" type="noConversion"/>
  </si>
  <si>
    <t>20260916_105830_GPT_886636b7:0022</t>
    <phoneticPr fontId="1" type="noConversion"/>
  </si>
  <si>
    <t>ACT:20260916_105830_GPT_886636b7:0022</t>
    <phoneticPr fontId="1" type="noConversion"/>
  </si>
  <si>
    <t>20260916_105830_GPT_886636b7:0023</t>
    <phoneticPr fontId="1" type="noConversion"/>
  </si>
  <si>
    <t>ACT:20260916_105830_GPT_886636b7:0023</t>
    <phoneticPr fontId="1" type="noConversion"/>
  </si>
  <si>
    <t>20260916_105830_GPT_886636b7:0024</t>
    <phoneticPr fontId="1" type="noConversion"/>
  </si>
  <si>
    <t>ACT:20260916_105830_GPT_886636b7:0024</t>
    <phoneticPr fontId="1" type="noConversion"/>
  </si>
  <si>
    <t>20260916_105830_GPT_886636b7:0025</t>
    <phoneticPr fontId="1" type="noConversion"/>
  </si>
  <si>
    <t>ACT:20260916_105830_GPT_886636b7:0025</t>
    <phoneticPr fontId="1" type="noConversion"/>
  </si>
  <si>
    <t>20260916_105830_GPT_886636b7:0026</t>
    <phoneticPr fontId="1" type="noConversion"/>
  </si>
  <si>
    <t>ACT:20260916_105830_GPT_886636b7:0026</t>
    <phoneticPr fontId="1" type="noConversion"/>
  </si>
  <si>
    <t>20260916_105830_GPT_886636b7:0027</t>
    <phoneticPr fontId="1" type="noConversion"/>
  </si>
  <si>
    <t>ACT:20260916_105830_GPT_886636b7:0027</t>
    <phoneticPr fontId="1" type="noConversion"/>
  </si>
  <si>
    <t>读取</t>
    <phoneticPr fontId="1" type="noConversion"/>
  </si>
  <si>
    <t>C:\Users\张尚鹏\.claude\skills\metric-diagnostics\SKILL.md</t>
    <phoneticPr fontId="1" type="noConversion"/>
  </si>
  <si>
    <t>Read</t>
    <phoneticPr fontId="1" type="noConversion"/>
  </si>
  <si>
    <t>20260916_133206_Grok_2a33e3a3:0001</t>
    <phoneticPr fontId="1" type="noConversion"/>
  </si>
  <si>
    <t>ACT:20260916_133206_Grok_2a33e3a3:0001</t>
    <phoneticPr fontId="1" type="noConversion"/>
  </si>
  <si>
    <t>检索</t>
    <phoneticPr fontId="1" type="noConversion"/>
  </si>
  <si>
    <t>{"glob_pattern":"**/*","target_directory":"D:\\项目2\\in…</t>
    <phoneticPr fontId="1" type="noConversion"/>
  </si>
  <si>
    <t>Glob</t>
    <phoneticPr fontId="1" type="noConversion"/>
  </si>
  <si>
    <t>20260916_133206_Grok_2a33e3a3:0002</t>
    <phoneticPr fontId="1" type="noConversion"/>
  </si>
  <si>
    <t>ACT:20260916_133206_Grok_2a33e3a3:0002</t>
    <phoneticPr fontId="1" type="noConversion"/>
  </si>
  <si>
    <t>{"glob_pattern":"**/*","target_directory":"D:\\项目2\\Gr…</t>
    <phoneticPr fontId="1" type="noConversion"/>
  </si>
  <si>
    <t>20260916_133206_Grok_2a33e3a3:0003</t>
    <phoneticPr fontId="1" type="noConversion"/>
  </si>
  <si>
    <t>ACT:20260916_133206_Grok_2a33e3a3:0003</t>
    <phoneticPr fontId="1" type="noConversion"/>
  </si>
  <si>
    <t>检索原始数据目录</t>
    <phoneticPr fontId="1" type="noConversion"/>
  </si>
  <si>
    <t>20260916_133206_Grok_2a33e3a3:0004</t>
    <phoneticPr fontId="1" type="noConversion"/>
  </si>
  <si>
    <t>ACT:20260916_133206_Grok_2a33e3a3:0004</t>
    <phoneticPr fontId="1" type="noConversion"/>
  </si>
  <si>
    <t>工具或方法加载</t>
    <phoneticPr fontId="1" type="noConversion"/>
  </si>
  <si>
    <t>{"namespace":"cursor-app-control","toolName":"rename_c…</t>
    <phoneticPr fontId="1" type="noConversion"/>
  </si>
  <si>
    <t>管理动作</t>
    <phoneticPr fontId="1" type="noConversion"/>
  </si>
  <si>
    <t>GetDynamicTools</t>
    <phoneticPr fontId="1" type="noConversion"/>
  </si>
  <si>
    <t>20260916_133206_Grok_2a33e3a3:0005</t>
    <phoneticPr fontId="1" type="noConversion"/>
  </si>
  <si>
    <t>ACT:20260916_133206_Grok_2a33e3a3:0005</t>
    <phoneticPr fontId="1" type="noConversion"/>
  </si>
  <si>
    <t>D:\项目2\input\data_manifest.json</t>
    <phoneticPr fontId="1" type="noConversion"/>
  </si>
  <si>
    <t>20260916_133206_Grok_2a33e3a3:0006</t>
    <phoneticPr fontId="1" type="noConversion"/>
  </si>
  <si>
    <t>ACT:20260916_133206_Grok_2a33e3a3:0006</t>
    <phoneticPr fontId="1" type="noConversion"/>
  </si>
  <si>
    <t>D:\项目2\Grok\任务提示.md</t>
    <phoneticPr fontId="1" type="noConversion"/>
  </si>
  <si>
    <t>20260916_133206_Grok_2a33e3a3:0007</t>
    <phoneticPr fontId="1" type="noConversion"/>
  </si>
  <si>
    <t>ACT:20260916_133206_Grok_2a33e3a3:0007</t>
    <phoneticPr fontId="1" type="noConversion"/>
  </si>
  <si>
    <t>运行命令</t>
    <phoneticPr fontId="1" type="noConversion"/>
  </si>
  <si>
    <t>List raw data, input, and workspace files</t>
    <phoneticPr fontId="1" type="noConversion"/>
  </si>
  <si>
    <t>Shell</t>
    <phoneticPr fontId="1" type="noConversion"/>
  </si>
  <si>
    <t>20260916_133206_Grok_2a33e3a3:0008</t>
    <phoneticPr fontId="1" type="noConversion"/>
  </si>
  <si>
    <t>ACT:20260916_133206_Grok_2a33e3a3:0008</t>
    <phoneticPr fontId="1" type="noConversion"/>
  </si>
  <si>
    <t>List NYC 311 parquet files</t>
    <phoneticPr fontId="1" type="noConversion"/>
  </si>
  <si>
    <t>20260916_133206_Grok_2a33e3a3:0009</t>
    <phoneticPr fontId="1" type="noConversion"/>
  </si>
  <si>
    <t>ACT:20260916_133206_Grok_2a33e3a3:0009</t>
    <phoneticPr fontId="1" type="noConversion"/>
  </si>
  <si>
    <t>Inspect one parquet schema and row count</t>
    <phoneticPr fontId="1" type="noConversion"/>
  </si>
  <si>
    <t>20260916_133206_Grok_2a33e3a3:0010</t>
    <phoneticPr fontId="1" type="noConversion"/>
  </si>
  <si>
    <t>ACT:20260916_133206_Grok_2a33e3a3:0010</t>
    <phoneticPr fontId="1" type="noConversion"/>
  </si>
  <si>
    <t>Sample values, status, borough, types</t>
    <phoneticPr fontId="1" type="noConversion"/>
  </si>
  <si>
    <t>20260916_133206_Grok_2a33e3a3:0011</t>
    <phoneticPr fontId="1" type="noConversion"/>
  </si>
  <si>
    <t>ACT:20260916_133206_Grok_2a33e3a3:0011</t>
    <phoneticPr fontId="1" type="noConversion"/>
  </si>
  <si>
    <t>Check analysis library versions</t>
    <phoneticPr fontId="1" type="noConversion"/>
  </si>
  <si>
    <t>20260916_133206_Grok_2a33e3a3:0012</t>
    <phoneticPr fontId="1" type="noConversion"/>
  </si>
  <si>
    <t>ACT:20260916_133206_Grok_2a33e3a3:0012</t>
    <phoneticPr fontId="1" type="noConversion"/>
  </si>
  <si>
    <t>写入</t>
    <phoneticPr fontId="1" type="noConversion"/>
  </si>
  <si>
    <t>D:\项目2\Grok\analyze_311.py</t>
    <phoneticPr fontId="1" type="noConversion"/>
  </si>
  <si>
    <t>Write</t>
    <phoneticPr fontId="1" type="noConversion"/>
  </si>
  <si>
    <t>20260916_133206_Grok_2a33e3a3:0013</t>
    <phoneticPr fontId="1" type="noConversion"/>
  </si>
  <si>
    <t>ACT:20260916_133206_Grok_2a33e3a3:0013</t>
    <phoneticPr fontId="1" type="noConversion"/>
  </si>
  <si>
    <t>Run full NYC 311 DuckDB aggregations</t>
    <phoneticPr fontId="1" type="noConversion"/>
  </si>
  <si>
    <t>20260916_133206_Grok_2a33e3a3:0014</t>
    <phoneticPr fontId="1" type="noConversion"/>
  </si>
  <si>
    <t>ACT:20260916_133206_Grok_2a33e3a3:0014</t>
    <phoneticPr fontId="1" type="noConversion"/>
  </si>
  <si>
    <t>D:\项目2\Grok\summaries\overview.csv</t>
    <phoneticPr fontId="1" type="noConversion"/>
  </si>
  <si>
    <t>20260916_133206_Grok_2a33e3a3:0015</t>
    <phoneticPr fontId="1" type="noConversion"/>
  </si>
  <si>
    <t>ACT:20260916_133206_Grok_2a33e3a3:0015</t>
    <phoneticPr fontId="1" type="noConversion"/>
  </si>
  <si>
    <t>D:\项目2\Grok\summaries\types_overall.csv</t>
    <phoneticPr fontId="1" type="noConversion"/>
  </si>
  <si>
    <t>20260916_133206_Grok_2a33e3a3:0016</t>
    <phoneticPr fontId="1" type="noConversion"/>
  </si>
  <si>
    <t>ACT:20260916_133206_Grok_2a33e3a3:0016</t>
    <phoneticPr fontId="1" type="noConversion"/>
  </si>
  <si>
    <t>D:\项目2\Grok\summaries\yoy_type.csv</t>
    <phoneticPr fontId="1" type="noConversion"/>
  </si>
  <si>
    <t>20260916_133206_Grok_2a33e3a3:0017</t>
    <phoneticPr fontId="1" type="noConversion"/>
  </si>
  <si>
    <t>ACT:20260916_133206_Grok_2a33e3a3:0017</t>
    <phoneticPr fontId="1" type="noConversion"/>
  </si>
  <si>
    <t>D:\项目2\Grok\summaries\yoy_borough.csv</t>
    <phoneticPr fontId="1" type="noConversion"/>
  </si>
  <si>
    <t>20260916_133206_Grok_2a33e3a3:0018</t>
    <phoneticPr fontId="1" type="noConversion"/>
  </si>
  <si>
    <t>ACT:20260916_133206_Grok_2a33e3a3:0018</t>
    <phoneticPr fontId="1" type="noConversion"/>
  </si>
  <si>
    <t>D:\项目2\Grok\summaries\yoy_agency.csv</t>
    <phoneticPr fontId="1" type="noConversion"/>
  </si>
  <si>
    <t>20260916_133206_Grok_2a33e3a3:0019</t>
    <phoneticPr fontId="1" type="noConversion"/>
  </si>
  <si>
    <t>ACT:20260916_133206_Grok_2a33e3a3:0019</t>
    <phoneticPr fontId="1" type="noConversion"/>
  </si>
  <si>
    <t>D:\项目2\Grok\summaries\close_by_type.csv</t>
    <phoneticPr fontId="1" type="noConversion"/>
  </si>
  <si>
    <t>20260916_133206_Grok_2a33e3a3:0020</t>
    <phoneticPr fontId="1" type="noConversion"/>
  </si>
  <si>
    <t>ACT:20260916_133206_Grok_2a33e3a3:0020</t>
    <phoneticPr fontId="1" type="noConversion"/>
  </si>
  <si>
    <t>D:\项目2\Grok\summaries\close_by_agency.csv</t>
    <phoneticPr fontId="1" type="noConversion"/>
  </si>
  <si>
    <t>20260916_133206_Grok_2a33e3a3:0021</t>
    <phoneticPr fontId="1" type="noConversion"/>
  </si>
  <si>
    <t>ACT:20260916_133206_Grok_2a33e3a3:0021</t>
    <phoneticPr fontId="1" type="noConversion"/>
  </si>
  <si>
    <t>D:\项目2\Grok\summaries\heat_noise_parking_monthly.csv</t>
    <phoneticPr fontId="1" type="noConversion"/>
  </si>
  <si>
    <t>20260916_133206_Grok_2a33e3a3:0022</t>
    <phoneticPr fontId="1" type="noConversion"/>
  </si>
  <si>
    <t>ACT:20260916_133206_Grok_2a33e3a3:0022</t>
    <phoneticPr fontId="1" type="noConversion"/>
  </si>
  <si>
    <t>D:\项目2\Grok\summaries\daily_spikes.csv</t>
    <phoneticPr fontId="1" type="noConversion"/>
  </si>
  <si>
    <t>20260916_133206_Grok_2a33e3a3:0023</t>
    <phoneticPr fontId="1" type="noConversion"/>
  </si>
  <si>
    <t>ACT:20260916_133206_Grok_2a33e3a3:0023</t>
    <phoneticPr fontId="1" type="noConversion"/>
  </si>
  <si>
    <t>D:\项目2\Grok\summaries\open_age_by_agency.csv</t>
    <phoneticPr fontId="1" type="noConversion"/>
  </si>
  <si>
    <t>20260916_133206_Grok_2a33e3a3:0024</t>
    <phoneticPr fontId="1" type="noConversion"/>
  </si>
  <si>
    <t>ACT:20260916_133206_Grok_2a33e3a3:0024</t>
    <phoneticPr fontId="1" type="noConversion"/>
  </si>
  <si>
    <t>D:\项目2\Grok\diagnose.py</t>
    <phoneticPr fontId="1" type="noConversion"/>
  </si>
  <si>
    <t>20260916_133206_Grok_2a33e3a3:0025</t>
    <phoneticPr fontId="1" type="noConversion"/>
  </si>
  <si>
    <t>ACT:20260916_133206_Grok_2a33e3a3:0025</t>
    <phoneticPr fontId="1" type="noConversion"/>
  </si>
  <si>
    <t>Run mix-shift and spike diagnostics</t>
    <phoneticPr fontId="1" type="noConversion"/>
  </si>
  <si>
    <t>20260916_133206_Grok_2a33e3a3:0026</t>
    <phoneticPr fontId="1" type="noConversion"/>
  </si>
  <si>
    <t>ACT:20260916_133206_Grok_2a33e3a3:0026</t>
    <phoneticPr fontId="1" type="noConversion"/>
  </si>
  <si>
    <t>D:\项目2\Grok\summaries\diag_boro_type_shares.csv</t>
    <phoneticPr fontId="1" type="noConversion"/>
  </si>
  <si>
    <t>20260916_133206_Grok_2a33e3a3:0027</t>
    <phoneticPr fontId="1" type="noConversion"/>
  </si>
  <si>
    <t>ACT:20260916_133206_Grok_2a33e3a3:0027</t>
    <phoneticPr fontId="1" type="noConversion"/>
  </si>
  <si>
    <t>D:\项目2\Grok\summaries\diag_heat_close_monthly.csv</t>
    <phoneticPr fontId="1" type="noConversion"/>
  </si>
  <si>
    <t>20260916_133206_Grok_2a33e3a3:0028</t>
    <phoneticPr fontId="1" type="noConversion"/>
  </si>
  <si>
    <t>ACT:20260916_133206_Grok_2a33e3a3:0028</t>
    <phoneticPr fontId="1" type="noConversion"/>
  </si>
  <si>
    <t>D:\项目2\Grok\summaries\diag_channel_monthly.csv</t>
    <phoneticPr fontId="1" type="noConversion"/>
  </si>
  <si>
    <t>20260916_133206_Grok_2a33e3a3:0029</t>
    <phoneticPr fontId="1" type="noConversion"/>
  </si>
  <si>
    <t>ACT:20260916_133206_Grok_2a33e3a3:0029</t>
    <phoneticPr fontId="1" type="noConversion"/>
  </si>
  <si>
    <t>D:\项目2\Grok\summaries\heat_descriptors.csv</t>
    <phoneticPr fontId="1" type="noConversion"/>
  </si>
  <si>
    <t>20260916_133206_Grok_2a33e3a3:0030</t>
    <phoneticPr fontId="1" type="noConversion"/>
  </si>
  <si>
    <t>ACT:20260916_133206_Grok_2a33e3a3:0030</t>
    <phoneticPr fontId="1" type="noConversion"/>
  </si>
  <si>
    <t>D:\项目2\Grok\summaries\close_by_borough.csv</t>
    <phoneticPr fontId="1" type="noConversion"/>
  </si>
  <si>
    <t>20260916_133206_Grok_2a33e3a3:0031</t>
    <phoneticPr fontId="1" type="noConversion"/>
  </si>
  <si>
    <t>ACT:20260916_133206_Grok_2a33e3a3:0031</t>
    <phoneticPr fontId="1" type="noConversion"/>
  </si>
  <si>
    <t>D:\项目2\Grok\summaries\dow_volume.csv</t>
    <phoneticPr fontId="1" type="noConversion"/>
  </si>
  <si>
    <t>20260916_133206_Grok_2a33e3a3:0032</t>
    <phoneticPr fontId="1" type="noConversion"/>
  </si>
  <si>
    <t>ACT:20260916_133206_Grok_2a33e3a3:0032</t>
    <phoneticPr fontId="1" type="noConversion"/>
  </si>
  <si>
    <t>D:\项目2\Grok\summaries\file_row_counts.csv</t>
    <phoneticPr fontId="1" type="noConversion"/>
  </si>
  <si>
    <t>20260916_133206_Grok_2a33e3a3:0033</t>
    <phoneticPr fontId="1" type="noConversion"/>
  </si>
  <si>
    <t>ACT:20260916_133206_Grok_2a33e3a3:0033</t>
    <phoneticPr fontId="1" type="noConversion"/>
  </si>
  <si>
    <t>D:\项目2\Grok\summaries\monthly.csv</t>
    <phoneticPr fontId="1" type="noConversion"/>
  </si>
  <si>
    <t>20260916_133206_Grok_2a33e3a3:0034</t>
    <phoneticPr fontId="1" type="noConversion"/>
  </si>
  <si>
    <t>ACT:20260916_133206_Grok_2a33e3a3:0034</t>
    <phoneticPr fontId="1" type="noConversion"/>
  </si>
  <si>
    <t>D:\项目2\Grok\summaries\agency_counts.csv</t>
    <phoneticPr fontId="1" type="noConversion"/>
  </si>
  <si>
    <t>20260916_133206_Grok_2a33e3a3:0035</t>
    <phoneticPr fontId="1" type="noConversion"/>
  </si>
  <si>
    <t>ACT:20260916_133206_Grok_2a33e3a3:0035</t>
    <phoneticPr fontId="1" type="noConversion"/>
  </si>
  <si>
    <t>D:\项目2\Grok\summaries\channel_counts.csv</t>
    <phoneticPr fontId="1" type="noConversion"/>
  </si>
  <si>
    <t>20260916_133206_Grok_2a33e3a3:0036</t>
    <phoneticPr fontId="1" type="noConversion"/>
  </si>
  <si>
    <t>ACT:20260916_133206_Grok_2a33e3a3:0036</t>
    <phoneticPr fontId="1" type="noConversion"/>
  </si>
  <si>
    <t>D:\项目2\Grok\summaries\status_counts.csv</t>
    <phoneticPr fontId="1" type="noConversion"/>
  </si>
  <si>
    <t>20260916_133206_Grok_2a33e3a3:0037</t>
    <phoneticPr fontId="1" type="noConversion"/>
  </si>
  <si>
    <t>ACT:20260916_133206_Grok_2a33e3a3:0037</t>
    <phoneticPr fontId="1" type="noConversion"/>
  </si>
  <si>
    <t>D:\项目2\Grok\summaries\heat_by_borough.csv</t>
    <phoneticPr fontId="1" type="noConversion"/>
  </si>
  <si>
    <t>20260916_133206_Grok_2a33e3a3:0038</t>
    <phoneticPr fontId="1" type="noConversion"/>
  </si>
  <si>
    <t>ACT:20260916_133206_Grok_2a33e3a3:0038</t>
    <phoneticPr fontId="1" type="noConversion"/>
  </si>
  <si>
    <t>D:\项目2\Grok\summaries\diag_snow_monthly.csv</t>
    <phoneticPr fontId="1" type="noConversion"/>
  </si>
  <si>
    <t>20260916_133206_Grok_2a33e3a3:0039</t>
    <phoneticPr fontId="1" type="noConversion"/>
  </si>
  <si>
    <t>ACT:20260916_133206_Grok_2a33e3a3:0039</t>
    <phoneticPr fontId="1" type="noConversion"/>
  </si>
  <si>
    <t>D:\项目2\Grok\summaries\diag_yoy_contrib.csv</t>
    <phoneticPr fontId="1" type="noConversion"/>
  </si>
  <si>
    <t>20260916_133206_Grok_2a33e3a3:0040</t>
    <phoneticPr fontId="1" type="noConversion"/>
  </si>
  <si>
    <t>ACT:20260916_133206_Grok_2a33e3a3:0040</t>
    <phoneticPr fontId="1" type="noConversion"/>
  </si>
  <si>
    <t>D:\项目2\Grok\summaries\diag_2026_02_24_types.csv</t>
    <phoneticPr fontId="1" type="noConversion"/>
  </si>
  <si>
    <t>20260916_133206_Grok_2a33e3a3:0041</t>
    <phoneticPr fontId="1" type="noConversion"/>
  </si>
  <si>
    <t>ACT:20260916_133206_Grok_2a33e3a3:0041</t>
    <phoneticPr fontId="1" type="noConversion"/>
  </si>
  <si>
    <t>D:\项目2\Grok\build_excel.py</t>
    <phoneticPr fontId="1" type="noConversion"/>
  </si>
  <si>
    <t>20260916_133206_Grok_2a33e3a3:0042</t>
    <phoneticPr fontId="1" type="noConversion"/>
  </si>
  <si>
    <t>ACT:20260916_133206_Grok_2a33e3a3:0042</t>
    <phoneticPr fontId="1" type="noConversion"/>
  </si>
  <si>
    <t>D:\项目2\Grok\分析说明.md</t>
    <phoneticPr fontId="1" type="noConversion"/>
  </si>
  <si>
    <t>20260916_133206_Grok_2a33e3a3:0043</t>
    <phoneticPr fontId="1" type="noConversion"/>
  </si>
  <si>
    <t>ACT:20260916_133206_Grok_2a33e3a3:0043</t>
    <phoneticPr fontId="1" type="noConversion"/>
  </si>
  <si>
    <t>Build final Excel dashboard workbook</t>
    <phoneticPr fontId="1" type="noConversion"/>
  </si>
  <si>
    <t>20260916_133206_Grok_2a33e3a3:0044</t>
    <phoneticPr fontId="1" type="noConversion"/>
  </si>
  <si>
    <t>ACT:20260916_133206_Grok_2a33e3a3:0044</t>
    <phoneticPr fontId="1" type="noConversion"/>
  </si>
  <si>
    <t>Verify Excel opens, sheets, checksums</t>
    <phoneticPr fontId="1" type="noConversion"/>
  </si>
  <si>
    <t>20260916_133206_Grok_2a33e3a3:0045</t>
    <phoneticPr fontId="1" type="noConversion"/>
  </si>
  <si>
    <t>ACT:20260916_133206_Grok_2a33e3a3:0045</t>
    <phoneticPr fontId="1" type="noConversion"/>
  </si>
  <si>
    <t>修改</t>
    <phoneticPr fontId="1" type="noConversion"/>
  </si>
  <si>
    <t>StrReplace</t>
    <phoneticPr fontId="1" type="noConversion"/>
  </si>
  <si>
    <t>20260916_133206_Grok_2a33e3a3:0046</t>
    <phoneticPr fontId="1" type="noConversion"/>
  </si>
  <si>
    <t>ACT:20260916_133206_Grok_2a33e3a3:0046</t>
    <phoneticPr fontId="1" type="noConversion"/>
  </si>
  <si>
    <t>20260916_133206_Grok_2a33e3a3:0047</t>
    <phoneticPr fontId="1" type="noConversion"/>
  </si>
  <si>
    <t>ACT:20260916_133206_Grok_2a33e3a3:0047</t>
    <phoneticPr fontId="1" type="noConversion"/>
  </si>
  <si>
    <t>20260916_133206_Grok_2a33e3a3:0048</t>
    <phoneticPr fontId="1" type="noConversion"/>
  </si>
  <si>
    <t>ACT:20260916_133206_Grok_2a33e3a3:0048</t>
    <phoneticPr fontId="1" type="noConversion"/>
  </si>
  <si>
    <t>Print Excel sheet names as UTF-8</t>
    <phoneticPr fontId="1" type="noConversion"/>
  </si>
  <si>
    <t>20260916_133206_Grok_2a33e3a3:0049</t>
    <phoneticPr fontId="1" type="noConversion"/>
  </si>
  <si>
    <t>ACT:20260916_133206_Grok_2a33e3a3:0049</t>
    <phoneticPr fontId="1" type="noConversion"/>
  </si>
  <si>
    <t>Rebuild Excel after share correction</t>
    <phoneticPr fontId="1" type="noConversion"/>
  </si>
  <si>
    <t>20260916_133206_Grok_2a33e3a3:0050</t>
    <phoneticPr fontId="1" type="noConversion"/>
  </si>
  <si>
    <t>ACT:20260916_133206_Grok_2a33e3a3:0050</t>
    <phoneticPr fontId="1" type="noConversion"/>
  </si>
  <si>
    <t>List input and raw data directories</t>
    <phoneticPr fontId="1" type="noConversion"/>
  </si>
  <si>
    <t>Bash</t>
    <phoneticPr fontId="1" type="noConversion"/>
  </si>
  <si>
    <t>20260916_153015_DeepSeek_a32f78bc:0001</t>
    <phoneticPr fontId="1" type="noConversion"/>
  </si>
  <si>
    <t>ACT:20260916_153015_DeepSeek_a32f78bc:0001</t>
    <phoneticPr fontId="1" type="noConversion"/>
  </si>
  <si>
    <t>List working directory</t>
    <phoneticPr fontId="1" type="noConversion"/>
  </si>
  <si>
    <t>20260916_153015_DeepSeek_a32f78bc:0002</t>
    <phoneticPr fontId="1" type="noConversion"/>
  </si>
  <si>
    <t>ACT:20260916_153015_DeepSeek_a32f78bc:0002</t>
    <phoneticPr fontId="1" type="noConversion"/>
  </si>
  <si>
    <t>D:/项目2/input/data_manifest.json</t>
    <phoneticPr fontId="1" type="noConversion"/>
  </si>
  <si>
    <t>20260916_153015_DeepSeek_a32f78bc:0003</t>
    <phoneticPr fontId="1" type="noConversion"/>
  </si>
  <si>
    <t>ACT:20260916_153015_DeepSeek_a32f78bc:0003</t>
    <phoneticPr fontId="1" type="noConversion"/>
  </si>
  <si>
    <t>D:/项目2/DeepSeek/任务提示.md</t>
    <phoneticPr fontId="1" type="noConversion"/>
  </si>
  <si>
    <t>20260916_153015_DeepSeek_a32f78bc:0004</t>
    <phoneticPr fontId="1" type="noConversion"/>
  </si>
  <si>
    <t>ACT:20260916_153015_DeepSeek_a32f78bc:0004</t>
    <phoneticPr fontId="1" type="noConversion"/>
  </si>
  <si>
    <t>Check Python data stack availability</t>
    <phoneticPr fontId="1" type="noConversion"/>
  </si>
  <si>
    <t>20260916_153015_DeepSeek_a32f78bc:0005</t>
    <phoneticPr fontId="1" type="noConversion"/>
  </si>
  <si>
    <t>ACT:20260916_153015_DeepSeek_a32f78bc:0005</t>
    <phoneticPr fontId="1" type="noConversion"/>
  </si>
  <si>
    <t>Inspect parquet schema</t>
    <phoneticPr fontId="1" type="noConversion"/>
  </si>
  <si>
    <t>20260916_153015_DeepSeek_a32f78bc:0006</t>
    <phoneticPr fontId="1" type="noConversion"/>
  </si>
  <si>
    <t>ACT:20260916_153015_DeepSeek_a32f78bc:0006</t>
    <phoneticPr fontId="1" type="noConversion"/>
  </si>
  <si>
    <t>Sample rows from parquet</t>
    <phoneticPr fontId="1" type="noConversion"/>
  </si>
  <si>
    <t>20260916_153015_DeepSeek_a32f78bc:0007</t>
    <phoneticPr fontId="1" type="noConversion"/>
  </si>
  <si>
    <t>ACT:20260916_153015_DeepSeek_a32f78bc:0007</t>
    <phoneticPr fontId="1" type="noConversion"/>
  </si>
  <si>
    <t>D:/项目2/DeepSeek/scripts/01_profile.py</t>
    <phoneticPr fontId="1" type="noConversion"/>
  </si>
  <si>
    <t>20260916_153015_DeepSeek_a32f78bc:0008</t>
    <phoneticPr fontId="1" type="noConversion"/>
  </si>
  <si>
    <t>ACT:20260916_153015_DeepSeek_a32f78bc:0008</t>
    <phoneticPr fontId="1" type="noConversion"/>
  </si>
  <si>
    <t>Run profiling step 1</t>
    <phoneticPr fontId="1" type="noConversion"/>
  </si>
  <si>
    <t>20260916_153015_DeepSeek_a32f78bc:0009</t>
    <phoneticPr fontId="1" type="noConversion"/>
  </si>
  <si>
    <t>ACT:20260916_153015_DeepSeek_a32f78bc:0009</t>
    <phoneticPr fontId="1" type="noConversion"/>
  </si>
  <si>
    <t>任务管理</t>
    <phoneticPr fontId="1" type="noConversion"/>
  </si>
  <si>
    <t>确认文件、字段、粒度、时间范围、缺失、重复、异常值，判断哪些质量问题影响后续分析</t>
    <phoneticPr fontId="1" type="noConversion"/>
  </si>
  <si>
    <t>TaskCreate</t>
    <phoneticPr fontId="1" type="noConversion"/>
  </si>
  <si>
    <t>20260916_153015_DeepSeek_a32f78bc:0010</t>
    <phoneticPr fontId="1" type="noConversion"/>
  </si>
  <si>
    <t>ACT:20260916_153015_DeepSeek_a32f78bc:0010</t>
    <phoneticPr fontId="1" type="noConversion"/>
  </si>
  <si>
    <t>解析时间字段、计算响应时长、输出可追溯的中间汇总表</t>
    <phoneticPr fontId="1" type="noConversion"/>
  </si>
  <si>
    <t>20260916_153015_DeepSeek_a32f78bc:0011</t>
    <phoneticPr fontId="1" type="noConversion"/>
  </si>
  <si>
    <t>ACT:20260916_153015_DeepSeek_a32f78bc:0011</t>
    <phoneticPr fontId="1" type="noConversion"/>
  </si>
  <si>
    <t>广泛探索候选题，收敛到少数有证据、可展示的核心发现</t>
    <phoneticPr fontId="1" type="noConversion"/>
  </si>
  <si>
    <t>20260916_153015_DeepSeek_a32f78bc:0012</t>
    <phoneticPr fontId="1" type="noConversion"/>
  </si>
  <si>
    <t>ACT:20260916_153015_DeepSeek_a32f78bc:0012</t>
    <phoneticPr fontId="1" type="noConversion"/>
  </si>
  <si>
    <t>用 openpyxl 生成含图表的多 sheet 看板，普通读者可直接阅读</t>
    <phoneticPr fontId="1" type="noConversion"/>
  </si>
  <si>
    <t>20260916_153015_DeepSeek_a32f78bc:0013</t>
    <phoneticPr fontId="1" type="noConversion"/>
  </si>
  <si>
    <t>ACT:20260916_153015_DeepSeek_a32f78bc:0013</t>
    <phoneticPr fontId="1" type="noConversion"/>
  </si>
  <si>
    <t>写分析说明.md，复核关键总量、时间范围、结论可回查、Excel 可读性</t>
    <phoneticPr fontId="1" type="noConversion"/>
  </si>
  <si>
    <t>20260916_153015_DeepSeek_a32f78bc:0014</t>
    <phoneticPr fontId="1" type="noConversion"/>
  </si>
  <si>
    <t>ACT:20260916_153015_DeepSeek_a32f78bc:0014</t>
    <phoneticPr fontId="1" type="noConversion"/>
  </si>
  <si>
    <t>{"status":"in_progress","taskId":"1"}</t>
    <phoneticPr fontId="1" type="noConversion"/>
  </si>
  <si>
    <t>TaskUpdate</t>
    <phoneticPr fontId="1" type="noConversion"/>
  </si>
  <si>
    <t>20260916_153015_DeepSeek_a32f78bc:0015</t>
    <phoneticPr fontId="1" type="noConversion"/>
  </si>
  <si>
    <t>ACT:20260916_153015_DeepSeek_a32f78bc:0015</t>
    <phoneticPr fontId="1" type="noConversion"/>
  </si>
  <si>
    <t>D:/项目2/DeepSeek/scripts/02_quality.py</t>
    <phoneticPr fontId="1" type="noConversion"/>
  </si>
  <si>
    <t>20260916_153015_DeepSeek_a32f78bc:0016</t>
    <phoneticPr fontId="1" type="noConversion"/>
  </si>
  <si>
    <t>ACT:20260916_153015_DeepSeek_a32f78bc:0016</t>
    <phoneticPr fontId="1" type="noConversion"/>
  </si>
  <si>
    <t>Run quality profiling</t>
    <phoneticPr fontId="1" type="noConversion"/>
  </si>
  <si>
    <t>20260916_153015_DeepSeek_a32f78bc:0017</t>
    <phoneticPr fontId="1" type="noConversion"/>
  </si>
  <si>
    <t>ACT:20260916_153015_DeepSeek_a32f78bc:0017</t>
    <phoneticPr fontId="1" type="noConversion"/>
  </si>
  <si>
    <t>D:/项目2/DeepSeek/scripts/03_explore.py</t>
    <phoneticPr fontId="1" type="noConversion"/>
  </si>
  <si>
    <t>20260916_153015_DeepSeek_a32f78bc:0018</t>
    <phoneticPr fontId="1" type="noConversion"/>
  </si>
  <si>
    <t>ACT:20260916_153015_DeepSeek_a32f78bc:0018</t>
    <phoneticPr fontId="1" type="noConversion"/>
  </si>
  <si>
    <t>Run broad exploration</t>
    <phoneticPr fontId="1" type="noConversion"/>
  </si>
  <si>
    <t>20260916_153015_DeepSeek_a32f78bc:0019</t>
    <phoneticPr fontId="1" type="noConversion"/>
  </si>
  <si>
    <t>ACT:20260916_153015_DeepSeek_a32f78bc:0019</t>
    <phoneticPr fontId="1" type="noConversion"/>
  </si>
  <si>
    <t>Edit</t>
    <phoneticPr fontId="1" type="noConversion"/>
  </si>
  <si>
    <t>20260916_153015_DeepSeek_a32f78bc:0020</t>
    <phoneticPr fontId="1" type="noConversion"/>
  </si>
  <si>
    <t>ACT:20260916_153015_DeepSeek_a32f78bc:0020</t>
    <phoneticPr fontId="1" type="noConversion"/>
  </si>
  <si>
    <t>Rerun exploration sections D-F</t>
    <phoneticPr fontId="1" type="noConversion"/>
  </si>
  <si>
    <t>20260916_153015_DeepSeek_a32f78bc:0021</t>
    <phoneticPr fontId="1" type="noConversion"/>
  </si>
  <si>
    <t>ACT:20260916_153015_DeepSeek_a32f78bc:0021</t>
    <phoneticPr fontId="1" type="noConversion"/>
  </si>
  <si>
    <t>D:/项目2/DeepSeek/scripts/04_deepdive.py</t>
    <phoneticPr fontId="1" type="noConversion"/>
  </si>
  <si>
    <t>20260916_153015_DeepSeek_a32f78bc:0022</t>
    <phoneticPr fontId="1" type="noConversion"/>
  </si>
  <si>
    <t>ACT:20260916_153015_DeepSeek_a32f78bc:0022</t>
    <phoneticPr fontId="1" type="noConversion"/>
  </si>
  <si>
    <t>Run deep dive exploration</t>
    <phoneticPr fontId="1" type="noConversion"/>
  </si>
  <si>
    <t>20260916_153015_DeepSeek_a32f78bc:0023</t>
    <phoneticPr fontId="1" type="noConversion"/>
  </si>
  <si>
    <t>ACT:20260916_153015_DeepSeek_a32f78bc:0023</t>
    <phoneticPr fontId="1" type="noConversion"/>
  </si>
  <si>
    <t>D:/项目2/DeepSeek/scripts/05_deepdive2.py</t>
    <phoneticPr fontId="1" type="noConversion"/>
  </si>
  <si>
    <t>20260916_153015_DeepSeek_a32f78bc:0024</t>
    <phoneticPr fontId="1" type="noConversion"/>
  </si>
  <si>
    <t>ACT:20260916_153015_DeepSeek_a32f78bc:0024</t>
    <phoneticPr fontId="1" type="noConversion"/>
  </si>
  <si>
    <t>Run second deep dive</t>
    <phoneticPr fontId="1" type="noConversion"/>
  </si>
  <si>
    <t>20260916_153015_DeepSeek_a32f78bc:0025</t>
    <phoneticPr fontId="1" type="noConversion"/>
  </si>
  <si>
    <t>ACT:20260916_153015_DeepSeek_a32f78bc:0025</t>
    <phoneticPr fontId="1" type="noConversion"/>
  </si>
  <si>
    <t>20260916_153015_DeepSeek_a32f78bc:0026</t>
    <phoneticPr fontId="1" type="noConversion"/>
  </si>
  <si>
    <t>ACT:20260916_153015_DeepSeek_a32f78bc:0026</t>
    <phoneticPr fontId="1" type="noConversion"/>
  </si>
  <si>
    <t>Rerun deep dive 2</t>
    <phoneticPr fontId="1" type="noConversion"/>
  </si>
  <si>
    <t>20260916_153015_DeepSeek_a32f78bc:0027</t>
    <phoneticPr fontId="1" type="noConversion"/>
  </si>
  <si>
    <t>ACT:20260916_153015_DeepSeek_a32f78bc:0027</t>
    <phoneticPr fontId="1" type="noConversion"/>
  </si>
  <si>
    <t>{"status":"completed","taskId":"1"}</t>
    <phoneticPr fontId="1" type="noConversion"/>
  </si>
  <si>
    <t>20260916_153015_DeepSeek_a32f78bc:0028</t>
    <phoneticPr fontId="1" type="noConversion"/>
  </si>
  <si>
    <t>ACT:20260916_153015_DeepSeek_a32f78bc:0028</t>
    <phoneticPr fontId="1" type="noConversion"/>
  </si>
  <si>
    <t>{"status":"in_progress","taskId":"3"}</t>
    <phoneticPr fontId="1" type="noConversion"/>
  </si>
  <si>
    <t>20260916_153015_DeepSeek_a32f78bc:0029</t>
    <phoneticPr fontId="1" type="noConversion"/>
  </si>
  <si>
    <t>ACT:20260916_153015_DeepSeek_a32f78bc:0029</t>
    <phoneticPr fontId="1" type="noConversion"/>
  </si>
  <si>
    <t>D:/项目2/DeepSeek/scripts/06_diagnose.py</t>
    <phoneticPr fontId="1" type="noConversion"/>
  </si>
  <si>
    <t>20260916_153015_DeepSeek_a32f78bc:0030</t>
    <phoneticPr fontId="1" type="noConversion"/>
  </si>
  <si>
    <t>ACT:20260916_153015_DeepSeek_a32f78bc:0030</t>
    <phoneticPr fontId="1" type="noConversion"/>
  </si>
  <si>
    <t>Run diagnostic decomposition</t>
    <phoneticPr fontId="1" type="noConversion"/>
  </si>
  <si>
    <t>20260916_153015_DeepSeek_a32f78bc:0031</t>
    <phoneticPr fontId="1" type="noConversion"/>
  </si>
  <si>
    <t>ACT:20260916_153015_DeepSeek_a32f78bc:0031</t>
    <phoneticPr fontId="1" type="noConversion"/>
  </si>
  <si>
    <t>D:/项目2/DeepSeek/scripts/07_hpd_boundary.py</t>
    <phoneticPr fontId="1" type="noConversion"/>
  </si>
  <si>
    <t>20260916_153015_DeepSeek_a32f78bc:0032</t>
    <phoneticPr fontId="1" type="noConversion"/>
  </si>
  <si>
    <t>ACT:20260916_153015_DeepSeek_a32f78bc:0032</t>
    <phoneticPr fontId="1" type="noConversion"/>
  </si>
  <si>
    <t>Run HPD and boundary checks</t>
    <phoneticPr fontId="1" type="noConversion"/>
  </si>
  <si>
    <t>20260916_153015_DeepSeek_a32f78bc:0033</t>
    <phoneticPr fontId="1" type="noConversion"/>
  </si>
  <si>
    <t>ACT:20260916_153015_DeepSeek_a32f78bc:0033</t>
    <phoneticPr fontId="1" type="noConversion"/>
  </si>
  <si>
    <t>D:/项目2/DeepSeek/scripts/08_standardize.py</t>
    <phoneticPr fontId="1" type="noConversion"/>
  </si>
  <si>
    <t>20260916_153015_DeepSeek_a32f78bc:0034</t>
    <phoneticPr fontId="1" type="noConversion"/>
  </si>
  <si>
    <t>ACT:20260916_153015_DeepSeek_a32f78bc:0034</t>
    <phoneticPr fontId="1" type="noConversion"/>
  </si>
  <si>
    <t>Run composition standardization</t>
    <phoneticPr fontId="1" type="noConversion"/>
  </si>
  <si>
    <t>20260916_153015_DeepSeek_a32f78bc:0035</t>
    <phoneticPr fontId="1" type="noConversion"/>
  </si>
  <si>
    <t>ACT:20260916_153015_DeepSeek_a32f78bc:0035</t>
    <phoneticPr fontId="1" type="noConversion"/>
  </si>
  <si>
    <t>20260916_153015_DeepSeek_a32f78bc:0036</t>
    <phoneticPr fontId="1" type="noConversion"/>
  </si>
  <si>
    <t>ACT:20260916_153015_DeepSeek_a32f78bc:0036</t>
    <phoneticPr fontId="1" type="noConversion"/>
  </si>
  <si>
    <t>Run standardized median analysis</t>
    <phoneticPr fontId="1" type="noConversion"/>
  </si>
  <si>
    <t>确认无收益</t>
    <phoneticPr fontId="1" type="noConversion"/>
  </si>
  <si>
    <t>20260916_153015_DeepSeek_a32f78bc:0037</t>
    <phoneticPr fontId="1" type="noConversion"/>
  </si>
  <si>
    <t>ACT:20260916_153015_DeepSeek_a32f78bc:0037</t>
    <phoneticPr fontId="1" type="noConversion"/>
  </si>
  <si>
    <t>20260916_153015_DeepSeek_a32f78bc:0038</t>
    <phoneticPr fontId="1" type="noConversion"/>
  </si>
  <si>
    <t>ACT:20260916_153015_DeepSeek_a32f78bc:0038</t>
    <phoneticPr fontId="1" type="noConversion"/>
  </si>
  <si>
    <t>Rerun standardized median analysis</t>
    <phoneticPr fontId="1" type="noConversion"/>
  </si>
  <si>
    <t>20260916_153015_DeepSeek_a32f78bc:0039</t>
    <phoneticPr fontId="1" type="noConversion"/>
  </si>
  <si>
    <t>ACT:20260916_153015_DeepSeek_a32f78bc:0039</t>
    <phoneticPr fontId="1" type="noConversion"/>
  </si>
  <si>
    <t>20260916_153015_DeepSeek_a32f78bc:0040</t>
    <phoneticPr fontId="1" type="noConversion"/>
  </si>
  <si>
    <t>ACT:20260916_153015_DeepSeek_a32f78bc:0040</t>
    <phoneticPr fontId="1" type="noConversion"/>
  </si>
  <si>
    <t>20260916_153015_DeepSeek_a32f78bc:0041</t>
    <phoneticPr fontId="1" type="noConversion"/>
  </si>
  <si>
    <t>ACT:20260916_153015_DeepSeek_a32f78bc:0041</t>
    <phoneticPr fontId="1" type="noConversion"/>
  </si>
  <si>
    <t>Rerun with two-level standardization</t>
    <phoneticPr fontId="1" type="noConversion"/>
  </si>
  <si>
    <t>20260916_153015_DeepSeek_a32f78bc:0042</t>
    <phoneticPr fontId="1" type="noConversion"/>
  </si>
  <si>
    <t>ACT:20260916_153015_DeepSeek_a32f78bc:0042</t>
    <phoneticPr fontId="1" type="noConversion"/>
  </si>
  <si>
    <t>20260916_153015_DeepSeek_a32f78bc:0043</t>
    <phoneticPr fontId="1" type="noConversion"/>
  </si>
  <si>
    <t>ACT:20260916_153015_DeepSeek_a32f78bc:0043</t>
    <phoneticPr fontId="1" type="noConversion"/>
  </si>
  <si>
    <t>Rerun standardization</t>
    <phoneticPr fontId="1" type="noConversion"/>
  </si>
  <si>
    <t>20260916_153015_DeepSeek_a32f78bc:0044</t>
    <phoneticPr fontId="1" type="noConversion"/>
  </si>
  <si>
    <t>ACT:20260916_153015_DeepSeek_a32f78bc:0044</t>
    <phoneticPr fontId="1" type="noConversion"/>
  </si>
  <si>
    <t>D:/项目2/DeepSeek/scripts/09_final_tables.py</t>
    <phoneticPr fontId="1" type="noConversion"/>
  </si>
  <si>
    <t>20260916_153015_DeepSeek_a32f78bc:0045</t>
    <phoneticPr fontId="1" type="noConversion"/>
  </si>
  <si>
    <t>ACT:20260916_153015_DeepSeek_a32f78bc:0045</t>
    <phoneticPr fontId="1" type="noConversion"/>
  </si>
  <si>
    <t>Generate final analysis tables</t>
    <phoneticPr fontId="1" type="noConversion"/>
  </si>
  <si>
    <t>20260916_153015_DeepSeek_a32f78bc:0046</t>
    <phoneticPr fontId="1" type="noConversion"/>
  </si>
  <si>
    <t>ACT:20260916_153015_DeepSeek_a32f78bc:0046</t>
    <phoneticPr fontId="1" type="noConversion"/>
  </si>
  <si>
    <t>20260916_153015_DeepSeek_a32f78bc:0047</t>
    <phoneticPr fontId="1" type="noConversion"/>
  </si>
  <si>
    <t>ACT:20260916_153015_DeepSeek_a32f78bc:0047</t>
    <phoneticPr fontId="1" type="noConversion"/>
  </si>
  <si>
    <t>20260916_153015_DeepSeek_a32f78bc:0048</t>
    <phoneticPr fontId="1" type="noConversion"/>
  </si>
  <si>
    <t>ACT:20260916_153015_DeepSeek_a32f78bc:0048</t>
    <phoneticPr fontId="1" type="noConversion"/>
  </si>
  <si>
    <t>Rerun final tables</t>
    <phoneticPr fontId="1" type="noConversion"/>
  </si>
  <si>
    <t>20260916_153015_DeepSeek_a32f78bc:0049</t>
    <phoneticPr fontId="1" type="noConversion"/>
  </si>
  <si>
    <t>ACT:20260916_153015_DeepSeek_a32f78bc:0049</t>
    <phoneticPr fontId="1" type="noConversion"/>
  </si>
  <si>
    <t>Inspect agency, monthly, matrix tables</t>
    <phoneticPr fontId="1" type="noConversion"/>
  </si>
  <si>
    <t>20260916_153015_DeepSeek_a32f78bc:0050</t>
    <phoneticPr fontId="1" type="noConversion"/>
  </si>
  <si>
    <t>ACT:20260916_153015_DeepSeek_a32f78bc:0050</t>
    <phoneticPr fontId="1" type="noConversion"/>
  </si>
  <si>
    <t>D:/项目2/DeepSeek/scripts/10_anomaly_checks.py</t>
    <phoneticPr fontId="1" type="noConversion"/>
  </si>
  <si>
    <t>20260916_153015_DeepSeek_a32f78bc:0051</t>
    <phoneticPr fontId="1" type="noConversion"/>
  </si>
  <si>
    <t>ACT:20260916_153015_DeepSeek_a32f78bc:0051</t>
    <phoneticPr fontId="1" type="noConversion"/>
  </si>
  <si>
    <t>Run anomaly checks</t>
    <phoneticPr fontId="1" type="noConversion"/>
  </si>
  <si>
    <t>20260916_153015_DeepSeek_a32f78bc:0052</t>
    <phoneticPr fontId="1" type="noConversion"/>
  </si>
  <si>
    <t>ACT:20260916_153015_DeepSeek_a32f78bc:0052</t>
    <phoneticPr fontId="1" type="noConversion"/>
  </si>
  <si>
    <t>D:/项目2/DeepSeek/scripts/11_taxonomy.py</t>
    <phoneticPr fontId="1" type="noConversion"/>
  </si>
  <si>
    <t>20260916_153015_DeepSeek_a32f78bc:0053</t>
    <phoneticPr fontId="1" type="noConversion"/>
  </si>
  <si>
    <t>ACT:20260916_153015_DeepSeek_a32f78bc:0053</t>
    <phoneticPr fontId="1" type="noConversion"/>
  </si>
  <si>
    <t>Run taxonomy and winter chain checks</t>
    <phoneticPr fontId="1" type="noConversion"/>
  </si>
  <si>
    <t>20260916_153015_DeepSeek_a32f78bc:0054</t>
    <phoneticPr fontId="1" type="noConversion"/>
  </si>
  <si>
    <t>ACT:20260916_153015_DeepSeek_a32f78bc:0054</t>
    <phoneticPr fontId="1" type="noConversion"/>
  </si>
  <si>
    <t>Final checks on anomalous address</t>
    <phoneticPr fontId="1" type="noConversion"/>
  </si>
  <si>
    <t>20260916_153015_DeepSeek_a32f78bc:0055</t>
    <phoneticPr fontId="1" type="noConversion"/>
  </si>
  <si>
    <t>ACT:20260916_153015_DeepSeek_a32f78bc:0055</t>
    <phoneticPr fontId="1" type="noConversion"/>
  </si>
  <si>
    <t>20260916_153015_DeepSeek_a32f78bc:0056</t>
    <phoneticPr fontId="1" type="noConversion"/>
  </si>
  <si>
    <t>ACT:20260916_153015_DeepSeek_a32f78bc:0056</t>
    <phoneticPr fontId="1" type="noConversion"/>
  </si>
  <si>
    <t>{"status":"completed","taskId":"3"}</t>
    <phoneticPr fontId="1" type="noConversion"/>
  </si>
  <si>
    <t>20260916_153015_DeepSeek_a32f78bc:0057</t>
    <phoneticPr fontId="1" type="noConversion"/>
  </si>
  <si>
    <t>ACT:20260916_153015_DeepSeek_a32f78bc:0057</t>
    <phoneticPr fontId="1" type="noConversion"/>
  </si>
  <si>
    <t>{"status":"completed","taskId":"2"}</t>
    <phoneticPr fontId="1" type="noConversion"/>
  </si>
  <si>
    <t>20260916_153015_DeepSeek_a32f78bc:0058</t>
    <phoneticPr fontId="1" type="noConversion"/>
  </si>
  <si>
    <t>ACT:20260916_153015_DeepSeek_a32f78bc:0058</t>
    <phoneticPr fontId="1" type="noConversion"/>
  </si>
  <si>
    <t>{"status":"in_progress","taskId":"4"}</t>
    <phoneticPr fontId="1" type="noConversion"/>
  </si>
  <si>
    <t>20260916_153015_DeepSeek_a32f78bc:0059</t>
    <phoneticPr fontId="1" type="noConversion"/>
  </si>
  <si>
    <t>ACT:20260916_153015_DeepSeek_a32f78bc:0059</t>
    <phoneticPr fontId="1" type="noConversion"/>
  </si>
  <si>
    <t>D:/项目2/DeepSeek/scripts/12_build_excel.py</t>
    <phoneticPr fontId="1" type="noConversion"/>
  </si>
  <si>
    <t>20260916_153015_DeepSeek_a32f78bc:0060</t>
    <phoneticPr fontId="1" type="noConversion"/>
  </si>
  <si>
    <t>ACT:20260916_153015_DeepSeek_a32f78bc:0060</t>
    <phoneticPr fontId="1" type="noConversion"/>
  </si>
  <si>
    <t>Compute exact numbers for Excel narrative</t>
    <phoneticPr fontId="1" type="noConversion"/>
  </si>
  <si>
    <t>20260916_153015_DeepSeek_a32f78bc:0061</t>
    <phoneticPr fontId="1" type="noConversion"/>
  </si>
  <si>
    <t>ACT:20260916_153015_DeepSeek_a32f78bc:0061</t>
    <phoneticPr fontId="1" type="noConversion"/>
  </si>
  <si>
    <t>Recompute Bronx excluding anomalous address</t>
    <phoneticPr fontId="1" type="noConversion"/>
  </si>
  <si>
    <t>20260916_153015_DeepSeek_a32f78bc:0062</t>
    <phoneticPr fontId="1" type="noConversion"/>
  </si>
  <si>
    <t>ACT:20260916_153015_DeepSeek_a32f78bc:0062</t>
    <phoneticPr fontId="1" type="noConversion"/>
  </si>
  <si>
    <t>20260916_153015_DeepSeek_a32f78bc:0063</t>
    <phoneticPr fontId="1" type="noConversion"/>
  </si>
  <si>
    <t>ACT:20260916_153015_DeepSeek_a32f78bc:0063</t>
    <phoneticPr fontId="1" type="noConversion"/>
  </si>
  <si>
    <t>20260916_153015_DeepSeek_a32f78bc:0064</t>
    <phoneticPr fontId="1" type="noConversion"/>
  </si>
  <si>
    <t>ACT:20260916_153015_DeepSeek_a32f78bc:0064</t>
    <phoneticPr fontId="1" type="noConversion"/>
  </si>
  <si>
    <t>20260916_153015_DeepSeek_a32f78bc:0065</t>
    <phoneticPr fontId="1" type="noConversion"/>
  </si>
  <si>
    <t>ACT:20260916_153015_DeepSeek_a32f78bc:0065</t>
    <phoneticPr fontId="1" type="noConversion"/>
  </si>
  <si>
    <t>20260916_153015_DeepSeek_a32f78bc:0066</t>
    <phoneticPr fontId="1" type="noConversion"/>
  </si>
  <si>
    <t>ACT:20260916_153015_DeepSeek_a32f78bc:0066</t>
    <phoneticPr fontId="1" type="noConversion"/>
  </si>
  <si>
    <t>20260916_153015_DeepSeek_a32f78bc:0067</t>
    <phoneticPr fontId="1" type="noConversion"/>
  </si>
  <si>
    <t>ACT:20260916_153015_DeepSeek_a32f78bc:0067</t>
    <phoneticPr fontId="1" type="noConversion"/>
  </si>
  <si>
    <t>Build Excel dashboard</t>
    <phoneticPr fontId="1" type="noConversion"/>
  </si>
  <si>
    <t>20260916_153015_DeepSeek_a32f78bc:0068</t>
    <phoneticPr fontId="1" type="noConversion"/>
  </si>
  <si>
    <t>ACT:20260916_153015_DeepSeek_a32f78bc:0068</t>
    <phoneticPr fontId="1" type="noConversion"/>
  </si>
  <si>
    <t>Verify Excel structure and readability</t>
    <phoneticPr fontId="1" type="noConversion"/>
  </si>
  <si>
    <t>20260916_153015_DeepSeek_a32f78bc:0069</t>
    <phoneticPr fontId="1" type="noConversion"/>
  </si>
  <si>
    <t>ACT:20260916_153015_DeepSeek_a32f78bc:0069</t>
    <phoneticPr fontId="1" type="noConversion"/>
  </si>
  <si>
    <t>20260916_153015_DeepSeek_a32f78bc:0070</t>
    <phoneticPr fontId="1" type="noConversion"/>
  </si>
  <si>
    <t>ACT:20260916_153015_DeepSeek_a32f78bc:0070</t>
    <phoneticPr fontId="1" type="noConversion"/>
  </si>
  <si>
    <t>20260916_153015_DeepSeek_a32f78bc:0071</t>
    <phoneticPr fontId="1" type="noConversion"/>
  </si>
  <si>
    <t>ACT:20260916_153015_DeepSeek_a32f78bc:0071</t>
    <phoneticPr fontId="1" type="noConversion"/>
  </si>
  <si>
    <t>Rebuild Excel and verify</t>
    <phoneticPr fontId="1" type="noConversion"/>
  </si>
  <si>
    <t>20260916_153015_DeepSeek_a32f78bc:0072</t>
    <phoneticPr fontId="1" type="noConversion"/>
  </si>
  <si>
    <t>ACT:20260916_153015_DeepSeek_a32f78bc:0072</t>
    <phoneticPr fontId="1" type="noConversion"/>
  </si>
  <si>
    <t>20260916_153015_DeepSeek_a32f78bc:0073</t>
    <phoneticPr fontId="1" type="noConversion"/>
  </si>
  <si>
    <t>ACT:20260916_153015_DeepSeek_a32f78bc:0073</t>
    <phoneticPr fontId="1" type="noConversion"/>
  </si>
  <si>
    <t>Rebuild and verify Excel</t>
    <phoneticPr fontId="1" type="noConversion"/>
  </si>
  <si>
    <t>20260916_153015_DeepSeek_a32f78bc:0074</t>
    <phoneticPr fontId="1" type="noConversion"/>
  </si>
  <si>
    <t>ACT:20260916_153015_DeepSeek_a32f78bc:0074</t>
    <phoneticPr fontId="1" type="noConversion"/>
  </si>
  <si>
    <t>20260916_153015_DeepSeek_a32f78bc:0075</t>
    <phoneticPr fontId="1" type="noConversion"/>
  </si>
  <si>
    <t>ACT:20260916_153015_DeepSeek_a32f78bc:0075</t>
    <phoneticPr fontId="1" type="noConversion"/>
  </si>
  <si>
    <t>20260916_153015_DeepSeek_a32f78bc:0076</t>
    <phoneticPr fontId="1" type="noConversion"/>
  </si>
  <si>
    <t>ACT:20260916_153015_DeepSeek_a32f78bc:0076</t>
    <phoneticPr fontId="1" type="noConversion"/>
  </si>
  <si>
    <t>20260916_153015_DeepSeek_a32f78bc:0077</t>
    <phoneticPr fontId="1" type="noConversion"/>
  </si>
  <si>
    <t>ACT:20260916_153015_DeepSeek_a32f78bc:0077</t>
    <phoneticPr fontId="1" type="noConversion"/>
  </si>
  <si>
    <t>20260916_153015_DeepSeek_a32f78bc:0078</t>
    <phoneticPr fontId="1" type="noConversion"/>
  </si>
  <si>
    <t>ACT:20260916_153015_DeepSeek_a32f78bc:0078</t>
    <phoneticPr fontId="1" type="noConversion"/>
  </si>
  <si>
    <t>20260916_153015_DeepSeek_a32f78bc:0079</t>
    <phoneticPr fontId="1" type="noConversion"/>
  </si>
  <si>
    <t>ACT:20260916_153015_DeepSeek_a32f78bc:0079</t>
    <phoneticPr fontId="1" type="noConversion"/>
  </si>
  <si>
    <t>20260916_153015_DeepSeek_a32f78bc:0080</t>
    <phoneticPr fontId="1" type="noConversion"/>
  </si>
  <si>
    <t>ACT:20260916_153015_DeepSeek_a32f78bc:0080</t>
    <phoneticPr fontId="1" type="noConversion"/>
  </si>
  <si>
    <t>Rebuild and verify overview sheet</t>
    <phoneticPr fontId="1" type="noConversion"/>
  </si>
  <si>
    <t>20260916_153015_DeepSeek_a32f78bc:0081</t>
    <phoneticPr fontId="1" type="noConversion"/>
  </si>
  <si>
    <t>ACT:20260916_153015_DeepSeek_a32f78bc:0081</t>
    <phoneticPr fontId="1" type="noConversion"/>
  </si>
  <si>
    <t>20260916_153015_DeepSeek_a32f78bc:0082</t>
    <phoneticPr fontId="1" type="noConversion"/>
  </si>
  <si>
    <t>ACT:20260916_153015_DeepSeek_a32f78bc:0082</t>
    <phoneticPr fontId="1" type="noConversion"/>
  </si>
  <si>
    <t>Rebuild and inspect overview</t>
    <phoneticPr fontId="1" type="noConversion"/>
  </si>
  <si>
    <t>20260916_153015_DeepSeek_a32f78bc:0083</t>
    <phoneticPr fontId="1" type="noConversion"/>
  </si>
  <si>
    <t>ACT:20260916_153015_DeepSeek_a32f78bc:0083</t>
    <phoneticPr fontId="1" type="noConversion"/>
  </si>
  <si>
    <t>20260916_153015_DeepSeek_a32f78bc:0084</t>
    <phoneticPr fontId="1" type="noConversion"/>
  </si>
  <si>
    <t>ACT:20260916_153015_DeepSeek_a32f78bc:0084</t>
    <phoneticPr fontId="1" type="noConversion"/>
  </si>
  <si>
    <t>Rebuild and verify overview</t>
    <phoneticPr fontId="1" type="noConversion"/>
  </si>
  <si>
    <t>20260916_153015_DeepSeek_a32f78bc:0085</t>
    <phoneticPr fontId="1" type="noConversion"/>
  </si>
  <si>
    <t>ACT:20260916_153015_DeepSeek_a32f78bc:0085</t>
    <phoneticPr fontId="1" type="noConversion"/>
  </si>
  <si>
    <t>Verify response-time denominator</t>
    <phoneticPr fontId="1" type="noConversion"/>
  </si>
  <si>
    <t>20260916_153015_DeepSeek_a32f78bc:0086</t>
    <phoneticPr fontId="1" type="noConversion"/>
  </si>
  <si>
    <t>ACT:20260916_153015_DeepSeek_a32f78bc:0086</t>
    <phoneticPr fontId="1" type="noConversion"/>
  </si>
  <si>
    <t>Fix response-time denominator in Excel script</t>
    <phoneticPr fontId="1" type="noConversion"/>
  </si>
  <si>
    <t>20260916_153015_DeepSeek_a32f78bc:0087</t>
    <phoneticPr fontId="1" type="noConversion"/>
  </si>
  <si>
    <t>ACT:20260916_153015_DeepSeek_a32f78bc:0087</t>
    <phoneticPr fontId="1" type="noConversion"/>
  </si>
  <si>
    <t>Rebuild Excel and list files</t>
    <phoneticPr fontId="1" type="noConversion"/>
  </si>
  <si>
    <t>20260916_153015_DeepSeek_a32f78bc:0088</t>
    <phoneticPr fontId="1" type="noConversion"/>
  </si>
  <si>
    <t>ACT:20260916_153015_DeepSeek_a32f78bc:0088</t>
    <phoneticPr fontId="1" type="noConversion"/>
  </si>
  <si>
    <t>{"status":"completed","taskId":"4"}</t>
    <phoneticPr fontId="1" type="noConversion"/>
  </si>
  <si>
    <t>20260916_153015_DeepSeek_a32f78bc:0089</t>
    <phoneticPr fontId="1" type="noConversion"/>
  </si>
  <si>
    <t>ACT:20260916_153015_DeepSeek_a32f78bc:0089</t>
    <phoneticPr fontId="1" type="noConversion"/>
  </si>
  <si>
    <t>{"status":"in_progress","taskId":"5"}</t>
    <phoneticPr fontId="1" type="noConversion"/>
  </si>
  <si>
    <t>20260916_153015_DeepSeek_a32f78bc:0090</t>
    <phoneticPr fontId="1" type="noConversion"/>
  </si>
  <si>
    <t>ACT:20260916_153015_DeepSeek_a32f78bc:0090</t>
    <phoneticPr fontId="1" type="noConversion"/>
  </si>
  <si>
    <t>D:/项目2/DeepSeek/分析说明.md</t>
    <phoneticPr fontId="1" type="noConversion"/>
  </si>
  <si>
    <t>20260916_153015_DeepSeek_a32f78bc:0091</t>
    <phoneticPr fontId="1" type="noConversion"/>
  </si>
  <si>
    <t>ACT:20260916_153015_DeepSeek_a32f78bc:0091</t>
    <phoneticPr fontId="1" type="noConversion"/>
  </si>
  <si>
    <t>20260916_153015_DeepSeek_a32f78bc:0092</t>
    <phoneticPr fontId="1" type="noConversion"/>
  </si>
  <si>
    <t>ACT:20260916_153015_DeepSeek_a32f78bc:0092</t>
    <phoneticPr fontId="1" type="noConversion"/>
  </si>
  <si>
    <t>D:/项目2/DeepSeek/scripts/13_verify.py</t>
    <phoneticPr fontId="1" type="noConversion"/>
  </si>
  <si>
    <t>20260916_153015_DeepSeek_a32f78bc:0093</t>
    <phoneticPr fontId="1" type="noConversion"/>
  </si>
  <si>
    <t>ACT:20260916_153015_DeepSeek_a32f78bc:0093</t>
    <phoneticPr fontId="1" type="noConversion"/>
  </si>
  <si>
    <t>Run final verification</t>
    <phoneticPr fontId="1" type="noConversion"/>
  </si>
  <si>
    <t>20260916_153015_DeepSeek_a32f78bc:0094</t>
    <phoneticPr fontId="1" type="noConversion"/>
  </si>
  <si>
    <t>ACT:20260916_153015_DeepSeek_a32f78bc:0094</t>
    <phoneticPr fontId="1" type="noConversion"/>
  </si>
  <si>
    <t>Check taxonomy months and monthly extremes</t>
    <phoneticPr fontId="1" type="noConversion"/>
  </si>
  <si>
    <t>20260916_153015_DeepSeek_a32f78bc:0095</t>
    <phoneticPr fontId="1" type="noConversion"/>
  </si>
  <si>
    <t>ACT:20260916_153015_DeepSeek_a32f78bc:0095</t>
    <phoneticPr fontId="1" type="noConversion"/>
  </si>
  <si>
    <t>Check Asbestos and Hazardous by agency</t>
    <phoneticPr fontId="1" type="noConversion"/>
  </si>
  <si>
    <t>20260916_153015_DeepSeek_a32f78bc:0096</t>
    <phoneticPr fontId="1" type="noConversion"/>
  </si>
  <si>
    <t>ACT:20260916_153015_DeepSeek_a32f78bc:0096</t>
    <phoneticPr fontId="1" type="noConversion"/>
  </si>
  <si>
    <t>Check Sewer type monthly</t>
    <phoneticPr fontId="1" type="noConversion"/>
  </si>
  <si>
    <t>20260916_153015_DeepSeek_a32f78bc:0097</t>
    <phoneticPr fontId="1" type="noConversion"/>
  </si>
  <si>
    <t>ACT:20260916_153015_DeepSeek_a32f78bc:0097</t>
    <phoneticPr fontId="1" type="noConversion"/>
  </si>
  <si>
    <t>20260916_153015_DeepSeek_a32f78bc:0098</t>
    <phoneticPr fontId="1" type="noConversion"/>
  </si>
  <si>
    <t>ACT:20260916_153015_DeepSeek_a32f78bc:0098</t>
    <phoneticPr fontId="1" type="noConversion"/>
  </si>
  <si>
    <t>20260916_153015_DeepSeek_a32f78bc:0099</t>
    <phoneticPr fontId="1" type="noConversion"/>
  </si>
  <si>
    <t>ACT:20260916_153015_DeepSeek_a32f78bc:0099</t>
    <phoneticPr fontId="1" type="noConversion"/>
  </si>
  <si>
    <t>20260916_153015_DeepSeek_a32f78bc:0100</t>
    <phoneticPr fontId="1" type="noConversion"/>
  </si>
  <si>
    <t>ACT:20260916_153015_DeepSeek_a32f78bc:0100</t>
    <phoneticPr fontId="1" type="noConversion"/>
  </si>
  <si>
    <t>20260916_153015_DeepSeek_a32f78bc:0101</t>
    <phoneticPr fontId="1" type="noConversion"/>
  </si>
  <si>
    <t>ACT:20260916_153015_DeepSeek_a32f78bc:0101</t>
    <phoneticPr fontId="1" type="noConversion"/>
  </si>
  <si>
    <t>Find hardcoded snow values in Excel script</t>
    <phoneticPr fontId="1" type="noConversion"/>
  </si>
  <si>
    <t>20260916_153015_DeepSeek_a32f78bc:0102</t>
    <phoneticPr fontId="1" type="noConversion"/>
  </si>
  <si>
    <t>ACT:20260916_153015_DeepSeek_a32f78bc:0102</t>
    <phoneticPr fontId="1" type="noConversion"/>
  </si>
  <si>
    <t>Patch hardcoded values in Excel script</t>
    <phoneticPr fontId="1" type="noConversion"/>
  </si>
  <si>
    <t>20260916_153015_DeepSeek_a32f78bc:0103</t>
    <phoneticPr fontId="1" type="noConversion"/>
  </si>
  <si>
    <t>ACT:20260916_153015_DeepSeek_a32f78bc:0103</t>
    <phoneticPr fontId="1" type="noConversion"/>
  </si>
  <si>
    <t>Regenerate tables and Excel with fixes</t>
    <phoneticPr fontId="1" type="noConversion"/>
  </si>
  <si>
    <t>20260916_153015_DeepSeek_a32f78bc:0104</t>
    <phoneticPr fontId="1" type="noConversion"/>
  </si>
  <si>
    <t>ACT:20260916_153015_DeepSeek_a32f78bc:0104</t>
    <phoneticPr fontId="1" type="noConversion"/>
  </si>
  <si>
    <t>Update and rerun verification</t>
    <phoneticPr fontId="1" type="noConversion"/>
  </si>
  <si>
    <t>20260916_153015_DeepSeek_a32f78bc:0105</t>
    <phoneticPr fontId="1" type="noConversion"/>
  </si>
  <si>
    <t>ACT:20260916_153015_DeepSeek_a32f78bc:0105</t>
    <phoneticPr fontId="1" type="noConversion"/>
  </si>
  <si>
    <t>20260916_153015_DeepSeek_a32f78bc:0106</t>
    <phoneticPr fontId="1" type="noConversion"/>
  </si>
  <si>
    <t>ACT:20260916_153015_DeepSeek_a32f78bc:0106</t>
    <phoneticPr fontId="1" type="noConversion"/>
  </si>
  <si>
    <t>20260916_153015_DeepSeek_a32f78bc:0107</t>
    <phoneticPr fontId="1" type="noConversion"/>
  </si>
  <si>
    <t>ACT:20260916_153015_DeepSeek_a32f78bc:0107</t>
    <phoneticPr fontId="1" type="noConversion"/>
  </si>
  <si>
    <t>20260916_153015_DeepSeek_a32f78bc:0108</t>
    <phoneticPr fontId="1" type="noConversion"/>
  </si>
  <si>
    <t>ACT:20260916_153015_DeepSeek_a32f78bc:0108</t>
    <phoneticPr fontId="1" type="noConversion"/>
  </si>
  <si>
    <t>20260916_153015_DeepSeek_a32f78bc:0109</t>
    <phoneticPr fontId="1" type="noConversion"/>
  </si>
  <si>
    <t>ACT:20260916_153015_DeepSeek_a32f78bc:0109</t>
    <phoneticPr fontId="1" type="noConversion"/>
  </si>
  <si>
    <t>Inspect sheets 5 and 2</t>
    <phoneticPr fontId="1" type="noConversion"/>
  </si>
  <si>
    <t>20260916_153015_DeepSeek_a32f78bc:0110</t>
    <phoneticPr fontId="1" type="noConversion"/>
  </si>
  <si>
    <t>ACT:20260916_153015_DeepSeek_a32f78bc:0110</t>
    <phoneticPr fontId="1" type="noConversion"/>
  </si>
  <si>
    <t>Debug sheet 5 monthly series</t>
    <phoneticPr fontId="1" type="noConversion"/>
  </si>
  <si>
    <t>20260916_153015_DeepSeek_a32f78bc:0111</t>
    <phoneticPr fontId="1" type="noConversion"/>
  </si>
  <si>
    <t>ACT:20260916_153015_DeepSeek_a32f78bc:0111</t>
    <phoneticPr fontId="1" type="noConversion"/>
  </si>
  <si>
    <t>Fix month key mismatch and empty-table guard</t>
    <phoneticPr fontId="1" type="noConversion"/>
  </si>
  <si>
    <t>20260916_153015_DeepSeek_a32f78bc:0112</t>
    <phoneticPr fontId="1" type="noConversion"/>
  </si>
  <si>
    <t>ACT:20260916_153015_DeepSeek_a32f78bc:0112</t>
    <phoneticPr fontId="1" type="noConversion"/>
  </si>
  <si>
    <t>Verify sheet 5 monthly series populated</t>
    <phoneticPr fontId="1" type="noConversion"/>
  </si>
  <si>
    <t>20260916_153015_DeepSeek_a32f78bc:0113</t>
    <phoneticPr fontId="1" type="noConversion"/>
  </si>
  <si>
    <t>ACT:20260916_153015_DeepSeek_a32f78bc:0113</t>
    <phoneticPr fontId="1" type="noConversion"/>
  </si>
  <si>
    <t>Scan all sheets for empty tables after headers</t>
    <phoneticPr fontId="1" type="noConversion"/>
  </si>
  <si>
    <t>20260916_153015_DeepSeek_a32f78bc:0114</t>
    <phoneticPr fontId="1" type="noConversion"/>
  </si>
  <si>
    <t>ACT:20260916_153015_DeepSeek_a32f78bc:0114</t>
    <phoneticPr fontId="1" type="noConversion"/>
  </si>
  <si>
    <t>Label the pothole comparison basis</t>
    <phoneticPr fontId="1" type="noConversion"/>
  </si>
  <si>
    <t>20260916_153015_DeepSeek_a32f78bc:0115</t>
    <phoneticPr fontId="1" type="noConversion"/>
  </si>
  <si>
    <t>ACT:20260916_153015_DeepSeek_a32f78bc:0115</t>
    <phoneticPr fontId="1" type="noConversion"/>
  </si>
  <si>
    <t>Full clean rebuild of artifacts and verification</t>
    <phoneticPr fontId="1" type="noConversion"/>
  </si>
  <si>
    <t>20260916_153015_DeepSeek_a32f78bc:0116</t>
    <phoneticPr fontId="1" type="noConversion"/>
  </si>
  <si>
    <t>ACT:20260916_153015_DeepSeek_a32f78bc:0116</t>
    <phoneticPr fontId="1" type="noConversion"/>
  </si>
  <si>
    <t>20260916_153015_DeepSeek_a32f78bc:0117</t>
    <phoneticPr fontId="1" type="noConversion"/>
  </si>
  <si>
    <t>ACT:20260916_153015_DeepSeek_a32f78bc:0117</t>
    <phoneticPr fontId="1" type="noConversion"/>
  </si>
  <si>
    <t>20260916_153015_DeepSeek_a32f78bc:0118</t>
    <phoneticPr fontId="1" type="noConversion"/>
  </si>
  <si>
    <t>ACT:20260916_153015_DeepSeek_a32f78bc:0118</t>
    <phoneticPr fontId="1" type="noConversion"/>
  </si>
  <si>
    <t>20260916_153015_DeepSeek_a32f78bc:0119</t>
    <phoneticPr fontId="1" type="noConversion"/>
  </si>
  <si>
    <t>ACT:20260916_153015_DeepSeek_a32f78bc:0119</t>
    <phoneticPr fontId="1" type="noConversion"/>
  </si>
  <si>
    <t>20260916_153015_DeepSeek_a32f78bc:0120</t>
    <phoneticPr fontId="1" type="noConversion"/>
  </si>
  <si>
    <t>ACT:20260916_153015_DeepSeek_a32f78bc:0120</t>
    <phoneticPr fontId="1" type="noConversion"/>
  </si>
  <si>
    <t>20260916_153015_DeepSeek_a32f78bc:0121</t>
    <phoneticPr fontId="1" type="noConversion"/>
  </si>
  <si>
    <t>ACT:20260916_153015_DeepSeek_a32f78bc:0121</t>
    <phoneticPr fontId="1" type="noConversion"/>
  </si>
  <si>
    <t>Final deliverable verification</t>
    <phoneticPr fontId="1" type="noConversion"/>
  </si>
  <si>
    <t>20260916_153015_DeepSeek_a32f78bc:0122</t>
    <phoneticPr fontId="1" type="noConversion"/>
  </si>
  <si>
    <t>ACT:20260916_153015_DeepSeek_a32f78bc:0122</t>
    <phoneticPr fontId="1" type="noConversion"/>
  </si>
  <si>
    <t>{"status":"completed","taskId":"5"}</t>
    <phoneticPr fontId="1" type="noConversion"/>
  </si>
  <si>
    <t>20260916_153015_DeepSeek_a32f78bc:0123</t>
    <phoneticPr fontId="1" type="noConversion"/>
  </si>
  <si>
    <t>ACT:20260916_153015_DeepSeek_a32f78bc:0123</t>
    <phoneticPr fontId="1" type="noConversion"/>
  </si>
  <si>
    <t>Inspecting input directory</t>
    <phoneticPr fontId="1" type="noConversion"/>
  </si>
  <si>
    <t>run_command</t>
    <phoneticPr fontId="1" type="noConversion"/>
  </si>
  <si>
    <t>20260916_153701_Gemini_1dd2676d:0001</t>
    <phoneticPr fontId="1" type="noConversion"/>
  </si>
  <si>
    <t>ACT:20260916_153701_Gemini_1dd2676d:0001</t>
    <phoneticPr fontId="1" type="noConversion"/>
  </si>
  <si>
    <t>Inspecting raw data directory</t>
    <phoneticPr fontId="1" type="noConversion"/>
  </si>
  <si>
    <t>20260916_153701_Gemini_1dd2676d:0002</t>
    <phoneticPr fontId="1" type="noConversion"/>
  </si>
  <si>
    <t>ACT:20260916_153701_Gemini_1dd2676d:0002</t>
    <phoneticPr fontId="1" type="noConversion"/>
  </si>
  <si>
    <t>Viewing file</t>
    <phoneticPr fontId="1" type="noConversion"/>
  </si>
  <si>
    <t>view_file</t>
    <phoneticPr fontId="1" type="noConversion"/>
  </si>
  <si>
    <t>20260916_153701_Gemini_1dd2676d:0003</t>
    <phoneticPr fontId="1" type="noConversion"/>
  </si>
  <si>
    <t>ACT:20260916_153701_Gemini_1dd2676d:0003</t>
    <phoneticPr fontId="1" type="noConversion"/>
  </si>
  <si>
    <t>Checking Python packages</t>
    <phoneticPr fontId="1" type="noConversion"/>
  </si>
  <si>
    <t>20260916_153701_Gemini_1dd2676d:0004</t>
    <phoneticPr fontId="1" type="noConversion"/>
  </si>
  <si>
    <t>ACT:20260916_153701_Gemini_1dd2676d:0004</t>
    <phoneticPr fontId="1" type="noConversion"/>
  </si>
  <si>
    <t>Checking installed Python libraries</t>
    <phoneticPr fontId="1" type="noConversion"/>
  </si>
  <si>
    <t>20260916_153701_Gemini_1dd2676d:0005</t>
    <phoneticPr fontId="1" type="noConversion"/>
  </si>
  <si>
    <t>ACT:20260916_153701_Gemini_1dd2676d:0005</t>
    <phoneticPr fontId="1" type="noConversion"/>
  </si>
  <si>
    <t>Describing schema of parquet data</t>
    <phoneticPr fontId="1" type="noConversion"/>
  </si>
  <si>
    <t>20260916_153701_Gemini_1dd2676d:0006</t>
    <phoneticPr fontId="1" type="noConversion"/>
  </si>
  <si>
    <t>ACT:20260916_153701_Gemini_1dd2676d:0006</t>
    <phoneticPr fontId="1" type="noConversion"/>
  </si>
  <si>
    <t>Counting total records in parquet dataset</t>
    <phoneticPr fontId="1" type="noConversion"/>
  </si>
  <si>
    <t>20260916_153701_Gemini_1dd2676d:0007</t>
    <phoneticPr fontId="1" type="noConversion"/>
  </si>
  <si>
    <t>ACT:20260916_153701_Gemini_1dd2676d:0007</t>
    <phoneticPr fontId="1" type="noConversion"/>
  </si>
  <si>
    <t>Creating explore script</t>
    <phoneticPr fontId="1" type="noConversion"/>
  </si>
  <si>
    <t>write_to_file</t>
    <phoneticPr fontId="1" type="noConversion"/>
  </si>
  <si>
    <t>20260916_153701_Gemini_1dd2676d:0008</t>
    <phoneticPr fontId="1" type="noConversion"/>
  </si>
  <si>
    <t>ACT:20260916_153701_Gemini_1dd2676d:0008</t>
    <phoneticPr fontId="1" type="noConversion"/>
  </si>
  <si>
    <t>Inspecting dataset schema and count</t>
    <phoneticPr fontId="1" type="noConversion"/>
  </si>
  <si>
    <t>20260916_153701_Gemini_1dd2676d:0009</t>
    <phoneticPr fontId="1" type="noConversion"/>
  </si>
  <si>
    <t>ACT:20260916_153701_Gemini_1dd2676d:0009</t>
    <phoneticPr fontId="1" type="noConversion"/>
  </si>
  <si>
    <t>Profiling NYC 311 dataset distributions</t>
    <phoneticPr fontId="1" type="noConversion"/>
  </si>
  <si>
    <t>20260916_153701_Gemini_1dd2676d:0010</t>
    <phoneticPr fontId="1" type="noConversion"/>
  </si>
  <si>
    <t>ACT:20260916_153701_Gemini_1dd2676d:0010</t>
    <phoneticPr fontId="1" type="noConversion"/>
  </si>
  <si>
    <t>Running data quality verification</t>
    <phoneticPr fontId="1" type="noConversion"/>
  </si>
  <si>
    <t>20260916_153701_Gemini_1dd2676d:0011</t>
    <phoneticPr fontId="1" type="noConversion"/>
  </si>
  <si>
    <t>ACT:20260916_153701_Gemini_1dd2676d:0011</t>
    <phoneticPr fontId="1" type="noConversion"/>
  </si>
  <si>
    <t>Checking null counts</t>
    <phoneticPr fontId="1" type="noConversion"/>
  </si>
  <si>
    <t>20260916_153701_Gemini_1dd2676d:0012</t>
    <phoneticPr fontId="1" type="noConversion"/>
  </si>
  <si>
    <t>ACT:20260916_153701_Gemini_1dd2676d:0012</t>
    <phoneticPr fontId="1" type="noConversion"/>
  </si>
  <si>
    <t>Running deep dive analysis on trends and resolution ti…</t>
    <phoneticPr fontId="1" type="noConversion"/>
  </si>
  <si>
    <t>20260916_153701_Gemini_1dd2676d:0013</t>
    <phoneticPr fontId="1" type="noConversion"/>
  </si>
  <si>
    <t>ACT:20260916_153701_Gemini_1dd2676d:0013</t>
    <phoneticPr fontId="1" type="noConversion"/>
  </si>
  <si>
    <t>Running borough and per-capita analysis</t>
    <phoneticPr fontId="1" type="noConversion"/>
  </si>
  <si>
    <t>20260916_153701_Gemini_1dd2676d:0014</t>
    <phoneticPr fontId="1" type="noConversion"/>
  </si>
  <si>
    <t>ACT:20260916_153701_Gemini_1dd2676d:0014</t>
    <phoneticPr fontId="1" type="noConversion"/>
  </si>
  <si>
    <t>Running temporal hourly and day of week analysis</t>
    <phoneticPr fontId="1" type="noConversion"/>
  </si>
  <si>
    <t>20260916_153701_Gemini_1dd2676d:0015</t>
    <phoneticPr fontId="1" type="noConversion"/>
  </si>
  <si>
    <t>ACT:20260916_153701_Gemini_1dd2676d:0015</t>
    <phoneticPr fontId="1" type="noConversion"/>
  </si>
  <si>
    <t>Checking top ZIP codes and repeat complaint hotspots</t>
    <phoneticPr fontId="1" type="noConversion"/>
  </si>
  <si>
    <t>20260916_153701_Gemini_1dd2676d:0016</t>
    <phoneticPr fontId="1" type="noConversion"/>
  </si>
  <si>
    <t>ACT:20260916_153701_Gemini_1dd2676d:0016</t>
    <phoneticPr fontId="1" type="noConversion"/>
  </si>
  <si>
    <t>Investigating extreme outlier address 655 East 230 Str…</t>
    <phoneticPr fontId="1" type="noConversion"/>
  </si>
  <si>
    <t>20260916_153701_Gemini_1dd2676d:0017</t>
    <phoneticPr fontId="1" type="noConversion"/>
  </si>
  <si>
    <t>ACT:20260916_153701_Gemini_1dd2676d:0017</t>
    <phoneticPr fontId="1" type="noConversion"/>
  </si>
  <si>
    <t>Checking top 20 addresses and complainant concentration</t>
    <phoneticPr fontId="1" type="noConversion"/>
  </si>
  <si>
    <t>20260916_153701_Gemini_1dd2676d:0018</t>
    <phoneticPr fontId="1" type="noConversion"/>
  </si>
  <si>
    <t>ACT:20260916_153701_Gemini_1dd2676d:0018</t>
    <phoneticPr fontId="1" type="noConversion"/>
  </si>
  <si>
    <t>Analyzing address concentration and resolution outcomes</t>
    <phoneticPr fontId="1" type="noConversion"/>
  </si>
  <si>
    <t>20260916_153701_Gemini_1dd2676d:0019</t>
    <phoneticPr fontId="1" type="noConversion"/>
  </si>
  <si>
    <t>ACT:20260916_153701_Gemini_1dd2676d:0019</t>
    <phoneticPr fontId="1" type="noConversion"/>
  </si>
  <si>
    <t>Extracting and caching aggregated datasets</t>
    <phoneticPr fontId="1" type="noConversion"/>
  </si>
  <si>
    <t>20260916_153701_Gemini_1dd2676d:0020</t>
    <phoneticPr fontId="1" type="noConversion"/>
  </si>
  <si>
    <t>ACT:20260916_153701_Gemini_1dd2676d:0020</t>
    <phoneticPr fontId="1" type="noConversion"/>
  </si>
  <si>
    <t>Running aggregation and caching script</t>
    <phoneticPr fontId="1" type="noConversion"/>
  </si>
  <si>
    <t>20260916_153701_Gemini_1dd2676d:0021</t>
    <phoneticPr fontId="1" type="noConversion"/>
  </si>
  <si>
    <t>ACT:20260916_153701_Gemini_1dd2676d:0021</t>
    <phoneticPr fontId="1" type="noConversion"/>
  </si>
  <si>
    <t>Testing openpyxl basic workbook creation</t>
    <phoneticPr fontId="1" type="noConversion"/>
  </si>
  <si>
    <t>20260916_153701_Gemini_1dd2676d:0022</t>
    <phoneticPr fontId="1" type="noConversion"/>
  </si>
  <si>
    <t>ACT:20260916_153701_Gemini_1dd2676d:0022</t>
    <phoneticPr fontId="1" type="noConversion"/>
  </si>
  <si>
    <t>Verifying script base</t>
    <phoneticPr fontId="1" type="noConversion"/>
  </si>
  <si>
    <t>20260916_153701_Gemini_1dd2676d:0023</t>
    <phoneticPr fontId="1" type="noConversion"/>
  </si>
  <si>
    <t>ACT:20260916_153701_Gemini_1dd2676d:0023</t>
    <phoneticPr fontId="1" type="noConversion"/>
  </si>
  <si>
    <t>Extracting complete field dictionary and completeness …</t>
    <phoneticPr fontId="1" type="noConversion"/>
  </si>
  <si>
    <t>20260916_153701_Gemini_1dd2676d:0024</t>
    <phoneticPr fontId="1" type="noConversion"/>
  </si>
  <si>
    <t>ACT:20260916_153701_Gemini_1dd2676d:0024</t>
    <phoneticPr fontId="1" type="noConversion"/>
  </si>
  <si>
    <t>Calculating address frequency buckets</t>
    <phoneticPr fontId="1" type="noConversion"/>
  </si>
  <si>
    <t>20260916_153701_Gemini_1dd2676d:0025</t>
    <phoneticPr fontId="1" type="noConversion"/>
  </si>
  <si>
    <t>ACT:20260916_153701_Gemini_1dd2676d:0025</t>
    <phoneticPr fontId="1" type="noConversion"/>
  </si>
  <si>
    <t>Calculating Bronx 10466 comparison</t>
    <phoneticPr fontId="1" type="noConversion"/>
  </si>
  <si>
    <t>20260916_153701_Gemini_1dd2676d:0026</t>
    <phoneticPr fontId="1" type="noConversion"/>
  </si>
  <si>
    <t>ACT:20260916_153701_Gemini_1dd2676d:0026</t>
    <phoneticPr fontId="1" type="noConversion"/>
  </si>
  <si>
    <t>Verifying base setup script</t>
    <phoneticPr fontId="1" type="noConversion"/>
  </si>
  <si>
    <t>20260916_153701_Gemini_1dd2676d:0027</t>
    <phoneticPr fontId="1" type="noConversion"/>
  </si>
  <si>
    <t>ACT:20260916_153701_Gemini_1dd2676d:0027</t>
    <phoneticPr fontId="1" type="noConversion"/>
  </si>
  <si>
    <t>Verifying builder core</t>
    <phoneticPr fontId="1" type="noConversion"/>
  </si>
  <si>
    <t>20260916_153701_Gemini_1dd2676d:0028</t>
    <phoneticPr fontId="1" type="noConversion"/>
  </si>
  <si>
    <t>ACT:20260916_153701_Gemini_1dd2676d:0028</t>
    <phoneticPr fontId="1" type="noConversion"/>
  </si>
  <si>
    <t>Verifying Excel build utilities</t>
    <phoneticPr fontId="1" type="noConversion"/>
  </si>
  <si>
    <t>20260916_153701_Gemini_1dd2676d:0029</t>
    <phoneticPr fontId="1" type="noConversion"/>
  </si>
  <si>
    <t>ACT:20260916_153701_Gemini_1dd2676d:0029</t>
    <phoneticPr fontId="1" type="noConversion"/>
  </si>
  <si>
    <t>Verifying generator script base</t>
    <phoneticPr fontId="1" type="noConversion"/>
  </si>
  <si>
    <t>20260916_153701_Gemini_1dd2676d:0030</t>
    <phoneticPr fontId="1" type="noConversion"/>
  </si>
  <si>
    <t>ACT:20260916_153701_Gemini_1dd2676d:0030</t>
    <phoneticPr fontId="1" type="noConversion"/>
  </si>
  <si>
    <t>Building Sheet 1 and testing checkpoint</t>
    <phoneticPr fontId="1" type="noConversion"/>
  </si>
  <si>
    <t>20260916_153701_Gemini_1dd2676d:0031</t>
    <phoneticPr fontId="1" type="noConversion"/>
  </si>
  <si>
    <t>ACT:20260916_153701_Gemini_1dd2676d:0031</t>
    <phoneticPr fontId="1" type="noConversion"/>
  </si>
  <si>
    <t>Compiling and generating master final Excel workbook</t>
    <phoneticPr fontId="1" type="noConversion"/>
  </si>
  <si>
    <t>20260916_153701_Gemini_1dd2676d:0032</t>
    <phoneticPr fontId="1" type="noConversion"/>
  </si>
  <si>
    <t>ACT:20260916_153701_Gemini_1dd2676d:0032</t>
    <phoneticPr fontId="1" type="noConversion"/>
  </si>
  <si>
    <t>Checking existing script length</t>
    <phoneticPr fontId="1" type="noConversion"/>
  </si>
  <si>
    <t>20260916_153701_Gemini_1dd2676d:0033</t>
    <phoneticPr fontId="1" type="noConversion"/>
  </si>
  <si>
    <t>ACT:20260916_153701_Gemini_1dd2676d:0033</t>
    <phoneticPr fontId="1" type="noConversion"/>
  </si>
  <si>
    <t>Creating common styles module</t>
    <phoneticPr fontId="1" type="noConversion"/>
  </si>
  <si>
    <t>20260916_153701_Gemini_1dd2676d:0034</t>
    <phoneticPr fontId="1" type="noConversion"/>
  </si>
  <si>
    <t>ACT:20260916_153701_Gemini_1dd2676d:0034</t>
    <phoneticPr fontId="1" type="noConversion"/>
  </si>
  <si>
    <t>Creating Sheet 1 builder module</t>
    <phoneticPr fontId="1" type="noConversion"/>
  </si>
  <si>
    <t>20260916_153701_Gemini_1dd2676d:0035</t>
    <phoneticPr fontId="1" type="noConversion"/>
  </si>
  <si>
    <t>ACT:20260916_153701_Gemini_1dd2676d:0035</t>
    <phoneticPr fontId="1" type="noConversion"/>
  </si>
  <si>
    <t>Creating Sheet 2 builder module</t>
    <phoneticPr fontId="1" type="noConversion"/>
  </si>
  <si>
    <t>20260916_153701_Gemini_1dd2676d:0036</t>
    <phoneticPr fontId="1" type="noConversion"/>
  </si>
  <si>
    <t>ACT:20260916_153701_Gemini_1dd2676d:0036</t>
    <phoneticPr fontId="1" type="noConversion"/>
  </si>
  <si>
    <t>Creating Sheet 3 builder module</t>
    <phoneticPr fontId="1" type="noConversion"/>
  </si>
  <si>
    <t>20260916_153701_Gemini_1dd2676d:0037</t>
    <phoneticPr fontId="1" type="noConversion"/>
  </si>
  <si>
    <t>ACT:20260916_153701_Gemini_1dd2676d:0037</t>
    <phoneticPr fontId="1" type="noConversion"/>
  </si>
  <si>
    <t>Creating Sheet 4 builder module</t>
    <phoneticPr fontId="1" type="noConversion"/>
  </si>
  <si>
    <t>20260916_153701_Gemini_1dd2676d:0038</t>
    <phoneticPr fontId="1" type="noConversion"/>
  </si>
  <si>
    <t>ACT:20260916_153701_Gemini_1dd2676d:0038</t>
    <phoneticPr fontId="1" type="noConversion"/>
  </si>
  <si>
    <t>Creating Sheet 5 builder module</t>
    <phoneticPr fontId="1" type="noConversion"/>
  </si>
  <si>
    <t>20260916_153701_Gemini_1dd2676d:0039</t>
    <phoneticPr fontId="1" type="noConversion"/>
  </si>
  <si>
    <t>ACT:20260916_153701_Gemini_1dd2676d:0039</t>
    <phoneticPr fontId="1" type="noConversion"/>
  </si>
  <si>
    <t>Creating Sheet 6 builder module</t>
    <phoneticPr fontId="1" type="noConversion"/>
  </si>
  <si>
    <t>20260916_153701_Gemini_1dd2676d:0040</t>
    <phoneticPr fontId="1" type="noConversion"/>
  </si>
  <si>
    <t>ACT:20260916_153701_Gemini_1dd2676d:0040</t>
    <phoneticPr fontId="1" type="noConversion"/>
  </si>
  <si>
    <t>Assembling full master workbook</t>
    <phoneticPr fontId="1" type="noConversion"/>
  </si>
  <si>
    <t>20260916_153701_Gemini_1dd2676d:0041</t>
    <phoneticPr fontId="1" type="noConversion"/>
  </si>
  <si>
    <t>ACT:20260916_153701_Gemini_1dd2676d:0041</t>
    <phoneticPr fontId="1" type="noConversion"/>
  </si>
  <si>
    <t>Verifying sheet names encoding</t>
    <phoneticPr fontId="1" type="noConversion"/>
  </si>
  <si>
    <t>20260916_153701_Gemini_1dd2676d:0042</t>
    <phoneticPr fontId="1" type="noConversion"/>
  </si>
  <si>
    <t>ACT:20260916_153701_Gemini_1dd2676d:0042</t>
    <phoneticPr fontId="1" type="noConversion"/>
  </si>
  <si>
    <t>20260916_153701_Gemini_1dd2676d:0043</t>
    <phoneticPr fontId="1" type="noConversion"/>
  </si>
  <si>
    <t>ACT:20260916_153701_Gemini_1dd2676d:0043</t>
    <phoneticPr fontId="1" type="noConversion"/>
  </si>
  <si>
    <t>Printing repr of sheet names</t>
    <phoneticPr fontId="1" type="noConversion"/>
  </si>
  <si>
    <t>20260916_153701_Gemini_1dd2676d:0044</t>
    <phoneticPr fontId="1" type="noConversion"/>
  </si>
  <si>
    <t>ACT:20260916_153701_Gemini_1dd2676d:0044</t>
    <phoneticPr fontId="1" type="noConversion"/>
  </si>
  <si>
    <t>Checking raw bytes of python file</t>
    <phoneticPr fontId="1" type="noConversion"/>
  </si>
  <si>
    <t>20260916_153701_Gemini_1dd2676d:0045</t>
    <phoneticPr fontId="1" type="noConversion"/>
  </si>
  <si>
    <t>ACT:20260916_153701_Gemini_1dd2676d:0045</t>
    <phoneticPr fontId="1" type="noConversion"/>
  </si>
  <si>
    <t>Testing sheet name creation from build_sheet_1</t>
    <phoneticPr fontId="1" type="noConversion"/>
  </si>
  <si>
    <t>20260916_153701_Gemini_1dd2676d:0046</t>
    <phoneticPr fontId="1" type="noConversion"/>
  </si>
  <si>
    <t>ACT:20260916_153701_Gemini_1dd2676d:0046</t>
    <phoneticPr fontId="1" type="noConversion"/>
  </si>
  <si>
    <t>Inspecting raw bytes of line 5</t>
    <phoneticPr fontId="1" type="noConversion"/>
  </si>
  <si>
    <t>20260916_153701_Gemini_1dd2676d:0047</t>
    <phoneticPr fontId="1" type="noConversion"/>
  </si>
  <si>
    <t>ACT:20260916_153701_Gemini_1dd2676d:0047</t>
    <phoneticPr fontId="1" type="noConversion"/>
  </si>
  <si>
    <t>Testing python import encoding</t>
    <phoneticPr fontId="1" type="noConversion"/>
  </si>
  <si>
    <t>20260916_153701_Gemini_1dd2676d:0048</t>
    <phoneticPr fontId="1" type="noConversion"/>
  </si>
  <si>
    <t>ACT:20260916_153701_Gemini_1dd2676d:0048</t>
    <phoneticPr fontId="1" type="noConversion"/>
  </si>
  <si>
    <t>Checking code points of sheet name</t>
    <phoneticPr fontId="1" type="noConversion"/>
  </si>
  <si>
    <t>20260916_153701_Gemini_1dd2676d:0049</t>
    <phoneticPr fontId="1" type="noConversion"/>
  </si>
  <si>
    <t>ACT:20260916_153701_Gemini_1dd2676d:0049</t>
    <phoneticPr fontId="1" type="noConversion"/>
  </si>
  <si>
    <t>Verifying XML sheet names inside Excel archive</t>
    <phoneticPr fontId="1" type="noConversion"/>
  </si>
  <si>
    <t>20260916_153701_Gemini_1dd2676d:0050</t>
    <phoneticPr fontId="1" type="noConversion"/>
  </si>
  <si>
    <t>ACT:20260916_153701_Gemini_1dd2676d:0050</t>
    <phoneticPr fontId="1" type="noConversion"/>
  </si>
  <si>
    <t>Inspecting raw XML bytes</t>
    <phoneticPr fontId="1" type="noConversion"/>
  </si>
  <si>
    <t>20260916_153701_Gemini_1dd2676d:0051</t>
    <phoneticPr fontId="1" type="noConversion"/>
  </si>
  <si>
    <t>ACT:20260916_153701_Gemini_1dd2676d:0051</t>
    <phoneticPr fontId="1" type="noConversion"/>
  </si>
  <si>
    <t>Auditing final Excel workbook for formula errors and c…</t>
    <phoneticPr fontId="1" type="noConversion"/>
  </si>
  <si>
    <t>20260916_153701_Gemini_1dd2676d:0052</t>
    <phoneticPr fontId="1" type="noConversion"/>
  </si>
  <si>
    <t>ACT:20260916_153701_Gemini_1dd2676d:0052</t>
    <phoneticPr fontId="1" type="noConversion"/>
  </si>
  <si>
    <t>Auditing sheet dimensions and formulas</t>
    <phoneticPr fontId="1" type="noConversion"/>
  </si>
  <si>
    <t>20260916_153701_Gemini_1dd2676d:0053</t>
    <phoneticPr fontId="1" type="noConversion"/>
  </si>
  <si>
    <t>ACT:20260916_153701_Gemini_1dd2676d:0053</t>
    <phoneticPr fontId="1" type="noConversion"/>
  </si>
  <si>
    <t>Cleaning up temporary scratch scripts</t>
    <phoneticPr fontId="1" type="noConversion"/>
  </si>
  <si>
    <t>20260916_153701_Gemini_1dd2676d:0054</t>
    <phoneticPr fontId="1" type="noConversion"/>
  </si>
  <si>
    <t>ACT:20260916_153701_Gemini_1dd2676d:0054</t>
    <phoneticPr fontId="1" type="noConversion"/>
  </si>
  <si>
    <t>Cleaning up leftover build scripts</t>
    <phoneticPr fontId="1" type="noConversion"/>
  </si>
  <si>
    <t>20260916_153701_Gemini_1dd2676d:0055</t>
    <phoneticPr fontId="1" type="noConversion"/>
  </si>
  <si>
    <t>ACT:20260916_153701_Gemini_1dd2676d:0055</t>
    <phoneticPr fontId="1" type="noConversion"/>
  </si>
  <si>
    <t>Inspecting files in directory</t>
    <phoneticPr fontId="1" type="noConversion"/>
  </si>
  <si>
    <t>20260916_153701_Gemini_1dd2676d:0056</t>
    <phoneticPr fontId="1" type="noConversion"/>
  </si>
  <si>
    <t>ACT:20260916_153701_Gemini_1dd2676d:0056</t>
    <phoneticPr fontId="1" type="noConversion"/>
  </si>
  <si>
    <t>Checking md file content</t>
    <phoneticPr fontId="1" type="noConversion"/>
  </si>
  <si>
    <t>20260916_153701_Gemini_1dd2676d:0057</t>
    <phoneticPr fontId="1" type="noConversion"/>
  </si>
  <si>
    <t>ACT:20260916_153701_Gemini_1dd2676d:0057</t>
    <phoneticPr fontId="1" type="noConversion"/>
  </si>
  <si>
    <t>Generating final analysis documentation md file</t>
    <phoneticPr fontId="1" type="noConversion"/>
  </si>
  <si>
    <t>20260916_153701_Gemini_1dd2676d:0058</t>
    <phoneticPr fontId="1" type="noConversion"/>
  </si>
  <si>
    <t>ACT:20260916_153701_Gemini_1dd2676d:0058</t>
    <phoneticPr fontId="1" type="noConversion"/>
  </si>
  <si>
    <t>Writing final analysis markdown report</t>
    <phoneticPr fontId="1" type="noConversion"/>
  </si>
  <si>
    <t>20260916_153701_Gemini_1dd2676d:0059</t>
    <phoneticPr fontId="1" type="noConversion"/>
  </si>
  <si>
    <t>ACT:20260916_153701_Gemini_1dd2676d:0059</t>
    <phoneticPr fontId="1" type="noConversion"/>
  </si>
  <si>
    <t>Writing 分析说明.md safely via Python</t>
    <phoneticPr fontId="1" type="noConversion"/>
  </si>
  <si>
    <t>20260916_153701_Gemini_1dd2676d:0060</t>
    <phoneticPr fontId="1" type="noConversion"/>
  </si>
  <si>
    <t>ACT:20260916_153701_Gemini_1dd2676d:0060</t>
    <phoneticPr fontId="1" type="noConversion"/>
  </si>
  <si>
    <t>Creating report artifact</t>
    <phoneticPr fontId="1" type="noConversion"/>
  </si>
  <si>
    <t>20260916_153701_Gemini_1dd2676d:0061</t>
    <phoneticPr fontId="1" type="noConversion"/>
  </si>
  <si>
    <t>ACT:20260916_153701_Gemini_1dd2676d:0061</t>
    <phoneticPr fontId="1" type="noConversion"/>
  </si>
  <si>
    <t>Copying final report to working directory</t>
    <phoneticPr fontId="1" type="noConversion"/>
  </si>
  <si>
    <t>20260916_153701_Gemini_1dd2676d:0062</t>
    <phoneticPr fontId="1" type="noConversion"/>
  </si>
  <si>
    <t>ACT:20260916_153701_Gemini_1dd2676d:0062</t>
    <phoneticPr fontId="1" type="noConversion"/>
  </si>
  <si>
    <t>20260916_153701_Gemini_1dd2676d:0063</t>
    <phoneticPr fontId="1" type="noConversion"/>
  </si>
  <si>
    <t>ACT:20260916_153701_Gemini_1dd2676d:0063</t>
    <phoneticPr fontId="1" type="noConversion"/>
  </si>
  <si>
    <t>Final verification of workspace files</t>
    <phoneticPr fontId="1" type="noConversion"/>
  </si>
  <si>
    <t>20260916_153701_Gemini_1dd2676d:0064</t>
    <phoneticPr fontId="1" type="noConversion"/>
  </si>
  <si>
    <t>ACT:20260916_153701_Gemini_1dd2676d:0064</t>
    <phoneticPr fontId="1" type="noConversion"/>
  </si>
  <si>
    <t>List working dir, input dir, and raw data dir</t>
    <phoneticPr fontId="1" type="noConversion"/>
  </si>
  <si>
    <t>20260916_192639_Qwen_8fc12d57:0001</t>
    <phoneticPr fontId="1" type="noConversion"/>
  </si>
  <si>
    <t>ACT:20260916_192639_Qwen_8fc12d57:0001</t>
    <phoneticPr fontId="1" type="noConversion"/>
  </si>
  <si>
    <t>D:\项目2\Qwen\任务提示.md</t>
    <phoneticPr fontId="1" type="noConversion"/>
  </si>
  <si>
    <t>20260916_192639_Qwen_8fc12d57:0002</t>
    <phoneticPr fontId="1" type="noConversion"/>
  </si>
  <si>
    <t>ACT:20260916_192639_Qwen_8fc12d57:0002</t>
    <phoneticPr fontId="1" type="noConversion"/>
  </si>
  <si>
    <t>20260916_192639_Qwen_8fc12d57:0003</t>
    <phoneticPr fontId="1" type="noConversion"/>
  </si>
  <si>
    <t>ACT:20260916_192639_Qwen_8fc12d57:0003</t>
    <phoneticPr fontId="1" type="noConversion"/>
  </si>
  <si>
    <t>Check Python packages availability</t>
    <phoneticPr fontId="1" type="noConversion"/>
  </si>
  <si>
    <t>20260916_192639_Qwen_8fc12d57:0004</t>
    <phoneticPr fontId="1" type="noConversion"/>
  </si>
  <si>
    <t>ACT:20260916_192639_Qwen_8fc12d57:0004</t>
    <phoneticPr fontId="1" type="noConversion"/>
  </si>
  <si>
    <t>Inspect parquet schema of first shard</t>
    <phoneticPr fontId="1" type="noConversion"/>
  </si>
  <si>
    <t>20260916_192639_Qwen_8fc12d57:0005</t>
    <phoneticPr fontId="1" type="noConversion"/>
  </si>
  <si>
    <t>ACT:20260916_192639_Qwen_8fc12d57:0005</t>
    <phoneticPr fontId="1" type="noConversion"/>
  </si>
  <si>
    <t>Profile totals, date range, missing rates, status/agen…</t>
    <phoneticPr fontId="1" type="noConversion"/>
  </si>
  <si>
    <t>20260916_192639_Qwen_8fc12d57:0006</t>
    <phoneticPr fontId="1" type="noConversion"/>
  </si>
  <si>
    <t>ACT:20260916_192639_Qwen_8fc12d57:0006</t>
    <phoneticPr fontId="1" type="noConversion"/>
  </si>
  <si>
    <t>Top complaint types, boroughs, channels, monthly volum…</t>
    <phoneticPr fontId="1" type="noConversion"/>
  </si>
  <si>
    <t>20260916_192639_Qwen_8fc12d57:0007</t>
    <phoneticPr fontId="1" type="noConversion"/>
  </si>
  <si>
    <t>ACT:20260916_192639_Qwen_8fc12d57:0007</t>
    <phoneticPr fontId="1" type="noConversion"/>
  </si>
  <si>
    <t>YoY changes and response-time stats by complaint type</t>
    <phoneticPr fontId="1" type="noConversion"/>
  </si>
  <si>
    <t>20260916_192639_Qwen_8fc12d57:0008</t>
    <phoneticPr fontId="1" type="noConversion"/>
  </si>
  <si>
    <t>ACT:20260916_192639_Qwen_8fc12d57:0008</t>
    <phoneticPr fontId="1" type="noConversion"/>
  </si>
  <si>
    <t>Monthly trend for key complaint types</t>
    <phoneticPr fontId="1" type="noConversion"/>
  </si>
  <si>
    <t>20260916_192639_Qwen_8fc12d57:0009</t>
    <phoneticPr fontId="1" type="noConversion"/>
  </si>
  <si>
    <t>ACT:20260916_192639_Qwen_8fc12d57:0009</t>
    <phoneticPr fontId="1" type="noConversion"/>
  </si>
  <si>
    <t>Monthly trends for Drug Activity, Lead, HEAT/HOT WATER…</t>
    <phoneticPr fontId="1" type="noConversion"/>
  </si>
  <si>
    <t>20260916_192639_Qwen_8fc12d57:0010</t>
    <phoneticPr fontId="1" type="noConversion"/>
  </si>
  <si>
    <t>ACT:20260916_192639_Qwen_8fc12d57:0010</t>
    <phoneticPr fontId="1" type="noConversion"/>
  </si>
  <si>
    <t>对 Drug Activity 断点、Noise-Helicopter 骤降、Street Conditio…</t>
    <phoneticPr fontId="1" type="noConversion"/>
  </si>
  <si>
    <t>20260916_192639_Qwen_8fc12d57:0011</t>
    <phoneticPr fontId="1" type="noConversion"/>
  </si>
  <si>
    <t>ACT:20260916_192639_Qwen_8fc12d57:0011</t>
    <phoneticPr fontId="1" type="noConversion"/>
  </si>
  <si>
    <t>analysis.py 读取 parquet，输出各汇总表 CSV 供 Excel 使用</t>
    <phoneticPr fontId="1" type="noConversion"/>
  </si>
  <si>
    <t>20260916_192639_Qwen_8fc12d57:0012</t>
    <phoneticPr fontId="1" type="noConversion"/>
  </si>
  <si>
    <t>ACT:20260916_192639_Qwen_8fc12d57:0012</t>
    <phoneticPr fontId="1" type="noConversion"/>
  </si>
  <si>
    <t>openpyxl 生成看板：概况、核心发现、月度趋势、类型TOP、行政区、响应时长、YoY，含图表</t>
    <phoneticPr fontId="1" type="noConversion"/>
  </si>
  <si>
    <t>20260916_192639_Qwen_8fc12d57:0013</t>
    <phoneticPr fontId="1" type="noConversion"/>
  </si>
  <si>
    <t>ACT:20260916_192639_Qwen_8fc12d57:0013</t>
    <phoneticPr fontId="1" type="noConversion"/>
  </si>
  <si>
    <t>写明口径、发现、限制、假设；复核总量/时间范围一致、Excel 可读</t>
    <phoneticPr fontId="1" type="noConversion"/>
  </si>
  <si>
    <t>20260916_192639_Qwen_8fc12d57:0014</t>
    <phoneticPr fontId="1" type="noConversion"/>
  </si>
  <si>
    <t>ACT:20260916_192639_Qwen_8fc12d57:0014</t>
    <phoneticPr fontId="1" type="noConversion"/>
  </si>
  <si>
    <t>Validate Drug Activity break, helicopter drop, street …</t>
    <phoneticPr fontId="1" type="noConversion"/>
  </si>
  <si>
    <t>20260916_192639_Qwen_8fc12d57:0015</t>
    <phoneticPr fontId="1" type="noConversion"/>
  </si>
  <si>
    <t>ACT:20260916_192639_Qwen_8fc12d57:0015</t>
    <phoneticPr fontId="1" type="noConversion"/>
  </si>
  <si>
    <t>Pothole trend, Illegal Parking resolutions/boroughs, H…</t>
    <phoneticPr fontId="1" type="noConversion"/>
  </si>
  <si>
    <t>20260916_192639_Qwen_8fc12d57:0016</t>
    <phoneticPr fontId="1" type="noConversion"/>
  </si>
  <si>
    <t>ACT:20260916_192639_Qwen_8fc12d57:0016</t>
    <phoneticPr fontId="1" type="noConversion"/>
  </si>
  <si>
    <t>Exact resolution texts for Illegal Parking</t>
    <phoneticPr fontId="1" type="noConversion"/>
  </si>
  <si>
    <t>20260916_192639_Qwen_8fc12d57:0017</t>
    <phoneticPr fontId="1" type="noConversion"/>
  </si>
  <si>
    <t>ACT:20260916_192639_Qwen_8fc12d57:0017</t>
    <phoneticPr fontId="1" type="noConversion"/>
  </si>
  <si>
    <t>20260916_192639_Qwen_8fc12d57:0018</t>
    <phoneticPr fontId="1" type="noConversion"/>
  </si>
  <si>
    <t>ACT:20260916_192639_Qwen_8fc12d57:0018</t>
    <phoneticPr fontId="1" type="noConversion"/>
  </si>
  <si>
    <t>{"status":"in_progress","taskId":"2"}</t>
    <phoneticPr fontId="1" type="noConversion"/>
  </si>
  <si>
    <t>20260916_192639_Qwen_8fc12d57:0019</t>
    <phoneticPr fontId="1" type="noConversion"/>
  </si>
  <si>
    <t>ACT:20260916_192639_Qwen_8fc12d57:0019</t>
    <phoneticPr fontId="1" type="noConversion"/>
  </si>
  <si>
    <t>D:\项目2\Qwen\analysis.py</t>
    <phoneticPr fontId="1" type="noConversion"/>
  </si>
  <si>
    <t>20260916_192639_Qwen_8fc12d57:0020</t>
    <phoneticPr fontId="1" type="noConversion"/>
  </si>
  <si>
    <t>ACT:20260916_192639_Qwen_8fc12d57:0020</t>
    <phoneticPr fontId="1" type="noConversion"/>
  </si>
  <si>
    <t>Run analysis pipeline generating summary CSVs</t>
    <phoneticPr fontId="1" type="noConversion"/>
  </si>
  <si>
    <t>20260916_192639_Qwen_8fc12d57:0021</t>
    <phoneticPr fontId="1" type="noConversion"/>
  </si>
  <si>
    <t>ACT:20260916_192639_Qwen_8fc12d57:0021</t>
    <phoneticPr fontId="1" type="noConversion"/>
  </si>
  <si>
    <t>Inspect key summary CSV outputs</t>
    <phoneticPr fontId="1" type="noConversion"/>
  </si>
  <si>
    <t>20260916_192639_Qwen_8fc12d57:0022</t>
    <phoneticPr fontId="1" type="noConversion"/>
  </si>
  <si>
    <t>ACT:20260916_192639_Qwen_8fc12d57:0022</t>
    <phoneticPr fontId="1" type="noConversion"/>
  </si>
  <si>
    <t>Fix winter comparison query and check heating season t…</t>
    <phoneticPr fontId="1" type="noConversion"/>
  </si>
  <si>
    <t>20260916_192639_Qwen_8fc12d57:0023</t>
    <phoneticPr fontId="1" type="noConversion"/>
  </si>
  <si>
    <t>ACT:20260916_192639_Qwen_8fc12d57:0023</t>
    <phoneticPr fontId="1" type="noConversion"/>
  </si>
  <si>
    <t>20260916_192639_Qwen_8fc12d57:0024</t>
    <phoneticPr fontId="1" type="noConversion"/>
  </si>
  <si>
    <t>ACT:20260916_192639_Qwen_8fc12d57:0024</t>
    <phoneticPr fontId="1" type="noConversion"/>
  </si>
  <si>
    <t>D:\项目2\Qwen\build_excel.py</t>
    <phoneticPr fontId="1" type="noConversion"/>
  </si>
  <si>
    <t>20260916_192639_Qwen_8fc12d57:0025</t>
    <phoneticPr fontId="1" type="noConversion"/>
  </si>
  <si>
    <t>ACT:20260916_192639_Qwen_8fc12d57:0025</t>
    <phoneticPr fontId="1" type="noConversion"/>
  </si>
  <si>
    <t>20260916_192639_Qwen_8fc12d57:0026</t>
    <phoneticPr fontId="1" type="noConversion"/>
  </si>
  <si>
    <t>ACT:20260916_192639_Qwen_8fc12d57:0026</t>
    <phoneticPr fontId="1" type="noConversion"/>
  </si>
  <si>
    <t>20260916_192639_Qwen_8fc12d57:0027</t>
    <phoneticPr fontId="1" type="noConversion"/>
  </si>
  <si>
    <t>ACT:20260916_192639_Qwen_8fc12d57:0027</t>
    <phoneticPr fontId="1" type="noConversion"/>
  </si>
  <si>
    <t>Verify Excel structure and content</t>
    <phoneticPr fontId="1" type="noConversion"/>
  </si>
  <si>
    <t>20260916_192639_Qwen_8fc12d57:0028</t>
    <phoneticPr fontId="1" type="noConversion"/>
  </si>
  <si>
    <t>ACT:20260916_192639_Qwen_8fc12d57:0028</t>
    <phoneticPr fontId="1" type="noConversion"/>
  </si>
  <si>
    <t>20260916_192639_Qwen_8fc12d57:0029</t>
    <phoneticPr fontId="1" type="noConversion"/>
  </si>
  <si>
    <t>ACT:20260916_192639_Qwen_8fc12d57:0029</t>
    <phoneticPr fontId="1" type="noConversion"/>
  </si>
  <si>
    <t>20260916_192639_Qwen_8fc12d57:0030</t>
    <phoneticPr fontId="1" type="noConversion"/>
  </si>
  <si>
    <t>ACT:20260916_192639_Qwen_8fc12d57:0030</t>
    <phoneticPr fontId="1" type="noConversion"/>
  </si>
  <si>
    <t>20260916_192639_Qwen_8fc12d57:0031</t>
    <phoneticPr fontId="1" type="noConversion"/>
  </si>
  <si>
    <t>ACT:20260916_192639_Qwen_8fc12d57:0031</t>
    <phoneticPr fontId="1" type="noConversion"/>
  </si>
  <si>
    <t>20260916_192639_Qwen_8fc12d57:0032</t>
    <phoneticPr fontId="1" type="noConversion"/>
  </si>
  <si>
    <t>ACT:20260916_192639_Qwen_8fc12d57:0032</t>
    <phoneticPr fontId="1" type="noConversion"/>
  </si>
  <si>
    <t>Rebuild Excel and verify sheets/charts with UTF-8 outp…</t>
    <phoneticPr fontId="1" type="noConversion"/>
  </si>
  <si>
    <t>20260916_192639_Qwen_8fc12d57:0033</t>
    <phoneticPr fontId="1" type="noConversion"/>
  </si>
  <si>
    <t>ACT:20260916_192639_Qwen_8fc12d57:0033</t>
    <phoneticPr fontId="1" type="noConversion"/>
  </si>
  <si>
    <t>20260916_192639_Qwen_8fc12d57:0034</t>
    <phoneticPr fontId="1" type="noConversion"/>
  </si>
  <si>
    <t>ACT:20260916_192639_Qwen_8fc12d57:0034</t>
    <phoneticPr fontId="1" type="noConversion"/>
  </si>
  <si>
    <t>20260916_192639_Qwen_8fc12d57:0035</t>
    <phoneticPr fontId="1" type="noConversion"/>
  </si>
  <si>
    <t>ACT:20260916_192639_Qwen_8fc12d57:0035</t>
    <phoneticPr fontId="1" type="noConversion"/>
  </si>
  <si>
    <t>20260916_192639_Qwen_8fc12d57:0036</t>
    <phoneticPr fontId="1" type="noConversion"/>
  </si>
  <si>
    <t>ACT:20260916_192639_Qwen_8fc12d57:0036</t>
    <phoneticPr fontId="1" type="noConversion"/>
  </si>
  <si>
    <t>D:\项目2\Qwen\分析说明.md</t>
    <phoneticPr fontId="1" type="noConversion"/>
  </si>
  <si>
    <t>20260916_192639_Qwen_8fc12d57:0037</t>
    <phoneticPr fontId="1" type="noConversion"/>
  </si>
  <si>
    <t>ACT:20260916_192639_Qwen_8fc12d57:0037</t>
    <phoneticPr fontId="1" type="noConversion"/>
  </si>
  <si>
    <t>20260916_192639_Qwen_8fc12d57:0038</t>
    <phoneticPr fontId="1" type="noConversion"/>
  </si>
  <si>
    <t>ACT:20260916_192639_Qwen_8fc12d57:0038</t>
    <phoneticPr fontId="1" type="noConversion"/>
  </si>
  <si>
    <t>20260916_192639_Qwen_8fc12d57:0039</t>
    <phoneticPr fontId="1" type="noConversion"/>
  </si>
  <si>
    <t>ACT:20260916_192639_Qwen_8fc12d57:0039</t>
    <phoneticPr fontId="1" type="noConversion"/>
  </si>
  <si>
    <t>Rebuild Excel and cross-check all cited numbers agains…</t>
    <phoneticPr fontId="1" type="noConversion"/>
  </si>
  <si>
    <t>20260916_192639_Qwen_8fc12d57:0040</t>
    <phoneticPr fontId="1" type="noConversion"/>
  </si>
  <si>
    <t>ACT:20260916_192639_Qwen_8fc12d57:0040</t>
    <phoneticPr fontId="1" type="noConversion"/>
  </si>
  <si>
    <t>List deliverables and final spot-checks</t>
    <phoneticPr fontId="1" type="noConversion"/>
  </si>
  <si>
    <t>20260916_192639_Qwen_8fc12d57:0041</t>
    <phoneticPr fontId="1" type="noConversion"/>
  </si>
  <si>
    <t>ACT:20260916_192639_Qwen_8fc12d57:0041</t>
    <phoneticPr fontId="1" type="noConversion"/>
  </si>
  <si>
    <t>20260916_192639_Qwen_8fc12d57:0042</t>
    <phoneticPr fontId="1" type="noConversion"/>
  </si>
  <si>
    <t>ACT:20260916_192639_Qwen_8fc12d57:0042</t>
    <phoneticPr fontId="1" type="noConversion"/>
  </si>
  <si>
    <t>List working, input, and raw data directories</t>
    <phoneticPr fontId="1" type="noConversion"/>
  </si>
  <si>
    <t>20260916_210900_GLM_ce9faeda:0001</t>
    <phoneticPr fontId="1" type="noConversion"/>
  </si>
  <si>
    <t>ACT:20260916_210900_GLM_ce9faeda:0001</t>
    <phoneticPr fontId="1" type="noConversion"/>
  </si>
  <si>
    <t>20260916_210900_GLM_ce9faeda:0002</t>
    <phoneticPr fontId="1" type="noConversion"/>
  </si>
  <si>
    <t>ACT:20260916_210900_GLM_ce9faeda:0002</t>
    <phoneticPr fontId="1" type="noConversion"/>
  </si>
  <si>
    <t>D:\项目2\GLM\任务提示.md</t>
    <phoneticPr fontId="1" type="noConversion"/>
  </si>
  <si>
    <t>20260916_210900_GLM_ce9faeda:0003</t>
    <phoneticPr fontId="1" type="noConversion"/>
  </si>
  <si>
    <t>ACT:20260916_210900_GLM_ce9faeda:0003</t>
    <phoneticPr fontId="1" type="noConversion"/>
  </si>
  <si>
    <t>Check Python libraries availability</t>
    <phoneticPr fontId="1" type="noConversion"/>
  </si>
  <si>
    <t>20260916_210900_GLM_ce9faeda:0004</t>
    <phoneticPr fontId="1" type="noConversion"/>
  </si>
  <si>
    <t>ACT:20260916_210900_GLM_ce9faeda:0004</t>
    <phoneticPr fontId="1" type="noConversion"/>
  </si>
  <si>
    <t>Inspect schema of first parquet shard</t>
    <phoneticPr fontId="1" type="noConversion"/>
  </si>
  <si>
    <t>20260916_210900_GLM_ce9faeda:0005</t>
    <phoneticPr fontId="1" type="noConversion"/>
  </si>
  <si>
    <t>ACT:20260916_210900_GLM_ce9faeda:0005</t>
    <phoneticPr fontId="1" type="noConversion"/>
  </si>
  <si>
    <t>Sample first shard: dtypes, head, null rates</t>
    <phoneticPr fontId="1" type="noConversion"/>
  </si>
  <si>
    <t>20260916_210900_GLM_ce9faeda:0006</t>
    <phoneticPr fontId="1" type="noConversion"/>
  </si>
  <si>
    <t>ACT:20260916_210900_GLM_ce9faeda:0006</t>
    <phoneticPr fontId="1" type="noConversion"/>
  </si>
  <si>
    <t>Sample first shard with UTF-8 output</t>
    <phoneticPr fontId="1" type="noConversion"/>
  </si>
  <si>
    <t>20260916_210900_GLM_ce9faeda:0007</t>
    <phoneticPr fontId="1" type="noConversion"/>
  </si>
  <si>
    <t>ACT:20260916_210900_GLM_ce9faeda:0007</t>
    <phoneticPr fontId="1" type="noConversion"/>
  </si>
  <si>
    <t>Explore winter and summer shards for seasonality and d…</t>
    <phoneticPr fontId="1" type="noConversion"/>
  </si>
  <si>
    <t>20260916_210900_GLM_ce9faeda:0008</t>
    <phoneticPr fontId="1" type="noConversion"/>
  </si>
  <si>
    <t>ACT:20260916_210900_GLM_ce9faeda:0008</t>
    <phoneticPr fontId="1" type="noConversion"/>
  </si>
  <si>
    <t>20260916_210900_GLM_ce9faeda:0009</t>
    <phoneticPr fontId="1" type="noConversion"/>
  </si>
  <si>
    <t>ACT:20260916_210900_GLM_ce9faeda:0009</t>
    <phoneticPr fontId="1" type="noConversion"/>
  </si>
  <si>
    <t>Streaming read 25 parquet files, accumulate monthly×ag…</t>
    <phoneticPr fontId="1" type="noConversion"/>
  </si>
  <si>
    <t>20260916_210900_GLM_ce9faeda:0010</t>
    <phoneticPr fontId="1" type="noConversion"/>
  </si>
  <si>
    <t>ACT:20260916_210900_GLM_ce9faeda:0010</t>
    <phoneticPr fontId="1" type="noConversion"/>
  </si>
  <si>
    <t>Build Excel dashboard with overview, findings, monthly…</t>
    <phoneticPr fontId="1" type="noConversion"/>
  </si>
  <si>
    <t>20260916_210900_GLM_ce9faeda:0011</t>
    <phoneticPr fontId="1" type="noConversion"/>
  </si>
  <si>
    <t>ACT:20260916_210900_GLM_ce9faeda:0011</t>
    <phoneticPr fontId="1" type="noConversion"/>
  </si>
  <si>
    <t>Write methodology/findings/limitations doc, cross-chec…</t>
    <phoneticPr fontId="1" type="noConversion"/>
  </si>
  <si>
    <t>20260916_210900_GLM_ce9faeda:0012</t>
    <phoneticPr fontId="1" type="noConversion"/>
  </si>
  <si>
    <t>ACT:20260916_210900_GLM_ce9faeda:0012</t>
    <phoneticPr fontId="1" type="noConversion"/>
  </si>
  <si>
    <t>20260916_210900_GLM_ce9faeda:0013</t>
    <phoneticPr fontId="1" type="noConversion"/>
  </si>
  <si>
    <t>ACT:20260916_210900_GLM_ce9faeda:0013</t>
    <phoneticPr fontId="1" type="noConversion"/>
  </si>
  <si>
    <t>D:\项目2\GLM\处理分析.py</t>
    <phoneticPr fontId="1" type="noConversion"/>
  </si>
  <si>
    <t>20260916_210900_GLM_ce9faeda:0014</t>
    <phoneticPr fontId="1" type="noConversion"/>
  </si>
  <si>
    <t>ACT:20260916_210900_GLM_ce9faeda:0014</t>
    <phoneticPr fontId="1" type="noConversion"/>
  </si>
  <si>
    <t>20260916_210900_GLM_ce9faeda:0015</t>
    <phoneticPr fontId="1" type="noConversion"/>
  </si>
  <si>
    <t>ACT:20260916_210900_GLM_ce9faeda:0015</t>
    <phoneticPr fontId="1" type="noConversion"/>
  </si>
  <si>
    <t>20260916_210900_GLM_ce9faeda:0016</t>
    <phoneticPr fontId="1" type="noConversion"/>
  </si>
  <si>
    <t>ACT:20260916_210900_GLM_ce9faeda:0016</t>
    <phoneticPr fontId="1" type="noConversion"/>
  </si>
  <si>
    <t>20260916_210900_GLM_ce9faeda:0017</t>
    <phoneticPr fontId="1" type="noConversion"/>
  </si>
  <si>
    <t>ACT:20260916_210900_GLM_ce9faeda:0017</t>
    <phoneticPr fontId="1" type="noConversion"/>
  </si>
  <si>
    <t>Run full scan of all 25 parquet shards</t>
    <phoneticPr fontId="1" type="noConversion"/>
  </si>
  <si>
    <t>20260916_210900_GLM_ce9faeda:0018</t>
    <phoneticPr fontId="1" type="noConversion"/>
  </si>
  <si>
    <t>ACT:20260916_210900_GLM_ce9faeda:0018</t>
    <phoneticPr fontId="1" type="noConversion"/>
  </si>
  <si>
    <t>Review quality, agency, complaint, borough, status, ch…</t>
    <phoneticPr fontId="1" type="noConversion"/>
  </si>
  <si>
    <t>20260916_210900_GLM_ce9faeda:0019</t>
    <phoneticPr fontId="1" type="noConversion"/>
  </si>
  <si>
    <t>ACT:20260916_210900_GLM_ce9faeda:0019</t>
    <phoneticPr fontId="1" type="noConversion"/>
  </si>
  <si>
    <t>Review closure-time stats by agency, complaint, month</t>
    <phoneticPr fontId="1" type="noConversion"/>
  </si>
  <si>
    <t>20260916_210900_GLM_ce9faeda:0020</t>
    <phoneticPr fontId="1" type="noConversion"/>
  </si>
  <si>
    <t>ACT:20260916_210900_GLM_ce9faeda:0020</t>
    <phoneticPr fontId="1" type="noConversion"/>
  </si>
  <si>
    <t>Monthly trend and YoY comparison by complaint type</t>
    <phoneticPr fontId="1" type="noConversion"/>
  </si>
  <si>
    <t>20260916_210900_GLM_ce9faeda:0021</t>
    <phoneticPr fontId="1" type="noConversion"/>
  </si>
  <si>
    <t>ACT:20260916_210900_GLM_ce9faeda:0021</t>
    <phoneticPr fontId="1" type="noConversion"/>
  </si>
  <si>
    <t>Investigate Street Condition March 2026 spike</t>
    <phoneticPr fontId="1" type="noConversion"/>
  </si>
  <si>
    <t>20260916_210900_GLM_ce9faeda:0022</t>
    <phoneticPr fontId="1" type="noConversion"/>
  </si>
  <si>
    <t>ACT:20260916_210900_GLM_ce9faeda:0022</t>
    <phoneticPr fontId="1" type="noConversion"/>
  </si>
  <si>
    <t>Check complaint type changes in Aug 2026 and DEP month…</t>
    <phoneticPr fontId="1" type="noConversion"/>
  </si>
  <si>
    <t>20260916_210900_GLM_ce9faeda:0023</t>
    <phoneticPr fontId="1" type="noConversion"/>
  </si>
  <si>
    <t>ACT:20260916_210900_GLM_ce9faeda:0023</t>
    <phoneticPr fontId="1" type="noConversion"/>
  </si>
  <si>
    <t>Trace Water System taxonomy change timing</t>
    <phoneticPr fontId="1" type="noConversion"/>
  </si>
  <si>
    <t>20260916_210900_GLM_ce9faeda:0024</t>
    <phoneticPr fontId="1" type="noConversion"/>
  </si>
  <si>
    <t>ACT:20260916_210900_GLM_ce9faeda:0024</t>
    <phoneticPr fontId="1" type="noConversion"/>
  </si>
  <si>
    <t>Check NYPD/HPD resolution descriptions and borough com…</t>
    <phoneticPr fontId="1" type="noConversion"/>
  </si>
  <si>
    <t>20260916_210900_GLM_ce9faeda:0025</t>
    <phoneticPr fontId="1" type="noConversion"/>
  </si>
  <si>
    <t>ACT:20260916_210900_GLM_ce9faeda:0025</t>
    <phoneticPr fontId="1" type="noConversion"/>
  </si>
  <si>
    <t>Check not-closed breakdown</t>
    <phoneticPr fontId="1" type="noConversion"/>
  </si>
  <si>
    <t>20260916_210900_GLM_ce9faeda:0026</t>
    <phoneticPr fontId="1" type="noConversion"/>
  </si>
  <si>
    <t>ACT:20260916_210900_GLM_ce9faeda:0026</t>
    <phoneticPr fontId="1" type="noConversion"/>
  </si>
  <si>
    <t>20260916_210900_GLM_ce9faeda:0027</t>
    <phoneticPr fontId="1" type="noConversion"/>
  </si>
  <si>
    <t>ACT:20260916_210900_GLM_ce9faeda:0027</t>
    <phoneticPr fontId="1" type="noConversion"/>
  </si>
  <si>
    <t>20260916_210900_GLM_ce9faeda:0028</t>
    <phoneticPr fontId="1" type="noConversion"/>
  </si>
  <si>
    <t>ACT:20260916_210900_GLM_ce9faeda:0028</t>
    <phoneticPr fontId="1" type="noConversion"/>
  </si>
  <si>
    <t>D:\项目2\GLM\生成看板.py</t>
    <phoneticPr fontId="1" type="noConversion"/>
  </si>
  <si>
    <t>20260916_210900_GLM_ce9faeda:0029</t>
    <phoneticPr fontId="1" type="noConversion"/>
  </si>
  <si>
    <t>ACT:20260916_210900_GLM_ce9faeda:0029</t>
    <phoneticPr fontId="1" type="noConversion"/>
  </si>
  <si>
    <t>Verify denominators and YoY figures for dashboard</t>
    <phoneticPr fontId="1" type="noConversion"/>
  </si>
  <si>
    <t>20260916_210900_GLM_ce9faeda:0030</t>
    <phoneticPr fontId="1" type="noConversion"/>
  </si>
  <si>
    <t>ACT:20260916_210900_GLM_ce9faeda:0030</t>
    <phoneticPr fontId="1" type="noConversion"/>
  </si>
  <si>
    <t>20260916_210900_GLM_ce9faeda:0031</t>
    <phoneticPr fontId="1" type="noConversion"/>
  </si>
  <si>
    <t>ACT:20260916_210900_GLM_ce9faeda:0031</t>
    <phoneticPr fontId="1" type="noConversion"/>
  </si>
  <si>
    <t>Build the Excel dashboard</t>
    <phoneticPr fontId="1" type="noConversion"/>
  </si>
  <si>
    <t>20260916_210900_GLM_ce9faeda:0032</t>
    <phoneticPr fontId="1" type="noConversion"/>
  </si>
  <si>
    <t>ACT:20260916_210900_GLM_ce9faeda:0032</t>
    <phoneticPr fontId="1" type="noConversion"/>
  </si>
  <si>
    <t>20260916_210900_GLM_ce9faeda:0033</t>
    <phoneticPr fontId="1" type="noConversion"/>
  </si>
  <si>
    <t>ACT:20260916_210900_GLM_ce9faeda:0033</t>
    <phoneticPr fontId="1" type="noConversion"/>
  </si>
  <si>
    <t>20260916_210900_GLM_ce9faeda:0034</t>
    <phoneticPr fontId="1" type="noConversion"/>
  </si>
  <si>
    <t>ACT:20260916_210900_GLM_ce9faeda:0034</t>
    <phoneticPr fontId="1" type="noConversion"/>
  </si>
  <si>
    <t>Verify workbook structure and key values</t>
    <phoneticPr fontId="1" type="noConversion"/>
  </si>
  <si>
    <t>20260916_210900_GLM_ce9faeda:0035</t>
    <phoneticPr fontId="1" type="noConversion"/>
  </si>
  <si>
    <t>ACT:20260916_210900_GLM_ce9faeda:0035</t>
    <phoneticPr fontId="1" type="noConversion"/>
  </si>
  <si>
    <t>20260916_210900_GLM_ce9faeda:0036</t>
    <phoneticPr fontId="1" type="noConversion"/>
  </si>
  <si>
    <t>ACT:20260916_210900_GLM_ce9faeda:0036</t>
    <phoneticPr fontId="1" type="noConversion"/>
  </si>
  <si>
    <t>20260916_210900_GLM_ce9faeda:0037</t>
    <phoneticPr fontId="1" type="noConversion"/>
  </si>
  <si>
    <t>ACT:20260916_210900_GLM_ce9faeda:0037</t>
    <phoneticPr fontId="1" type="noConversion"/>
  </si>
  <si>
    <t>D:\项目2\GLM\分析说明.md</t>
    <phoneticPr fontId="1" type="noConversion"/>
  </si>
  <si>
    <t>20260916_210900_GLM_ce9faeda:0038</t>
    <phoneticPr fontId="1" type="noConversion"/>
  </si>
  <si>
    <t>ACT:20260916_210900_GLM_ce9faeda:0038</t>
    <phoneticPr fontId="1" type="noConversion"/>
  </si>
  <si>
    <t>List intermediates, remove unused file, spot-check she…</t>
    <phoneticPr fontId="1" type="noConversion"/>
  </si>
  <si>
    <t>20260916_210900_GLM_ce9faeda:0039</t>
    <phoneticPr fontId="1" type="noConversion"/>
  </si>
  <si>
    <t>ACT:20260916_210900_GLM_ce9faeda:0039</t>
    <phoneticPr fontId="1" type="noConversion"/>
  </si>
  <si>
    <t>20260916_210900_GLM_ce9faeda:0040</t>
    <phoneticPr fontId="1" type="noConversion"/>
  </si>
  <si>
    <t>ACT:20260916_210900_GLM_ce9faeda:0040</t>
    <phoneticPr fontId="1" type="noConversion"/>
  </si>
  <si>
    <t>20260916_210900_GLM_ce9faeda:0041</t>
    <phoneticPr fontId="1" type="noConversion"/>
  </si>
  <si>
    <t>ACT:20260916_210900_GLM_ce9faeda:0041</t>
    <phoneticPr fontId="1" type="noConversion"/>
  </si>
  <si>
    <t>Rebuild workbook, final verification, list deliverables</t>
    <phoneticPr fontId="1" type="noConversion"/>
  </si>
  <si>
    <t>20260916_210900_GLM_ce9faeda:0042</t>
    <phoneticPr fontId="1" type="noConversion"/>
  </si>
  <si>
    <t>ACT:20260916_210900_GLM_ce9faeda:0042</t>
    <phoneticPr fontId="1" type="noConversion"/>
  </si>
  <si>
    <t>20260916_210900_GLM_ce9faeda:0043</t>
    <phoneticPr fontId="1" type="noConversion"/>
  </si>
  <si>
    <t>ACT:20260916_210900_GLM_ce9faeda:0043</t>
    <phoneticPr fontId="1" type="noConversion"/>
  </si>
  <si>
    <t>D:\项目2\增强实验\DeepSeek\任务提示.md</t>
    <phoneticPr fontId="1" type="noConversion"/>
  </si>
  <si>
    <t>20260917_103101_DeepSeek_6a24da15:0001</t>
    <phoneticPr fontId="1" type="noConversion"/>
  </si>
  <si>
    <t>ACT:20260917_103101_DeepSeek_6a24da15:0001</t>
    <phoneticPr fontId="1" type="noConversion"/>
  </si>
  <si>
    <t>List input, raw data, and work directories</t>
    <phoneticPr fontId="1" type="noConversion"/>
  </si>
  <si>
    <t>20260917_103101_DeepSeek_6a24da15:0002</t>
    <phoneticPr fontId="1" type="noConversion"/>
  </si>
  <si>
    <t>ACT:20260917_103101_DeepSeek_6a24da15:0002</t>
    <phoneticPr fontId="1" type="noConversion"/>
  </si>
  <si>
    <t>20260917_103101_DeepSeek_6a24da15:0003</t>
    <phoneticPr fontId="1" type="noConversion"/>
  </si>
  <si>
    <t>ACT:20260917_103101_DeepSeek_6a24da15:0003</t>
    <phoneticPr fontId="1" type="noConversion"/>
  </si>
  <si>
    <t>Check Python and package availability</t>
    <phoneticPr fontId="1" type="noConversion"/>
  </si>
  <si>
    <t>20260917_103101_DeepSeek_6a24da15:0004</t>
    <phoneticPr fontId="1" type="noConversion"/>
  </si>
  <si>
    <t>ACT:20260917_103101_DeepSeek_6a24da15:0004</t>
    <phoneticPr fontId="1" type="noConversion"/>
  </si>
  <si>
    <t>20260917_103101_DeepSeek_6a24da15:0005</t>
    <phoneticPr fontId="1" type="noConversion"/>
  </si>
  <si>
    <t>ACT:20260917_103101_DeepSeek_6a24da15:0005</t>
    <phoneticPr fontId="1" type="noConversion"/>
  </si>
  <si>
    <t>Total rows, key ranges, sample rows</t>
    <phoneticPr fontId="1" type="noConversion"/>
  </si>
  <si>
    <t>20260917_103101_DeepSeek_6a24da15:0006</t>
    <phoneticPr fontId="1" type="noConversion"/>
  </si>
  <si>
    <t>ACT:20260917_103101_DeepSeek_6a24da15:0006</t>
    <phoneticPr fontId="1" type="noConversion"/>
  </si>
  <si>
    <t>Profile agency, status, complaint types</t>
    <phoneticPr fontId="1" type="noConversion"/>
  </si>
  <si>
    <t>20260917_103101_DeepSeek_6a24da15:0007</t>
    <phoneticPr fontId="1" type="noConversion"/>
  </si>
  <si>
    <t>ACT:20260917_103101_DeepSeek_6a24da15:0007</t>
    <phoneticPr fontId="1" type="noConversion"/>
  </si>
  <si>
    <t>Quality checks on dates and monthly volume</t>
    <phoneticPr fontId="1" type="noConversion"/>
  </si>
  <si>
    <t>20260917_103101_DeepSeek_6a24da15:0008</t>
    <phoneticPr fontId="1" type="noConversion"/>
  </si>
  <si>
    <t>ACT:20260917_103101_DeepSeek_6a24da15:0008</t>
    <phoneticPr fontId="1" type="noConversion"/>
  </si>
  <si>
    <t>Daily counts at boundaries and weekday profile</t>
    <phoneticPr fontId="1" type="noConversion"/>
  </si>
  <si>
    <t>20260917_103101_DeepSeek_6a24da15:0009</t>
    <phoneticPr fontId="1" type="noConversion"/>
  </si>
  <si>
    <t>ACT:20260917_103101_DeepSeek_6a24da15:0009</t>
    <phoneticPr fontId="1" type="noConversion"/>
  </si>
  <si>
    <t>Channel, borough, city, closure duration by agency</t>
    <phoneticPr fontId="1" type="noConversion"/>
  </si>
  <si>
    <t>20260917_103101_DeepSeek_6a24da15:0010</t>
    <phoneticPr fontId="1" type="noConversion"/>
  </si>
  <si>
    <t>ACT:20260917_103101_DeepSeek_6a24da15:0010</t>
    <phoneticPr fontId="1" type="noConversion"/>
  </si>
  <si>
    <t>Deep dive EDC closure anomaly</t>
    <phoneticPr fontId="1" type="noConversion"/>
  </si>
  <si>
    <t>20260917_103101_DeepSeek_6a24da15:0011</t>
    <phoneticPr fontId="1" type="noConversion"/>
  </si>
  <si>
    <t>ACT:20260917_103101_DeepSeek_6a24da15:0011</t>
    <phoneticPr fontId="1" type="noConversion"/>
  </si>
  <si>
    <t>EDC resolution descriptions</t>
    <phoneticPr fontId="1" type="noConversion"/>
  </si>
  <si>
    <t>20260917_103101_DeepSeek_6a24da15:0012</t>
    <phoneticPr fontId="1" type="noConversion"/>
  </si>
  <si>
    <t>ACT:20260917_103101_DeepSeek_6a24da15:0012</t>
    <phoneticPr fontId="1" type="noConversion"/>
  </si>
  <si>
    <t>Unclosed records and EDC closure batches</t>
    <phoneticPr fontId="1" type="noConversion"/>
  </si>
  <si>
    <t>20260917_103101_DeepSeek_6a24da15:0013</t>
    <phoneticPr fontId="1" type="noConversion"/>
  </si>
  <si>
    <t>ACT:20260917_103101_DeepSeek_6a24da15:0013</t>
    <phoneticPr fontId="1" type="noConversion"/>
  </si>
  <si>
    <t>Monthly closure time trend and heat seasonality</t>
    <phoneticPr fontId="1" type="noConversion"/>
  </si>
  <si>
    <t>20260917_103101_DeepSeek_6a24da15:0014</t>
    <phoneticPr fontId="1" type="noConversion"/>
  </si>
  <si>
    <t>ACT:20260917_103101_DeepSeek_6a24da15:0014</t>
    <phoneticPr fontId="1" type="noConversion"/>
  </si>
  <si>
    <t>Censoring-safe closure-within-N-days by cohort</t>
    <phoneticPr fontId="1" type="noConversion"/>
  </si>
  <si>
    <t>20260917_103101_DeepSeek_6a24da15:0015</t>
    <phoneticPr fontId="1" type="noConversion"/>
  </si>
  <si>
    <t>ACT:20260917_103101_DeepSeek_6a24da15:0015</t>
    <phoneticPr fontId="1" type="noConversion"/>
  </si>
  <si>
    <t>Closed date distribution for censoring analysis</t>
    <phoneticPr fontId="1" type="noConversion"/>
  </si>
  <si>
    <t>20260917_103101_DeepSeek_6a24da15:0016</t>
    <phoneticPr fontId="1" type="noConversion"/>
  </si>
  <si>
    <t>ACT:20260917_103101_DeepSeek_6a24da15:0016</t>
    <phoneticPr fontId="1" type="noConversion"/>
  </si>
  <si>
    <t>Timestamp granularity and NYPD fast closures</t>
    <phoneticPr fontId="1" type="noConversion"/>
  </si>
  <si>
    <t>20260917_103101_DeepSeek_6a24da15:0017</t>
    <phoneticPr fontId="1" type="noConversion"/>
  </si>
  <si>
    <t>ACT:20260917_103101_DeepSeek_6a24da15:0017</t>
    <phoneticPr fontId="1" type="noConversion"/>
  </si>
  <si>
    <t>Test date_diff epoch semantics</t>
    <phoneticPr fontId="1" type="noConversion"/>
  </si>
  <si>
    <t>20260917_103101_DeepSeek_6a24da15:0018</t>
    <phoneticPr fontId="1" type="noConversion"/>
  </si>
  <si>
    <t>ACT:20260917_103101_DeepSeek_6a24da15:0018</t>
    <phoneticPr fontId="1" type="noConversion"/>
  </si>
  <si>
    <t>Re-check NYPD Illegal Parking duration buckets</t>
    <phoneticPr fontId="1" type="noConversion"/>
  </si>
  <si>
    <t>20260917_103101_DeepSeek_6a24da15:0019</t>
    <phoneticPr fontId="1" type="noConversion"/>
  </si>
  <si>
    <t>ACT:20260917_103101_DeepSeek_6a24da15:0019</t>
    <phoneticPr fontId="1" type="noConversion"/>
  </si>
  <si>
    <t>Jan-Aug 2025 vs 2026 comparison by agency</t>
    <phoneticPr fontId="1" type="noConversion"/>
  </si>
  <si>
    <t>20260917_103101_DeepSeek_6a24da15:0020</t>
    <phoneticPr fontId="1" type="noConversion"/>
  </si>
  <si>
    <t>ACT:20260917_103101_DeepSeek_6a24da15:0020</t>
    <phoneticPr fontId="1" type="noConversion"/>
  </si>
  <si>
    <t>Complaint-type movers Jan-Aug 2025 vs 2026</t>
    <phoneticPr fontId="1" type="noConversion"/>
  </si>
  <si>
    <t>20260917_103101_DeepSeek_6a24da15:0021</t>
    <phoneticPr fontId="1" type="noConversion"/>
  </si>
  <si>
    <t>ACT:20260917_103101_DeepSeek_6a24da15:0021</t>
    <phoneticPr fontId="1" type="noConversion"/>
  </si>
  <si>
    <t>Check taxonomy change timing</t>
    <phoneticPr fontId="1" type="noConversion"/>
  </si>
  <si>
    <t>20260917_103101_DeepSeek_6a24da15:0022</t>
    <phoneticPr fontId="1" type="noConversion"/>
  </si>
  <si>
    <t>ACT:20260917_103101_DeepSeek_6a24da15:0022</t>
    <phoneticPr fontId="1" type="noConversion"/>
  </si>
  <si>
    <t>DEP combined category trends</t>
    <phoneticPr fontId="1" type="noConversion"/>
  </si>
  <si>
    <t>20260917_103101_DeepSeek_6a24da15:0023</t>
    <phoneticPr fontId="1" type="noConversion"/>
  </si>
  <si>
    <t>ACT:20260917_103101_DeepSeek_6a24da15:0023</t>
    <phoneticPr fontId="1" type="noConversion"/>
  </si>
  <si>
    <t>Snow, channel trend, unresolved aging</t>
    <phoneticPr fontId="1" type="noConversion"/>
  </si>
  <si>
    <t>20260917_103101_DeepSeek_6a24da15:0024</t>
    <phoneticPr fontId="1" type="noConversion"/>
  </si>
  <si>
    <t>ACT:20260917_103101_DeepSeek_6a24da15:0024</t>
    <phoneticPr fontId="1" type="noConversion"/>
  </si>
  <si>
    <t>Quality anomalies: DHS, negative durations, missingness</t>
    <phoneticPr fontId="1" type="noConversion"/>
  </si>
  <si>
    <t>20260917_103101_DeepSeek_6a24da15:0025</t>
    <phoneticPr fontId="1" type="noConversion"/>
  </si>
  <si>
    <t>ACT:20260917_103101_DeepSeek_6a24da15:0025</t>
    <phoneticPr fontId="1" type="noConversion"/>
  </si>
  <si>
    <t>DOT Street Condition surge: descriptors and monthly</t>
    <phoneticPr fontId="1" type="noConversion"/>
  </si>
  <si>
    <t>20260917_103101_DeepSeek_6a24da15:0026</t>
    <phoneticPr fontId="1" type="noConversion"/>
  </si>
  <si>
    <t>ACT:20260917_103101_DeepSeek_6a24da15:0026</t>
    <phoneticPr fontId="1" type="noConversion"/>
  </si>
  <si>
    <t>Tree damage and heating season comparisons</t>
    <phoneticPr fontId="1" type="noConversion"/>
  </si>
  <si>
    <t>20260917_103101_DeepSeek_6a24da15:0027</t>
    <phoneticPr fontId="1" type="noConversion"/>
  </si>
  <si>
    <t>ACT:20260917_103101_DeepSeek_6a24da15:0027</t>
    <phoneticPr fontId="1" type="noConversion"/>
  </si>
  <si>
    <t>HPD borough breakdown YoY</t>
    <phoneticPr fontId="1" type="noConversion"/>
  </si>
  <si>
    <t>20260917_103101_DeepSeek_6a24da15:0028</t>
    <phoneticPr fontId="1" type="noConversion"/>
  </si>
  <si>
    <t>ACT:20260917_103101_DeepSeek_6a24da15:0028</t>
    <phoneticPr fontId="1" type="noConversion"/>
  </si>
  <si>
    <t>D:\项目2\增强实验\DeepSeek\scripts\01_extract.py</t>
    <phoneticPr fontId="1" type="noConversion"/>
  </si>
  <si>
    <t>20260917_103101_DeepSeek_6a24da15:0029</t>
    <phoneticPr fontId="1" type="noConversion"/>
  </si>
  <si>
    <t>ACT:20260917_103101_DeepSeek_6a24da15:0029</t>
    <phoneticPr fontId="1" type="noConversion"/>
  </si>
  <si>
    <t>Run extraction pipeline</t>
    <phoneticPr fontId="1" type="noConversion"/>
  </si>
  <si>
    <t>20260917_103101_DeepSeek_6a24da15:0030</t>
    <phoneticPr fontId="1" type="noConversion"/>
  </si>
  <si>
    <t>ACT:20260917_103101_DeepSeek_6a24da15:0030</t>
    <phoneticPr fontId="1" type="noConversion"/>
  </si>
  <si>
    <t>Review extracted intermediates</t>
    <phoneticPr fontId="1" type="noConversion"/>
  </si>
  <si>
    <t>20260917_103101_DeepSeek_6a24da15:0031</t>
    <phoneticPr fontId="1" type="noConversion"/>
  </si>
  <si>
    <t>ACT:20260917_103101_DeepSeek_6a24da15:0031</t>
    <phoneticPr fontId="1" type="noConversion"/>
  </si>
  <si>
    <t>20260917_103101_DeepSeek_6a24da15:0032</t>
    <phoneticPr fontId="1" type="noConversion"/>
  </si>
  <si>
    <t>ACT:20260917_103101_DeepSeek_6a24da15:0032</t>
    <phoneticPr fontId="1" type="noConversion"/>
  </si>
  <si>
    <t>20260917_103101_DeepSeek_6a24da15:0033</t>
    <phoneticPr fontId="1" type="noConversion"/>
  </si>
  <si>
    <t>ACT:20260917_103101_DeepSeek_6a24da15:0033</t>
    <phoneticPr fontId="1" type="noConversion"/>
  </si>
  <si>
    <t>Re-run extraction and inspect new tables</t>
    <phoneticPr fontId="1" type="noConversion"/>
  </si>
  <si>
    <t>20260917_103101_DeepSeek_6a24da15:0034</t>
    <phoneticPr fontId="1" type="noConversion"/>
  </si>
  <si>
    <t>ACT:20260917_103101_DeepSeek_6a24da15:0034</t>
    <phoneticPr fontId="1" type="noConversion"/>
  </si>
  <si>
    <t>Composition-check: within-agency 30-day closure rate b…</t>
    <phoneticPr fontId="1" type="noConversion"/>
  </si>
  <si>
    <t>20260917_103101_DeepSeek_6a24da15:0035</t>
    <phoneticPr fontId="1" type="noConversion"/>
  </si>
  <si>
    <t>ACT:20260917_103101_DeepSeek_6a24da15:0035</t>
    <phoneticPr fontId="1" type="noConversion"/>
  </si>
  <si>
    <t>20260917_103101_DeepSeek_6a24da15:0036</t>
    <phoneticPr fontId="1" type="noConversion"/>
  </si>
  <si>
    <t>ACT:20260917_103101_DeepSeek_6a24da15:0036</t>
    <phoneticPr fontId="1" type="noConversion"/>
  </si>
  <si>
    <t>Inspect closure-rate YoY and unresolved aging</t>
    <phoneticPr fontId="1" type="noConversion"/>
  </si>
  <si>
    <t>20260917_103101_DeepSeek_6a24da15:0037</t>
    <phoneticPr fontId="1" type="noConversion"/>
  </si>
  <si>
    <t>ACT:20260917_103101_DeepSeek_6a24da15:0037</t>
    <phoneticPr fontId="1" type="noConversion"/>
  </si>
  <si>
    <t>Drug Activity and Noise-Residential monthly series</t>
    <phoneticPr fontId="1" type="noConversion"/>
  </si>
  <si>
    <t>20260917_103101_DeepSeek_6a24da15:0038</t>
    <phoneticPr fontId="1" type="noConversion"/>
  </si>
  <si>
    <t>ACT:20260917_103101_DeepSeek_6a24da15:0038</t>
    <phoneticPr fontId="1" type="noConversion"/>
  </si>
  <si>
    <t>Investigate Jan 2025 Noise-Residential spike</t>
    <phoneticPr fontId="1" type="noConversion"/>
  </si>
  <si>
    <t>20260917_103101_DeepSeek_6a24da15:0039</t>
    <phoneticPr fontId="1" type="noConversion"/>
  </si>
  <si>
    <t>ACT:20260917_103101_DeepSeek_6a24da15:0039</t>
    <phoneticPr fontId="1" type="noConversion"/>
  </si>
  <si>
    <t>Bronx mobile-app noise spike detail</t>
    <phoneticPr fontId="1" type="noConversion"/>
  </si>
  <si>
    <t>20260917_103101_DeepSeek_6a24da15:0040</t>
    <phoneticPr fontId="1" type="noConversion"/>
  </si>
  <si>
    <t>ACT:20260917_103101_DeepSeek_6a24da15:0040</t>
    <phoneticPr fontId="1" type="noConversion"/>
  </si>
  <si>
    <t>Deep dive ZIP 10466 mass-filing event</t>
    <phoneticPr fontId="1" type="noConversion"/>
  </si>
  <si>
    <t>20260917_103101_DeepSeek_6a24da15:0041</t>
    <phoneticPr fontId="1" type="noConversion"/>
  </si>
  <si>
    <t>ACT:20260917_103101_DeepSeek_6a24da15:0041</t>
    <phoneticPr fontId="1" type="noConversion"/>
  </si>
  <si>
    <t>Full 10466 anomaly profile</t>
    <phoneticPr fontId="1" type="noConversion"/>
  </si>
  <si>
    <t>20260917_103101_DeepSeek_6a24da15:0042</t>
    <phoneticPr fontId="1" type="noConversion"/>
  </si>
  <si>
    <t>ACT:20260917_103101_DeepSeek_6a24da15:0042</t>
    <phoneticPr fontId="1" type="noConversion"/>
  </si>
  <si>
    <t>10466 anomaly detail (fixed SQL)</t>
    <phoneticPr fontId="1" type="noConversion"/>
  </si>
  <si>
    <t>20260917_103101_DeepSeek_6a24da15:0043</t>
    <phoneticPr fontId="1" type="noConversion"/>
  </si>
  <si>
    <t>ACT:20260917_103101_DeepSeek_6a24da15:0043</t>
    <phoneticPr fontId="1" type="noConversion"/>
  </si>
  <si>
    <t>Single-address mass filing profile</t>
    <phoneticPr fontId="1" type="noConversion"/>
  </si>
  <si>
    <t>20260917_103101_DeepSeek_6a24da15:0044</t>
    <phoneticPr fontId="1" type="noConversion"/>
  </si>
  <si>
    <t>ACT:20260917_103101_DeepSeek_6a24da15:0044</t>
    <phoneticPr fontId="1" type="noConversion"/>
  </si>
  <si>
    <t>Quantify 10466 impact on citywide totals</t>
    <phoneticPr fontId="1" type="noConversion"/>
  </si>
  <si>
    <t>20260917_103101_DeepSeek_6a24da15:0045</t>
    <phoneticPr fontId="1" type="noConversion"/>
  </si>
  <si>
    <t>ACT:20260917_103101_DeepSeek_6a24da15:0045</t>
    <phoneticPr fontId="1" type="noConversion"/>
  </si>
  <si>
    <t>Generalized concentration check across complaint types</t>
    <phoneticPr fontId="1" type="noConversion"/>
  </si>
  <si>
    <t>20260917_103101_DeepSeek_6a24da15:0046</t>
    <phoneticPr fontId="1" type="noConversion"/>
  </si>
  <si>
    <t>ACT:20260917_103101_DeepSeek_6a24da15:0046</t>
    <phoneticPr fontId="1" type="noConversion"/>
  </si>
  <si>
    <t>Check other single-address anomalies</t>
    <phoneticPr fontId="1" type="noConversion"/>
  </si>
  <si>
    <t>20260917_103101_DeepSeek_6a24da15:0047</t>
    <phoneticPr fontId="1" type="noConversion"/>
  </si>
  <si>
    <t>ACT:20260917_103101_DeepSeek_6a24da15:0047</t>
    <phoneticPr fontId="1" type="noConversion"/>
  </si>
  <si>
    <t>20260917_103101_DeepSeek_6a24da15:0048</t>
    <phoneticPr fontId="1" type="noConversion"/>
  </si>
  <si>
    <t>ACT:20260917_103101_DeepSeek_6a24da15:0048</t>
    <phoneticPr fontId="1" type="noConversion"/>
  </si>
  <si>
    <t>Run pipeline and inspect outlier tables</t>
    <phoneticPr fontId="1" type="noConversion"/>
  </si>
  <si>
    <t>20260917_103101_DeepSeek_6a24da15:0049</t>
    <phoneticPr fontId="1" type="noConversion"/>
  </si>
  <si>
    <t>ACT:20260917_103101_DeepSeek_6a24da15:0049</t>
    <phoneticPr fontId="1" type="noConversion"/>
  </si>
  <si>
    <t>D:\项目2\增强实验\DeepSeek\scripts\02_build_workbook.py</t>
    <phoneticPr fontId="1" type="noConversion"/>
  </si>
  <si>
    <t>20260917_103101_DeepSeek_6a24da15:0050</t>
    <phoneticPr fontId="1" type="noConversion"/>
  </si>
  <si>
    <t>ACT:20260917_103101_DeepSeek_6a24da15:0050</t>
    <phoneticPr fontId="1" type="noConversion"/>
  </si>
  <si>
    <t>Build the Excel workbook</t>
    <phoneticPr fontId="1" type="noConversion"/>
  </si>
  <si>
    <t>20260917_103101_DeepSeek_6a24da15:0051</t>
    <phoneticPr fontId="1" type="noConversion"/>
  </si>
  <si>
    <t>ACT:20260917_103101_DeepSeek_6a24da15:0051</t>
    <phoneticPr fontId="1" type="noConversion"/>
  </si>
  <si>
    <t>Verify hard-coded figures in workbook</t>
    <phoneticPr fontId="1" type="noConversion"/>
  </si>
  <si>
    <t>20260917_103101_DeepSeek_6a24da15:0052</t>
    <phoneticPr fontId="1" type="noConversion"/>
  </si>
  <si>
    <t>ACT:20260917_103101_DeepSeek_6a24da15:0052</t>
    <phoneticPr fontId="1" type="noConversion"/>
  </si>
  <si>
    <t>20260917_103101_DeepSeek_6a24da15:0053</t>
    <phoneticPr fontId="1" type="noConversion"/>
  </si>
  <si>
    <t>ACT:20260917_103101_DeepSeek_6a24da15:0053</t>
    <phoneticPr fontId="1" type="noConversion"/>
  </si>
  <si>
    <t>Generate and inspect key figures table</t>
    <phoneticPr fontId="1" type="noConversion"/>
  </si>
  <si>
    <t>20260917_103101_DeepSeek_6a24da15:0054</t>
    <phoneticPr fontId="1" type="noConversion"/>
  </si>
  <si>
    <t>ACT:20260917_103101_DeepSeek_6a24da15:0054</t>
    <phoneticPr fontId="1" type="noConversion"/>
  </si>
  <si>
    <t>Recompute derived shares</t>
    <phoneticPr fontId="1" type="noConversion"/>
  </si>
  <si>
    <t>20260917_103101_DeepSeek_6a24da15:0055</t>
    <phoneticPr fontId="1" type="noConversion"/>
  </si>
  <si>
    <t>ACT:20260917_103101_DeepSeek_6a24da15:0055</t>
    <phoneticPr fontId="1" type="noConversion"/>
  </si>
  <si>
    <t>20260917_103101_DeepSeek_6a24da15:0056</t>
    <phoneticPr fontId="1" type="noConversion"/>
  </si>
  <si>
    <t>ACT:20260917_103101_DeepSeek_6a24da15:0056</t>
    <phoneticPr fontId="1" type="noConversion"/>
  </si>
  <si>
    <t>20260917_103101_DeepSeek_6a24da15:0057</t>
    <phoneticPr fontId="1" type="noConversion"/>
  </si>
  <si>
    <t>ACT:20260917_103101_DeepSeek_6a24da15:0057</t>
    <phoneticPr fontId="1" type="noConversion"/>
  </si>
  <si>
    <t>20260917_103101_DeepSeek_6a24da15:0058</t>
    <phoneticPr fontId="1" type="noConversion"/>
  </si>
  <si>
    <t>ACT:20260917_103101_DeepSeek_6a24da15:0058</t>
    <phoneticPr fontId="1" type="noConversion"/>
  </si>
  <si>
    <t>20260917_103101_DeepSeek_6a24da15:0059</t>
    <phoneticPr fontId="1" type="noConversion"/>
  </si>
  <si>
    <t>ACT:20260917_103101_DeepSeek_6a24da15:0059</t>
    <phoneticPr fontId="1" type="noConversion"/>
  </si>
  <si>
    <t>20260917_103101_DeepSeek_6a24da15:0060</t>
    <phoneticPr fontId="1" type="noConversion"/>
  </si>
  <si>
    <t>ACT:20260917_103101_DeepSeek_6a24da15:0060</t>
    <phoneticPr fontId="1" type="noConversion"/>
  </si>
  <si>
    <t>20260917_103101_DeepSeek_6a24da15:0061</t>
    <phoneticPr fontId="1" type="noConversion"/>
  </si>
  <si>
    <t>ACT:20260917_103101_DeepSeek_6a24da15:0061</t>
    <phoneticPr fontId="1" type="noConversion"/>
  </si>
  <si>
    <t>20260917_103101_DeepSeek_6a24da15:0062</t>
    <phoneticPr fontId="1" type="noConversion"/>
  </si>
  <si>
    <t>ACT:20260917_103101_DeepSeek_6a24da15:0062</t>
    <phoneticPr fontId="1" type="noConversion"/>
  </si>
  <si>
    <t>Rebuild workbook</t>
    <phoneticPr fontId="1" type="noConversion"/>
  </si>
  <si>
    <t>20260917_103101_DeepSeek_6a24da15:0063</t>
    <phoneticPr fontId="1" type="noConversion"/>
  </si>
  <si>
    <t>ACT:20260917_103101_DeepSeek_6a24da15:0063</t>
    <phoneticPr fontId="1" type="noConversion"/>
  </si>
  <si>
    <t>Verify workbook structure</t>
    <phoneticPr fontId="1" type="noConversion"/>
  </si>
  <si>
    <t>20260917_103101_DeepSeek_6a24da15:0064</t>
    <phoneticPr fontId="1" type="noConversion"/>
  </si>
  <si>
    <t>ACT:20260917_103101_DeepSeek_6a24da15:0064</t>
    <phoneticPr fontId="1" type="noConversion"/>
  </si>
  <si>
    <t>Dump front sheet content</t>
    <phoneticPr fontId="1" type="noConversion"/>
  </si>
  <si>
    <t>20260917_103101_DeepSeek_6a24da15:0065</t>
    <phoneticPr fontId="1" type="noConversion"/>
  </si>
  <si>
    <t>ACT:20260917_103101_DeepSeek_6a24da15:0065</t>
    <phoneticPr fontId="1" type="noConversion"/>
  </si>
  <si>
    <t>Dump sheets 4 and 5</t>
    <phoneticPr fontId="1" type="noConversion"/>
  </si>
  <si>
    <t>20260917_103101_DeepSeek_6a24da15:0066</t>
    <phoneticPr fontId="1" type="noConversion"/>
  </si>
  <si>
    <t>ACT:20260917_103101_DeepSeek_6a24da15:0066</t>
    <phoneticPr fontId="1" type="noConversion"/>
  </si>
  <si>
    <t>Dump remaining sheets</t>
    <phoneticPr fontId="1" type="noConversion"/>
  </si>
  <si>
    <t>20260917_103101_DeepSeek_6a24da15:0067</t>
    <phoneticPr fontId="1" type="noConversion"/>
  </si>
  <si>
    <t>ACT:20260917_103101_DeepSeek_6a24da15:0067</t>
    <phoneticPr fontId="1" type="noConversion"/>
  </si>
  <si>
    <t>20260917_103101_DeepSeek_6a24da15:0068</t>
    <phoneticPr fontId="1" type="noConversion"/>
  </si>
  <si>
    <t>ACT:20260917_103101_DeepSeek_6a24da15:0068</t>
    <phoneticPr fontId="1" type="noConversion"/>
  </si>
  <si>
    <t>20260917_103101_DeepSeek_6a24da15:0069</t>
    <phoneticPr fontId="1" type="noConversion"/>
  </si>
  <si>
    <t>ACT:20260917_103101_DeepSeek_6a24da15:0069</t>
    <phoneticPr fontId="1" type="noConversion"/>
  </si>
  <si>
    <t>20260917_103101_DeepSeek_6a24da15:0070</t>
    <phoneticPr fontId="1" type="noConversion"/>
  </si>
  <si>
    <t>ACT:20260917_103101_DeepSeek_6a24da15:0070</t>
    <phoneticPr fontId="1" type="noConversion"/>
  </si>
  <si>
    <t>20260917_103101_DeepSeek_6a24da15:0071</t>
    <phoneticPr fontId="1" type="noConversion"/>
  </si>
  <si>
    <t>ACT:20260917_103101_DeepSeek_6a24da15:0071</t>
    <phoneticPr fontId="1" type="noConversion"/>
  </si>
  <si>
    <t>Check DHS share of status gap</t>
    <phoneticPr fontId="1" type="noConversion"/>
  </si>
  <si>
    <t>20260917_103101_DeepSeek_6a24da15:0072</t>
    <phoneticPr fontId="1" type="noConversion"/>
  </si>
  <si>
    <t>ACT:20260917_103101_DeepSeek_6a24da15:0072</t>
    <phoneticPr fontId="1" type="noConversion"/>
  </si>
  <si>
    <t>20260917_103101_DeepSeek_6a24da15:0073</t>
    <phoneticPr fontId="1" type="noConversion"/>
  </si>
  <si>
    <t>ACT:20260917_103101_DeepSeek_6a24da15:0073</t>
    <phoneticPr fontId="1" type="noConversion"/>
  </si>
  <si>
    <t>20260917_103101_DeepSeek_6a24da15:0074</t>
    <phoneticPr fontId="1" type="noConversion"/>
  </si>
  <si>
    <t>ACT:20260917_103101_DeepSeek_6a24da15:0074</t>
    <phoneticPr fontId="1" type="noConversion"/>
  </si>
  <si>
    <t>路面坑洞增加|5\.7 倍</t>
    <phoneticPr fontId="1" type="noConversion"/>
  </si>
  <si>
    <t>Grep</t>
    <phoneticPr fontId="1" type="noConversion"/>
  </si>
  <si>
    <t>20260917_103101_DeepSeek_6a24da15:0075</t>
    <phoneticPr fontId="1" type="noConversion"/>
  </si>
  <si>
    <t>ACT:20260917_103101_DeepSeek_6a24da15:0075</t>
    <phoneticPr fontId="1" type="noConversion"/>
  </si>
  <si>
    <t>20260917_103101_DeepSeek_6a24da15:0076</t>
    <phoneticPr fontId="1" type="noConversion"/>
  </si>
  <si>
    <t>ACT:20260917_103101_DeepSeek_6a24da15:0076</t>
    <phoneticPr fontId="1" type="noConversion"/>
  </si>
  <si>
    <t>Rebuild and verify</t>
    <phoneticPr fontId="1" type="noConversion"/>
  </si>
  <si>
    <t>20260917_103101_DeepSeek_6a24da15:0077</t>
    <phoneticPr fontId="1" type="noConversion"/>
  </si>
  <si>
    <t>ACT:20260917_103101_DeepSeek_6a24da15:0077</t>
    <phoneticPr fontId="1" type="noConversion"/>
  </si>
  <si>
    <t>Final numbers for the write-up</t>
    <phoneticPr fontId="1" type="noConversion"/>
  </si>
  <si>
    <t>20260917_103101_DeepSeek_6a24da15:0078</t>
    <phoneticPr fontId="1" type="noConversion"/>
  </si>
  <si>
    <t>ACT:20260917_103101_DeepSeek_6a24da15:0078</t>
    <phoneticPr fontId="1" type="noConversion"/>
  </si>
  <si>
    <t>D:\项目2\增强实验\DeepSeek\分析说明.md</t>
    <phoneticPr fontId="1" type="noConversion"/>
  </si>
  <si>
    <t>20260917_103101_DeepSeek_6a24da15:0079</t>
    <phoneticPr fontId="1" type="noConversion"/>
  </si>
  <si>
    <t>ACT:20260917_103101_DeepSeek_6a24da15:0079</t>
    <phoneticPr fontId="1" type="noConversion"/>
  </si>
  <si>
    <t>Verify four-item contribution sum</t>
    <phoneticPr fontId="1" type="noConversion"/>
  </si>
  <si>
    <t>20260917_103101_DeepSeek_6a24da15:0080</t>
    <phoneticPr fontId="1" type="noConversion"/>
  </si>
  <si>
    <t>ACT:20260917_103101_DeepSeek_6a24da15:0080</t>
    <phoneticPr fontId="1" type="noConversion"/>
  </si>
  <si>
    <t>20260917_103101_DeepSeek_6a24da15:0081</t>
    <phoneticPr fontId="1" type="noConversion"/>
  </si>
  <si>
    <t>ACT:20260917_103101_DeepSeek_6a24da15:0081</t>
    <phoneticPr fontId="1" type="noConversion"/>
  </si>
  <si>
    <t>20260917_103101_DeepSeek_6a24da15:0082</t>
    <phoneticPr fontId="1" type="noConversion"/>
  </si>
  <si>
    <t>ACT:20260917_103101_DeepSeek_6a24da15:0082</t>
    <phoneticPr fontId="1" type="noConversion"/>
  </si>
  <si>
    <t>20260917_103101_DeepSeek_6a24da15:0083</t>
    <phoneticPr fontId="1" type="noConversion"/>
  </si>
  <si>
    <t>ACT:20260917_103101_DeepSeek_6a24da15:0083</t>
    <phoneticPr fontId="1" type="noConversion"/>
  </si>
  <si>
    <t>Rebuild and check key-figure table</t>
    <phoneticPr fontId="1" type="noConversion"/>
  </si>
  <si>
    <t>20260917_103101_DeepSeek_6a24da15:0084</t>
    <phoneticPr fontId="1" type="noConversion"/>
  </si>
  <si>
    <t>ACT:20260917_103101_DeepSeek_6a24da15:0084</t>
    <phoneticPr fontId="1" type="noConversion"/>
  </si>
  <si>
    <t>D:\项目2\增强实验\DeepSeek\scripts\03_verify.py</t>
    <phoneticPr fontId="1" type="noConversion"/>
  </si>
  <si>
    <t>20260917_103101_DeepSeek_6a24da15:0085</t>
    <phoneticPr fontId="1" type="noConversion"/>
  </si>
  <si>
    <t>ACT:20260917_103101_DeepSeek_6a24da15:0085</t>
    <phoneticPr fontId="1" type="noConversion"/>
  </si>
  <si>
    <t>Run delivery self-check</t>
    <phoneticPr fontId="1" type="noConversion"/>
  </si>
  <si>
    <t>20260917_103101_DeepSeek_6a24da15:0086</t>
    <phoneticPr fontId="1" type="noConversion"/>
  </si>
  <si>
    <t>ACT:20260917_103101_DeepSeek_6a24da15:0086</t>
    <phoneticPr fontId="1" type="noConversion"/>
  </si>
  <si>
    <t>Verify raw data integrity and list deliverables</t>
    <phoneticPr fontId="1" type="noConversion"/>
  </si>
  <si>
    <t>20260917_103101_DeepSeek_6a24da15:0087</t>
    <phoneticPr fontId="1" type="noConversion"/>
  </si>
  <si>
    <t>ACT:20260917_103101_DeepSeek_6a24da15:0087</t>
    <phoneticPr fontId="1" type="noConversion"/>
  </si>
  <si>
    <t>20260917_103101_DeepSeek_6a24da15:0088</t>
    <phoneticPr fontId="1" type="noConversion"/>
  </si>
  <si>
    <t>ACT:20260917_103101_DeepSeek_6a24da15:0088</t>
    <phoneticPr fontId="1" type="noConversion"/>
  </si>
  <si>
    <t>20260917_103101_DeepSeek_6a24da15:0089</t>
    <phoneticPr fontId="1" type="noConversion"/>
  </si>
  <si>
    <t>ACT:20260917_103101_DeepSeek_6a24da15:0089</t>
    <phoneticPr fontId="1" type="noConversion"/>
  </si>
  <si>
    <t>20260917_103101_DeepSeek_6a24da15:0090</t>
    <phoneticPr fontId="1" type="noConversion"/>
  </si>
  <si>
    <t>ACT:20260917_103101_DeepSeek_6a24da15:0090</t>
    <phoneticPr fontId="1" type="noConversion"/>
  </si>
  <si>
    <t>Final rebuild and verification</t>
    <phoneticPr fontId="1" type="noConversion"/>
  </si>
  <si>
    <t>20260917_103101_DeepSeek_6a24da15:0091</t>
    <phoneticPr fontId="1" type="noConversion"/>
  </si>
  <si>
    <t>ACT:20260917_103101_DeepSeek_6a24da15:0091</t>
    <phoneticPr fontId="1" type="noConversion"/>
  </si>
  <si>
    <t>20260917_104522_GPT_b97ef10b:0001</t>
    <phoneticPr fontId="1" type="noConversion"/>
  </si>
  <si>
    <t>ACT:20260917_104522_GPT_b97ef10b:0001</t>
    <phoneticPr fontId="1" type="noConversion"/>
  </si>
  <si>
    <t>20260917_104522_GPT_b97ef10b:0002</t>
    <phoneticPr fontId="1" type="noConversion"/>
  </si>
  <si>
    <t>ACT:20260917_104522_GPT_b97ef10b:0002</t>
    <phoneticPr fontId="1" type="noConversion"/>
  </si>
  <si>
    <t>20260917_104522_GPT_b97ef10b:0003</t>
    <phoneticPr fontId="1" type="noConversion"/>
  </si>
  <si>
    <t>ACT:20260917_104522_GPT_b97ef10b:0003</t>
    <phoneticPr fontId="1" type="noConversion"/>
  </si>
  <si>
    <t>20260917_104522_GPT_b97ef10b:0004</t>
    <phoneticPr fontId="1" type="noConversion"/>
  </si>
  <si>
    <t>ACT:20260917_104522_GPT_b97ef10b:0004</t>
    <phoneticPr fontId="1" type="noConversion"/>
  </si>
  <si>
    <t>20260917_104522_GPT_b97ef10b:0005</t>
    <phoneticPr fontId="1" type="noConversion"/>
  </si>
  <si>
    <t>ACT:20260917_104522_GPT_b97ef10b:0005</t>
    <phoneticPr fontId="1" type="noConversion"/>
  </si>
  <si>
    <t>20260917_104522_GPT_b97ef10b:0006</t>
    <phoneticPr fontId="1" type="noConversion"/>
  </si>
  <si>
    <t>ACT:20260917_104522_GPT_b97ef10b:0006</t>
    <phoneticPr fontId="1" type="noConversion"/>
  </si>
  <si>
    <t>20260917_104522_GPT_b97ef10b:0007</t>
    <phoneticPr fontId="1" type="noConversion"/>
  </si>
  <si>
    <t>ACT:20260917_104522_GPT_b97ef10b:0007</t>
    <phoneticPr fontId="1" type="noConversion"/>
  </si>
  <si>
    <t>20260917_104522_GPT_b97ef10b:0008</t>
    <phoneticPr fontId="1" type="noConversion"/>
  </si>
  <si>
    <t>ACT:20260917_104522_GPT_b97ef10b:0008</t>
    <phoneticPr fontId="1" type="noConversion"/>
  </si>
  <si>
    <t>20260917_104522_GPT_b97ef10b:0009</t>
    <phoneticPr fontId="1" type="noConversion"/>
  </si>
  <si>
    <t>ACT:20260917_104522_GPT_b97ef10b:0009</t>
    <phoneticPr fontId="1" type="noConversion"/>
  </si>
  <si>
    <t>20260917_104522_GPT_b97ef10b:0010</t>
    <phoneticPr fontId="1" type="noConversion"/>
  </si>
  <si>
    <t>ACT:20260917_104522_GPT_b97ef10b:0010</t>
    <phoneticPr fontId="1" type="noConversion"/>
  </si>
  <si>
    <t>20260917_104522_GPT_b97ef10b:0011</t>
    <phoneticPr fontId="1" type="noConversion"/>
  </si>
  <si>
    <t>ACT:20260917_104522_GPT_b97ef10b:0011</t>
    <phoneticPr fontId="1" type="noConversion"/>
  </si>
  <si>
    <t>20260917_104522_GPT_b97ef10b:0012</t>
    <phoneticPr fontId="1" type="noConversion"/>
  </si>
  <si>
    <t>ACT:20260917_104522_GPT_b97ef10b:0012</t>
    <phoneticPr fontId="1" type="noConversion"/>
  </si>
  <si>
    <t>20260917_104522_GPT_b97ef10b:0013</t>
    <phoneticPr fontId="1" type="noConversion"/>
  </si>
  <si>
    <t>ACT:20260917_104522_GPT_b97ef10b:0013</t>
    <phoneticPr fontId="1" type="noConversion"/>
  </si>
  <si>
    <t>20260917_104522_GPT_b97ef10b:0014</t>
    <phoneticPr fontId="1" type="noConversion"/>
  </si>
  <si>
    <t>ACT:20260917_104522_GPT_b97ef10b:0014</t>
    <phoneticPr fontId="1" type="noConversion"/>
  </si>
  <si>
    <t>20260917_104522_GPT_b97ef10b:0015</t>
    <phoneticPr fontId="1" type="noConversion"/>
  </si>
  <si>
    <t>ACT:20260917_104522_GPT_b97ef10b:0015</t>
    <phoneticPr fontId="1" type="noConversion"/>
  </si>
  <si>
    <t>20260917_104522_GPT_b97ef10b:0016</t>
    <phoneticPr fontId="1" type="noConversion"/>
  </si>
  <si>
    <t>ACT:20260917_104522_GPT_b97ef10b:0016</t>
    <phoneticPr fontId="1" type="noConversion"/>
  </si>
  <si>
    <t>20260917_104522_GPT_b97ef10b:0017</t>
    <phoneticPr fontId="1" type="noConversion"/>
  </si>
  <si>
    <t>ACT:20260917_104522_GPT_b97ef10b:0017</t>
    <phoneticPr fontId="1" type="noConversion"/>
  </si>
  <si>
    <t>20260917_104522_GPT_b97ef10b:0018</t>
    <phoneticPr fontId="1" type="noConversion"/>
  </si>
  <si>
    <t>ACT:20260917_104522_GPT_b97ef10b:0018</t>
    <phoneticPr fontId="1" type="noConversion"/>
  </si>
  <si>
    <t>20260917_104522_GPT_b97ef10b:0019</t>
    <phoneticPr fontId="1" type="noConversion"/>
  </si>
  <si>
    <t>ACT:20260917_104522_GPT_b97ef10b:0019</t>
    <phoneticPr fontId="1" type="noConversion"/>
  </si>
  <si>
    <t>20260917_104522_GPT_b97ef10b:0020</t>
    <phoneticPr fontId="1" type="noConversion"/>
  </si>
  <si>
    <t>ACT:20260917_104522_GPT_b97ef10b:0020</t>
    <phoneticPr fontId="1" type="noConversion"/>
  </si>
  <si>
    <t>20260917_104522_GPT_b97ef10b:0021</t>
    <phoneticPr fontId="1" type="noConversion"/>
  </si>
  <si>
    <t>ACT:20260917_104522_GPT_b97ef10b:0021</t>
    <phoneticPr fontId="1" type="noConversion"/>
  </si>
  <si>
    <t>20260917_104522_GPT_b97ef10b:0022</t>
    <phoneticPr fontId="1" type="noConversion"/>
  </si>
  <si>
    <t>ACT:20260917_104522_GPT_b97ef10b:0022</t>
    <phoneticPr fontId="1" type="noConversion"/>
  </si>
  <si>
    <t>20260917_104522_GPT_b97ef10b:0023</t>
    <phoneticPr fontId="1" type="noConversion"/>
  </si>
  <si>
    <t>ACT:20260917_104522_GPT_b97ef10b:0023</t>
    <phoneticPr fontId="1" type="noConversion"/>
  </si>
  <si>
    <t>20260917_104522_GPT_b97ef10b:0024</t>
    <phoneticPr fontId="1" type="noConversion"/>
  </si>
  <si>
    <t>ACT:20260917_104522_GPT_b97ef10b:0024</t>
    <phoneticPr fontId="1" type="noConversion"/>
  </si>
  <si>
    <t>20260917_104522_GPT_b97ef10b:0025</t>
    <phoneticPr fontId="1" type="noConversion"/>
  </si>
  <si>
    <t>ACT:20260917_104522_GPT_b97ef10b:0025</t>
    <phoneticPr fontId="1" type="noConversion"/>
  </si>
  <si>
    <t>20260917_104522_GPT_b97ef10b:0026</t>
    <phoneticPr fontId="1" type="noConversion"/>
  </si>
  <si>
    <t>ACT:20260917_104522_GPT_b97ef10b:0026</t>
    <phoneticPr fontId="1" type="noConversion"/>
  </si>
  <si>
    <t>20260917_104522_GPT_b97ef10b:0027</t>
    <phoneticPr fontId="1" type="noConversion"/>
  </si>
  <si>
    <t>ACT:20260917_104522_GPT_b97ef10b:0027</t>
    <phoneticPr fontId="1" type="noConversion"/>
  </si>
  <si>
    <t>20260917_104522_GPT_b97ef10b:0028</t>
    <phoneticPr fontId="1" type="noConversion"/>
  </si>
  <si>
    <t>ACT:20260917_104522_GPT_b97ef10b:0028</t>
    <phoneticPr fontId="1" type="noConversion"/>
  </si>
  <si>
    <t>20260917_104522_GPT_b97ef10b:0029</t>
    <phoneticPr fontId="1" type="noConversion"/>
  </si>
  <si>
    <t>ACT:20260917_104522_GPT_b97ef10b:0029</t>
    <phoneticPr fontId="1" type="noConversion"/>
  </si>
  <si>
    <t>20260917_104522_GPT_b97ef10b:0030</t>
    <phoneticPr fontId="1" type="noConversion"/>
  </si>
  <si>
    <t>ACT:20260917_104522_GPT_b97ef10b:0030</t>
    <phoneticPr fontId="1" type="noConversion"/>
  </si>
  <si>
    <t>20260917_104522_GPT_b97ef10b:0031</t>
    <phoneticPr fontId="1" type="noConversion"/>
  </si>
  <si>
    <t>ACT:20260917_104522_GPT_b97ef10b:0031</t>
    <phoneticPr fontId="1" type="noConversion"/>
  </si>
  <si>
    <t>20260917_104522_GPT_b97ef10b:0032</t>
    <phoneticPr fontId="1" type="noConversion"/>
  </si>
  <si>
    <t>ACT:20260917_104522_GPT_b97ef10b:0032</t>
    <phoneticPr fontId="1" type="noConversion"/>
  </si>
  <si>
    <t>20260917_104522_GPT_b97ef10b:0033</t>
    <phoneticPr fontId="1" type="noConversion"/>
  </si>
  <si>
    <t>ACT:20260917_104522_GPT_b97ef10b:0033</t>
    <phoneticPr fontId="1" type="noConversion"/>
  </si>
  <si>
    <t>20260917_104522_GPT_b97ef10b:0034</t>
    <phoneticPr fontId="1" type="noConversion"/>
  </si>
  <si>
    <t>ACT:20260917_104522_GPT_b97ef10b:0034</t>
    <phoneticPr fontId="1" type="noConversion"/>
  </si>
  <si>
    <t>20260917_104522_GPT_b97ef10b:0035</t>
    <phoneticPr fontId="1" type="noConversion"/>
  </si>
  <si>
    <t>ACT:20260917_104522_GPT_b97ef10b:0035</t>
    <phoneticPr fontId="1" type="noConversion"/>
  </si>
  <si>
    <t>20260917_104522_GPT_b97ef10b:0036</t>
    <phoneticPr fontId="1" type="noConversion"/>
  </si>
  <si>
    <t>ACT:20260917_104522_GPT_b97ef10b:0036</t>
    <phoneticPr fontId="1" type="noConversion"/>
  </si>
  <si>
    <t>D:\项目2\增强实验\GLM\任务提示.md</t>
    <phoneticPr fontId="1" type="noConversion"/>
  </si>
  <si>
    <t>20260917_104919_GLM_b5270231:0001</t>
    <phoneticPr fontId="1" type="noConversion"/>
  </si>
  <si>
    <t>ACT:20260917_104919_GLM_b5270231:0001</t>
    <phoneticPr fontId="1" type="noConversion"/>
  </si>
  <si>
    <t>**/*</t>
    <phoneticPr fontId="1" type="noConversion"/>
  </si>
  <si>
    <t>20260917_104919_GLM_b5270231:0002</t>
    <phoneticPr fontId="1" type="noConversion"/>
  </si>
  <si>
    <t>ACT:20260917_104919_GLM_b5270231:0002</t>
    <phoneticPr fontId="1" type="noConversion"/>
  </si>
  <si>
    <t>20260917_104919_GLM_b5270231:0003</t>
    <phoneticPr fontId="1" type="noConversion"/>
  </si>
  <si>
    <t>ACT:20260917_104919_GLM_b5270231:0003</t>
    <phoneticPr fontId="1" type="noConversion"/>
  </si>
  <si>
    <t>20260917_104919_GLM_b5270231:0004</t>
    <phoneticPr fontId="1" type="noConversion"/>
  </si>
  <si>
    <t>ACT:20260917_104919_GLM_b5270231:0004</t>
    <phoneticPr fontId="1" type="noConversion"/>
  </si>
  <si>
    <t>Check Python library versions</t>
    <phoneticPr fontId="1" type="noConversion"/>
  </si>
  <si>
    <t>20260917_104919_GLM_b5270231:0005</t>
    <phoneticPr fontId="1" type="noConversion"/>
  </si>
  <si>
    <t>ACT:20260917_104919_GLM_b5270231:0005</t>
    <phoneticPr fontId="1" type="noConversion"/>
  </si>
  <si>
    <t>Inspect parquet schema of one shard</t>
    <phoneticPr fontId="1" type="noConversion"/>
  </si>
  <si>
    <t>20260917_104919_GLM_b5270231:0006</t>
    <phoneticPr fontId="1" type="noConversion"/>
  </si>
  <si>
    <t>ACT:20260917_104919_GLM_b5270231:0006</t>
    <phoneticPr fontId="1" type="noConversion"/>
  </si>
  <si>
    <t>Full scan: row count, key uniqueness, date validity</t>
    <phoneticPr fontId="1" type="noConversion"/>
  </si>
  <si>
    <t>20260917_104919_GLM_b5270231:0007</t>
    <phoneticPr fontId="1" type="noConversion"/>
  </si>
  <si>
    <t>ACT:20260917_104919_GLM_b5270231:0007</t>
    <phoneticPr fontId="1" type="noConversion"/>
  </si>
  <si>
    <t>Explore status, borough, agency, complaint distributio…</t>
    <phoneticPr fontId="1" type="noConversion"/>
  </si>
  <si>
    <t>20260917_104919_GLM_b5270231:0008</t>
    <phoneticPr fontId="1" type="noConversion"/>
  </si>
  <si>
    <t>ACT:20260917_104919_GLM_b5270231:0008</t>
    <phoneticPr fontId="1" type="noConversion"/>
  </si>
  <si>
    <t>基于全量7.53M行数据计算:月度请求量、结案率、处理时长、问题类型结构、开放工单老化</t>
    <phoneticPr fontId="1" type="noConversion"/>
  </si>
  <si>
    <t>20260917_104919_GLM_b5270231:0009</t>
    <phoneticPr fontId="1" type="noConversion"/>
  </si>
  <si>
    <t>ACT:20260917_104919_GLM_b5270231:0009</t>
    <phoneticPr fontId="1" type="noConversion"/>
  </si>
  <si>
    <t>最终成果.xlsx(多sheet看板) + 分析说明.md + 保留可复现脚本/中间汇总</t>
    <phoneticPr fontId="1" type="noConversion"/>
  </si>
  <si>
    <t>20260917_104919_GLM_b5270231:0010</t>
    <phoneticPr fontId="1" type="noConversion"/>
  </si>
  <si>
    <t>ACT:20260917_104919_GLM_b5270231:0010</t>
    <phoneticPr fontId="1" type="noConversion"/>
  </si>
  <si>
    <t>20260917_104919_GLM_b5270231:0011</t>
    <phoneticPr fontId="1" type="noConversion"/>
  </si>
  <si>
    <t>ACT:20260917_104919_GLM_b5270231:0011</t>
    <phoneticPr fontId="1" type="noConversion"/>
  </si>
  <si>
    <t>Monthly volume, status-closure consistency, resolution…</t>
    <phoneticPr fontId="1" type="noConversion"/>
  </si>
  <si>
    <t>20260917_104919_GLM_b5270231:0012</t>
    <phoneticPr fontId="1" type="noConversion"/>
  </si>
  <si>
    <t>ACT:20260917_104919_GLM_b5270231:0012</t>
    <phoneticPr fontId="1" type="noConversion"/>
  </si>
  <si>
    <t>Check duration anomalies and seasonality of heat/noise…</t>
    <phoneticPr fontId="1" type="noConversion"/>
  </si>
  <si>
    <t>20260917_104919_GLM_b5270231:0013</t>
    <phoneticPr fontId="1" type="noConversion"/>
  </si>
  <si>
    <t>ACT:20260917_104919_GLM_b5270231:0013</t>
    <phoneticPr fontId="1" type="noConversion"/>
  </si>
  <si>
    <t>Decompose Jan-25 vs Jan-26 and YoY volume changes by c…</t>
    <phoneticPr fontId="1" type="noConversion"/>
  </si>
  <si>
    <t>20260917_104919_GLM_b5270231:0014</t>
    <phoneticPr fontId="1" type="noConversion"/>
  </si>
  <si>
    <t>ACT:20260917_104919_GLM_b5270231:0014</t>
    <phoneticPr fontId="1" type="noConversion"/>
  </si>
  <si>
    <t>Noise-Residential monthly series and YoY decomposition</t>
    <phoneticPr fontId="1" type="noConversion"/>
  </si>
  <si>
    <t>20260917_104919_GLM_b5270231:0015</t>
    <phoneticPr fontId="1" type="noConversion"/>
  </si>
  <si>
    <t>ACT:20260917_104919_GLM_b5270231:0015</t>
    <phoneticPr fontId="1" type="noConversion"/>
  </si>
  <si>
    <t>Daily noise series around the break; new complaint typ…</t>
    <phoneticPr fontId="1" type="noConversion"/>
  </si>
  <si>
    <t>20260917_104919_GLM_b5270231:0016</t>
    <phoneticPr fontId="1" type="noConversion"/>
  </si>
  <si>
    <t>ACT:20260917_104919_GLM_b5270231:0016</t>
    <phoneticPr fontId="1" type="noConversion"/>
  </si>
  <si>
    <t>Characterize the Dec28-Jan13 noise surge: descriptor, …</t>
    <phoneticPr fontId="1" type="noConversion"/>
  </si>
  <si>
    <t>20260917_104919_GLM_b5270231:0017</t>
    <phoneticPr fontId="1" type="noConversion"/>
  </si>
  <si>
    <t>ACT:20260917_104919_GLM_b5270231:0017</t>
    <phoneticPr fontId="1" type="noConversion"/>
  </si>
  <si>
    <t>Surge zip/address concentration vs baseline diurnal pa…</t>
    <phoneticPr fontId="1" type="noConversion"/>
  </si>
  <si>
    <t>20260917_104919_GLM_b5270231:0018</t>
    <phoneticPr fontId="1" type="noConversion"/>
  </si>
  <si>
    <t>ACT:20260917_104919_GLM_b5270231:0018</t>
    <phoneticPr fontId="1" type="noConversion"/>
  </si>
  <si>
    <t>Timeline of the hotspot address and zip 10466</t>
    <phoneticPr fontId="1" type="noConversion"/>
  </si>
  <si>
    <t>20260917_104919_GLM_b5270231:0019</t>
    <phoneticPr fontId="1" type="noConversion"/>
  </si>
  <si>
    <t>ACT:20260917_104919_GLM_b5270231:0019</t>
    <phoneticPr fontId="1" type="noConversion"/>
  </si>
  <si>
    <t>Address detail in zip 10466 across both winters</t>
    <phoneticPr fontId="1" type="noConversion"/>
  </si>
  <si>
    <t>20260917_104919_GLM_b5270231:0020</t>
    <phoneticPr fontId="1" type="noConversion"/>
  </si>
  <si>
    <t>ACT:20260917_104919_GLM_b5270231:0020</t>
    <phoneticPr fontId="1" type="noConversion"/>
  </si>
  <si>
    <t>Compute and save all core aggregate tables as CSV</t>
    <phoneticPr fontId="1" type="noConversion"/>
  </si>
  <si>
    <t>20260917_104919_GLM_b5270231:0021</t>
    <phoneticPr fontId="1" type="noConversion"/>
  </si>
  <si>
    <t>ACT:20260917_104919_GLM_b5270231:0021</t>
    <phoneticPr fontId="1" type="noConversion"/>
  </si>
  <si>
    <t>Compute and save all core aggregates (fixed dtypes)</t>
    <phoneticPr fontId="1" type="noConversion"/>
  </si>
  <si>
    <t>20260917_104919_GLM_b5270231:0022</t>
    <phoneticPr fontId="1" type="noConversion"/>
  </si>
  <si>
    <t>ACT:20260917_104919_GLM_b5270231:0022</t>
    <phoneticPr fontId="1" type="noConversion"/>
  </si>
  <si>
    <t>Review agency resolution, aging, closed rate tables</t>
    <phoneticPr fontId="1" type="noConversion"/>
  </si>
  <si>
    <t>20260917_104919_GLM_b5270231:0023</t>
    <phoneticPr fontId="1" type="noConversion"/>
  </si>
  <si>
    <t>ACT:20260917_104919_GLM_b5270231:0023</t>
    <phoneticPr fontId="1" type="noConversion"/>
  </si>
  <si>
    <t>Fixed-age closure rate by month; heat winter compariso…</t>
    <phoneticPr fontId="1" type="noConversion"/>
  </si>
  <si>
    <t>20260917_104919_GLM_b5270231:0024</t>
    <phoneticPr fontId="1" type="noConversion"/>
  </si>
  <si>
    <t>ACT:20260917_104919_GLM_b5270231:0024</t>
    <phoneticPr fontId="1" type="noConversion"/>
  </si>
  <si>
    <t>Diagnose March 2026 level shifts and Street Condition …</t>
    <phoneticPr fontId="1" type="noConversion"/>
  </si>
  <si>
    <t>20260917_104919_GLM_b5270231:0025</t>
    <phoneticPr fontId="1" type="noConversion"/>
  </si>
  <si>
    <t>ACT:20260917_104919_GLM_b5270231:0025</t>
    <phoneticPr fontId="1" type="noConversion"/>
  </si>
  <si>
    <t>20260917_104919_GLM_b5270231:0026</t>
    <phoneticPr fontId="1" type="noConversion"/>
  </si>
  <si>
    <t>ACT:20260917_104919_GLM_b5270231:0026</t>
    <phoneticPr fontId="1" type="noConversion"/>
  </si>
  <si>
    <t>20260917_104919_GLM_b5270231:0027</t>
    <phoneticPr fontId="1" type="noConversion"/>
  </si>
  <si>
    <t>ACT:20260917_104919_GLM_b5270231:0027</t>
    <phoneticPr fontId="1" type="noConversion"/>
  </si>
  <si>
    <t>D:\项目2\增强实验\GLM\scripts\build_excel.py</t>
    <phoneticPr fontId="1" type="noConversion"/>
  </si>
  <si>
    <t>20260917_104919_GLM_b5270231:0028</t>
    <phoneticPr fontId="1" type="noConversion"/>
  </si>
  <si>
    <t>ACT:20260917_104919_GLM_b5270231:0028</t>
    <phoneticPr fontId="1" type="noConversion"/>
  </si>
  <si>
    <t>Build the final Excel dashboard</t>
    <phoneticPr fontId="1" type="noConversion"/>
  </si>
  <si>
    <t>20260917_104919_GLM_b5270231:0029</t>
    <phoneticPr fontId="1" type="noConversion"/>
  </si>
  <si>
    <t>ACT:20260917_104919_GLM_b5270231:0029</t>
    <phoneticPr fontId="1" type="noConversion"/>
  </si>
  <si>
    <t>Verify workbook structure, charts, and key values</t>
    <phoneticPr fontId="1" type="noConversion"/>
  </si>
  <si>
    <t>20260917_104919_GLM_b5270231:0030</t>
    <phoneticPr fontId="1" type="noConversion"/>
  </si>
  <si>
    <t>ACT:20260917_104919_GLM_b5270231:0030</t>
    <phoneticPr fontId="1" type="noConversion"/>
  </si>
  <si>
    <t>Recompute the corrected figures</t>
    <phoneticPr fontId="1" type="noConversion"/>
  </si>
  <si>
    <t>20260917_104919_GLM_b5270231:0031</t>
    <phoneticPr fontId="1" type="noConversion"/>
  </si>
  <si>
    <t>ACT:20260917_104919_GLM_b5270231:0031</t>
    <phoneticPr fontId="1" type="noConversion"/>
  </si>
  <si>
    <t>20260917_104919_GLM_b5270231:0032</t>
    <phoneticPr fontId="1" type="noConversion"/>
  </si>
  <si>
    <t>ACT:20260917_104919_GLM_b5270231:0032</t>
    <phoneticPr fontId="1" type="noConversion"/>
  </si>
  <si>
    <t>20260917_104919_GLM_b5270231:0033</t>
    <phoneticPr fontId="1" type="noConversion"/>
  </si>
  <si>
    <t>ACT:20260917_104919_GLM_b5270231:0033</t>
    <phoneticPr fontId="1" type="noConversion"/>
  </si>
  <si>
    <t>20260917_104919_GLM_b5270231:0034</t>
    <phoneticPr fontId="1" type="noConversion"/>
  </si>
  <si>
    <t>ACT:20260917_104919_GLM_b5270231:0034</t>
    <phoneticPr fontId="1" type="noConversion"/>
  </si>
  <si>
    <t>20260917_104919_GLM_b5270231:0035</t>
    <phoneticPr fontId="1" type="noConversion"/>
  </si>
  <si>
    <t>ACT:20260917_104919_GLM_b5270231:0035</t>
    <phoneticPr fontId="1" type="noConversion"/>
  </si>
  <si>
    <t>20260917_104919_GLM_b5270231:0036</t>
    <phoneticPr fontId="1" type="noConversion"/>
  </si>
  <si>
    <t>ACT:20260917_104919_GLM_b5270231:0036</t>
    <phoneticPr fontId="1" type="noConversion"/>
  </si>
  <si>
    <t>20260917_104919_GLM_b5270231:0037</t>
    <phoneticPr fontId="1" type="noConversion"/>
  </si>
  <si>
    <t>ACT:20260917_104919_GLM_b5270231:0037</t>
    <phoneticPr fontId="1" type="noConversion"/>
  </si>
  <si>
    <t>694 天</t>
    <phoneticPr fontId="1" type="noConversion"/>
  </si>
  <si>
    <t>20260917_104919_GLM_b5270231:0038</t>
    <phoneticPr fontId="1" type="noConversion"/>
  </si>
  <si>
    <t>ACT:20260917_104919_GLM_b5270231:0038</t>
    <phoneticPr fontId="1" type="noConversion"/>
  </si>
  <si>
    <t>20260917_104919_GLM_b5270231:0039</t>
    <phoneticPr fontId="1" type="noConversion"/>
  </si>
  <si>
    <t>ACT:20260917_104919_GLM_b5270231:0039</t>
    <phoneticPr fontId="1" type="noConversion"/>
  </si>
  <si>
    <t>20260917_104919_GLM_b5270231:0040</t>
    <phoneticPr fontId="1" type="noConversion"/>
  </si>
  <si>
    <t>ACT:20260917_104919_GLM_b5270231:0040</t>
    <phoneticPr fontId="1" type="noConversion"/>
  </si>
  <si>
    <t>Rebuild workbook and verify KPI values</t>
    <phoneticPr fontId="1" type="noConversion"/>
  </si>
  <si>
    <t>20260917_104919_GLM_b5270231:0041</t>
    <phoneticPr fontId="1" type="noConversion"/>
  </si>
  <si>
    <t>ACT:20260917_104919_GLM_b5270231:0041</t>
    <phoneticPr fontId="1" type="noConversion"/>
  </si>
  <si>
    <t>D:\项目2\增强实验\GLM\分析说明.md</t>
    <phoneticPr fontId="1" type="noConversion"/>
  </si>
  <si>
    <t>20260917_104919_GLM_b5270231:0042</t>
    <phoneticPr fontId="1" type="noConversion"/>
  </si>
  <si>
    <t>ACT:20260917_104919_GLM_b5270231:0042</t>
    <phoneticPr fontId="1" type="noConversion"/>
  </si>
  <si>
    <t>D:\项目2\增强实验\GLM\scripts\make_aggregates.py</t>
    <phoneticPr fontId="1" type="noConversion"/>
  </si>
  <si>
    <t>20260917_104919_GLM_b5270231:0043</t>
    <phoneticPr fontId="1" type="noConversion"/>
  </si>
  <si>
    <t>ACT:20260917_104919_GLM_b5270231:0043</t>
    <phoneticPr fontId="1" type="noConversion"/>
  </si>
  <si>
    <t>Re-run aggregate script and rebuild Excel to confirm r…</t>
    <phoneticPr fontId="1" type="noConversion"/>
  </si>
  <si>
    <t>20260917_104919_GLM_b5270231:0044</t>
    <phoneticPr fontId="1" type="noConversion"/>
  </si>
  <si>
    <t>ACT:20260917_104919_GLM_b5270231:0044</t>
    <phoneticPr fontId="1" type="noConversion"/>
  </si>
  <si>
    <t>Open workbook in Excel COM to verify sheets, charts, r…</t>
    <phoneticPr fontId="1" type="noConversion"/>
  </si>
  <si>
    <t>PowerShell</t>
    <phoneticPr fontId="1" type="noConversion"/>
  </si>
  <si>
    <t>20260917_104919_GLM_b5270231:0045</t>
    <phoneticPr fontId="1" type="noConversion"/>
  </si>
  <si>
    <t>ACT:20260917_104919_GLM_b5270231:0045</t>
    <phoneticPr fontId="1" type="noConversion"/>
  </si>
  <si>
    <t>Verify chart series and data points in Excel</t>
    <phoneticPr fontId="1" type="noConversion"/>
  </si>
  <si>
    <t>20260917_104919_GLM_b5270231:0046</t>
    <phoneticPr fontId="1" type="noConversion"/>
  </si>
  <si>
    <t>ACT:20260917_104919_GLM_b5270231:0046</t>
    <phoneticPr fontId="1" type="noConversion"/>
  </si>
  <si>
    <t>20260917_104919_GLM_b5270231:0047</t>
    <phoneticPr fontId="1" type="noConversion"/>
  </si>
  <si>
    <t>ACT:20260917_104919_GLM_b5270231:0047</t>
    <phoneticPr fontId="1" type="noConversion"/>
  </si>
  <si>
    <t>20260917_104919_GLM_b5270231:0048</t>
    <phoneticPr fontId="1" type="noConversion"/>
  </si>
  <si>
    <t>ACT:20260917_104919_GLM_b5270231:0048</t>
    <phoneticPr fontId="1" type="noConversion"/>
  </si>
  <si>
    <t>Rebuild, reconcile workbook numbers against source dat…</t>
    <phoneticPr fontId="1" type="noConversion"/>
  </si>
  <si>
    <t>20260917_104919_GLM_b5270231:0049</t>
    <phoneticPr fontId="1" type="noConversion"/>
  </si>
  <si>
    <t>ACT:20260917_104919_GLM_b5270231:0049</t>
    <phoneticPr fontId="1" type="noConversion"/>
  </si>
  <si>
    <t>Corrected reconciliation of monthly table</t>
    <phoneticPr fontId="1" type="noConversion"/>
  </si>
  <si>
    <t>20260917_104919_GLM_b5270231:0050</t>
    <phoneticPr fontId="1" type="noConversion"/>
  </si>
  <si>
    <t>ACT:20260917_104919_GLM_b5270231:0050</t>
    <phoneticPr fontId="1" type="noConversion"/>
  </si>
  <si>
    <t>20260917_104919_GLM_b5270231:0051</t>
    <phoneticPr fontId="1" type="noConversion"/>
  </si>
  <si>
    <t>ACT:20260917_104919_GLM_b5270231:0051</t>
    <phoneticPr fontId="1" type="noConversion"/>
  </si>
  <si>
    <t>D:\项目2\增强实验\Kimi\任务提示.md</t>
    <phoneticPr fontId="1" type="noConversion"/>
  </si>
  <si>
    <t>20260917_104919_Kimi_006567a6:0001</t>
    <phoneticPr fontId="1" type="noConversion"/>
  </si>
  <si>
    <t>ACT:20260917_104919_Kimi_006567a6:0001</t>
    <phoneticPr fontId="1" type="noConversion"/>
  </si>
  <si>
    <t>查看输入材料和原始数据结构</t>
    <phoneticPr fontId="1" type="noConversion"/>
  </si>
  <si>
    <t>20260917_104919_Kimi_006567a6:0002</t>
    <phoneticPr fontId="1" type="noConversion"/>
  </si>
  <si>
    <t>ACT:20260917_104919_Kimi_006567a6:0002</t>
    <phoneticPr fontId="1" type="noConversion"/>
  </si>
  <si>
    <t>抽样/全量检查字段缺失、异常、时间覆盖、投诉类型、区域等维度分布，判断哪些质量问题影响分析</t>
    <phoneticPr fontId="1" type="noConversion"/>
  </si>
  <si>
    <t>20260917_104919_Kimi_006567a6:0003</t>
    <phoneticPr fontId="1" type="noConversion"/>
  </si>
  <si>
    <t>ACT:20260917_104919_Kimi_006567a6:0003</t>
    <phoneticPr fontId="1" type="noConversion"/>
  </si>
  <si>
    <t>广泛探索后收缩到少数有证据的核心发现，做贡献分解、同期对比、明细核查等验证</t>
    <phoneticPr fontId="1" type="noConversion"/>
  </si>
  <si>
    <t>20260917_104919_Kimi_006567a6:0004</t>
    <phoneticPr fontId="1" type="noConversion"/>
  </si>
  <si>
    <t>ACT:20260917_104919_Kimi_006567a6:0004</t>
    <phoneticPr fontId="1" type="noConversion"/>
  </si>
  <si>
    <t>生成 最终成果.xlsx，含数据概况、核心发现、支撑图表/表格，读者无需运行代码即可阅读</t>
    <phoneticPr fontId="1" type="noConversion"/>
  </si>
  <si>
    <t>20260917_104919_Kimi_006567a6:0005</t>
    <phoneticPr fontId="1" type="noConversion"/>
  </si>
  <si>
    <t>ACT:20260917_104919_Kimi_006567a6:0005</t>
    <phoneticPr fontId="1" type="noConversion"/>
  </si>
  <si>
    <t>写 分析说明.md（口径、发现、限制、假设、Excel 阅读指引），复核总量/时间范围/结论可回查/文件可用性</t>
    <phoneticPr fontId="1" type="noConversion"/>
  </si>
  <si>
    <t>20260917_104919_Kimi_006567a6:0006</t>
    <phoneticPr fontId="1" type="noConversion"/>
  </si>
  <si>
    <t>ACT:20260917_104919_Kimi_006567a6:0006</t>
    <phoneticPr fontId="1" type="noConversion"/>
  </si>
  <si>
    <t>20260917_104919_Kimi_006567a6:0007</t>
    <phoneticPr fontId="1" type="noConversion"/>
  </si>
  <si>
    <t>ACT:20260917_104919_Kimi_006567a6:0007</t>
    <phoneticPr fontId="1" type="noConversion"/>
  </si>
  <si>
    <t>列出输入材料与原始数据目录内容</t>
    <phoneticPr fontId="1" type="noConversion"/>
  </si>
  <si>
    <t>20260917_104919_Kimi_006567a6:0008</t>
    <phoneticPr fontId="1" type="noConversion"/>
  </si>
  <si>
    <t>ACT:20260917_104919_Kimi_006567a6:0008</t>
    <phoneticPr fontId="1" type="noConversion"/>
  </si>
  <si>
    <t>20260917_104919_Kimi_006567a6:0009</t>
    <phoneticPr fontId="1" type="noConversion"/>
  </si>
  <si>
    <t>ACT:20260917_104919_Kimi_006567a6:0009</t>
    <phoneticPr fontId="1" type="noConversion"/>
  </si>
  <si>
    <t>20260917_104919_Kimi_006567a6:0010</t>
    <phoneticPr fontId="1" type="noConversion"/>
  </si>
  <si>
    <t>ACT:20260917_104919_Kimi_006567a6:0010</t>
    <phoneticPr fontId="1" type="noConversion"/>
  </si>
  <si>
    <t>20260917_104919_Kimi_006567a6:0011</t>
    <phoneticPr fontId="1" type="noConversion"/>
  </si>
  <si>
    <t>ACT:20260917_104919_Kimi_006567a6:0011</t>
    <phoneticPr fontId="1" type="noConversion"/>
  </si>
  <si>
    <t>20260917_104919_Kimi_006567a6:0012</t>
    <phoneticPr fontId="1" type="noConversion"/>
  </si>
  <si>
    <t>ACT:20260917_104919_Kimi_006567a6:0012</t>
    <phoneticPr fontId="1" type="noConversion"/>
  </si>
  <si>
    <t>20260917_104919_Kimi_006567a6:0013</t>
    <phoneticPr fontId="1" type="noConversion"/>
  </si>
  <si>
    <t>ACT:20260917_104919_Kimi_006567a6:0013</t>
    <phoneticPr fontId="1" type="noConversion"/>
  </si>
  <si>
    <t>20260917_104919_Kimi_006567a6:0014</t>
    <phoneticPr fontId="1" type="noConversion"/>
  </si>
  <si>
    <t>ACT:20260917_104919_Kimi_006567a6:0014</t>
    <phoneticPr fontId="1" type="noConversion"/>
  </si>
  <si>
    <t>20260917_104919_Kimi_006567a6:0015</t>
    <phoneticPr fontId="1" type="noConversion"/>
  </si>
  <si>
    <t>ACT:20260917_104919_Kimi_006567a6:0015</t>
    <phoneticPr fontId="1" type="noConversion"/>
  </si>
  <si>
    <t>20260917_104919_Kimi_006567a6:0016</t>
    <phoneticPr fontId="1" type="noConversion"/>
  </si>
  <si>
    <t>ACT:20260917_104919_Kimi_006567a6:0016</t>
    <phoneticPr fontId="1" type="noConversion"/>
  </si>
  <si>
    <t>20260917_104919_Kimi_006567a6:0017</t>
    <phoneticPr fontId="1" type="noConversion"/>
  </si>
  <si>
    <t>ACT:20260917_104919_Kimi_006567a6:0017</t>
    <phoneticPr fontId="1" type="noConversion"/>
  </si>
  <si>
    <t>20260917_104919_Kimi_006567a6:0018</t>
    <phoneticPr fontId="1" type="noConversion"/>
  </si>
  <si>
    <t>ACT:20260917_104919_Kimi_006567a6:0018</t>
    <phoneticPr fontId="1" type="noConversion"/>
  </si>
  <si>
    <t>20260917_104919_Kimi_006567a6:0019</t>
    <phoneticPr fontId="1" type="noConversion"/>
  </si>
  <si>
    <t>ACT:20260917_104919_Kimi_006567a6:0019</t>
    <phoneticPr fontId="1" type="noConversion"/>
  </si>
  <si>
    <t>20260917_104919_Kimi_006567a6:0020</t>
    <phoneticPr fontId="1" type="noConversion"/>
  </si>
  <si>
    <t>ACT:20260917_104919_Kimi_006567a6:0020</t>
    <phoneticPr fontId="1" type="noConversion"/>
  </si>
  <si>
    <t>20260917_104919_Kimi_006567a6:0021</t>
    <phoneticPr fontId="1" type="noConversion"/>
  </si>
  <si>
    <t>ACT:20260917_104919_Kimi_006567a6:0021</t>
    <phoneticPr fontId="1" type="noConversion"/>
  </si>
  <si>
    <t>20260917_104919_Kimi_006567a6:0022</t>
    <phoneticPr fontId="1" type="noConversion"/>
  </si>
  <si>
    <t>ACT:20260917_104919_Kimi_006567a6:0022</t>
    <phoneticPr fontId="1" type="noConversion"/>
  </si>
  <si>
    <t>D:\项目2\增强实验\Qwen\任务提示.md</t>
    <phoneticPr fontId="1" type="noConversion"/>
  </si>
  <si>
    <t>20260917_104919_Qwen_ca834dcf:0001</t>
    <phoneticPr fontId="1" type="noConversion"/>
  </si>
  <si>
    <t>ACT:20260917_104919_Qwen_ca834dcf:0001</t>
    <phoneticPr fontId="1" type="noConversion"/>
  </si>
  <si>
    <t>{"skill":"evidence-led-project-collaboration"}</t>
    <phoneticPr fontId="1" type="noConversion"/>
  </si>
  <si>
    <t>Skill</t>
    <phoneticPr fontId="1" type="noConversion"/>
  </si>
  <si>
    <t>20260917_104919_Qwen_ca834dcf:0002</t>
    <phoneticPr fontId="1" type="noConversion"/>
  </si>
  <si>
    <t>ACT:20260917_104919_Qwen_ca834dcf:0002</t>
    <phoneticPr fontId="1" type="noConversion"/>
  </si>
  <si>
    <t>List input, raw data, and working directories</t>
    <phoneticPr fontId="1" type="noConversion"/>
  </si>
  <si>
    <t>20260917_104919_Qwen_ca834dcf:0003</t>
    <phoneticPr fontId="1" type="noConversion"/>
  </si>
  <si>
    <t>ACT:20260917_104919_Qwen_ca834dcf:0003</t>
    <phoneticPr fontId="1" type="noConversion"/>
  </si>
  <si>
    <t>20260917_104919_Qwen_ca834dcf:0004</t>
    <phoneticPr fontId="1" type="noConversion"/>
  </si>
  <si>
    <t>ACT:20260917_104919_Qwen_ca834dcf:0004</t>
    <phoneticPr fontId="1" type="noConversion"/>
  </si>
  <si>
    <t>用 Python/pandas 读取样例分片，确认字段含义、记录粒度(Unique Key)、时间范围、缺失…</t>
    <phoneticPr fontId="1" type="noConversion"/>
  </si>
  <si>
    <t>20260917_104919_Qwen_ca834dcf:0005</t>
    <phoneticPr fontId="1" type="noConversion"/>
  </si>
  <si>
    <t>ACT:20260917_104919_Qwen_ca834dcf:0005</t>
    <phoneticPr fontId="1" type="noConversion"/>
  </si>
  <si>
    <t>扫描全部分片，产出月度×投诉类型×行政区等聚合中间表，探索量级、趋势、季节性、同比变化</t>
    <phoneticPr fontId="1" type="noConversion"/>
  </si>
  <si>
    <t>20260917_104919_Qwen_ca834dcf:0006</t>
    <phoneticPr fontId="1" type="noConversion"/>
  </si>
  <si>
    <t>ACT:20260917_104919_Qwen_ca834dcf:0006</t>
    <phoneticPr fontId="1" type="noConversion"/>
  </si>
  <si>
    <t>选3-5个有量级、有持续性、可追溯的发现；做贡献分解/固定构成比较/异常下钻等检验</t>
    <phoneticPr fontId="1" type="noConversion"/>
  </si>
  <si>
    <t>20260917_104919_Qwen_ca834dcf:0007</t>
    <phoneticPr fontId="1" type="noConversion"/>
  </si>
  <si>
    <t>ACT:20260917_104919_Qwen_ca834dcf:0007</t>
    <phoneticPr fontId="1" type="noConversion"/>
  </si>
  <si>
    <t>读者导向的 Excel：数据概况、核心发现、支撑表格与图表</t>
    <phoneticPr fontId="1" type="noConversion"/>
  </si>
  <si>
    <t>20260917_104919_Qwen_ca834dcf:0008</t>
    <phoneticPr fontId="1" type="noConversion"/>
  </si>
  <si>
    <t>ACT:20260917_104919_Qwen_ca834dcf:0008</t>
    <phoneticPr fontId="1" type="noConversion"/>
  </si>
  <si>
    <t>口径、发现、限制、假设、Excel阅读指南；核对数字一致性、打开Excel检查可用性、交付完整性</t>
    <phoneticPr fontId="1" type="noConversion"/>
  </si>
  <si>
    <t>20260917_104919_Qwen_ca834dcf:0009</t>
    <phoneticPr fontId="1" type="noConversion"/>
  </si>
  <si>
    <t>ACT:20260917_104919_Qwen_ca834dcf:0009</t>
    <phoneticPr fontId="1" type="noConversion"/>
  </si>
  <si>
    <t>20260917_104919_Qwen_ca834dcf:0010</t>
    <phoneticPr fontId="1" type="noConversion"/>
  </si>
  <si>
    <t>ACT:20260917_104919_Qwen_ca834dcf:0010</t>
    <phoneticPr fontId="1" type="noConversion"/>
  </si>
  <si>
    <t>Check Python libraries available</t>
    <phoneticPr fontId="1" type="noConversion"/>
  </si>
  <si>
    <t>20260917_104919_Qwen_ca834dcf:0011</t>
    <phoneticPr fontId="1" type="noConversion"/>
  </si>
  <si>
    <t>ACT:20260917_104919_Qwen_ca834dcf:0011</t>
    <phoneticPr fontId="1" type="noConversion"/>
  </si>
  <si>
    <t>Inspect parquet schema and row count</t>
    <phoneticPr fontId="1" type="noConversion"/>
  </si>
  <si>
    <t>20260917_104919_Qwen_ca834dcf:0012</t>
    <phoneticPr fontId="1" type="noConversion"/>
  </si>
  <si>
    <t>ACT:20260917_104919_Qwen_ca834dcf:0012</t>
    <phoneticPr fontId="1" type="noConversion"/>
  </si>
  <si>
    <t>Load sample rows and profile key fields</t>
    <phoneticPr fontId="1" type="noConversion"/>
  </si>
  <si>
    <t>20260917_104919_Qwen_ca834dcf:0013</t>
    <phoneticPr fontId="1" type="noConversion"/>
  </si>
  <si>
    <t>ACT:20260917_104919_Qwen_ca834dcf:0013</t>
    <phoneticPr fontId="1" type="noConversion"/>
  </si>
  <si>
    <t>Count rows in all parquet files</t>
    <phoneticPr fontId="1" type="noConversion"/>
  </si>
  <si>
    <t>20260917_104919_Qwen_ca834dcf:0014</t>
    <phoneticPr fontId="1" type="noConversion"/>
  </si>
  <si>
    <t>ACT:20260917_104919_Qwen_ca834dcf:0014</t>
    <phoneticPr fontId="1" type="noConversion"/>
  </si>
  <si>
    <t>Check key format, date boundaries, overlap between fil…</t>
    <phoneticPr fontId="1" type="noConversion"/>
  </si>
  <si>
    <t>20260917_104919_Qwen_ca834dcf:0015</t>
    <phoneticPr fontId="1" type="noConversion"/>
  </si>
  <si>
    <t>ACT:20260917_104919_Qwen_ca834dcf:0015</t>
    <phoneticPr fontId="1" type="noConversion"/>
  </si>
  <si>
    <t>Profile missingness encoding and category cardinality</t>
    <phoneticPr fontId="1" type="noConversion"/>
  </si>
  <si>
    <t>20260917_104919_Qwen_ca834dcf:0016</t>
    <phoneticPr fontId="1" type="noConversion"/>
  </si>
  <si>
    <t>ACT:20260917_104919_Qwen_ca834dcf:0016</t>
    <phoneticPr fontId="1" type="noConversion"/>
  </si>
  <si>
    <t>D:\项目2\增强实验\Qwen\build_slim.py</t>
    <phoneticPr fontId="1" type="noConversion"/>
  </si>
  <si>
    <t>20260917_104919_Qwen_ca834dcf:0017</t>
    <phoneticPr fontId="1" type="noConversion"/>
  </si>
  <si>
    <t>ACT:20260917_104919_Qwen_ca834dcf:0017</t>
    <phoneticPr fontId="1" type="noConversion"/>
  </si>
  <si>
    <t>Build slim intermediate parquet from raw data</t>
    <phoneticPr fontId="1" type="noConversion"/>
  </si>
  <si>
    <t>20260917_104919_Qwen_ca834dcf:0018</t>
    <phoneticPr fontId="1" type="noConversion"/>
  </si>
  <si>
    <t>ACT:20260917_104919_Qwen_ca834dcf:0018</t>
    <phoneticPr fontId="1" type="noConversion"/>
  </si>
  <si>
    <t>QA pass: time coverage, uniqueness, status consistency…</t>
    <phoneticPr fontId="1" type="noConversion"/>
  </si>
  <si>
    <t>20260917_104919_Qwen_ca834dcf:0019</t>
    <phoneticPr fontId="1" type="noConversion"/>
  </si>
  <si>
    <t>ACT:20260917_104919_Qwen_ca834dcf:0019</t>
    <phoneticPr fontId="1" type="noConversion"/>
  </si>
  <si>
    <t>Quantify anomalies, missingness, snapshot cutoff</t>
    <phoneticPr fontId="1" type="noConversion"/>
  </si>
  <si>
    <t>20260917_104919_Qwen_ca834dcf:0020</t>
    <phoneticPr fontId="1" type="noConversion"/>
  </si>
  <si>
    <t>ACT:20260917_104919_Qwen_ca834dcf:0020</t>
    <phoneticPr fontId="1" type="noConversion"/>
  </si>
  <si>
    <t>20260917_104919_Qwen_ca834dcf:0021</t>
    <phoneticPr fontId="1" type="noConversion"/>
  </si>
  <si>
    <t>ACT:20260917_104919_Qwen_ca834dcf:0021</t>
    <phoneticPr fontId="1" type="noConversion"/>
  </si>
  <si>
    <t>20260917_104919_Qwen_ca834dcf:0022</t>
    <phoneticPr fontId="1" type="noConversion"/>
  </si>
  <si>
    <t>ACT:20260917_104919_Qwen_ca834dcf:0022</t>
    <phoneticPr fontId="1" type="noConversion"/>
  </si>
  <si>
    <t>D:\项目2\增强实验\Qwen\build_aggregates.py</t>
    <phoneticPr fontId="1" type="noConversion"/>
  </si>
  <si>
    <t>20260917_104919_Qwen_ca834dcf:0023</t>
    <phoneticPr fontId="1" type="noConversion"/>
  </si>
  <si>
    <t>ACT:20260917_104919_Qwen_ca834dcf:0023</t>
    <phoneticPr fontId="1" type="noConversion"/>
  </si>
  <si>
    <t>Run aggregation script</t>
    <phoneticPr fontId="1" type="noConversion"/>
  </si>
  <si>
    <t>20260917_104919_Qwen_ca834dcf:0024</t>
    <phoneticPr fontId="1" type="noConversion"/>
  </si>
  <si>
    <t>ACT:20260917_104919_Qwen_ca834dcf:0024</t>
    <phoneticPr fontId="1" type="noConversion"/>
  </si>
  <si>
    <t>Examine complaint-type YoY changes</t>
    <phoneticPr fontId="1" type="noConversion"/>
  </si>
  <si>
    <t>20260917_104919_Qwen_ca834dcf:0025</t>
    <phoneticPr fontId="1" type="noConversion"/>
  </si>
  <si>
    <t>ACT:20260917_104919_Qwen_ca834dcf:0025</t>
    <phoneticPr fontId="1" type="noConversion"/>
  </si>
  <si>
    <t>Monthly breakdown of key movers to test persistence vs…</t>
    <phoneticPr fontId="1" type="noConversion"/>
  </si>
  <si>
    <t>20260917_104919_Qwen_ca834dcf:0026</t>
    <phoneticPr fontId="1" type="noConversion"/>
  </si>
  <si>
    <t>ACT:20260917_104919_Qwen_ca834dcf:0026</t>
    <phoneticPr fontId="1" type="noConversion"/>
  </si>
  <si>
    <t>Contribution decomposition of YoY growth + borough/cha…</t>
    <phoneticPr fontId="1" type="noConversion"/>
  </si>
  <si>
    <t>20260917_104919_Qwen_ca834dcf:0027</t>
    <phoneticPr fontId="1" type="noConversion"/>
  </si>
  <si>
    <t>ACT:20260917_104919_Qwen_ca834dcf:0027</t>
    <phoneticPr fontId="1" type="noConversion"/>
  </si>
  <si>
    <t>Resolution time by complaint type and agency on mature…</t>
    <phoneticPr fontId="1" type="noConversion"/>
  </si>
  <si>
    <t>20260917_104919_Qwen_ca834dcf:0028</t>
    <phoneticPr fontId="1" type="noConversion"/>
  </si>
  <si>
    <t>ACT:20260917_104919_Qwen_ca834dcf:0028</t>
    <phoneticPr fontId="1" type="noConversion"/>
  </si>
  <si>
    <t>Verify heat resolution under load, surge composition, …</t>
    <phoneticPr fontId="1" type="noConversion"/>
  </si>
  <si>
    <t>20260917_104919_Qwen_ca834dcf:0029</t>
    <phoneticPr fontId="1" type="noConversion"/>
  </si>
  <si>
    <t>ACT:20260917_104919_Qwen_ca834dcf:0029</t>
    <phoneticPr fontId="1" type="noConversion"/>
  </si>
  <si>
    <t>Verify taxonomy shift, Drug Activity spread, baseline …</t>
    <phoneticPr fontId="1" type="noConversion"/>
  </si>
  <si>
    <t>20260917_104919_Qwen_ca834dcf:0030</t>
    <phoneticPr fontId="1" type="noConversion"/>
  </si>
  <si>
    <t>ACT:20260917_104919_Qwen_ca834dcf:0030</t>
    <phoneticPr fontId="1" type="noConversion"/>
  </si>
  <si>
    <t>Category lifecycle, NYPD shift around 2025-11, channel…</t>
    <phoneticPr fontId="1" type="noConversion"/>
  </si>
  <si>
    <t>20260917_104919_Qwen_ca834dcf:0031</t>
    <phoneticPr fontId="1" type="noConversion"/>
  </si>
  <si>
    <t>ACT:20260917_104919_Qwen_ca834dcf:0031</t>
    <phoneticPr fontId="1" type="noConversion"/>
  </si>
  <si>
    <t>Noise family monthly series and descriptor mix shift</t>
    <phoneticPr fontId="1" type="noConversion"/>
  </si>
  <si>
    <t>20260917_104919_Qwen_ca834dcf:0032</t>
    <phoneticPr fontId="1" type="noConversion"/>
  </si>
  <si>
    <t>ACT:20260917_104919_Qwen_ca834dcf:0032</t>
    <phoneticPr fontId="1" type="noConversion"/>
  </si>
  <si>
    <t>Check if Jan 2025 noise spike is date-concentrated</t>
    <phoneticPr fontId="1" type="noConversion"/>
  </si>
  <si>
    <t>20260917_104919_Qwen_ca834dcf:0033</t>
    <phoneticPr fontId="1" type="noConversion"/>
  </si>
  <si>
    <t>ACT:20260917_104919_Qwen_ca834dcf:0033</t>
    <phoneticPr fontId="1" type="noConversion"/>
  </si>
  <si>
    <t>Characterize Jan 2025 noise anomaly spread</t>
    <phoneticPr fontId="1" type="noConversion"/>
  </si>
  <si>
    <t>20260917_104919_Qwen_ca834dcf:0034</t>
    <phoneticPr fontId="1" type="noConversion"/>
  </si>
  <si>
    <t>ACT:20260917_104919_Qwen_ca834dcf:0034</t>
    <phoneticPr fontId="1" type="noConversion"/>
  </si>
  <si>
    <t>20260917_104919_Qwen_ca834dcf:0035</t>
    <phoneticPr fontId="1" type="noConversion"/>
  </si>
  <si>
    <t>ACT:20260917_104919_Qwen_ca834dcf:0035</t>
    <phoneticPr fontId="1" type="noConversion"/>
  </si>
  <si>
    <t>20260917_104919_Qwen_ca834dcf:0036</t>
    <phoneticPr fontId="1" type="noConversion"/>
  </si>
  <si>
    <t>ACT:20260917_104919_Qwen_ca834dcf:0036</t>
    <phoneticPr fontId="1" type="noConversion"/>
  </si>
  <si>
    <t>Monthly YoY, underlying growth ex-weather, Staten Isla…</t>
    <phoneticPr fontId="1" type="noConversion"/>
  </si>
  <si>
    <t>20260917_104919_Qwen_ca834dcf:0037</t>
    <phoneticPr fontId="1" type="noConversion"/>
  </si>
  <si>
    <t>ACT:20260917_104919_Qwen_ca834dcf:0037</t>
    <phoneticPr fontId="1" type="noConversion"/>
  </si>
  <si>
    <t>Illegal Parking borough breadth, overall resolution st…</t>
    <phoneticPr fontId="1" type="noConversion"/>
  </si>
  <si>
    <t>20260917_104919_Qwen_ca834dcf:0038</t>
    <phoneticPr fontId="1" type="noConversion"/>
  </si>
  <si>
    <t>ACT:20260917_104919_Qwen_ca834dcf:0038</t>
    <phoneticPr fontId="1" type="noConversion"/>
  </si>
  <si>
    <t>D:\项目2\增强实验\Qwen\compute_final.py</t>
    <phoneticPr fontId="1" type="noConversion"/>
  </si>
  <si>
    <t>20260917_104919_Qwen_ca834dcf:0039</t>
    <phoneticPr fontId="1" type="noConversion"/>
  </si>
  <si>
    <t>ACT:20260917_104919_Qwen_ca834dcf:0039</t>
    <phoneticPr fontId="1" type="noConversion"/>
  </si>
  <si>
    <t>20260917_104919_Qwen_ca834dcf:0040</t>
    <phoneticPr fontId="1" type="noConversion"/>
  </si>
  <si>
    <t>ACT:20260917_104919_Qwen_ca834dcf:0040</t>
    <phoneticPr fontId="1" type="noConversion"/>
  </si>
  <si>
    <t>20260917_104919_Qwen_ca834dcf:0041</t>
    <phoneticPr fontId="1" type="noConversion"/>
  </si>
  <si>
    <t>ACT:20260917_104919_Qwen_ca834dcf:0041</t>
    <phoneticPr fontId="1" type="noConversion"/>
  </si>
  <si>
    <t>20260917_104919_Qwen_ca834dcf:0042</t>
    <phoneticPr fontId="1" type="noConversion"/>
  </si>
  <si>
    <t>ACT:20260917_104919_Qwen_ca834dcf:0042</t>
    <phoneticPr fontId="1" type="noConversion"/>
  </si>
  <si>
    <t>Generate final number tables</t>
    <phoneticPr fontId="1" type="noConversion"/>
  </si>
  <si>
    <t>20260917_104919_Qwen_ca834dcf:0043</t>
    <phoneticPr fontId="1" type="noConversion"/>
  </si>
  <si>
    <t>ACT:20260917_104919_Qwen_ca834dcf:0043</t>
    <phoneticPr fontId="1" type="noConversion"/>
  </si>
  <si>
    <t>Spot check final tables</t>
    <phoneticPr fontId="1" type="noConversion"/>
  </si>
  <si>
    <t>20260917_104919_Qwen_ca834dcf:0044</t>
    <phoneticPr fontId="1" type="noConversion"/>
  </si>
  <si>
    <t>ACT:20260917_104919_Qwen_ca834dcf:0044</t>
    <phoneticPr fontId="1" type="noConversion"/>
  </si>
  <si>
    <t>20260917_104919_Qwen_ca834dcf:0045</t>
    <phoneticPr fontId="1" type="noConversion"/>
  </si>
  <si>
    <t>ACT:20260917_104919_Qwen_ca834dcf:0045</t>
    <phoneticPr fontId="1" type="noConversion"/>
  </si>
  <si>
    <t>20260917_104919_Qwen_ca834dcf:0046</t>
    <phoneticPr fontId="1" type="noConversion"/>
  </si>
  <si>
    <t>ACT:20260917_104919_Qwen_ca834dcf:0046</t>
    <phoneticPr fontId="1" type="noConversion"/>
  </si>
  <si>
    <t>20260917_104919_Qwen_ca834dcf:0047</t>
    <phoneticPr fontId="1" type="noConversion"/>
  </si>
  <si>
    <t>ACT:20260917_104919_Qwen_ca834dcf:0047</t>
    <phoneticPr fontId="1" type="noConversion"/>
  </si>
  <si>
    <t>20260917_104919_Qwen_ca834dcf:0048</t>
    <phoneticPr fontId="1" type="noConversion"/>
  </si>
  <si>
    <t>ACT:20260917_104919_Qwen_ca834dcf:0048</t>
    <phoneticPr fontId="1" type="noConversion"/>
  </si>
  <si>
    <t>20260917_104919_Qwen_ca834dcf:0049</t>
    <phoneticPr fontId="1" type="noConversion"/>
  </si>
  <si>
    <t>ACT:20260917_104919_Qwen_ca834dcf:0049</t>
    <phoneticPr fontId="1" type="noConversion"/>
  </si>
  <si>
    <t>20260917_104919_Qwen_ca834dcf:0050</t>
    <phoneticPr fontId="1" type="noConversion"/>
  </si>
  <si>
    <t>ACT:20260917_104919_Qwen_ca834dcf:0050</t>
    <phoneticPr fontId="1" type="noConversion"/>
  </si>
  <si>
    <t>20260917_104919_Qwen_ca834dcf:0051</t>
    <phoneticPr fontId="1" type="noConversion"/>
  </si>
  <si>
    <t>ACT:20260917_104919_Qwen_ca834dcf:0051</t>
    <phoneticPr fontId="1" type="noConversion"/>
  </si>
  <si>
    <t>Test groupby external Series on subset alignment</t>
    <phoneticPr fontId="1" type="noConversion"/>
  </si>
  <si>
    <t>20260917_104919_Qwen_ca834dcf:0052</t>
    <phoneticPr fontId="1" type="noConversion"/>
  </si>
  <si>
    <t>ACT:20260917_104919_Qwen_ca834dcf:0052</t>
    <phoneticPr fontId="1" type="noConversion"/>
  </si>
  <si>
    <t>Rerun compute_final and verify label fixes</t>
    <phoneticPr fontId="1" type="noConversion"/>
  </si>
  <si>
    <t>20260917_104919_Qwen_ca834dcf:0053</t>
    <phoneticPr fontId="1" type="noConversion"/>
  </si>
  <si>
    <t>ACT:20260917_104919_Qwen_ca834dcf:0053</t>
    <phoneticPr fontId="1" type="noConversion"/>
  </si>
  <si>
    <t>20260917_104919_Qwen_ca834dcf:0054</t>
    <phoneticPr fontId="1" type="noConversion"/>
  </si>
  <si>
    <t>ACT:20260917_104919_Qwen_ca834dcf:0054</t>
    <phoneticPr fontId="1" type="noConversion"/>
  </si>
  <si>
    <t>20260917_104919_Qwen_ca834dcf:0055</t>
    <phoneticPr fontId="1" type="noConversion"/>
  </si>
  <si>
    <t>ACT:20260917_104919_Qwen_ca834dcf:0055</t>
    <phoneticPr fontId="1" type="noConversion"/>
  </si>
  <si>
    <t>D:\项目2\增强实验\Qwen\build_excel.py</t>
    <phoneticPr fontId="1" type="noConversion"/>
  </si>
  <si>
    <t>20260917_104919_Qwen_ca834dcf:0056</t>
    <phoneticPr fontId="1" type="noConversion"/>
  </si>
  <si>
    <t>ACT:20260917_104919_Qwen_ca834dcf:0056</t>
    <phoneticPr fontId="1" type="noConversion"/>
  </si>
  <si>
    <t>20260917_104919_Qwen_ca834dcf:0057</t>
    <phoneticPr fontId="1" type="noConversion"/>
  </si>
  <si>
    <t>ACT:20260917_104919_Qwen_ca834dcf:0057</t>
    <phoneticPr fontId="1" type="noConversion"/>
  </si>
  <si>
    <t>20260917_104919_Qwen_ca834dcf:0058</t>
    <phoneticPr fontId="1" type="noConversion"/>
  </si>
  <si>
    <t>ACT:20260917_104919_Qwen_ca834dcf:0058</t>
    <phoneticPr fontId="1" type="noConversion"/>
  </si>
  <si>
    <t>20260917_104919_Qwen_ca834dcf:0059</t>
    <phoneticPr fontId="1" type="noConversion"/>
  </si>
  <si>
    <t>ACT:20260917_104919_Qwen_ca834dcf:0059</t>
    <phoneticPr fontId="1" type="noConversion"/>
  </si>
  <si>
    <t>Verify workbook structure, charts, sample cells</t>
    <phoneticPr fontId="1" type="noConversion"/>
  </si>
  <si>
    <t>20260917_104919_Qwen_ca834dcf:0060</t>
    <phoneticPr fontId="1" type="noConversion"/>
  </si>
  <si>
    <t>ACT:20260917_104919_Qwen_ca834dcf:0060</t>
    <phoneticPr fontId="1" type="noConversion"/>
  </si>
  <si>
    <t>Verify Chinese integrity and chart counts per sheet</t>
    <phoneticPr fontId="1" type="noConversion"/>
  </si>
  <si>
    <t>20260917_104919_Qwen_ca834dcf:0061</t>
    <phoneticPr fontId="1" type="noConversion"/>
  </si>
  <si>
    <t>ACT:20260917_104919_Qwen_ca834dcf:0061</t>
    <phoneticPr fontId="1" type="noConversion"/>
  </si>
  <si>
    <t>Check for LibreOffice availability</t>
    <phoneticPr fontId="1" type="noConversion"/>
  </si>
  <si>
    <t>20260917_104919_Qwen_ca834dcf:0062</t>
    <phoneticPr fontId="1" type="noConversion"/>
  </si>
  <si>
    <t>ACT:20260917_104919_Qwen_ca834dcf:0062</t>
    <phoneticPr fontId="1" type="noConversion"/>
  </si>
  <si>
    <t>Inspect chart XML references</t>
    <phoneticPr fontId="1" type="noConversion"/>
  </si>
  <si>
    <t>20260917_104919_Qwen_ca834dcf:0063</t>
    <phoneticPr fontId="1" type="noConversion"/>
  </si>
  <si>
    <t>ACT:20260917_104919_Qwen_ca834dcf:0063</t>
    <phoneticPr fontId="1" type="noConversion"/>
  </si>
  <si>
    <t>Dump chart1 XML to inspect structure</t>
    <phoneticPr fontId="1" type="noConversion"/>
  </si>
  <si>
    <t>20260917_104919_Qwen_ca834dcf:0064</t>
    <phoneticPr fontId="1" type="noConversion"/>
  </si>
  <si>
    <t>ACT:20260917_104919_Qwen_ca834dcf:0064</t>
    <phoneticPr fontId="1" type="noConversion"/>
  </si>
  <si>
    <t>Check combo chart and bar chart references</t>
    <phoneticPr fontId="1" type="noConversion"/>
  </si>
  <si>
    <t>20260917_104919_Qwen_ca834dcf:0065</t>
    <phoneticPr fontId="1" type="noConversion"/>
  </si>
  <si>
    <t>ACT:20260917_104919_Qwen_ca834dcf:0065</t>
    <phoneticPr fontId="1" type="noConversion"/>
  </si>
  <si>
    <t>Verify dual-axis chart and full workbook cell scan</t>
    <phoneticPr fontId="1" type="noConversion"/>
  </si>
  <si>
    <t>20260917_104919_Qwen_ca834dcf:0066</t>
    <phoneticPr fontId="1" type="noConversion"/>
  </si>
  <si>
    <t>ACT:20260917_104919_Qwen_ca834dcf:0066</t>
    <phoneticPr fontId="1" type="noConversion"/>
  </si>
  <si>
    <t>20260917_104919_Qwen_ca834dcf:0067</t>
    <phoneticPr fontId="1" type="noConversion"/>
  </si>
  <si>
    <t>ACT:20260917_104919_Qwen_ca834dcf:0067</t>
    <phoneticPr fontId="1" type="noConversion"/>
  </si>
  <si>
    <t>20260917_104919_Qwen_ca834dcf:0068</t>
    <phoneticPr fontId="1" type="noConversion"/>
  </si>
  <si>
    <t>ACT:20260917_104919_Qwen_ca834dcf:0068</t>
    <phoneticPr fontId="1" type="noConversion"/>
  </si>
  <si>
    <t>D:\项目2\增强实验\Qwen\分析说明.md</t>
    <phoneticPr fontId="1" type="noConversion"/>
  </si>
  <si>
    <t>20260917_104919_Qwen_ca834dcf:0069</t>
    <phoneticPr fontId="1" type="noConversion"/>
  </si>
  <si>
    <t>ACT:20260917_104919_Qwen_ca834dcf:0069</t>
    <phoneticPr fontId="1" type="noConversion"/>
  </si>
  <si>
    <t>Cross-verify Excel cells vs CSVs and MD numbers</t>
    <phoneticPr fontId="1" type="noConversion"/>
  </si>
  <si>
    <t>20260917_104919_Qwen_ca834dcf:0070</t>
    <phoneticPr fontId="1" type="noConversion"/>
  </si>
  <si>
    <t>ACT:20260917_104919_Qwen_ca834dcf:0070</t>
    <phoneticPr fontId="1" type="noConversion"/>
  </si>
  <si>
    <t>Check working directory sizes</t>
    <phoneticPr fontId="1" type="noConversion"/>
  </si>
  <si>
    <t>20260917_104919_Qwen_ca834dcf:0071</t>
    <phoneticPr fontId="1" type="noConversion"/>
  </si>
  <si>
    <t>ACT:20260917_104919_Qwen_ca834dcf:0071</t>
    <phoneticPr fontId="1" type="noConversion"/>
  </si>
  <si>
    <t>20260917_104919_Qwen_ca834dcf:0072</t>
    <phoneticPr fontId="1" type="noConversion"/>
  </si>
  <si>
    <t>ACT:20260917_104919_Qwen_ca834dcf:0072</t>
    <phoneticPr fontId="1" type="noConversion"/>
  </si>
  <si>
    <t>20260917_104919_Qwen_ca834dcf:0073</t>
    <phoneticPr fontId="1" type="noConversion"/>
  </si>
  <si>
    <t>ACT:20260917_104919_Qwen_ca834dcf:0073</t>
    <phoneticPr fontId="1" type="noConversion"/>
  </si>
  <si>
    <t>Rebuild Excel with log-scale charts and verify</t>
    <phoneticPr fontId="1" type="noConversion"/>
  </si>
  <si>
    <t>20260917_104919_Qwen_ca834dcf:0074</t>
    <phoneticPr fontId="1" type="noConversion"/>
  </si>
  <si>
    <t>ACT:20260917_104919_Qwen_ca834dcf:0074</t>
    <phoneticPr fontId="1" type="noConversion"/>
  </si>
  <si>
    <t>agg_</t>
    <phoneticPr fontId="1" type="noConversion"/>
  </si>
  <si>
    <t>20260917_104919_Qwen_ca834dcf:0075</t>
    <phoneticPr fontId="1" type="noConversion"/>
  </si>
  <si>
    <t>ACT:20260917_104919_Qwen_ca834dcf:0075</t>
    <phoneticPr fontId="1" type="noConversion"/>
  </si>
  <si>
    <t>Delete superseded exploration CSVs</t>
    <phoneticPr fontId="1" type="noConversion"/>
  </si>
  <si>
    <t>20260917_104919_Qwen_ca834dcf:0076</t>
    <phoneticPr fontId="1" type="noConversion"/>
  </si>
  <si>
    <t>ACT:20260917_104919_Qwen_ca834dcf:0076</t>
    <phoneticPr fontId="1" type="noConversion"/>
  </si>
  <si>
    <t>Remove superseded exploration script</t>
    <phoneticPr fontId="1" type="noConversion"/>
  </si>
  <si>
    <t>20260917_104919_Qwen_ca834dcf:0077</t>
    <phoneticPr fontId="1" type="noConversion"/>
  </si>
  <si>
    <t>ACT:20260917_104919_Qwen_ca834dcf:0077</t>
    <phoneticPr fontId="1" type="noConversion"/>
  </si>
  <si>
    <t>20260917_104919_Qwen_ca834dcf:0078</t>
    <phoneticPr fontId="1" type="noConversion"/>
  </si>
  <si>
    <t>ACT:20260917_104919_Qwen_ca834dcf:0078</t>
    <phoneticPr fontId="1" type="noConversion"/>
  </si>
  <si>
    <t>Rerun full reproduction chain end-to-end</t>
    <phoneticPr fontId="1" type="noConversion"/>
  </si>
  <si>
    <t>20260917_104919_Qwen_ca834dcf:0079</t>
    <phoneticPr fontId="1" type="noConversion"/>
  </si>
  <si>
    <t>ACT:20260917_104919_Qwen_ca834dcf:0079</t>
    <phoneticPr fontId="1" type="noConversion"/>
  </si>
  <si>
    <t>Final readback of guide sheet and deliverables listing</t>
    <phoneticPr fontId="1" type="noConversion"/>
  </si>
  <si>
    <t>20260917_104919_Qwen_ca834dcf:0080</t>
    <phoneticPr fontId="1" type="noConversion"/>
  </si>
  <si>
    <t>ACT:20260917_104919_Qwen_ca834dcf:0080</t>
    <phoneticPr fontId="1" type="noConversion"/>
  </si>
  <si>
    <t>20260917_104919_Qwen_ca834dcf:0081</t>
    <phoneticPr fontId="1" type="noConversion"/>
  </si>
  <si>
    <t>ACT:20260917_104919_Qwen_ca834dcf:0081</t>
    <phoneticPr fontId="1" type="noConversion"/>
  </si>
  <si>
    <t>Rebuild and final integrity check</t>
    <phoneticPr fontId="1" type="noConversion"/>
  </si>
  <si>
    <t>20260917_104919_Qwen_ca834dcf:0082</t>
    <phoneticPr fontId="1" type="noConversion"/>
  </si>
  <si>
    <t>ACT:20260917_104919_Qwen_ca834dcf:0082</t>
    <phoneticPr fontId="1" type="noConversion"/>
  </si>
  <si>
    <t>Verify finding rows on guide sheet</t>
    <phoneticPr fontId="1" type="noConversion"/>
  </si>
  <si>
    <t>20260917_104919_Qwen_ca834dcf:0083</t>
    <phoneticPr fontId="1" type="noConversion"/>
  </si>
  <si>
    <t>ACT:20260917_104919_Qwen_ca834dcf:0083</t>
    <phoneticPr fontId="1" type="noConversion"/>
  </si>
  <si>
    <t>Verify MD numbers consistency and reconciliation</t>
    <phoneticPr fontId="1" type="noConversion"/>
  </si>
  <si>
    <t>20260917_104919_Qwen_ca834dcf:0084</t>
    <phoneticPr fontId="1" type="noConversion"/>
  </si>
  <si>
    <t>ACT:20260917_104919_Qwen_ca834dcf:0084</t>
    <phoneticPr fontId="1" type="noConversion"/>
  </si>
  <si>
    <t>Spot-check rendered table values on three sheets</t>
    <phoneticPr fontId="1" type="noConversion"/>
  </si>
  <si>
    <t>20260917_104919_Qwen_ca834dcf:0085</t>
    <phoneticPr fontId="1" type="noConversion"/>
  </si>
  <si>
    <t>ACT:20260917_104919_Qwen_ca834dcf:0085</t>
    <phoneticPr fontId="1" type="noConversion"/>
  </si>
  <si>
    <t>20260917_104919_Qwen_ca834dcf:0086</t>
    <phoneticPr fontId="1" type="noConversion"/>
  </si>
  <si>
    <t>ACT:20260917_104919_Qwen_ca834dcf:0086</t>
    <phoneticPr fontId="1" type="noConversion"/>
  </si>
  <si>
    <t>Reading task instructions</t>
    <phoneticPr fontId="1" type="noConversion"/>
  </si>
  <si>
    <t>20260917_135307_Gemini_Antigravity_b8812ad3:0001</t>
    <phoneticPr fontId="1" type="noConversion"/>
  </si>
  <si>
    <t>ACT:20260917_135307_Gemini_Antigravity_b8812ad3:0001</t>
    <phoneticPr fontId="1" type="noConversion"/>
  </si>
  <si>
    <t>Finding evidence skill</t>
    <phoneticPr fontId="1" type="noConversion"/>
  </si>
  <si>
    <t>find_by_name</t>
    <phoneticPr fontId="1" type="noConversion"/>
  </si>
  <si>
    <t>20260917_135307_Gemini_Antigravity_b8812ad3:0002</t>
    <phoneticPr fontId="1" type="noConversion"/>
  </si>
  <si>
    <t>ACT:20260917_135307_Gemini_Antigravity_b8812ad3:0002</t>
    <phoneticPr fontId="1" type="noConversion"/>
  </si>
  <si>
    <t>Searching skills in .gemini</t>
    <phoneticPr fontId="1" type="noConversion"/>
  </si>
  <si>
    <t>20260917_135307_Gemini_Antigravity_b8812ad3:0003</t>
    <phoneticPr fontId="1" type="noConversion"/>
  </si>
  <si>
    <t>ACT:20260917_135307_Gemini_Antigravity_b8812ad3:0003</t>
    <phoneticPr fontId="1" type="noConversion"/>
  </si>
  <si>
    <t>Listing Gemini dir</t>
    <phoneticPr fontId="1" type="noConversion"/>
  </si>
  <si>
    <t>list_dir</t>
    <phoneticPr fontId="1" type="noConversion"/>
  </si>
  <si>
    <t>20260917_135307_Gemini_Antigravity_b8812ad3:0004</t>
    <phoneticPr fontId="1" type="noConversion"/>
  </si>
  <si>
    <t>ACT:20260917_135307_Gemini_Antigravity_b8812ad3:0004</t>
    <phoneticPr fontId="1" type="noConversion"/>
  </si>
  <si>
    <t>Listing Gemini second round dir</t>
    <phoneticPr fontId="1" type="noConversion"/>
  </si>
  <si>
    <t>20260917_135307_Gemini_Antigravity_b8812ad3:0005</t>
    <phoneticPr fontId="1" type="noConversion"/>
  </si>
  <si>
    <t>ACT:20260917_135307_Gemini_Antigravity_b8812ad3:0005</t>
    <phoneticPr fontId="1" type="noConversion"/>
  </si>
  <si>
    <t>Viewing GEMINI.md</t>
    <phoneticPr fontId="1" type="noConversion"/>
  </si>
  <si>
    <t>20260917_135307_Gemini_Antigravity_b8812ad3:0006</t>
    <phoneticPr fontId="1" type="noConversion"/>
  </si>
  <si>
    <t>ACT:20260917_135307_Gemini_Antigravity_b8812ad3:0006</t>
    <phoneticPr fontId="1" type="noConversion"/>
  </si>
  <si>
    <t>Listing input dir</t>
    <phoneticPr fontId="1" type="noConversion"/>
  </si>
  <si>
    <t>20260917_135307_Gemini_Antigravity_b8812ad3:0007</t>
    <phoneticPr fontId="1" type="noConversion"/>
  </si>
  <si>
    <t>ACT:20260917_135307_Gemini_Antigravity_b8812ad3:0007</t>
    <phoneticPr fontId="1" type="noConversion"/>
  </si>
  <si>
    <t>Viewing data manifest</t>
    <phoneticPr fontId="1" type="noConversion"/>
  </si>
  <si>
    <t>20260917_135307_Gemini_Antigravity_b8812ad3:0008</t>
    <phoneticPr fontId="1" type="noConversion"/>
  </si>
  <si>
    <t>ACT:20260917_135307_Gemini_Antigravity_b8812ad3:0008</t>
    <phoneticPr fontId="1" type="noConversion"/>
  </si>
  <si>
    <t>Checking Python environment</t>
    <phoneticPr fontId="1" type="noConversion"/>
  </si>
  <si>
    <t>20260917_135307_Gemini_Antigravity_b8812ad3:0009</t>
    <phoneticPr fontId="1" type="noConversion"/>
  </si>
  <si>
    <t>ACT:20260917_135307_Gemini_Antigravity_b8812ad3:0009</t>
    <phoneticPr fontId="1" type="noConversion"/>
  </si>
  <si>
    <t>Writing initial inspection script</t>
    <phoneticPr fontId="1" type="noConversion"/>
  </si>
  <si>
    <t>20260917_135307_Gemini_Antigravity_b8812ad3:0010</t>
    <phoneticPr fontId="1" type="noConversion"/>
  </si>
  <si>
    <t>ACT:20260917_135307_Gemini_Antigravity_b8812ad3:0010</t>
    <phoneticPr fontId="1" type="noConversion"/>
  </si>
  <si>
    <t>Querying data overview</t>
    <phoneticPr fontId="1" type="noConversion"/>
  </si>
  <si>
    <t>20260917_135307_Gemini_Antigravity_b8812ad3:0011</t>
    <phoneticPr fontId="1" type="noConversion"/>
  </si>
  <si>
    <t>ACT:20260917_135307_Gemini_Antigravity_b8812ad3:0011</t>
    <phoneticPr fontId="1" type="noConversion"/>
  </si>
  <si>
    <t>Writing script</t>
    <phoneticPr fontId="1" type="noConversion"/>
  </si>
  <si>
    <t>20260917_135307_Gemini_Antigravity_b8812ad3:0012</t>
    <phoneticPr fontId="1" type="noConversion"/>
  </si>
  <si>
    <t>ACT:20260917_135307_Gemini_Antigravity_b8812ad3:0012</t>
    <phoneticPr fontId="1" type="noConversion"/>
  </si>
  <si>
    <t>Running metadata script</t>
    <phoneticPr fontId="1" type="noConversion"/>
  </si>
  <si>
    <t>20260917_135307_Gemini_Antigravity_b8812ad3:0013</t>
    <phoneticPr fontId="1" type="noConversion"/>
  </si>
  <si>
    <t>ACT:20260917_135307_Gemini_Antigravity_b8812ad3:0013</t>
    <phoneticPr fontId="1" type="noConversion"/>
  </si>
  <si>
    <t>Checking exact date ranges</t>
    <phoneticPr fontId="1" type="noConversion"/>
  </si>
  <si>
    <t>20260917_135307_Gemini_Antigravity_b8812ad3:0014</t>
    <phoneticPr fontId="1" type="noConversion"/>
  </si>
  <si>
    <t>ACT:20260917_135307_Gemini_Antigravity_b8812ad3:0014</t>
    <phoneticPr fontId="1" type="noConversion"/>
  </si>
  <si>
    <t>Writing data quality script</t>
    <phoneticPr fontId="1" type="noConversion"/>
  </si>
  <si>
    <t>20260917_135307_Gemini_Antigravity_b8812ad3:0015</t>
    <phoneticPr fontId="1" type="noConversion"/>
  </si>
  <si>
    <t>ACT:20260917_135307_Gemini_Antigravity_b8812ad3:0015</t>
    <phoneticPr fontId="1" type="noConversion"/>
  </si>
  <si>
    <t>Running data quality script</t>
    <phoneticPr fontId="1" type="noConversion"/>
  </si>
  <si>
    <t>20260917_135307_Gemini_Antigravity_b8812ad3:0016</t>
    <phoneticPr fontId="1" type="noConversion"/>
  </si>
  <si>
    <t>ACT:20260917_135307_Gemini_Antigravity_b8812ad3:0016</t>
    <phoneticPr fontId="1" type="noConversion"/>
  </si>
  <si>
    <t>Checking anomaly counts</t>
    <phoneticPr fontId="1" type="noConversion"/>
  </si>
  <si>
    <t>20260917_135307_Gemini_Antigravity_b8812ad3:0017</t>
    <phoneticPr fontId="1" type="noConversion"/>
  </si>
  <si>
    <t>ACT:20260917_135307_Gemini_Antigravity_b8812ad3:0017</t>
    <phoneticPr fontId="1" type="noConversion"/>
  </si>
  <si>
    <t>Writing broad exploration script</t>
    <phoneticPr fontId="1" type="noConversion"/>
  </si>
  <si>
    <t>20260917_135307_Gemini_Antigravity_b8812ad3:0018</t>
    <phoneticPr fontId="1" type="noConversion"/>
  </si>
  <si>
    <t>ACT:20260917_135307_Gemini_Antigravity_b8812ad3:0018</t>
    <phoneticPr fontId="1" type="noConversion"/>
  </si>
  <si>
    <t>Running broad exploration script</t>
    <phoneticPr fontId="1" type="noConversion"/>
  </si>
  <si>
    <t>20260917_135307_Gemini_Antigravity_b8812ad3:0019</t>
    <phoneticPr fontId="1" type="noConversion"/>
  </si>
  <si>
    <t>ACT:20260917_135307_Gemini_Antigravity_b8812ad3:0019</t>
    <phoneticPr fontId="1" type="noConversion"/>
  </si>
  <si>
    <t>Writing temporal analysis script</t>
    <phoneticPr fontId="1" type="noConversion"/>
  </si>
  <si>
    <t>20260917_135307_Gemini_Antigravity_b8812ad3:0020</t>
    <phoneticPr fontId="1" type="noConversion"/>
  </si>
  <si>
    <t>ACT:20260917_135307_Gemini_Antigravity_b8812ad3:0020</t>
    <phoneticPr fontId="1" type="noConversion"/>
  </si>
  <si>
    <t>Running temporal analysis script</t>
    <phoneticPr fontId="1" type="noConversion"/>
  </si>
  <si>
    <t>20260917_135307_Gemini_Antigravity_b8812ad3:0021</t>
    <phoneticPr fontId="1" type="noConversion"/>
  </si>
  <si>
    <t>ACT:20260917_135307_Gemini_Antigravity_b8812ad3:0021</t>
    <phoneticPr fontId="1" type="noConversion"/>
  </si>
  <si>
    <t>Writing growth decomposition script</t>
    <phoneticPr fontId="1" type="noConversion"/>
  </si>
  <si>
    <t>20260917_135307_Gemini_Antigravity_b8812ad3:0022</t>
    <phoneticPr fontId="1" type="noConversion"/>
  </si>
  <si>
    <t>ACT:20260917_135307_Gemini_Antigravity_b8812ad3:0022</t>
    <phoneticPr fontId="1" type="noConversion"/>
  </si>
  <si>
    <t>Running growth decomposition script</t>
    <phoneticPr fontId="1" type="noConversion"/>
  </si>
  <si>
    <t>20260917_135307_Gemini_Antigravity_b8812ad3:0023</t>
    <phoneticPr fontId="1" type="noConversion"/>
  </si>
  <si>
    <t>ACT:20260917_135307_Gemini_Antigravity_b8812ad3:0023</t>
    <phoneticPr fontId="1" type="noConversion"/>
  </si>
  <si>
    <t>Writing deep investigation script</t>
    <phoneticPr fontId="1" type="noConversion"/>
  </si>
  <si>
    <t>20260917_135307_Gemini_Antigravity_b8812ad3:0024</t>
    <phoneticPr fontId="1" type="noConversion"/>
  </si>
  <si>
    <t>ACT:20260917_135307_Gemini_Antigravity_b8812ad3:0024</t>
    <phoneticPr fontId="1" type="noConversion"/>
  </si>
  <si>
    <t>Running deep investigation script</t>
    <phoneticPr fontId="1" type="noConversion"/>
  </si>
  <si>
    <t>20260917_135307_Gemini_Antigravity_b8812ad3:0025</t>
    <phoneticPr fontId="1" type="noConversion"/>
  </si>
  <si>
    <t>ACT:20260917_135307_Gemini_Antigravity_b8812ad3:0025</t>
    <phoneticPr fontId="1" type="noConversion"/>
  </si>
  <si>
    <t>Writing resolution &amp; borough script</t>
    <phoneticPr fontId="1" type="noConversion"/>
  </si>
  <si>
    <t>20260917_135307_Gemini_Antigravity_b8812ad3:0026</t>
    <phoneticPr fontId="1" type="noConversion"/>
  </si>
  <si>
    <t>ACT:20260917_135307_Gemini_Antigravity_b8812ad3:0026</t>
    <phoneticPr fontId="1" type="noConversion"/>
  </si>
  <si>
    <t>Running resolution and borough script</t>
    <phoneticPr fontId="1" type="noConversion"/>
  </si>
  <si>
    <t>20260917_135307_Gemini_Antigravity_b8812ad3:0027</t>
    <phoneticPr fontId="1" type="noConversion"/>
  </si>
  <si>
    <t>ACT:20260917_135307_Gemini_Antigravity_b8812ad3:0027</t>
    <phoneticPr fontId="1" type="noConversion"/>
  </si>
  <si>
    <t>Writing resolution &amp; pareto script</t>
    <phoneticPr fontId="1" type="noConversion"/>
  </si>
  <si>
    <t>20260917_135307_Gemini_Antigravity_b8812ad3:0028</t>
    <phoneticPr fontId="1" type="noConversion"/>
  </si>
  <si>
    <t>ACT:20260917_135307_Gemini_Antigravity_b8812ad3:0028</t>
    <phoneticPr fontId="1" type="noConversion"/>
  </si>
  <si>
    <t>Running resolution &amp; pareto script</t>
    <phoneticPr fontId="1" type="noConversion"/>
  </si>
  <si>
    <t>20260917_135307_Gemini_Antigravity_b8812ad3:0029</t>
    <phoneticPr fontId="1" type="noConversion"/>
  </si>
  <si>
    <t>ACT:20260917_135307_Gemini_Antigravity_b8812ad3:0029</t>
    <phoneticPr fontId="1" type="noConversion"/>
  </si>
  <si>
    <t>20260917_135307_Gemini_Antigravity_b8812ad3:0030</t>
    <phoneticPr fontId="1" type="noConversion"/>
  </si>
  <si>
    <t>ACT:20260917_135307_Gemini_Antigravity_b8812ad3:0030</t>
    <phoneticPr fontId="1" type="noConversion"/>
  </si>
  <si>
    <t>20260917_135307_Gemini_Antigravity_b8812ad3:0031</t>
    <phoneticPr fontId="1" type="noConversion"/>
  </si>
  <si>
    <t>ACT:20260917_135307_Gemini_Antigravity_b8812ad3:0031</t>
    <phoneticPr fontId="1" type="noConversion"/>
  </si>
  <si>
    <t>Inspecting HPD heat resolutions</t>
    <phoneticPr fontId="1" type="noConversion"/>
  </si>
  <si>
    <t>20260917_135307_Gemini_Antigravity_b8812ad3:0032</t>
    <phoneticPr fontId="1" type="noConversion"/>
  </si>
  <si>
    <t>ACT:20260917_135307_Gemini_Antigravity_b8812ad3:0032</t>
    <phoneticPr fontId="1" type="noConversion"/>
  </si>
  <si>
    <t>Writing inspect HPD script</t>
    <phoneticPr fontId="1" type="noConversion"/>
  </si>
  <si>
    <t>20260917_135307_Gemini_Antigravity_b8812ad3:0033</t>
    <phoneticPr fontId="1" type="noConversion"/>
  </si>
  <si>
    <t>ACT:20260917_135307_Gemini_Antigravity_b8812ad3:0033</t>
    <phoneticPr fontId="1" type="noConversion"/>
  </si>
  <si>
    <t>Running inspect HPD script</t>
    <phoneticPr fontId="1" type="noConversion"/>
  </si>
  <si>
    <t>20260917_135307_Gemini_Antigravity_b8812ad3:0034</t>
    <phoneticPr fontId="1" type="noConversion"/>
  </si>
  <si>
    <t>ACT:20260917_135307_Gemini_Antigravity_b8812ad3:0034</t>
    <phoneticPr fontId="1" type="noConversion"/>
  </si>
  <si>
    <t>Writing deep metrics script</t>
    <phoneticPr fontId="1" type="noConversion"/>
  </si>
  <si>
    <t>20260917_135307_Gemini_Antigravity_b8812ad3:0035</t>
    <phoneticPr fontId="1" type="noConversion"/>
  </si>
  <si>
    <t>ACT:20260917_135307_Gemini_Antigravity_b8812ad3:0035</t>
    <phoneticPr fontId="1" type="noConversion"/>
  </si>
  <si>
    <t>Running deep metrics script</t>
    <phoneticPr fontId="1" type="noConversion"/>
  </si>
  <si>
    <t>20260917_135307_Gemini_Antigravity_b8812ad3:0036</t>
    <phoneticPr fontId="1" type="noConversion"/>
  </si>
  <si>
    <t>ACT:20260917_135307_Gemini_Antigravity_b8812ad3:0036</t>
    <phoneticPr fontId="1" type="noConversion"/>
  </si>
  <si>
    <t>Checking borough complaint breakdown</t>
    <phoneticPr fontId="1" type="noConversion"/>
  </si>
  <si>
    <t>20260917_135307_Gemini_Antigravity_b8812ad3:0037</t>
    <phoneticPr fontId="1" type="noConversion"/>
  </si>
  <si>
    <t>ACT:20260917_135307_Gemini_Antigravity_b8812ad3:0037</t>
    <phoneticPr fontId="1" type="noConversion"/>
  </si>
  <si>
    <t>Checking all columns of borough breakdown</t>
    <phoneticPr fontId="1" type="noConversion"/>
  </si>
  <si>
    <t>20260917_135307_Gemini_Antigravity_b8812ad3:0038</t>
    <phoneticPr fontId="1" type="noConversion"/>
  </si>
  <si>
    <t>ACT:20260917_135307_Gemini_Antigravity_b8812ad3:0038</t>
    <phoneticPr fontId="1" type="noConversion"/>
  </si>
  <si>
    <t>Checking hourly and dow data</t>
    <phoneticPr fontId="1" type="noConversion"/>
  </si>
  <si>
    <t>20260917_135307_Gemini_Antigravity_b8812ad3:0039</t>
    <phoneticPr fontId="1" type="noConversion"/>
  </si>
  <si>
    <t>ACT:20260917_135307_Gemini_Antigravity_b8812ad3:0039</t>
    <phoneticPr fontId="1" type="noConversion"/>
  </si>
  <si>
    <t>Testing openpyxl chart functionality</t>
    <phoneticPr fontId="1" type="noConversion"/>
  </si>
  <si>
    <t>20260917_135307_Gemini_Antigravity_b8812ad3:0040</t>
    <phoneticPr fontId="1" type="noConversion"/>
  </si>
  <si>
    <t>ACT:20260917_135307_Gemini_Antigravity_b8812ad3:0040</t>
    <phoneticPr fontId="1" type="noConversion"/>
  </si>
  <si>
    <t>Writing Excel builder script</t>
    <phoneticPr fontId="1" type="noConversion"/>
  </si>
  <si>
    <t>20260917_135307_Gemini_Antigravity_b8812ad3:0041</t>
    <phoneticPr fontId="1" type="noConversion"/>
  </si>
  <si>
    <t>ACT:20260917_135307_Gemini_Antigravity_b8812ad3:0041</t>
    <phoneticPr fontId="1" type="noConversion"/>
  </si>
  <si>
    <t>Running Excel builder script</t>
    <phoneticPr fontId="1" type="noConversion"/>
  </si>
  <si>
    <t>20260917_135307_Gemini_Antigravity_b8812ad3:0042</t>
    <phoneticPr fontId="1" type="noConversion"/>
  </si>
  <si>
    <t>ACT:20260917_135307_Gemini_Antigravity_b8812ad3:0042</t>
    <phoneticPr fontId="1" type="noConversion"/>
  </si>
  <si>
    <t>Verifying Excel workbook integrity</t>
    <phoneticPr fontId="1" type="noConversion"/>
  </si>
  <si>
    <t>20260917_135307_Gemini_Antigravity_b8812ad3:0043</t>
    <phoneticPr fontId="1" type="noConversion"/>
  </si>
  <si>
    <t>ACT:20260917_135307_Gemini_Antigravity_b8812ad3:0043</t>
    <phoneticPr fontId="1" type="noConversion"/>
  </si>
  <si>
    <t>Printing exact sheet names in UTF-8</t>
    <phoneticPr fontId="1" type="noConversion"/>
  </si>
  <si>
    <t>20260917_135307_Gemini_Antigravity_b8812ad3:0044</t>
    <phoneticPr fontId="1" type="noConversion"/>
  </si>
  <si>
    <t>ACT:20260917_135307_Gemini_Antigravity_b8812ad3:0044</t>
    <phoneticPr fontId="1" type="noConversion"/>
  </si>
  <si>
    <t>20260917_135307_Gemini_Antigravity_b8812ad3:0045</t>
    <phoneticPr fontId="1" type="noConversion"/>
  </si>
  <si>
    <t>ACT:20260917_135307_Gemini_Antigravity_b8812ad3:0045</t>
    <phoneticPr fontId="1" type="noConversion"/>
  </si>
  <si>
    <t>Writing verification script</t>
    <phoneticPr fontId="1" type="noConversion"/>
  </si>
  <si>
    <t>20260917_135307_Gemini_Antigravity_b8812ad3:0046</t>
    <phoneticPr fontId="1" type="noConversion"/>
  </si>
  <si>
    <t>ACT:20260917_135307_Gemini_Antigravity_b8812ad3:0046</t>
    <phoneticPr fontId="1" type="noConversion"/>
  </si>
  <si>
    <t>Running verification script</t>
    <phoneticPr fontId="1" type="noConversion"/>
  </si>
  <si>
    <t>20260917_135307_Gemini_Antigravity_b8812ad3:0047</t>
    <phoneticPr fontId="1" type="noConversion"/>
  </si>
  <si>
    <t>ACT:20260917_135307_Gemini_Antigravity_b8812ad3:0047</t>
    <phoneticPr fontId="1" type="noConversion"/>
  </si>
  <si>
    <t>{"namespace":"cursor-app-control","toolName":"move_age…</t>
    <phoneticPr fontId="1" type="noConversion"/>
  </si>
  <si>
    <t>20260917_135616_Grok_Cursor_a1f4906a:0001</t>
    <phoneticPr fontId="1" type="noConversion"/>
  </si>
  <si>
    <t>ACT:20260917_135616_Grok_Cursor_a1f4906a:0001</t>
    <phoneticPr fontId="1" type="noConversion"/>
  </si>
  <si>
    <t>20260917_135616_Grok_Cursor_a1f4906a:0002</t>
    <phoneticPr fontId="1" type="noConversion"/>
  </si>
  <si>
    <t>ACT:20260917_135616_Grok_Cursor_a1f4906a:0002</t>
    <phoneticPr fontId="1" type="noConversion"/>
  </si>
  <si>
    <t>20260917_135616_Grok_Cursor_a1f4906a:0003</t>
    <phoneticPr fontId="1" type="noConversion"/>
  </si>
  <si>
    <t>ACT:20260917_135616_Grok_Cursor_a1f4906a:0003</t>
    <phoneticPr fontId="1" type="noConversion"/>
  </si>
  <si>
    <t>20260917_135616_Grok_Cursor_a1f4906a:0004</t>
    <phoneticPr fontId="1" type="noConversion"/>
  </si>
  <si>
    <t>ACT:20260917_135616_Grok_Cursor_a1f4906a:0004</t>
    <phoneticPr fontId="1" type="noConversion"/>
  </si>
  <si>
    <t>20260917_135616_Grok_Cursor_a1f4906a:0005</t>
    <phoneticPr fontId="1" type="noConversion"/>
  </si>
  <si>
    <t>ACT:20260917_135616_Grok_Cursor_a1f4906a:0005</t>
    <phoneticPr fontId="1" type="noConversion"/>
  </si>
  <si>
    <t>{"arguments":{"rootPath":"D:\\项目2\\Grok\\第二轮"},"mcpDet…</t>
    <phoneticPr fontId="1" type="noConversion"/>
  </si>
  <si>
    <t>CallDynamicTool</t>
    <phoneticPr fontId="1" type="noConversion"/>
  </si>
  <si>
    <t>20260917_135616_Grok_Cursor_a1f4906a:0006</t>
    <phoneticPr fontId="1" type="noConversion"/>
  </si>
  <si>
    <t>ACT:20260917_135616_Grok_Cursor_a1f4906a:0006</t>
    <phoneticPr fontId="1" type="noConversion"/>
  </si>
  <si>
    <t>D:\项目2\Grok\第二轮\.claude\skills\evidence-led-project-co…</t>
    <phoneticPr fontId="1" type="noConversion"/>
  </si>
  <si>
    <t>20260917_135616_Grok_Cursor_a1f4906a:0007</t>
    <phoneticPr fontId="1" type="noConversion"/>
  </si>
  <si>
    <t>ACT:20260917_135616_Grok_Cursor_a1f4906a:0007</t>
    <phoneticPr fontId="1" type="noConversion"/>
  </si>
  <si>
    <t>20260917_135616_Grok_Cursor_a1f4906a:0008</t>
    <phoneticPr fontId="1" type="noConversion"/>
  </si>
  <si>
    <t>ACT:20260917_135616_Grok_Cursor_a1f4906a:0008</t>
    <phoneticPr fontId="1" type="noConversion"/>
  </si>
  <si>
    <t>D:\项目2\Grok\第二轮\.cursor\rules\enhanced.mdc</t>
    <phoneticPr fontId="1" type="noConversion"/>
  </si>
  <si>
    <t>20260917_135616_Grok_Cursor_a1f4906a:0009</t>
    <phoneticPr fontId="1" type="noConversion"/>
  </si>
  <si>
    <t>ACT:20260917_135616_Grok_Cursor_a1f4906a:0009</t>
    <phoneticPr fontId="1" type="noConversion"/>
  </si>
  <si>
    <t>D:\项目2\Grok\第二轮\CLAUDE.md</t>
    <phoneticPr fontId="1" type="noConversion"/>
  </si>
  <si>
    <t>20260917_135616_Grok_Cursor_a1f4906a:0010</t>
    <phoneticPr fontId="1" type="noConversion"/>
  </si>
  <si>
    <t>ACT:20260917_135616_Grok_Cursor_a1f4906a:0010</t>
    <phoneticPr fontId="1" type="noConversion"/>
  </si>
  <si>
    <t>20260917_135616_Grok_Cursor_a1f4906a:0011</t>
    <phoneticPr fontId="1" type="noConversion"/>
  </si>
  <si>
    <t>ACT:20260917_135616_Grok_Cursor_a1f4906a:0011</t>
    <phoneticPr fontId="1" type="noConversion"/>
  </si>
  <si>
    <t>Inspect first parquet schema and columns</t>
    <phoneticPr fontId="1" type="noConversion"/>
  </si>
  <si>
    <t>20260917_135616_Grok_Cursor_a1f4906a:0012</t>
    <phoneticPr fontId="1" type="noConversion"/>
  </si>
  <si>
    <t>ACT:20260917_135616_Grok_Cursor_a1f4906a:0012</t>
    <phoneticPr fontId="1" type="noConversion"/>
  </si>
  <si>
    <t>{"namespace":"cursor","toolName":"CreateGoal"}</t>
    <phoneticPr fontId="1" type="noConversion"/>
  </si>
  <si>
    <t>20260917_135616_Grok_Cursor_a1f4906a:0013</t>
    <phoneticPr fontId="1" type="noConversion"/>
  </si>
  <si>
    <t>ACT:20260917_135616_Grok_Cursor_a1f4906a:0013</t>
    <phoneticPr fontId="1" type="noConversion"/>
  </si>
  <si>
    <t>Inspect parquet schema with full permissions</t>
    <phoneticPr fontId="1" type="noConversion"/>
  </si>
  <si>
    <t>20260917_135616_Grok_Cursor_a1f4906a:0014</t>
    <phoneticPr fontId="1" type="noConversion"/>
  </si>
  <si>
    <t>ACT:20260917_135616_Grok_Cursor_a1f4906a:0014</t>
    <phoneticPr fontId="1" type="noConversion"/>
  </si>
  <si>
    <t>Count rows and unique keys across all parquet</t>
    <phoneticPr fontId="1" type="noConversion"/>
  </si>
  <si>
    <t>20260917_135616_Grok_Cursor_a1f4906a:0015</t>
    <phoneticPr fontId="1" type="noConversion"/>
  </si>
  <si>
    <t>ACT:20260917_135616_Grok_Cursor_a1f4906a:0015</t>
    <phoneticPr fontId="1" type="noConversion"/>
  </si>
  <si>
    <t>Profile status, agency, channel, borough</t>
    <phoneticPr fontId="1" type="noConversion"/>
  </si>
  <si>
    <t>20260917_135616_Grok_Cursor_a1f4906a:0016</t>
    <phoneticPr fontId="1" type="noConversion"/>
  </si>
  <si>
    <t>ACT:20260917_135616_Grok_Cursor_a1f4906a:0016</t>
    <phoneticPr fontId="1" type="noConversion"/>
  </si>
  <si>
    <t>Monthly volume, complaint types, missingness</t>
    <phoneticPr fontId="1" type="noConversion"/>
  </si>
  <si>
    <t>20260917_135616_Grok_Cursor_a1f4906a:0017</t>
    <phoneticPr fontId="1" type="noConversion"/>
  </si>
  <si>
    <t>ACT:20260917_135616_Grok_Cursor_a1f4906a:0017</t>
    <phoneticPr fontId="1" type="noConversion"/>
  </si>
  <si>
    <t>Taxonomy change and duration quality checks</t>
    <phoneticPr fontId="1" type="noConversion"/>
  </si>
  <si>
    <t>20260917_135616_Grok_Cursor_a1f4906a:0018</t>
    <phoneticPr fontId="1" type="noConversion"/>
  </si>
  <si>
    <t>ACT:20260917_135616_Grok_Cursor_a1f4906a:0018</t>
    <phoneticPr fontId="1" type="noConversion"/>
  </si>
  <si>
    <t>YoY volume change and contribution by agency/type</t>
    <phoneticPr fontId="1" type="noConversion"/>
  </si>
  <si>
    <t>20260917_135616_Grok_Cursor_a1f4906a:0019</t>
    <phoneticPr fontId="1" type="noConversion"/>
  </si>
  <si>
    <t>ACT:20260917_135616_Grok_Cursor_a1f4906a:0019</t>
    <phoneticPr fontId="1" type="noConversion"/>
  </si>
  <si>
    <t>Monthly drill for snow, street, heat, water types</t>
    <phoneticPr fontId="1" type="noConversion"/>
  </si>
  <si>
    <t>20260917_135616_Grok_Cursor_a1f4906a:0020</t>
    <phoneticPr fontId="1" type="noConversion"/>
  </si>
  <si>
    <t>ACT:20260917_135616_Grok_Cursor_a1f4906a:0020</t>
    <phoneticPr fontId="1" type="noConversion"/>
  </si>
  <si>
    <t>Monthly snow street heat water series</t>
    <phoneticPr fontId="1" type="noConversion"/>
  </si>
  <si>
    <t>20260917_135616_Grok_Cursor_a1f4906a:0021</t>
    <phoneticPr fontId="1" type="noConversion"/>
  </si>
  <si>
    <t>ACT:20260917_135616_Grok_Cursor_a1f4906a:0021</t>
    <phoneticPr fontId="1" type="noConversion"/>
  </si>
  <si>
    <t>Investigate street condition spike, drug and lead</t>
    <phoneticPr fontId="1" type="noConversion"/>
  </si>
  <si>
    <t>20260917_135616_Grok_Cursor_a1f4906a:0022</t>
    <phoneticPr fontId="1" type="noConversion"/>
  </si>
  <si>
    <t>ACT:20260917_135616_Grok_Cursor_a1f4906a:0022</t>
    <phoneticPr fontId="1" type="noConversion"/>
  </si>
  <si>
    <t>Street mix, concentration; drug activity taxonomy</t>
    <phoneticPr fontId="1" type="noConversion"/>
  </si>
  <si>
    <t>20260917_135616_Grok_Cursor_a1f4906a:0023</t>
    <phoneticPr fontId="1" type="noConversion"/>
  </si>
  <si>
    <t>ACT:20260917_135616_Grok_Cursor_a1f4906a:0023</t>
    <phoneticPr fontId="1" type="noConversion"/>
  </si>
  <si>
    <t>Street UNKNOWN channel and drug spike details</t>
    <phoneticPr fontId="1" type="noConversion"/>
  </si>
  <si>
    <t>20260917_135616_Grok_Cursor_a1f4906a:0024</t>
    <phoneticPr fontId="1" type="noConversion"/>
  </si>
  <si>
    <t>ACT:20260917_135616_Grok_Cursor_a1f4906a:0024</t>
    <phoneticPr fontId="1" type="noConversion"/>
  </si>
  <si>
    <t>Snapshot bounds, pothole resolutions, heat BBL, agency…</t>
    <phoneticPr fontId="1" type="noConversion"/>
  </si>
  <si>
    <t>20260917_135616_Grok_Cursor_a1f4906a:0025</t>
    <phoneticPr fontId="1" type="noConversion"/>
  </si>
  <si>
    <t>ACT:20260917_135616_Grok_Cursor_a1f4906a:0025</t>
    <phoneticPr fontId="1" type="noConversion"/>
  </si>
  <si>
    <t>Volume residual, heat concentration, duplicate share</t>
    <phoneticPr fontId="1" type="noConversion"/>
  </si>
  <si>
    <t>20260917_135616_Grok_Cursor_a1f4906a:0026</t>
    <phoneticPr fontId="1" type="noConversion"/>
  </si>
  <si>
    <t>ACT:20260917_135616_Grok_Cursor_a1f4906a:0026</t>
    <phoneticPr fontId="1" type="noConversion"/>
  </si>
  <si>
    <t>D:\项目2\Grok\第二轮\tmp_explore.py</t>
    <phoneticPr fontId="1" type="noConversion"/>
  </si>
  <si>
    <t>20260917_135616_Grok_Cursor_a1f4906a:0027</t>
    <phoneticPr fontId="1" type="noConversion"/>
  </si>
  <si>
    <t>ACT:20260917_135616_Grok_Cursor_a1f4906a:0027</t>
    <phoneticPr fontId="1" type="noConversion"/>
  </si>
  <si>
    <t>Run volume decomp and concentration checks</t>
    <phoneticPr fontId="1" type="noConversion"/>
  </si>
  <si>
    <t>20260917_135616_Grok_Cursor_a1f4906a:0028</t>
    <phoneticPr fontId="1" type="noConversion"/>
  </si>
  <si>
    <t>ACT:20260917_135616_Grok_Cursor_a1f4906a:0028</t>
    <phoneticPr fontId="1" type="noConversion"/>
  </si>
  <si>
    <t>D:\项目2\Grok\第二轮\tmp_explore2.py</t>
    <phoneticPr fontId="1" type="noConversion"/>
  </si>
  <si>
    <t>20260917_135616_Grok_Cursor_a1f4906a:0029</t>
    <phoneticPr fontId="1" type="noConversion"/>
  </si>
  <si>
    <t>ACT:20260917_135616_Grok_Cursor_a1f4906a:0029</t>
    <phoneticPr fontId="1" type="noConversion"/>
  </si>
  <si>
    <t>Censoring, water family, parking, OOS checks</t>
    <phoneticPr fontId="1" type="noConversion"/>
  </si>
  <si>
    <t>20260917_135616_Grok_Cursor_a1f4906a:0030</t>
    <phoneticPr fontId="1" type="noConversion"/>
  </si>
  <si>
    <t>ACT:20260917_135616_Grok_Cursor_a1f4906a:0030</t>
    <phoneticPr fontId="1" type="noConversion"/>
  </si>
  <si>
    <t>D:\项目2\Grok\第二轮\tmp_explore3.py</t>
    <phoneticPr fontId="1" type="noConversion"/>
  </si>
  <si>
    <t>20260917_135616_Grok_Cursor_a1f4906a:0031</t>
    <phoneticPr fontId="1" type="noConversion"/>
  </si>
  <si>
    <t>ACT:20260917_135616_Grok_Cursor_a1f4906a:0031</t>
    <phoneticPr fontId="1" type="noConversion"/>
  </si>
  <si>
    <t>Snow day concentration, water descriptors, files</t>
    <phoneticPr fontId="1" type="noConversion"/>
  </si>
  <si>
    <t>20260917_135616_Grok_Cursor_a1f4906a:0032</t>
    <phoneticPr fontId="1" type="noConversion"/>
  </si>
  <si>
    <t>ACT:20260917_135616_Grok_Cursor_a1f4906a:0032</t>
    <phoneticPr fontId="1" type="noConversion"/>
  </si>
  <si>
    <t>Check openpyxl pandas availability</t>
    <phoneticPr fontId="1" type="noConversion"/>
  </si>
  <si>
    <t>20260917_135616_Grok_Cursor_a1f4906a:0033</t>
    <phoneticPr fontId="1" type="noConversion"/>
  </si>
  <si>
    <t>ACT:20260917_135616_Grok_Cursor_a1f4906a:0033</t>
    <phoneticPr fontId="1" type="noConversion"/>
  </si>
  <si>
    <t>D:\项目2\Grok\第二轮\build_workbook.py</t>
    <phoneticPr fontId="1" type="noConversion"/>
  </si>
  <si>
    <t>20260917_135616_Grok_Cursor_a1f4906a:0034</t>
    <phoneticPr fontId="1" type="noConversion"/>
  </si>
  <si>
    <t>ACT:20260917_135616_Grok_Cursor_a1f4906a:0034</t>
    <phoneticPr fontId="1" type="noConversion"/>
  </si>
  <si>
    <t>Build analysis tables and Excel workbook</t>
    <phoneticPr fontId="1" type="noConversion"/>
  </si>
  <si>
    <t>20260917_135616_Grok_Cursor_a1f4906a:0035</t>
    <phoneticPr fontId="1" type="noConversion"/>
  </si>
  <si>
    <t>ACT:20260917_135616_Grok_Cursor_a1f4906a:0035</t>
    <phoneticPr fontId="1" type="noConversion"/>
  </si>
  <si>
    <t>D:\项目2\Grok\第二轮\中间汇总\00_overview.csv</t>
    <phoneticPr fontId="1" type="noConversion"/>
  </si>
  <si>
    <t>20260917_135616_Grok_Cursor_a1f4906a:0036</t>
    <phoneticPr fontId="1" type="noConversion"/>
  </si>
  <si>
    <t>ACT:20260917_135616_Grok_Cursor_a1f4906a:0036</t>
    <phoneticPr fontId="1" type="noConversion"/>
  </si>
  <si>
    <t>D:\项目2\Grok\第二轮\中间汇总\09_exclusive_volume_buckets.csv</t>
    <phoneticPr fontId="1" type="noConversion"/>
  </si>
  <si>
    <t>20260917_135616_Grok_Cursor_a1f4906a:0037</t>
    <phoneticPr fontId="1" type="noConversion"/>
  </si>
  <si>
    <t>ACT:20260917_135616_Grok_Cursor_a1f4906a:0037</t>
    <phoneticPr fontId="1" type="noConversion"/>
  </si>
  <si>
    <t>D:\项目2\Grok\第二轮\中间汇总\10_period_totals.csv</t>
    <phoneticPr fontId="1" type="noConversion"/>
  </si>
  <si>
    <t>20260917_135616_Grok_Cursor_a1f4906a:0038</t>
    <phoneticPr fontId="1" type="noConversion"/>
  </si>
  <si>
    <t>ACT:20260917_135616_Grok_Cursor_a1f4906a:0038</t>
    <phoneticPr fontId="1" type="noConversion"/>
  </si>
  <si>
    <t>D:\项目2\Grok\第二轮\中间汇总\14_heat_winter.csv</t>
    <phoneticPr fontId="1" type="noConversion"/>
  </si>
  <si>
    <t>20260917_135616_Grok_Cursor_a1f4906a:0039</t>
    <phoneticPr fontId="1" type="noConversion"/>
  </si>
  <si>
    <t>ACT:20260917_135616_Grok_Cursor_a1f4906a:0039</t>
    <phoneticPr fontId="1" type="noConversion"/>
  </si>
  <si>
    <t>D:\项目2\Grok\第二轮\中间汇总\16_heat_exclude_top10.csv</t>
    <phoneticPr fontId="1" type="noConversion"/>
  </si>
  <si>
    <t>20260917_135616_Grok_Cursor_a1f4906a:0040</t>
    <phoneticPr fontId="1" type="noConversion"/>
  </si>
  <si>
    <t>ACT:20260917_135616_Grok_Cursor_a1f4906a:0040</t>
    <phoneticPr fontId="1" type="noConversion"/>
  </si>
  <si>
    <t>D:\项目2\Grok\第二轮\中间汇总\18_close_time_overall.csv</t>
    <phoneticPr fontId="1" type="noConversion"/>
  </si>
  <si>
    <t>20260917_135616_Grok_Cursor_a1f4906a:0041</t>
    <phoneticPr fontId="1" type="noConversion"/>
  </si>
  <si>
    <t>ACT:20260917_135616_Grok_Cursor_a1f4906a:0041</t>
    <phoneticPr fontId="1" type="noConversion"/>
  </si>
  <si>
    <t>D:\项目2\Grok\第二轮\中间汇总\22_snow_concentration_w2.csv</t>
    <phoneticPr fontId="1" type="noConversion"/>
  </si>
  <si>
    <t>20260917_135616_Grok_Cursor_a1f4906a:0042</t>
    <phoneticPr fontId="1" type="noConversion"/>
  </si>
  <si>
    <t>ACT:20260917_135616_Grok_Cursor_a1f4906a:0042</t>
    <phoneticPr fontId="1" type="noConversion"/>
  </si>
  <si>
    <t>D:\项目2\Grok\第二轮\中间汇总\02_agency.csv</t>
    <phoneticPr fontId="1" type="noConversion"/>
  </si>
  <si>
    <t>20260917_135616_Grok_Cursor_a1f4906a:0043</t>
    <phoneticPr fontId="1" type="noConversion"/>
  </si>
  <si>
    <t>ACT:20260917_135616_Grok_Cursor_a1f4906a:0043</t>
    <phoneticPr fontId="1" type="noConversion"/>
  </si>
  <si>
    <t>D:\项目2\Grok\第二轮\中间汇总\21_duplicate_text_share.csv</t>
    <phoneticPr fontId="1" type="noConversion"/>
  </si>
  <si>
    <t>20260917_135616_Grok_Cursor_a1f4906a:0044</t>
    <phoneticPr fontId="1" type="noConversion"/>
  </si>
  <si>
    <t>ACT:20260917_135616_Grok_Cursor_a1f4906a:0044</t>
    <phoneticPr fontId="1" type="noConversion"/>
  </si>
  <si>
    <t>^2026-0[89]|^2024-10</t>
    <phoneticPr fontId="1" type="noConversion"/>
  </si>
  <si>
    <t>20260917_135616_Grok_Cursor_a1f4906a:0045</t>
    <phoneticPr fontId="1" type="noConversion"/>
  </si>
  <si>
    <t>ACT:20260917_135616_Grok_Cursor_a1f4906a:0045</t>
    <phoneticPr fontId="1" type="noConversion"/>
  </si>
  <si>
    <t>D:\项目2\Grok\第二轮\中间汇总\12_street_channel_month.csv</t>
    <phoneticPr fontId="1" type="noConversion"/>
  </si>
  <si>
    <t>20260917_135616_Grok_Cursor_a1f4906a:0046</t>
    <phoneticPr fontId="1" type="noConversion"/>
  </si>
  <si>
    <t>ACT:20260917_135616_Grok_Cursor_a1f4906a:0046</t>
    <phoneticPr fontId="1" type="noConversion"/>
  </si>
  <si>
    <t>D:\项目2\Grok\第二轮\中间汇总\17_close_time_agency_created_befo…</t>
    <phoneticPr fontId="1" type="noConversion"/>
  </si>
  <si>
    <t>20260917_135616_Grok_Cursor_a1f4906a:0047</t>
    <phoneticPr fontId="1" type="noConversion"/>
  </si>
  <si>
    <t>ACT:20260917_135616_Grok_Cursor_a1f4906a:0047</t>
    <phoneticPr fontId="1" type="noConversion"/>
  </si>
  <si>
    <t>D:\项目2\Grok\第二轮\qa_verify.py</t>
    <phoneticPr fontId="1" type="noConversion"/>
  </si>
  <si>
    <t>20260917_135616_Grok_Cursor_a1f4906a:0048</t>
    <phoneticPr fontId="1" type="noConversion"/>
  </si>
  <si>
    <t>ACT:20260917_135616_Grok_Cursor_a1f4906a:0048</t>
    <phoneticPr fontId="1" type="noConversion"/>
  </si>
  <si>
    <t>D:\项目2\Grok\第二轮\分析说明.md</t>
    <phoneticPr fontId="1" type="noConversion"/>
  </si>
  <si>
    <t>20260917_135616_Grok_Cursor_a1f4906a:0049</t>
    <phoneticPr fontId="1" type="noConversion"/>
  </si>
  <si>
    <t>ACT:20260917_135616_Grok_Cursor_a1f4906a:0049</t>
    <phoneticPr fontId="1" type="noConversion"/>
  </si>
  <si>
    <t>Run QA, delete temp scripts, list outputs</t>
    <phoneticPr fontId="1" type="noConversion"/>
  </si>
  <si>
    <t>20260917_135616_Grok_Cursor_a1f4906a:0050</t>
    <phoneticPr fontId="1" type="noConversion"/>
  </si>
  <si>
    <t>ACT:20260917_135616_Grok_Cursor_a1f4906a:0050</t>
    <phoneticPr fontId="1" type="noConversion"/>
  </si>
  <si>
    <t>{"glob_pattern":"*.{xlsx,md,py,csv}","target_directory…</t>
    <phoneticPr fontId="1" type="noConversion"/>
  </si>
  <si>
    <t>20260917_135616_Grok_Cursor_a1f4906a:0051</t>
    <phoneticPr fontId="1" type="noConversion"/>
  </si>
  <si>
    <t>ACT:20260917_135616_Grok_Cursor_a1f4906a:0051</t>
    <phoneticPr fontId="1" type="noConversion"/>
  </si>
  <si>
    <t>混合会话</t>
    <phoneticPr fontId="1" type="noConversion"/>
  </si>
  <si>
    <t>MIX:4f1f93a42d10:2:1</t>
    <phoneticPr fontId="1" type="noConversion"/>
  </si>
  <si>
    <t>ACT:MIX:4f1f93a42d10:2:1</t>
    <phoneticPr fontId="1" type="noConversion"/>
  </si>
  <si>
    <t>Claude主体</t>
    <phoneticPr fontId="1" type="noConversion"/>
  </si>
  <si>
    <t>MIX:4f1f93a42d10:3:0</t>
    <phoneticPr fontId="1" type="noConversion"/>
  </si>
  <si>
    <t>ACT:MIX:4f1f93a42d10:3:0</t>
    <phoneticPr fontId="1" type="noConversion"/>
  </si>
  <si>
    <t>MIX:4f1f93a42d10:4:0</t>
    <phoneticPr fontId="1" type="noConversion"/>
  </si>
  <si>
    <t>ACT:MIX:4f1f93a42d10:4:0</t>
    <phoneticPr fontId="1" type="noConversion"/>
  </si>
  <si>
    <t>D:\项目2\Claude\任务提示.md</t>
    <phoneticPr fontId="1" type="noConversion"/>
  </si>
  <si>
    <t>MIX:4f1f93a42d10:5:0</t>
    <phoneticPr fontId="1" type="noConversion"/>
  </si>
  <si>
    <t>ACT:MIX:4f1f93a42d10:5:0</t>
    <phoneticPr fontId="1" type="noConversion"/>
  </si>
  <si>
    <t>Check Python and library availability</t>
    <phoneticPr fontId="1" type="noConversion"/>
  </si>
  <si>
    <t>MIX:4f1f93a42d10:6:1</t>
    <phoneticPr fontId="1" type="noConversion"/>
  </si>
  <si>
    <t>ACT:MIX:4f1f93a42d10:6:1</t>
    <phoneticPr fontId="1" type="noConversion"/>
  </si>
  <si>
    <t>MIX:4f1f93a42d10:7:1</t>
    <phoneticPr fontId="1" type="noConversion"/>
  </si>
  <si>
    <t>ACT:MIX:4f1f93a42d10:7:1</t>
    <phoneticPr fontId="1" type="noConversion"/>
  </si>
  <si>
    <t>D:\项目2\Claude\01_explore_schema.py</t>
    <phoneticPr fontId="1" type="noConversion"/>
  </si>
  <si>
    <t>MIX:4f1f93a42d10:8:1</t>
    <phoneticPr fontId="1" type="noConversion"/>
  </si>
  <si>
    <t>ACT:MIX:4f1f93a42d10:8:1</t>
    <phoneticPr fontId="1" type="noConversion"/>
  </si>
  <si>
    <t>Run schema exploration script</t>
    <phoneticPr fontId="1" type="noConversion"/>
  </si>
  <si>
    <t>MIX:4f1f93a42d10:9:0</t>
    <phoneticPr fontId="1" type="noConversion"/>
  </si>
  <si>
    <t>ACT:MIX:4f1f93a42d10:9:0</t>
    <phoneticPr fontId="1" type="noConversion"/>
  </si>
  <si>
    <t>Run schema exploration to file</t>
    <phoneticPr fontId="1" type="noConversion"/>
  </si>
  <si>
    <t>MIX:4f1f93a42d10:10:1</t>
    <phoneticPr fontId="1" type="noConversion"/>
  </si>
  <si>
    <t>ACT:MIX:4f1f93a42d10:10:1</t>
    <phoneticPr fontId="1" type="noConversion"/>
  </si>
  <si>
    <t>D:\项目2\Claude\out_01_schema.txt</t>
    <phoneticPr fontId="1" type="noConversion"/>
  </si>
  <si>
    <t>MIX:4f1f93a42d10:11:0</t>
    <phoneticPr fontId="1" type="noConversion"/>
  </si>
  <si>
    <t>ACT:MIX:4f1f93a42d10:11:0</t>
    <phoneticPr fontId="1" type="noConversion"/>
  </si>
  <si>
    <t>D:\项目2\Claude\02_explore_dims.py</t>
    <phoneticPr fontId="1" type="noConversion"/>
  </si>
  <si>
    <t>MIX:4f1f93a42d10:12:1</t>
    <phoneticPr fontId="1" type="noConversion"/>
  </si>
  <si>
    <t>ACT:MIX:4f1f93a42d10:12:1</t>
    <phoneticPr fontId="1" type="noConversion"/>
  </si>
  <si>
    <t>Run dimension exploration</t>
    <phoneticPr fontId="1" type="noConversion"/>
  </si>
  <si>
    <t>MIX:4f1f93a42d10:13:0</t>
    <phoneticPr fontId="1" type="noConversion"/>
  </si>
  <si>
    <t>ACT:MIX:4f1f93a42d10:13:0</t>
    <phoneticPr fontId="1" type="noConversion"/>
  </si>
  <si>
    <t>D:\项目2\Claude\out_02_dims.txt</t>
    <phoneticPr fontId="1" type="noConversion"/>
  </si>
  <si>
    <t>MIX:4f1f93a42d10:14:0</t>
    <phoneticPr fontId="1" type="noConversion"/>
  </si>
  <si>
    <t>ACT:MIX:4f1f93a42d10:14:0</t>
    <phoneticPr fontId="1" type="noConversion"/>
  </si>
  <si>
    <t>D:\项目2\Claude\03_explore_analysis.py</t>
    <phoneticPr fontId="1" type="noConversion"/>
  </si>
  <si>
    <t>MIX:4f1f93a42d10:15:1</t>
    <phoneticPr fontId="1" type="noConversion"/>
  </si>
  <si>
    <t>ACT:MIX:4f1f93a42d10:15:1</t>
    <phoneticPr fontId="1" type="noConversion"/>
  </si>
  <si>
    <t>Run analysis exploration</t>
    <phoneticPr fontId="1" type="noConversion"/>
  </si>
  <si>
    <t>MIX:4f1f93a42d10:16:0</t>
    <phoneticPr fontId="1" type="noConversion"/>
  </si>
  <si>
    <t>ACT:MIX:4f1f93a42d10:16:0</t>
    <phoneticPr fontId="1" type="noConversion"/>
  </si>
  <si>
    <t>D:\项目2\Claude\out_03_analysis.txt</t>
    <phoneticPr fontId="1" type="noConversion"/>
  </si>
  <si>
    <t>MIX:4f1f93a42d10:17:0</t>
    <phoneticPr fontId="1" type="noConversion"/>
  </si>
  <si>
    <t>ACT:MIX:4f1f93a42d10:17:0</t>
    <phoneticPr fontId="1" type="noConversion"/>
  </si>
  <si>
    <t>MIX:4f1f93a42d10:18:1</t>
    <phoneticPr fontId="1" type="noConversion"/>
  </si>
  <si>
    <t>ACT:MIX:4f1f93a42d10:18:1</t>
    <phoneticPr fontId="1" type="noConversion"/>
  </si>
  <si>
    <t>Rerun analysis exploration</t>
    <phoneticPr fontId="1" type="noConversion"/>
  </si>
  <si>
    <t>MIX:4f1f93a42d10:19:0</t>
    <phoneticPr fontId="1" type="noConversion"/>
  </si>
  <si>
    <t>ACT:MIX:4f1f93a42d10:19:0</t>
    <phoneticPr fontId="1" type="noConversion"/>
  </si>
  <si>
    <t>MIX:4f1f93a42d10:20:0</t>
    <phoneticPr fontId="1" type="noConversion"/>
  </si>
  <si>
    <t>ACT:MIX:4f1f93a42d10:20:0</t>
    <phoneticPr fontId="1" type="noConversion"/>
  </si>
  <si>
    <t>MIX:4f1f93a42d10:21:1</t>
    <phoneticPr fontId="1" type="noConversion"/>
  </si>
  <si>
    <t>ACT:MIX:4f1f93a42d10:21:1</t>
    <phoneticPr fontId="1" type="noConversion"/>
  </si>
  <si>
    <t>MIX:4f1f93a42d10:22:0</t>
    <phoneticPr fontId="1" type="noConversion"/>
  </si>
  <si>
    <t>ACT:MIX:4f1f93a42d10:22:0</t>
    <phoneticPr fontId="1" type="noConversion"/>
  </si>
  <si>
    <t>MIX:4f1f93a42d10:23:0</t>
    <phoneticPr fontId="1" type="noConversion"/>
  </si>
  <si>
    <t>ACT:MIX:4f1f93a42d10:23:0</t>
    <phoneticPr fontId="1" type="noConversion"/>
  </si>
  <si>
    <t>D:\项目2\Claude\04_verify.py</t>
    <phoneticPr fontId="1" type="noConversion"/>
  </si>
  <si>
    <t>MIX:4f1f93a42d10:24:1</t>
    <phoneticPr fontId="1" type="noConversion"/>
  </si>
  <si>
    <t>ACT:MIX:4f1f93a42d10:24:1</t>
    <phoneticPr fontId="1" type="noConversion"/>
  </si>
  <si>
    <t>Run verification queries</t>
    <phoneticPr fontId="1" type="noConversion"/>
  </si>
  <si>
    <t>MIX:4f1f93a42d10:25:0</t>
    <phoneticPr fontId="1" type="noConversion"/>
  </si>
  <si>
    <t>ACT:MIX:4f1f93a42d10:25:0</t>
    <phoneticPr fontId="1" type="noConversion"/>
  </si>
  <si>
    <t>D:\项目2\Claude\out_04_verify.txt</t>
    <phoneticPr fontId="1" type="noConversion"/>
  </si>
  <si>
    <t>MIX:4f1f93a42d10:26:0</t>
    <phoneticPr fontId="1" type="noConversion"/>
  </si>
  <si>
    <t>ACT:MIX:4f1f93a42d10:26:0</t>
    <phoneticPr fontId="1" type="noConversion"/>
  </si>
  <si>
    <t>D:\项目2\Claude\05_verify2.py</t>
    <phoneticPr fontId="1" type="noConversion"/>
  </si>
  <si>
    <t>MIX:4f1f93a42d10:27:1</t>
    <phoneticPr fontId="1" type="noConversion"/>
  </si>
  <si>
    <t>ACT:MIX:4f1f93a42d10:27:1</t>
    <phoneticPr fontId="1" type="noConversion"/>
  </si>
  <si>
    <t>Run YoY decomposition verification</t>
    <phoneticPr fontId="1" type="noConversion"/>
  </si>
  <si>
    <t>MIX:4f1f93a42d10:28:0</t>
    <phoneticPr fontId="1" type="noConversion"/>
  </si>
  <si>
    <t>ACT:MIX:4f1f93a42d10:28:0</t>
    <phoneticPr fontId="1" type="noConversion"/>
  </si>
  <si>
    <t>D:\项目2\Claude\out_05_verify2.txt</t>
    <phoneticPr fontId="1" type="noConversion"/>
  </si>
  <si>
    <t>MIX:4f1f93a42d10:29:0</t>
    <phoneticPr fontId="1" type="noConversion"/>
  </si>
  <si>
    <t>ACT:MIX:4f1f93a42d10:29:0</t>
    <phoneticPr fontId="1" type="noConversion"/>
  </si>
  <si>
    <t>D:\项目2\Claude\06_build_aggregates.py</t>
    <phoneticPr fontId="1" type="noConversion"/>
  </si>
  <si>
    <t>MIX:4f1f93a42d10:30:1</t>
    <phoneticPr fontId="1" type="noConversion"/>
  </si>
  <si>
    <t>ACT:MIX:4f1f93a42d10:30:1</t>
    <phoneticPr fontId="1" type="noConversion"/>
  </si>
  <si>
    <t>Build aggregate CSVs</t>
    <phoneticPr fontId="1" type="noConversion"/>
  </si>
  <si>
    <t>MIX:4f1f93a42d10:31:0</t>
    <phoneticPr fontId="1" type="noConversion"/>
  </si>
  <si>
    <t>ACT:MIX:4f1f93a42d10:31:0</t>
    <phoneticPr fontId="1" type="noConversion"/>
  </si>
  <si>
    <t>MIX:4f1f93a42d10:32:0</t>
    <phoneticPr fontId="1" type="noConversion"/>
  </si>
  <si>
    <t>ACT:MIX:4f1f93a42d10:32:0</t>
    <phoneticPr fontId="1" type="noConversion"/>
  </si>
  <si>
    <t>Rebuild aggregate CSVs</t>
    <phoneticPr fontId="1" type="noConversion"/>
  </si>
  <si>
    <t>MIX:4f1f93a42d10:33:0</t>
    <phoneticPr fontId="1" type="noConversion"/>
  </si>
  <si>
    <t>ACT:MIX:4f1f93a42d10:33:0</t>
    <phoneticPr fontId="1" type="noConversion"/>
  </si>
  <si>
    <t>D:\项目2\Claude\out_06_agg.txt</t>
    <phoneticPr fontId="1" type="noConversion"/>
  </si>
  <si>
    <t>MIX:4f1f93a42d10:34:0</t>
    <phoneticPr fontId="1" type="noConversion"/>
  </si>
  <si>
    <t>ACT:MIX:4f1f93a42d10:34:0</t>
    <phoneticPr fontId="1" type="noConversion"/>
  </si>
  <si>
    <t>D:\项目2\Claude\中间汇总\t16_nypd_outcome.csv</t>
    <phoneticPr fontId="1" type="noConversion"/>
  </si>
  <si>
    <t>MIX:4f1f93a42d10:35:1</t>
    <phoneticPr fontId="1" type="noConversion"/>
  </si>
  <si>
    <t>ACT:MIX:4f1f93a42d10:35:1</t>
    <phoneticPr fontId="1" type="noConversion"/>
  </si>
  <si>
    <t>D:\项目2\Claude\中间汇总\t19_dup_overall.csv</t>
    <phoneticPr fontId="1" type="noConversion"/>
  </si>
  <si>
    <t>MIX:4f1f93a42d10:36:1</t>
    <phoneticPr fontId="1" type="noConversion"/>
  </si>
  <si>
    <t>ACT:MIX:4f1f93a42d10:36:1</t>
    <phoneticPr fontId="1" type="noConversion"/>
  </si>
  <si>
    <t>D:\项目2\Claude\中间汇总\t21_seasonality.csv</t>
    <phoneticPr fontId="1" type="noConversion"/>
  </si>
  <si>
    <t>MIX:4f1f93a42d10:37:0</t>
    <phoneticPr fontId="1" type="noConversion"/>
  </si>
  <si>
    <t>ACT:MIX:4f1f93a42d10:37:0</t>
    <phoneticPr fontId="1" type="noConversion"/>
  </si>
  <si>
    <t>D:\项目2\Claude\中间汇总\t13_duration_by_agency.csv</t>
    <phoneticPr fontId="1" type="noConversion"/>
  </si>
  <si>
    <t>MIX:4f1f93a42d10:38:1</t>
    <phoneticPr fontId="1" type="noConversion"/>
  </si>
  <si>
    <t>ACT:MIX:4f1f93a42d10:38:1</t>
    <phoneticPr fontId="1" type="noConversion"/>
  </si>
  <si>
    <t>D:\项目2\Claude\中间汇总\t24_borough_mix.csv</t>
    <phoneticPr fontId="1" type="noConversion"/>
  </si>
  <si>
    <t>MIX:4f1f93a42d10:39:0</t>
    <phoneticPr fontId="1" type="noConversion"/>
  </si>
  <si>
    <t>ACT:MIX:4f1f93a42d10:39:0</t>
    <phoneticPr fontId="1" type="noConversion"/>
  </si>
  <si>
    <t>MIX:4f1f93a42d10:40:1</t>
    <phoneticPr fontId="1" type="noConversion"/>
  </si>
  <si>
    <t>ACT:MIX:4f1f93a42d10:40:1</t>
    <phoneticPr fontId="1" type="noConversion"/>
  </si>
  <si>
    <t>Rebuild aggregates with fixed seasonality</t>
    <phoneticPr fontId="1" type="noConversion"/>
  </si>
  <si>
    <t>MIX:4f1f93a42d10:41:0</t>
    <phoneticPr fontId="1" type="noConversion"/>
  </si>
  <si>
    <t>ACT:MIX:4f1f93a42d10:41:0</t>
    <phoneticPr fontId="1" type="noConversion"/>
  </si>
  <si>
    <t>参数见证据</t>
    <phoneticPr fontId="1" type="noConversion"/>
  </si>
  <si>
    <t>MIX:4f1f93a42d10:42:1</t>
    <phoneticPr fontId="1" type="noConversion"/>
  </si>
  <si>
    <t>ACT:MIX:4f1f93a42d10:42:1</t>
    <phoneticPr fontId="1" type="noConversion"/>
  </si>
  <si>
    <t>MIX:4f1f93a42d10:43:0</t>
    <phoneticPr fontId="1" type="noConversion"/>
  </si>
  <si>
    <t>ACT:MIX:4f1f93a42d10:43:0</t>
    <phoneticPr fontId="1" type="noConversion"/>
  </si>
  <si>
    <t>MIX:4f1f93a42d10:44:1</t>
    <phoneticPr fontId="1" type="noConversion"/>
  </si>
  <si>
    <t>ACT:MIX:4f1f93a42d10:44:1</t>
    <phoneticPr fontId="1" type="noConversion"/>
  </si>
  <si>
    <t>MIX:4f1f93a42d10:45:1</t>
    <phoneticPr fontId="1" type="noConversion"/>
  </si>
  <si>
    <t>ACT:MIX:4f1f93a42d10:45:1</t>
    <phoneticPr fontId="1" type="noConversion"/>
  </si>
  <si>
    <t>MIX:4f1f93a42d10:47:1</t>
    <phoneticPr fontId="1" type="noConversion"/>
  </si>
  <si>
    <t>ACT:MIX:4f1f93a42d10:47:1</t>
    <phoneticPr fontId="1" type="noConversion"/>
  </si>
  <si>
    <t>D:\项目2\Claude\10_excel_sheets3.py</t>
    <phoneticPr fontId="1" type="noConversion"/>
  </si>
  <si>
    <t>MIX:4f1f93a42d10:48:0</t>
    <phoneticPr fontId="1" type="noConversion"/>
  </si>
  <si>
    <t>ACT:MIX:4f1f93a42d10:48:0</t>
    <phoneticPr fontId="1" type="noConversion"/>
  </si>
  <si>
    <t>MIX:4f1f93a42d10:49:0</t>
    <phoneticPr fontId="1" type="noConversion"/>
  </si>
  <si>
    <t>ACT:MIX:4f1f93a42d10:49:0</t>
    <phoneticPr fontId="1" type="noConversion"/>
  </si>
  <si>
    <t>D:\项目2\Claude\11_excel_sheets4.py</t>
    <phoneticPr fontId="1" type="noConversion"/>
  </si>
  <si>
    <t>MIX:4f1f93a42d10:50:0</t>
    <phoneticPr fontId="1" type="noConversion"/>
  </si>
  <si>
    <t>ACT:MIX:4f1f93a42d10:50:0</t>
    <phoneticPr fontId="1" type="noConversion"/>
  </si>
  <si>
    <t>MIX:4f1f93a42d10:51:0</t>
    <phoneticPr fontId="1" type="noConversion"/>
  </si>
  <si>
    <t>ACT:MIX:4f1f93a42d10:51:0</t>
    <phoneticPr fontId="1" type="noConversion"/>
  </si>
  <si>
    <t>D:\项目2\Claude\_预览图\p26.png</t>
    <phoneticPr fontId="1" type="noConversion"/>
  </si>
  <si>
    <t>MIX:4f1f93a42d10:52:1</t>
    <phoneticPr fontId="1" type="noConversion"/>
  </si>
  <si>
    <t>ACT:MIX:4f1f93a42d10:52:1</t>
    <phoneticPr fontId="1" type="noConversion"/>
  </si>
  <si>
    <t>D:\项目2\Claude\07_build_excel.py</t>
    <phoneticPr fontId="1" type="noConversion"/>
  </si>
  <si>
    <t>MIX:4f1f93a42d10:53:1</t>
    <phoneticPr fontId="1" type="noConversion"/>
  </si>
  <si>
    <t>ACT:MIX:4f1f93a42d10:53:1</t>
    <phoneticPr fontId="1" type="noConversion"/>
  </si>
  <si>
    <t>MIX:4f1f93a42d10:56:1</t>
    <phoneticPr fontId="1" type="noConversion"/>
  </si>
  <si>
    <t>ACT:MIX:4f1f93a42d10:56:1</t>
    <phoneticPr fontId="1" type="noConversion"/>
  </si>
  <si>
    <t>Grok收尾</t>
    <phoneticPr fontId="1" type="noConversion"/>
  </si>
  <si>
    <t>D:\项目2\Claude\中间汇总\t01_overview.csv</t>
    <phoneticPr fontId="1" type="noConversion"/>
  </si>
  <si>
    <t>MIX:4f1f93a42d10:56:2</t>
    <phoneticPr fontId="1" type="noConversion"/>
  </si>
  <si>
    <t>ACT:MIX:4f1f93a42d10:56:2</t>
    <phoneticPr fontId="1" type="noConversion"/>
  </si>
  <si>
    <t>D:\项目2\Claude\中间汇总\t05_yoy_window.csv</t>
    <phoneticPr fontId="1" type="noConversion"/>
  </si>
  <si>
    <t>MIX:4f1f93a42d10:56:3</t>
    <phoneticPr fontId="1" type="noConversion"/>
  </si>
  <si>
    <t>ACT:MIX:4f1f93a42d10:56:3</t>
    <phoneticPr fontId="1" type="noConversion"/>
  </si>
  <si>
    <t>D:\项目2\Claude\中间汇总\t06_yoy_by_type.csv</t>
    <phoneticPr fontId="1" type="noConversion"/>
  </si>
  <si>
    <t>MIX:4f1f93a42d10:56:4</t>
    <phoneticPr fontId="1" type="noConversion"/>
  </si>
  <si>
    <t>ACT:MIX:4f1f93a42d10:56:4</t>
    <phoneticPr fontId="1" type="noConversion"/>
  </si>
  <si>
    <t>D:\项目2\Claude\中间汇总\t02_quality.csv</t>
    <phoneticPr fontId="1" type="noConversion"/>
  </si>
  <si>
    <t>MIX:4f1f93a42d10:56:5</t>
    <phoneticPr fontId="1" type="noConversion"/>
  </si>
  <si>
    <t>ACT:MIX:4f1f93a42d10:56:5</t>
    <phoneticPr fontId="1" type="noConversion"/>
  </si>
  <si>
    <t>MIX:4f1f93a42d10:57:1</t>
    <phoneticPr fontId="1" type="noConversion"/>
  </si>
  <si>
    <t>ACT:MIX:4f1f93a42d10:57:1</t>
    <phoneticPr fontId="1" type="noConversion"/>
  </si>
  <si>
    <t>D:\项目2\Claude\分析说明.md</t>
    <phoneticPr fontId="1" type="noConversion"/>
  </si>
  <si>
    <t>MIX:4f1f93a42d10:57:2</t>
    <phoneticPr fontId="1" type="noConversion"/>
  </si>
  <si>
    <t>ACT:MIX:4f1f93a42d10:57:2</t>
    <phoneticPr fontId="1" type="noConversion"/>
  </si>
  <si>
    <t>D:\项目2\Claude\out_08_verify_excel.txt</t>
    <phoneticPr fontId="1" type="noConversion"/>
  </si>
  <si>
    <t>MIX:4f1f93a42d10:57:3</t>
    <phoneticPr fontId="1" type="noConversion"/>
  </si>
  <si>
    <t>ACT:MIX:4f1f93a42d10:57:3</t>
    <phoneticPr fontId="1" type="noConversion"/>
  </si>
  <si>
    <t>D:\项目2\Claude\out_11_keynums.txt</t>
    <phoneticPr fontId="1" type="noConversion"/>
  </si>
  <si>
    <t>MIX:4f1f93a42d10:57:4</t>
    <phoneticPr fontId="1" type="noConversion"/>
  </si>
  <si>
    <t>ACT:MIX:4f1f93a42d10:57:4</t>
    <phoneticPr fontId="1" type="noConversion"/>
  </si>
  <si>
    <t>List files in Claude workspace</t>
    <phoneticPr fontId="1" type="noConversion"/>
  </si>
  <si>
    <t>MIX:4f1f93a42d10:58:1</t>
    <phoneticPr fontId="1" type="noConversion"/>
  </si>
  <si>
    <t>ACT:MIX:4f1f93a42d10:58:1</t>
    <phoneticPr fontId="1" type="noConversion"/>
  </si>
  <si>
    <t>D:\项目2\Claude\out_07_excel.txt</t>
    <phoneticPr fontId="1" type="noConversion"/>
  </si>
  <si>
    <t>MIX:4f1f93a42d10:59:1</t>
    <phoneticPr fontId="1" type="noConversion"/>
  </si>
  <si>
    <t>ACT:MIX:4f1f93a42d10:59:1</t>
    <phoneticPr fontId="1" type="noConversion"/>
  </si>
  <si>
    <t>D:\项目2\Claude\out_09_layout.txt</t>
    <phoneticPr fontId="1" type="noConversion"/>
  </si>
  <si>
    <t>MIX:4f1f93a42d10:59:2</t>
    <phoneticPr fontId="1" type="noConversion"/>
  </si>
  <si>
    <t>ACT:MIX:4f1f93a42d10:59:2</t>
    <phoneticPr fontId="1" type="noConversion"/>
  </si>
  <si>
    <t>MIX:4f1f93a42d10:59:3</t>
    <phoneticPr fontId="1" type="noConversion"/>
  </si>
  <si>
    <t>ACT:MIX:4f1f93a42d10:59:3</t>
    <phoneticPr fontId="1" type="noConversion"/>
  </si>
  <si>
    <t>D:\项目2\Claude\12_verify_excel.py</t>
    <phoneticPr fontId="1" type="noConversion"/>
  </si>
  <si>
    <t>MIX:4f1f93a42d10:59:4</t>
    <phoneticPr fontId="1" type="noConversion"/>
  </si>
  <si>
    <t>ACT:MIX:4f1f93a42d10:59:4</t>
    <phoneticPr fontId="1" type="noConversion"/>
  </si>
  <si>
    <t>MIX:4f1f93a42d10:60:1</t>
    <phoneticPr fontId="1" type="noConversion"/>
  </si>
  <si>
    <t>ACT:MIX:4f1f93a42d10:60:1</t>
    <phoneticPr fontId="1" type="noConversion"/>
  </si>
  <si>
    <t>D:\项目2\Claude\08_excel_sheets.py</t>
    <phoneticPr fontId="1" type="noConversion"/>
  </si>
  <si>
    <t>MIX:4f1f93a42d10:60:2</t>
    <phoneticPr fontId="1" type="noConversion"/>
  </si>
  <si>
    <t>ACT:MIX:4f1f93a42d10:60:2</t>
    <phoneticPr fontId="1" type="noConversion"/>
  </si>
  <si>
    <t>MIX:4f1f93a42d10:60:3</t>
    <phoneticPr fontId="1" type="noConversion"/>
  </si>
  <si>
    <t>ACT:MIX:4f1f93a42d10:60:3</t>
    <phoneticPr fontId="1" type="noConversion"/>
  </si>
  <si>
    <t>D:\项目2\Claude\_out_md.txt</t>
    <phoneticPr fontId="1" type="noConversion"/>
  </si>
  <si>
    <t>MIX:4f1f93a42d10:60:4</t>
    <phoneticPr fontId="1" type="noConversion"/>
  </si>
  <si>
    <t>ACT:MIX:4f1f93a42d10:60:4</t>
    <phoneticPr fontId="1" type="noConversion"/>
  </si>
  <si>
    <t>MIX:4f1f93a42d10:61:0</t>
    <phoneticPr fontId="1" type="noConversion"/>
  </si>
  <si>
    <t>ACT:MIX:4f1f93a42d10:61:0</t>
    <phoneticPr fontId="1" type="noConversion"/>
  </si>
  <si>
    <t>MIX:4f1f93a42d10:61:1</t>
    <phoneticPr fontId="1" type="noConversion"/>
  </si>
  <si>
    <t>ACT:MIX:4f1f93a42d10:61:1</t>
    <phoneticPr fontId="1" type="noConversion"/>
  </si>
  <si>
    <t>MIX:4f1f93a42d10:61:2</t>
    <phoneticPr fontId="1" type="noConversion"/>
  </si>
  <si>
    <t>ACT:MIX:4f1f93a42d10:61:2</t>
    <phoneticPr fontId="1" type="noConversion"/>
  </si>
  <si>
    <t>MIX:4f1f93a42d10:62:0</t>
    <phoneticPr fontId="1" type="noConversion"/>
  </si>
  <si>
    <t>ACT:MIX:4f1f93a42d10:62:0</t>
    <phoneticPr fontId="1" type="noConversion"/>
  </si>
  <si>
    <t>D:\项目2\Claude\中间汇总\t15_censoring.csv</t>
    <phoneticPr fontId="1" type="noConversion"/>
  </si>
  <si>
    <t>MIX:4f1f93a42d10:62:1</t>
    <phoneticPr fontId="1" type="noConversion"/>
  </si>
  <si>
    <t>ACT:MIX:4f1f93a42d10:62:1</t>
    <phoneticPr fontId="1" type="noConversion"/>
  </si>
  <si>
    <t>D:\项目2\Claude\中间汇总\t04_monthly.csv</t>
    <phoneticPr fontId="1" type="noConversion"/>
  </si>
  <si>
    <t>MIX:4f1f93a42d10:62:2</t>
    <phoneticPr fontId="1" type="noConversion"/>
  </si>
  <si>
    <t>ACT:MIX:4f1f93a42d10:62:2</t>
    <phoneticPr fontId="1" type="noConversion"/>
  </si>
  <si>
    <t>D:\项目2\Claude\09_excel_sheets2.py</t>
    <phoneticPr fontId="1" type="noConversion"/>
  </si>
  <si>
    <t>MIX:4f1f93a42d10:62:3</t>
    <phoneticPr fontId="1" type="noConversion"/>
  </si>
  <si>
    <t>ACT:MIX:4f1f93a42d10:62:3</t>
    <phoneticPr fontId="1" type="noConversion"/>
  </si>
  <si>
    <t>MIX:4f1f93a42d10:63:1</t>
    <phoneticPr fontId="1" type="noConversion"/>
  </si>
  <si>
    <t>ACT:MIX:4f1f93a42d10:63:1</t>
    <phoneticPr fontId="1" type="noConversion"/>
  </si>
  <si>
    <t>MIX:4f1f93a42d10:63:2</t>
    <phoneticPr fontId="1" type="noConversion"/>
  </si>
  <si>
    <t>ACT:MIX:4f1f93a42d10:63:2</t>
    <phoneticPr fontId="1" type="noConversion"/>
  </si>
  <si>
    <t>MIX:4f1f93a42d10:64:0</t>
    <phoneticPr fontId="1" type="noConversion"/>
  </si>
  <si>
    <t>ACT:MIX:4f1f93a42d10:64:0</t>
    <phoneticPr fontId="1" type="noConversion"/>
  </si>
  <si>
    <t>Rebuild Excel and run verification</t>
    <phoneticPr fontId="1" type="noConversion"/>
  </si>
  <si>
    <t>MIX:4f1f93a42d10:65:1</t>
    <phoneticPr fontId="1" type="noConversion"/>
  </si>
  <si>
    <t>ACT:MIX:4f1f93a42d10:65:1</t>
    <phoneticPr fontId="1" type="noConversion"/>
  </si>
  <si>
    <t>Spot-check Excel cells and clean temp files</t>
    <phoneticPr fontId="1" type="noConversion"/>
  </si>
  <si>
    <t>MIX:4f1f93a42d10:66:0</t>
    <phoneticPr fontId="1" type="noConversion"/>
  </si>
  <si>
    <t>ACT:MIX:4f1f93a42d10:66:0</t>
    <phoneticPr fontId="1" type="noConversion"/>
  </si>
  <si>
    <t>删除</t>
    <phoneticPr fontId="1" type="noConversion"/>
  </si>
  <si>
    <t>D:\项目2\Claude\_预览.pdf</t>
    <phoneticPr fontId="1" type="noConversion"/>
  </si>
  <si>
    <t>Delete</t>
    <phoneticPr fontId="1" type="noConversion"/>
  </si>
  <si>
    <t>MIX:4f1f93a42d10:67:0</t>
    <phoneticPr fontId="1" type="noConversion"/>
  </si>
  <si>
    <t>ACT:MIX:4f1f93a42d10:67:0</t>
    <phoneticPr fontId="1" type="noConversion"/>
  </si>
  <si>
    <t>核验类型</t>
    <phoneticPr fontId="1" type="noConversion"/>
  </si>
  <si>
    <t>核验项目</t>
    <phoneticPr fontId="1" type="noConversion"/>
  </si>
  <si>
    <t>核验结论</t>
    <phoneticPr fontId="1" type="noConversion"/>
  </si>
  <si>
    <t>原数值</t>
    <phoneticPr fontId="1" type="noConversion"/>
  </si>
  <si>
    <t>对照数值</t>
    <phoneticPr fontId="1" type="noConversion"/>
  </si>
  <si>
    <t>另一对照值</t>
    <phoneticPr fontId="1" type="noConversion"/>
  </si>
  <si>
    <t>所列叙述有改动</t>
    <phoneticPr fontId="1" type="noConversion"/>
  </si>
  <si>
    <t>尝试修正所列问题</t>
    <phoneticPr fontId="1" type="noConversion"/>
  </si>
  <si>
    <t>所列问题已修好</t>
    <phoneticPr fontId="1" type="noConversion"/>
  </si>
  <si>
    <t>核验编号</t>
    <phoneticPr fontId="1" type="noConversion"/>
  </si>
  <si>
    <t>问题归属</t>
    <phoneticPr fontId="1" type="noConversion"/>
  </si>
  <si>
    <t>原始文字值</t>
    <phoneticPr fontId="1" type="noConversion"/>
  </si>
  <si>
    <t>对照文字值</t>
    <phoneticPr fontId="1" type="noConversion"/>
  </si>
  <si>
    <t>数值口径</t>
    <phoneticPr fontId="1" type="noConversion"/>
  </si>
  <si>
    <t>判断来源</t>
    <phoneticPr fontId="1" type="noConversion"/>
  </si>
  <si>
    <t>问题类别</t>
    <phoneticPr fontId="1" type="noConversion"/>
  </si>
  <si>
    <t>数值核验</t>
    <phoneticPr fontId="1" type="noConversion"/>
  </si>
  <si>
    <t>Street Condition净增</t>
    <phoneticPr fontId="1" type="noConversion"/>
  </si>
  <si>
    <t>数值一致</t>
    <phoneticPr fontId="1" type="noConversion"/>
  </si>
  <si>
    <t>条</t>
    <phoneticPr fontId="1" type="noConversion"/>
  </si>
  <si>
    <t>3869b15170c842ba9d65</t>
    <phoneticPr fontId="1" type="noConversion"/>
  </si>
  <si>
    <t>CHK:3869b15170c842ba9d65</t>
    <phoneticPr fontId="1" type="noConversion"/>
  </si>
  <si>
    <t>两年各1—8月</t>
    <phoneticPr fontId="1" type="noConversion"/>
  </si>
  <si>
    <t>SQL核验</t>
    <phoneticPr fontId="1" type="noConversion"/>
  </si>
  <si>
    <t>Brooklyn净增</t>
    <phoneticPr fontId="1" type="noConversion"/>
  </si>
  <si>
    <t>39cdd8e8b8934f265b52</t>
    <phoneticPr fontId="1" type="noConversion"/>
  </si>
  <si>
    <t>CHK:39cdd8e8b8934f265b52</t>
    <phoneticPr fontId="1" type="noConversion"/>
  </si>
  <si>
    <t>结论评审</t>
    <phoneticPr fontId="1" type="noConversion"/>
  </si>
  <si>
    <t>2 前三类贡献</t>
    <phoneticPr fontId="1" type="noConversion"/>
  </si>
  <si>
    <t>证据支持</t>
    <phoneticPr fontId="1" type="noConversion"/>
  </si>
  <si>
    <t>436a454ebedd3d775a34</t>
    <phoneticPr fontId="1" type="noConversion"/>
  </si>
  <si>
    <t>CHK:436a454ebedd3d775a34</t>
    <phoneticPr fontId="1" type="noConversion"/>
  </si>
  <si>
    <t>Snow or Ice净增</t>
    <phoneticPr fontId="1" type="noConversion"/>
  </si>
  <si>
    <t>4cac147b82ec739ec942</t>
    <phoneticPr fontId="1" type="noConversion"/>
  </si>
  <si>
    <t>CHK:4cac147b82ec739ec942</t>
    <phoneticPr fontId="1" type="noConversion"/>
  </si>
  <si>
    <t>Jan-Aug2025</t>
    <phoneticPr fontId="1" type="noConversion"/>
  </si>
  <si>
    <t>589645ad2c098040a6fd</t>
    <phoneticPr fontId="1" type="noConversion"/>
  </si>
  <si>
    <t>CHK:589645ad2c098040a6fd</t>
    <phoneticPr fontId="1" type="noConversion"/>
  </si>
  <si>
    <t>HEAT/HOT WATER净增</t>
    <phoneticPr fontId="1" type="noConversion"/>
  </si>
  <si>
    <t>6a75594c27485d6c8c97</t>
    <phoneticPr fontId="1" type="noConversion"/>
  </si>
  <si>
    <t>CHK:6a75594c27485d6c8c97</t>
    <phoneticPr fontId="1" type="noConversion"/>
  </si>
  <si>
    <t>3 两区集中增长</t>
    <phoneticPr fontId="1" type="noConversion"/>
  </si>
  <si>
    <t>7585d50102ea7282f0c9</t>
    <phoneticPr fontId="1" type="noConversion"/>
  </si>
  <si>
    <t>CHK:7585d50102ea7282f0c9</t>
    <phoneticPr fontId="1" type="noConversion"/>
  </si>
  <si>
    <t>实例观测</t>
    <phoneticPr fontId="1" type="noConversion"/>
  </si>
  <si>
    <t>全量请求记录</t>
    <phoneticPr fontId="1" type="noConversion"/>
  </si>
  <si>
    <t>观测数据</t>
    <phoneticPr fontId="1" type="noConversion"/>
  </si>
  <si>
    <t>AP001</t>
    <phoneticPr fontId="1" type="noConversion"/>
  </si>
  <si>
    <t>CHK:AP001</t>
    <phoneticPr fontId="1" type="noConversion"/>
  </si>
  <si>
    <t>作品摘录</t>
    <phoneticPr fontId="1" type="noConversion"/>
  </si>
  <si>
    <t>2025同窗请求量</t>
    <phoneticPr fontId="1" type="noConversion"/>
  </si>
  <si>
    <t>AP002</t>
    <phoneticPr fontId="1" type="noConversion"/>
  </si>
  <si>
    <t>CHK:AP002</t>
    <phoneticPr fontId="1" type="noConversion"/>
  </si>
  <si>
    <t>2026同窗请求量</t>
    <phoneticPr fontId="1" type="noConversion"/>
  </si>
  <si>
    <t>AP003</t>
    <phoneticPr fontId="1" type="noConversion"/>
  </si>
  <si>
    <t>CHK:AP003</t>
    <phoneticPr fontId="1" type="noConversion"/>
  </si>
  <si>
    <t>公式单元格</t>
    <phoneticPr fontId="1" type="noConversion"/>
  </si>
  <si>
    <t>个</t>
    <phoneticPr fontId="1" type="noConversion"/>
  </si>
  <si>
    <t>AP024</t>
    <phoneticPr fontId="1" type="noConversion"/>
  </si>
  <si>
    <t>CHK:AP024</t>
    <phoneticPr fontId="1" type="noConversion"/>
  </si>
  <si>
    <t>工作表数</t>
    <phoneticPr fontId="1" type="noConversion"/>
  </si>
  <si>
    <t>张</t>
    <phoneticPr fontId="1" type="noConversion"/>
  </si>
  <si>
    <t>AP025</t>
    <phoneticPr fontId="1" type="noConversion"/>
  </si>
  <si>
    <t>CHK:AP025</t>
    <phoneticPr fontId="1" type="noConversion"/>
  </si>
  <si>
    <t>原生观察秒</t>
    <phoneticPr fontId="1" type="noConversion"/>
  </si>
  <si>
    <t>AP026</t>
    <phoneticPr fontId="1" type="noConversion"/>
  </si>
  <si>
    <t>CHK:AP026</t>
    <phoneticPr fontId="1" type="noConversion"/>
  </si>
  <si>
    <t>已解析工具调用</t>
    <phoneticPr fontId="1" type="noConversion"/>
  </si>
  <si>
    <t>AP027</t>
    <phoneticPr fontId="1" type="noConversion"/>
  </si>
  <si>
    <t>CHK:AP027</t>
    <phoneticPr fontId="1" type="noConversion"/>
  </si>
  <si>
    <t>行为证据</t>
    <phoneticPr fontId="1" type="noConversion"/>
  </si>
  <si>
    <t>AP032</t>
    <phoneticPr fontId="1" type="noConversion"/>
  </si>
  <si>
    <t>CHK:AP032</t>
    <phoneticPr fontId="1" type="noConversion"/>
  </si>
  <si>
    <t>AP033</t>
    <phoneticPr fontId="1" type="noConversion"/>
  </si>
  <si>
    <t>CHK:AP033</t>
    <phoneticPr fontId="1" type="noConversion"/>
  </si>
  <si>
    <t>AP034</t>
    <phoneticPr fontId="1" type="noConversion"/>
  </si>
  <si>
    <t>CHK:AP034</t>
    <phoneticPr fontId="1" type="noConversion"/>
  </si>
  <si>
    <t>AP035</t>
    <phoneticPr fontId="1" type="noConversion"/>
  </si>
  <si>
    <t>CHK:AP035</t>
    <phoneticPr fontId="1" type="noConversion"/>
  </si>
  <si>
    <t>AP036</t>
    <phoneticPr fontId="1" type="noConversion"/>
  </si>
  <si>
    <t>CHK:AP036</t>
    <phoneticPr fontId="1" type="noConversion"/>
  </si>
  <si>
    <t>二值标记</t>
    <phoneticPr fontId="1" type="noConversion"/>
  </si>
  <si>
    <t>AP037</t>
    <phoneticPr fontId="1" type="noConversion"/>
  </si>
  <si>
    <t>CHK:AP037</t>
    <phoneticPr fontId="1" type="noConversion"/>
  </si>
  <si>
    <t>AP044</t>
    <phoneticPr fontId="1" type="noConversion"/>
  </si>
  <si>
    <t>CHK:AP044</t>
    <phoneticPr fontId="1" type="noConversion"/>
  </si>
  <si>
    <t>定向前后核查</t>
    <phoneticPr fontId="1" type="noConversion"/>
  </si>
  <si>
    <t>图表路径检查失败后修正验收脚本</t>
    <phoneticPr fontId="1" type="noConversion"/>
  </si>
  <si>
    <t>见修正结果</t>
    <phoneticPr fontId="1" type="noConversion"/>
  </si>
  <si>
    <t>LOOP001</t>
    <phoneticPr fontId="1" type="noConversion"/>
  </si>
  <si>
    <t>CHK:LOOP001</t>
    <phoneticPr fontId="1" type="noConversion"/>
  </si>
  <si>
    <t>历史回溯</t>
    <phoneticPr fontId="1" type="noConversion"/>
  </si>
  <si>
    <t>Queens净增</t>
    <phoneticPr fontId="1" type="noConversion"/>
  </si>
  <si>
    <t>b793904d3a176ae6478a</t>
    <phoneticPr fontId="1" type="noConversion"/>
  </si>
  <si>
    <t>CHK:b793904d3a176ae6478a</t>
    <phoneticPr fontId="1" type="noConversion"/>
  </si>
  <si>
    <t>1 同期请求增长</t>
    <phoneticPr fontId="1" type="noConversion"/>
  </si>
  <si>
    <t>bf878a77780aefffb1f1</t>
    <phoneticPr fontId="1" type="noConversion"/>
  </si>
  <si>
    <t>CHK:bf878a77780aefffb1f1</t>
    <phoneticPr fontId="1" type="noConversion"/>
  </si>
  <si>
    <t>Jan-Aug2026</t>
    <phoneticPr fontId="1" type="noConversion"/>
  </si>
  <si>
    <t>c2f79c8a0d51f2250cae</t>
    <phoneticPr fontId="1" type="noConversion"/>
  </si>
  <si>
    <t>CHK:c2f79c8a0d51f2250cae</t>
    <phoneticPr fontId="1" type="noConversion"/>
  </si>
  <si>
    <t>总记录数</t>
    <phoneticPr fontId="1" type="noConversion"/>
  </si>
  <si>
    <t>f90d0c3ef84f1e012674</t>
    <phoneticPr fontId="1" type="noConversion"/>
  </si>
  <si>
    <t>CHK:f90d0c3ef84f1e012674</t>
    <phoneticPr fontId="1" type="noConversion"/>
  </si>
  <si>
    <t>原核验对象</t>
    <phoneticPr fontId="1" type="noConversion"/>
  </si>
  <si>
    <t>3 结案时长双速</t>
    <phoneticPr fontId="1" type="noConversion"/>
  </si>
  <si>
    <t>支持但有限制</t>
    <phoneticPr fontId="1" type="noConversion"/>
  </si>
  <si>
    <t>01957bc196c45c116639</t>
    <phoneticPr fontId="1" type="noConversion"/>
  </si>
  <si>
    <t>CHK:01957bc196c45c116639</t>
    <phoneticPr fontId="1" type="noConversion"/>
  </si>
  <si>
    <t>Blocked Driveway11月净增</t>
    <phoneticPr fontId="1" type="noConversion"/>
  </si>
  <si>
    <t>17f3dab350e1c41b9530</t>
    <phoneticPr fontId="1" type="noConversion"/>
  </si>
  <si>
    <t>CHK:17f3dab350e1c41b9530</t>
    <phoneticPr fontId="1" type="noConversion"/>
  </si>
  <si>
    <t>10月至次年8月</t>
    <phoneticPr fontId="1" type="noConversion"/>
  </si>
  <si>
    <t>交付后修正任务</t>
    <phoneticPr fontId="1" type="noConversion"/>
  </si>
  <si>
    <t>最后重建后重新读回最终Excel</t>
    <phoneticPr fontId="1" type="noConversion"/>
  </si>
  <si>
    <t>待修正</t>
    <phoneticPr fontId="1" type="noConversion"/>
  </si>
  <si>
    <t>待处理</t>
    <phoneticPr fontId="1" type="noConversion"/>
  </si>
  <si>
    <t>25ae6e2f047c64857e67</t>
    <phoneticPr fontId="1" type="noConversion"/>
  </si>
  <si>
    <t>CHK:25ae6e2f047c64857e67</t>
    <phoneticPr fontId="1" type="noConversion"/>
  </si>
  <si>
    <t>交付补验</t>
    <phoneticPr fontId="1" type="noConversion"/>
  </si>
  <si>
    <t>最终文件验收</t>
    <phoneticPr fontId="1" type="noConversion"/>
  </si>
  <si>
    <t>最高日Snow数</t>
    <phoneticPr fontId="1" type="noConversion"/>
  </si>
  <si>
    <t>378f88b1bddcbe8f8de1</t>
    <phoneticPr fontId="1" type="noConversion"/>
  </si>
  <si>
    <t>CHK:378f88b1bddcbe8f8de1</t>
    <phoneticPr fontId="1" type="noConversion"/>
  </si>
  <si>
    <t>11月对比期计数</t>
    <phoneticPr fontId="1" type="noConversion"/>
  </si>
  <si>
    <t>3cf5664b95deaaa02586</t>
    <phoneticPr fontId="1" type="noConversion"/>
  </si>
  <si>
    <t>CHK:3cf5664b95deaaa02586</t>
    <phoneticPr fontId="1" type="noConversion"/>
  </si>
  <si>
    <t>4 近期测量与更名</t>
    <phoneticPr fontId="1" type="noConversion"/>
  </si>
  <si>
    <t>部分支持</t>
    <phoneticPr fontId="1" type="noConversion"/>
  </si>
  <si>
    <t>3f85351aaaed867bf424</t>
    <phoneticPr fontId="1" type="noConversion"/>
  </si>
  <si>
    <t>CHK:3f85351aaaed867bf424</t>
    <phoneticPr fontId="1" type="noConversion"/>
  </si>
  <si>
    <t>HEAT/HOT WATER11月净增</t>
    <phoneticPr fontId="1" type="noConversion"/>
  </si>
  <si>
    <t>4b9239a5b62f0567b6a5</t>
    <phoneticPr fontId="1" type="noConversion"/>
  </si>
  <si>
    <t>CHK:4b9239a5b62f0567b6a5</t>
    <phoneticPr fontId="1" type="noConversion"/>
  </si>
  <si>
    <t>Street Condition11月净增</t>
    <phoneticPr fontId="1" type="noConversion"/>
  </si>
  <si>
    <t>4c81eb1d8fc5d30fe1ba</t>
    <phoneticPr fontId="1" type="noConversion"/>
  </si>
  <si>
    <t>CHK:4c81eb1d8fc5d30fe1ba</t>
    <phoneticPr fontId="1" type="noConversion"/>
  </si>
  <si>
    <t>11月基期计数</t>
    <phoneticPr fontId="1" type="noConversion"/>
  </si>
  <si>
    <t>553c74247e6625de6719</t>
    <phoneticPr fontId="1" type="noConversion"/>
  </si>
  <si>
    <t>CHK:553c74247e6625de6719</t>
    <phoneticPr fontId="1" type="noConversion"/>
  </si>
  <si>
    <t>Illegal Parking11月净增</t>
    <phoneticPr fontId="1" type="noConversion"/>
  </si>
  <si>
    <t>79d4ffa1a63178c74b7a</t>
    <phoneticPr fontId="1" type="noConversion"/>
  </si>
  <si>
    <t>CHK:79d4ffa1a63178c74b7a</t>
    <phoneticPr fontId="1" type="noConversion"/>
  </si>
  <si>
    <t>NYPD时长中位小时</t>
    <phoneticPr fontId="1" type="noConversion"/>
  </si>
  <si>
    <t>披露精度一致</t>
    <phoneticPr fontId="1" type="noConversion"/>
  </si>
  <si>
    <t>小时</t>
    <phoneticPr fontId="1" type="noConversion"/>
  </si>
  <si>
    <t>816bfccd3aa518c4cc73</t>
    <phoneticPr fontId="1" type="noConversion"/>
  </si>
  <si>
    <t>CHK:816bfccd3aa518c4cc73</t>
    <phoneticPr fontId="1" type="noConversion"/>
  </si>
  <si>
    <t>Snow or Ice11月净增</t>
    <phoneticPr fontId="1" type="noConversion"/>
  </si>
  <si>
    <t>849e7d9d20ebc37b4c7f</t>
    <phoneticPr fontId="1" type="noConversion"/>
  </si>
  <si>
    <t>CHK:849e7d9d20ebc37b4c7f</t>
    <phoneticPr fontId="1" type="noConversion"/>
  </si>
  <si>
    <t>8a810f7ed55135fbeee8</t>
    <phoneticPr fontId="1" type="noConversion"/>
  </si>
  <si>
    <t>CHK:8a810f7ed55135fbeee8</t>
    <phoneticPr fontId="1" type="noConversion"/>
  </si>
  <si>
    <t>提交修改区域份额和重建请求</t>
    <phoneticPr fontId="1" type="noConversion"/>
  </si>
  <si>
    <t>LOOP011</t>
    <phoneticPr fontId="1" type="noConversion"/>
  </si>
  <si>
    <t>CHK:LOOP011</t>
    <phoneticPr fontId="1" type="noConversion"/>
  </si>
  <si>
    <t>2 冬季与尖峰结构</t>
    <phoneticPr fontId="1" type="noConversion"/>
  </si>
  <si>
    <t>a48152534deaa7e772b2</t>
    <phoneticPr fontId="1" type="noConversion"/>
  </si>
  <si>
    <t>CHK:a48152534deaa7e772b2</t>
    <phoneticPr fontId="1" type="noConversion"/>
  </si>
  <si>
    <t>最高日请求数</t>
    <phoneticPr fontId="1" type="noConversion"/>
  </si>
  <si>
    <t>eae132c1a17f9d3f7359</t>
    <phoneticPr fontId="1" type="noConversion"/>
  </si>
  <si>
    <t>CHK:eae132c1a17f9d3f7359</t>
    <phoneticPr fontId="1" type="noConversion"/>
  </si>
  <si>
    <t>1 互斥同比贡献</t>
    <phoneticPr fontId="1" type="noConversion"/>
  </si>
  <si>
    <t>f61abf2db33edc18e12b</t>
    <phoneticPr fontId="1" type="noConversion"/>
  </si>
  <si>
    <t>CHK:f61abf2db33edc18e12b</t>
    <phoneticPr fontId="1" type="noConversion"/>
  </si>
  <si>
    <t>HPD时长中位小时</t>
    <phoneticPr fontId="1" type="noConversion"/>
  </si>
  <si>
    <t>fb3f9b5a7a3a309d7615</t>
    <phoneticPr fontId="1" type="noConversion"/>
  </si>
  <si>
    <t>CHK:fb3f9b5a7a3a309d7615</t>
    <phoneticPr fontId="1" type="noConversion"/>
  </si>
  <si>
    <t>3 Snow与坑洞季节冲击</t>
    <phoneticPr fontId="1" type="noConversion"/>
  </si>
  <si>
    <t>00ed736c61480248d498</t>
    <phoneticPr fontId="1" type="noConversion"/>
  </si>
  <si>
    <t>CHK:00ed736c61480248d498</t>
    <phoneticPr fontId="1" type="noConversion"/>
  </si>
  <si>
    <t>1a74475dcd085bd935e3</t>
    <phoneticPr fontId="1" type="noConversion"/>
  </si>
  <si>
    <t>CHK:1a74475dcd085bd935e3</t>
    <phoneticPr fontId="1" type="noConversion"/>
  </si>
  <si>
    <t>Pothole 2026-03</t>
    <phoneticPr fontId="1" type="noConversion"/>
  </si>
  <si>
    <t>1e34dc5f995d846057b1</t>
    <phoneticPr fontId="1" type="noConversion"/>
  </si>
  <si>
    <t>CHK:1e34dc5f995d846057b1</t>
    <phoneticPr fontId="1" type="noConversion"/>
  </si>
  <si>
    <t>202d7e4bab5078b2b534</t>
    <phoneticPr fontId="1" type="noConversion"/>
  </si>
  <si>
    <t>CHK:202d7e4bab5078b2b534</t>
    <phoneticPr fontId="1" type="noConversion"/>
  </si>
  <si>
    <t>1 季节结构与两类合计</t>
    <phoneticPr fontId="1" type="noConversion"/>
  </si>
  <si>
    <t>部分支持且有错误</t>
    <phoneticPr fontId="1" type="noConversion"/>
  </si>
  <si>
    <t>2891c010c4808caf8721</t>
    <phoneticPr fontId="1" type="noConversion"/>
  </si>
  <si>
    <t>CHK:2891c010c4808caf8721</t>
    <phoneticPr fontId="1" type="noConversion"/>
  </si>
  <si>
    <t>2026-01供暖记录数</t>
    <phoneticPr fontId="1" type="noConversion"/>
  </si>
  <si>
    <t>2bbdfb45531bf5a73709</t>
    <phoneticPr fontId="1" type="noConversion"/>
  </si>
  <si>
    <t>CHK:2bbdfb45531bf5a73709</t>
    <phoneticPr fontId="1" type="noConversion"/>
  </si>
  <si>
    <t>3d3520ee5ae1ca5bd383</t>
    <phoneticPr fontId="1" type="noConversion"/>
  </si>
  <si>
    <t>CHK:3d3520ee5ae1ca5bd383</t>
    <phoneticPr fontId="1" type="noConversion"/>
  </si>
  <si>
    <t>冬夏标准化倍数 agency</t>
    <phoneticPr fontId="1" type="noConversion"/>
  </si>
  <si>
    <t>倍</t>
    <phoneticPr fontId="1" type="noConversion"/>
  </si>
  <si>
    <t>3fa77f863401b1f2a606</t>
    <phoneticPr fontId="1" type="noConversion"/>
  </si>
  <si>
    <t>CHK:3fa77f863401b1f2a606</t>
    <phoneticPr fontId="1" type="noConversion"/>
  </si>
  <si>
    <t>2025年5—8月主写法地址记录数</t>
    <phoneticPr fontId="1" type="noConversion"/>
  </si>
  <si>
    <t>数值不一致</t>
    <phoneticPr fontId="1" type="noConversion"/>
  </si>
  <si>
    <t>48beede90a804e4b7d4c</t>
    <phoneticPr fontId="1" type="noConversion"/>
  </si>
  <si>
    <t>CHK:48beede90a804e4b7d4c</t>
    <phoneticPr fontId="1" type="noConversion"/>
  </si>
  <si>
    <t>5 机构时长差异</t>
    <phoneticPr fontId="1" type="noConversion"/>
  </si>
  <si>
    <t>4a363af3a03b1c2ce997</t>
    <phoneticPr fontId="1" type="noConversion"/>
  </si>
  <si>
    <t>CHK:4a363af3a03b1c2ce997</t>
    <phoneticPr fontId="1" type="noConversion"/>
  </si>
  <si>
    <t>Pothole 2025-03</t>
    <phoneticPr fontId="1" type="noConversion"/>
  </si>
  <si>
    <t>4e26c22056df3e492cdd</t>
    <phoneticPr fontId="1" type="noConversion"/>
  </si>
  <si>
    <t>CHK:4e26c22056df3e492cdd</t>
    <phoneticPr fontId="1" type="noConversion"/>
  </si>
  <si>
    <t>Snow冬季对比期</t>
    <phoneticPr fontId="1" type="noConversion"/>
  </si>
  <si>
    <t>51c515b8a9cb88f30f14</t>
    <phoneticPr fontId="1" type="noConversion"/>
  </si>
  <si>
    <t>CHK:51c515b8a9cb88f30f14</t>
    <phoneticPr fontId="1" type="noConversion"/>
  </si>
  <si>
    <t>7 类型与受理机构变化</t>
    <phoneticPr fontId="1" type="noConversion"/>
  </si>
  <si>
    <t>55c508a988041d6b2044</t>
    <phoneticPr fontId="1" type="noConversion"/>
  </si>
  <si>
    <t>CHK:55c508a988041d6b2044</t>
    <phoneticPr fontId="1" type="noConversion"/>
  </si>
  <si>
    <t>5707d84195f6a93a221f</t>
    <phoneticPr fontId="1" type="noConversion"/>
  </si>
  <si>
    <t>CHK:5707d84195f6a93a221f</t>
    <phoneticPr fontId="1" type="noConversion"/>
  </si>
  <si>
    <t>6 渠道份额变化</t>
    <phoneticPr fontId="1" type="noConversion"/>
  </si>
  <si>
    <t>57e413879cda5da47038</t>
    <phoneticPr fontId="1" type="noConversion"/>
  </si>
  <si>
    <t>CHK:57e413879cda5da47038</t>
    <phoneticPr fontId="1" type="noConversion"/>
  </si>
  <si>
    <t>4 异常地址敏感性</t>
    <phoneticPr fontId="1" type="noConversion"/>
  </si>
  <si>
    <t>5fc0898307ccbf1f366d</t>
    <phoneticPr fontId="1" type="noConversion"/>
  </si>
  <si>
    <t>CHK:5fc0898307ccbf1f366d</t>
    <phoneticPr fontId="1" type="noConversion"/>
  </si>
  <si>
    <t>冬夏标准化倍数 observed</t>
    <phoneticPr fontId="1" type="noConversion"/>
  </si>
  <si>
    <t>692c36fb3fdc7bc393e8</t>
    <phoneticPr fontId="1" type="noConversion"/>
  </si>
  <si>
    <t>CHK:692c36fb3fdc7bc393e8</t>
    <phoneticPr fontId="1" type="noConversion"/>
  </si>
  <si>
    <t>发现1供暖+街道噪音合计</t>
    <phoneticPr fontId="1" type="noConversion"/>
  </si>
  <si>
    <t>71096628f0529a7580a4</t>
    <phoneticPr fontId="1" type="noConversion"/>
  </si>
  <si>
    <t>CHK:71096628f0529a7580a4</t>
    <phoneticPr fontId="1" type="noConversion"/>
  </si>
  <si>
    <t>修正异常地址低位阶段计数</t>
    <phoneticPr fontId="1" type="noConversion"/>
  </si>
  <si>
    <t>76cb4588dc14dbb16f0e</t>
    <phoneticPr fontId="1" type="noConversion"/>
  </si>
  <si>
    <t>CHK:76cb4588dc14dbb16f0e</t>
    <phoneticPr fontId="1" type="noConversion"/>
  </si>
  <si>
    <t>数值或对象错配</t>
    <phoneticPr fontId="1" type="noConversion"/>
  </si>
  <si>
    <t>地址峰值日记录数</t>
    <phoneticPr fontId="1" type="noConversion"/>
  </si>
  <si>
    <t>8c840bddac69c433483e</t>
    <phoneticPr fontId="1" type="noConversion"/>
  </si>
  <si>
    <t>CHK:8c840bddac69c433483e</t>
    <phoneticPr fontId="1" type="noConversion"/>
  </si>
  <si>
    <t>冬夏标准化倍数 cell</t>
    <phoneticPr fontId="1" type="noConversion"/>
  </si>
  <si>
    <t>914dbeca246f7eb4fe86</t>
    <phoneticPr fontId="1" type="noConversion"/>
  </si>
  <si>
    <t>CHK:914dbeca246f7eb4fe86</t>
    <phoneticPr fontId="1" type="noConversion"/>
  </si>
  <si>
    <t>修复月键不匹配造成的空表</t>
    <phoneticPr fontId="1" type="noConversion"/>
  </si>
  <si>
    <t>LOOP003</t>
    <phoneticPr fontId="1" type="noConversion"/>
  </si>
  <si>
    <t>CHK:LOOP003</t>
    <phoneticPr fontId="1" type="noConversion"/>
  </si>
  <si>
    <t>c6cf1f46b782bc7e9f29</t>
    <phoneticPr fontId="1" type="noConversion"/>
  </si>
  <si>
    <t>CHK:c6cf1f46b782bc7e9f29</t>
    <phoneticPr fontId="1" type="noConversion"/>
  </si>
  <si>
    <t>Snow冬季基期</t>
    <phoneticPr fontId="1" type="noConversion"/>
  </si>
  <si>
    <t>d537fba4d88f50a98905</t>
    <phoneticPr fontId="1" type="noConversion"/>
  </si>
  <si>
    <t>CHK:d537fba4d88f50a98905</t>
    <phoneticPr fontId="1" type="noConversion"/>
  </si>
  <si>
    <t>2 冬夏标准化分解</t>
    <phoneticPr fontId="1" type="noConversion"/>
  </si>
  <si>
    <t>d6a86c3471e9e7120850</t>
    <phoneticPr fontId="1" type="noConversion"/>
  </si>
  <si>
    <t>CHK:d6a86c3471e9e7120850</t>
    <phoneticPr fontId="1" type="noConversion"/>
  </si>
  <si>
    <t>修正供暖/噪声类别与合计错配</t>
    <phoneticPr fontId="1" type="noConversion"/>
  </si>
  <si>
    <t>e9b0da7f4185d5adceb5</t>
    <phoneticPr fontId="1" type="noConversion"/>
  </si>
  <si>
    <t>CHK:e9b0da7f4185d5adceb5</t>
    <phoneticPr fontId="1" type="noConversion"/>
  </si>
  <si>
    <t>主写法地址记录数</t>
    <phoneticPr fontId="1" type="noConversion"/>
  </si>
  <si>
    <t>fc081e28c77bbe3e3fa2</t>
    <phoneticPr fontId="1" type="noConversion"/>
  </si>
  <si>
    <t>CHK:fc081e28c77bbe3e3fa2</t>
    <phoneticPr fontId="1" type="noConversion"/>
  </si>
  <si>
    <t>0c7d3e0f844dcd8aec5d</t>
    <phoneticPr fontId="1" type="noConversion"/>
  </si>
  <si>
    <t>CHK:0c7d3e0f844dcd8aec5d</t>
    <phoneticPr fontId="1" type="noConversion"/>
  </si>
  <si>
    <t>缺失地址聚合</t>
    <phoneticPr fontId="1" type="noConversion"/>
  </si>
  <si>
    <t>0fb1ff0834297003d281</t>
    <phoneticPr fontId="1" type="noConversion"/>
  </si>
  <si>
    <t>CHK:0fb1ff0834297003d281</t>
    <phoneticPr fontId="1" type="noConversion"/>
  </si>
  <si>
    <t>记录与现实对象</t>
    <phoneticPr fontId="1" type="noConversion"/>
  </si>
  <si>
    <t>两种地址写法MOBILE占比</t>
    <phoneticPr fontId="1" type="noConversion"/>
  </si>
  <si>
    <t>%（0—100）</t>
    <phoneticPr fontId="1" type="noConversion"/>
  </si>
  <si>
    <t>2754476c3b1b701a0f6b</t>
    <phoneticPr fontId="1" type="noConversion"/>
  </si>
  <si>
    <t>CHK:2754476c3b1b701a0f6b</t>
    <phoneticPr fontId="1" type="noConversion"/>
  </si>
  <si>
    <t>至少1000条地址的记录数</t>
    <phoneticPr fontId="1" type="noConversion"/>
  </si>
  <si>
    <t>3397191559750c7894f3</t>
    <phoneticPr fontId="1" type="noConversion"/>
  </si>
  <si>
    <t>CHK:3397191559750c7894f3</t>
    <phoneticPr fontId="1" type="noConversion"/>
  </si>
  <si>
    <t>433fc936d1d909579d9a</t>
    <phoneticPr fontId="1" type="noConversion"/>
  </si>
  <si>
    <t>CHK:433fc936d1d909579d9a</t>
    <phoneticPr fontId="1" type="noConversion"/>
  </si>
  <si>
    <t>至少100条地址的记录数</t>
    <phoneticPr fontId="1" type="noConversion"/>
  </si>
  <si>
    <t>5df92e44bee2ea9cacae</t>
    <phoneticPr fontId="1" type="noConversion"/>
  </si>
  <si>
    <t>CHK:5df92e44bee2ea9cacae</t>
    <phoneticPr fontId="1" type="noConversion"/>
  </si>
  <si>
    <t>至少1000条的非缺失地址数</t>
    <phoneticPr fontId="1" type="noConversion"/>
  </si>
  <si>
    <t>个地址字符串</t>
    <phoneticPr fontId="1" type="noConversion"/>
  </si>
  <si>
    <t>74ab6345cdd85b9cb990</t>
    <phoneticPr fontId="1" type="noConversion"/>
  </si>
  <si>
    <t>CHK:74ab6345cdd85b9cb990</t>
    <phoneticPr fontId="1" type="noConversion"/>
  </si>
  <si>
    <t>剔除两种目标地址写法后ZIP记录数</t>
    <phoneticPr fontId="1" type="noConversion"/>
  </si>
  <si>
    <t>7b245dd880d9ef98d528</t>
    <phoneticPr fontId="1" type="noConversion"/>
  </si>
  <si>
    <t>CHK:7b245dd880d9ef98d528</t>
    <phoneticPr fontId="1" type="noConversion"/>
  </si>
  <si>
    <t>7cd4a83ecbacad68e608</t>
    <phoneticPr fontId="1" type="noConversion"/>
  </si>
  <si>
    <t>CHK:7cd4a83ecbacad68e608</t>
    <phoneticPr fontId="1" type="noConversion"/>
  </si>
  <si>
    <t>1 地址集中与报告者</t>
    <phoneticPr fontId="1" type="noConversion"/>
  </si>
  <si>
    <t>9a5f172e0fc7974d30e1</t>
    <phoneticPr fontId="1" type="noConversion"/>
  </si>
  <si>
    <t>CHK:9a5f172e0fc7974d30e1</t>
    <phoneticPr fontId="1" type="noConversion"/>
  </si>
  <si>
    <t>反复写报告失败后改工具并读回</t>
    <phoneticPr fontId="1" type="noConversion"/>
  </si>
  <si>
    <t>LOOP009</t>
    <phoneticPr fontId="1" type="noConversion"/>
  </si>
  <si>
    <t>CHK:LOOP009</t>
    <phoneticPr fontId="1" type="noConversion"/>
  </si>
  <si>
    <t>4 机构响应与实质效果</t>
    <phoneticPr fontId="1" type="noConversion"/>
  </si>
  <si>
    <t>acc9a869bab048e0bc9f</t>
    <phoneticPr fontId="1" type="noConversion"/>
  </si>
  <si>
    <t>CHK:acc9a869bab048e0bc9f</t>
    <phoneticPr fontId="1" type="noConversion"/>
  </si>
  <si>
    <t>b36fb687aee3485ffea4</t>
    <phoneticPr fontId="1" type="noConversion"/>
  </si>
  <si>
    <t>CHK:b36fb687aee3485ffea4</t>
    <phoneticPr fontId="1" type="noConversion"/>
  </si>
  <si>
    <t>按报告自带人口计算的万人率</t>
    <phoneticPr fontId="1" type="noConversion"/>
  </si>
  <si>
    <t>条/万人</t>
    <phoneticPr fontId="1" type="noConversion"/>
  </si>
  <si>
    <t>da114f2bc3807d5b8590</t>
    <phoneticPr fontId="1" type="noConversion"/>
  </si>
  <si>
    <t>CHK:da114f2bc3807d5b8590</t>
    <phoneticPr fontId="1" type="noConversion"/>
  </si>
  <si>
    <t>人口分母算术</t>
    <phoneticPr fontId="1" type="noConversion"/>
  </si>
  <si>
    <t>2 供暖人均与空间原因</t>
    <phoneticPr fontId="1" type="noConversion"/>
  </si>
  <si>
    <t>结论不获支持</t>
    <phoneticPr fontId="1" type="noConversion"/>
  </si>
  <si>
    <t>dbda67033f208390a6eb</t>
    <phoneticPr fontId="1" type="noConversion"/>
  </si>
  <si>
    <t>CHK:dbda67033f208390a6eb</t>
    <phoneticPr fontId="1" type="noConversion"/>
  </si>
  <si>
    <t>撤回地址即报告人、概率及住房/动机等解释</t>
    <phoneticPr fontId="1" type="noConversion"/>
  </si>
  <si>
    <t>e62c2331f6c50621fa77</t>
    <phoneticPr fontId="1" type="noConversion"/>
  </si>
  <si>
    <t>CHK:e62c2331f6c50621fa77</t>
    <phoneticPr fontId="1" type="noConversion"/>
  </si>
  <si>
    <t>解释缺证据</t>
    <phoneticPr fontId="1" type="noConversion"/>
  </si>
  <si>
    <t>修正万人率标题与数值单位不一致</t>
    <phoneticPr fontId="1" type="noConversion"/>
  </si>
  <si>
    <t>eed5bd8dc11884532291</t>
    <phoneticPr fontId="1" type="noConversion"/>
  </si>
  <si>
    <t>CHK:eed5bd8dc11884532291</t>
    <phoneticPr fontId="1" type="noConversion"/>
  </si>
  <si>
    <t>3 时段星期节律</t>
    <phoneticPr fontId="1" type="noConversion"/>
  </si>
  <si>
    <t>ef3c20e45c486f722a3e</t>
    <phoneticPr fontId="1" type="noConversion"/>
  </si>
  <si>
    <t>CHK:ef3c20e45c486f722a3e</t>
    <phoneticPr fontId="1" type="noConversion"/>
  </si>
  <si>
    <t>0caaf8696e93b087cebe</t>
    <phoneticPr fontId="1" type="noConversion"/>
  </si>
  <si>
    <t>CHK:0caaf8696e93b087cebe</t>
    <phoneticPr fontId="1" type="noConversion"/>
  </si>
  <si>
    <t>27ba4d624b5f0473f469</t>
    <phoneticPr fontId="1" type="noConversion"/>
  </si>
  <si>
    <t>CHK:27ba4d624b5f0473f469</t>
    <phoneticPr fontId="1" type="noConversion"/>
  </si>
  <si>
    <t>3 Drug Activity骤降</t>
    <phoneticPr fontId="1" type="noConversion"/>
  </si>
  <si>
    <t>37d308a4cf9fb6a1c449</t>
    <phoneticPr fontId="1" type="noConversion"/>
  </si>
  <si>
    <t>CHK:37d308a4cf9fb6a1c449</t>
    <phoneticPr fontId="1" type="noConversion"/>
  </si>
  <si>
    <t>3ba8e86d01413767d487</t>
    <phoneticPr fontId="1" type="noConversion"/>
  </si>
  <si>
    <t>CHK:3ba8e86d01413767d487</t>
    <phoneticPr fontId="1" type="noConversion"/>
  </si>
  <si>
    <t>4c6f3a38b5630a45b9b6</t>
    <phoneticPr fontId="1" type="noConversion"/>
  </si>
  <si>
    <t>CHK:4c6f3a38b5630a45b9b6</t>
    <phoneticPr fontId="1" type="noConversion"/>
  </si>
  <si>
    <t>4 直升机噪音骤降</t>
    <phoneticPr fontId="1" type="noConversion"/>
  </si>
  <si>
    <t>5736a225e17774130d3a</t>
    <phoneticPr fontId="1" type="noConversion"/>
  </si>
  <si>
    <t>CHK:5736a225e17774130d3a</t>
    <phoneticPr fontId="1" type="noConversion"/>
  </si>
  <si>
    <t>66b47b6b4a965989394d</t>
    <phoneticPr fontId="1" type="noConversion"/>
  </si>
  <si>
    <t>CHK:66b47b6b4a965989394d</t>
    <phoneticPr fontId="1" type="noConversion"/>
  </si>
  <si>
    <t>7aced1da245f0e7248d5</t>
    <phoneticPr fontId="1" type="noConversion"/>
  </si>
  <si>
    <t>CHK:7aced1da245f0e7248d5</t>
    <phoneticPr fontId="1" type="noConversion"/>
  </si>
  <si>
    <t>补充Snow筛选并更新查询</t>
    <phoneticPr fontId="1" type="noConversion"/>
  </si>
  <si>
    <t>LOOP007</t>
    <phoneticPr fontId="1" type="noConversion"/>
  </si>
  <si>
    <t>CHK:LOOP007</t>
    <phoneticPr fontId="1" type="noConversion"/>
  </si>
  <si>
    <t>负时长总数</t>
    <phoneticPr fontId="1" type="noConversion"/>
  </si>
  <si>
    <t>a8ffedebbef1611fe668</t>
    <phoneticPr fontId="1" type="noConversion"/>
  </si>
  <si>
    <t>CHK:a8ffedebbef1611fe668</t>
    <phoneticPr fontId="1" type="noConversion"/>
  </si>
  <si>
    <t>5 响应时长分层</t>
    <phoneticPr fontId="1" type="noConversion"/>
  </si>
  <si>
    <t>ad96d6980a9619d43b5b</t>
    <phoneticPr fontId="1" type="noConversion"/>
  </si>
  <si>
    <t>CHK:ad96d6980a9619d43b5b</t>
    <phoneticPr fontId="1" type="noConversion"/>
  </si>
  <si>
    <t>撤回Drug Activity细分类别结构未变的解释</t>
    <phoneticPr fontId="1" type="noConversion"/>
  </si>
  <si>
    <t>aec55299ba131eb9f26b</t>
    <phoneticPr fontId="1" type="noConversion"/>
  </si>
  <si>
    <t>CHK:aec55299ba131eb9f26b</t>
    <phoneticPr fontId="1" type="noConversion"/>
  </si>
  <si>
    <t>构成与分类解释</t>
    <phoneticPr fontId="1" type="noConversion"/>
  </si>
  <si>
    <t>2 违停处置结构</t>
    <phoneticPr fontId="1" type="noConversion"/>
  </si>
  <si>
    <t>b0e17d0e26a848bf462a</t>
    <phoneticPr fontId="1" type="noConversion"/>
  </si>
  <si>
    <t>CHK:b0e17d0e26a848bf462a</t>
    <phoneticPr fontId="1" type="noConversion"/>
  </si>
  <si>
    <t>dc40589a1e3cb43116ef</t>
    <phoneticPr fontId="1" type="noConversion"/>
  </si>
  <si>
    <t>CHK:dc40589a1e3cb43116ef</t>
    <phoneticPr fontId="1" type="noConversion"/>
  </si>
  <si>
    <t>1 天气关联类型同步</t>
    <phoneticPr fontId="1" type="noConversion"/>
  </si>
  <si>
    <t>dc6cd3907299ef77e827</t>
    <phoneticPr fontId="1" type="noConversion"/>
  </si>
  <si>
    <t>CHK:dc6cd3907299ef77e827</t>
    <phoneticPr fontId="1" type="noConversion"/>
  </si>
  <si>
    <t>改用精确时间戳识别负时长并核查受影响指标</t>
    <phoneticPr fontId="1" type="noConversion"/>
  </si>
  <si>
    <t>e636ef9a09b7297260f6</t>
    <phoneticPr fontId="1" type="noConversion"/>
  </si>
  <si>
    <t>CHK:e636ef9a09b7297260f6</t>
    <phoneticPr fontId="1" type="noConversion"/>
  </si>
  <si>
    <t>时间与比较口径</t>
    <phoneticPr fontId="1" type="noConversion"/>
  </si>
  <si>
    <t>Drug描述结构未变</t>
    <phoneticPr fontId="1" type="noConversion"/>
  </si>
  <si>
    <t>文字判断</t>
    <phoneticPr fontId="1" type="noConversion"/>
  </si>
  <si>
    <t>f4736a52bf730ac60d1d</t>
    <phoneticPr fontId="1" type="noConversion"/>
  </si>
  <si>
    <t>CHK:f4736a52bf730ac60d1d</t>
    <phoneticPr fontId="1" type="noConversion"/>
  </si>
  <si>
    <t>未变</t>
    <phoneticPr fontId="1" type="noConversion"/>
  </si>
  <si>
    <t>Use Indoor 10.6913%→29.7261%；2025-01~06 vs 2025-11~202…</t>
    <phoneticPr fontId="1" type="noConversion"/>
  </si>
  <si>
    <t>2025年1—6月 vs 2025年11月—2026年8月</t>
    <phoneticPr fontId="1" type="noConversion"/>
  </si>
  <si>
    <t>1231c0935d1d37eea53b</t>
    <phoneticPr fontId="1" type="noConversion"/>
  </si>
  <si>
    <t>CHK:1231c0935d1d37eea53b</t>
    <phoneticPr fontId="1" type="noConversion"/>
  </si>
  <si>
    <t>24f2211e10dc071af0a2</t>
    <phoneticPr fontId="1" type="noConversion"/>
  </si>
  <si>
    <t>CHK:24f2211e10dc071af0a2</t>
    <phoneticPr fontId="1" type="noConversion"/>
  </si>
  <si>
    <t>Street Condition 2025-03</t>
    <phoneticPr fontId="1" type="noConversion"/>
  </si>
  <si>
    <t>2606ade081e3721f36ba</t>
    <phoneticPr fontId="1" type="noConversion"/>
  </si>
  <si>
    <t>CHK:2606ade081e3721f36ba</t>
    <phoneticPr fontId="1" type="noConversion"/>
  </si>
  <si>
    <t>有效时长分母</t>
    <phoneticPr fontId="1" type="noConversion"/>
  </si>
  <si>
    <t>36b911a0fcd8f41f5bba</t>
    <phoneticPr fontId="1" type="noConversion"/>
  </si>
  <si>
    <t>CHK:36b911a0fcd8f41f5bba</t>
    <phoneticPr fontId="1" type="noConversion"/>
  </si>
  <si>
    <t>5 区域构成</t>
    <phoneticPr fontId="1" type="noConversion"/>
  </si>
  <si>
    <t>38864dfd433db7e60982</t>
    <phoneticPr fontId="1" type="noConversion"/>
  </si>
  <si>
    <t>CHK:38864dfd433db7e60982</t>
    <phoneticPr fontId="1" type="noConversion"/>
  </si>
  <si>
    <t>3 March Street异常</t>
    <phoneticPr fontId="1" type="noConversion"/>
  </si>
  <si>
    <t>5932ef0dd2cab4bee9c2</t>
    <phoneticPr fontId="1" type="noConversion"/>
  </si>
  <si>
    <t>CHK:5932ef0dd2cab4bee9c2</t>
    <phoneticPr fontId="1" type="noConversion"/>
  </si>
  <si>
    <t>81015be0f70107b341a6</t>
    <phoneticPr fontId="1" type="noConversion"/>
  </si>
  <si>
    <t>CHK:81015be0f70107b341a6</t>
    <phoneticPr fontId="1" type="noConversion"/>
  </si>
  <si>
    <t>Street Condition 2026-03</t>
    <phoneticPr fontId="1" type="noConversion"/>
  </si>
  <si>
    <t>95d6b970ff7548fc6d2c</t>
    <phoneticPr fontId="1" type="noConversion"/>
  </si>
  <si>
    <t>CHK:95d6b970ff7548fc6d2c</t>
    <phoneticPr fontId="1" type="noConversion"/>
  </si>
  <si>
    <t>字段列名不一致导致构建失败后修复</t>
    <phoneticPr fontId="1" type="noConversion"/>
  </si>
  <si>
    <t>LOOP005</t>
    <phoneticPr fontId="1" type="noConversion"/>
  </si>
  <si>
    <t>CHK:LOOP005</t>
    <phoneticPr fontId="1" type="noConversion"/>
  </si>
  <si>
    <t>1 同期总量与增长类型</t>
    <phoneticPr fontId="1" type="noConversion"/>
  </si>
  <si>
    <t>a590b696bf9927a357f9</t>
    <phoneticPr fontId="1" type="noConversion"/>
  </si>
  <si>
    <t>CHK:a590b696bf9927a357f9</t>
    <phoneticPr fontId="1" type="noConversion"/>
  </si>
  <si>
    <t>cc7fa8d6f7159bd49926</t>
    <phoneticPr fontId="1" type="noConversion"/>
  </si>
  <si>
    <t>CHK:cc7fa8d6f7159bd49926</t>
    <phoneticPr fontId="1" type="noConversion"/>
  </si>
  <si>
    <t>4 时长和未关闭</t>
    <phoneticPr fontId="1" type="noConversion"/>
  </si>
  <si>
    <t>d9df42fe5dd5471eb4a0</t>
    <phoneticPr fontId="1" type="noConversion"/>
  </si>
  <si>
    <t>CHK:d9df42fe5dd5471eb4a0</t>
    <phoneticPr fontId="1" type="noConversion"/>
  </si>
  <si>
    <t>2 季节性</t>
    <phoneticPr fontId="1" type="noConversion"/>
  </si>
  <si>
    <t>df56a10737a23dda0ff6</t>
    <phoneticPr fontId="1" type="noConversion"/>
  </si>
  <si>
    <t>CHK:df56a10737a23dda0ff6</t>
    <phoneticPr fontId="1" type="noConversion"/>
  </si>
  <si>
    <t>e90e09e763e80de6a738</t>
    <phoneticPr fontId="1" type="noConversion"/>
  </si>
  <si>
    <t>CHK:e90e09e763e80de6a738</t>
    <phoneticPr fontId="1" type="noConversion"/>
  </si>
  <si>
    <t>f10eb97b57175e21c368</t>
    <phoneticPr fontId="1" type="noConversion"/>
  </si>
  <si>
    <t>CHK:f10eb97b57175e21c368</t>
    <phoneticPr fontId="1" type="noConversion"/>
  </si>
  <si>
    <t>f7d22fa08172ed7f8cdf</t>
    <phoneticPr fontId="1" type="noConversion"/>
  </si>
  <si>
    <t>CHK:f7d22fa08172ed7f8cdf</t>
    <phoneticPr fontId="1" type="noConversion"/>
  </si>
  <si>
    <t>6 提交渠道</t>
    <phoneticPr fontId="1" type="noConversion"/>
  </si>
  <si>
    <t>fe5fce7a5210744ff635</t>
    <phoneticPr fontId="1" type="noConversion"/>
  </si>
  <si>
    <t>CHK:fe5fce7a5210744ff635</t>
    <phoneticPr fontId="1" type="noConversion"/>
  </si>
  <si>
    <t>2026年1—8月创建记录</t>
    <phoneticPr fontId="1" type="noConversion"/>
  </si>
  <si>
    <t>08195eb6cb66961612e1</t>
    <phoneticPr fontId="1" type="noConversion"/>
  </si>
  <si>
    <t>CHK:08195eb6cb66961612e1</t>
    <phoneticPr fontId="1" type="noConversion"/>
  </si>
  <si>
    <t>2026年1—8月</t>
    <phoneticPr fontId="1" type="noConversion"/>
  </si>
  <si>
    <t>最大创建时间</t>
    <phoneticPr fontId="1" type="noConversion"/>
  </si>
  <si>
    <t>时间戳</t>
    <phoneticPr fontId="1" type="noConversion"/>
  </si>
  <si>
    <t>0b688fc8c2e9ec25b1b2</t>
    <phoneticPr fontId="1" type="noConversion"/>
  </si>
  <si>
    <t>CHK:0b688fc8c2e9ec25b1b2</t>
    <phoneticPr fontId="1" type="noConversion"/>
  </si>
  <si>
    <t>全量 created_date</t>
    <phoneticPr fontId="1" type="noConversion"/>
  </si>
  <si>
    <t>共同主题核查</t>
    <phoneticPr fontId="1" type="noConversion"/>
  </si>
  <si>
    <t>请求总量</t>
    <phoneticPr fontId="1" type="noConversion"/>
  </si>
  <si>
    <t>数值支持</t>
    <phoneticPr fontId="1" type="noConversion"/>
  </si>
  <si>
    <t>3953a3e9d451b0c16241</t>
    <phoneticPr fontId="1" type="noConversion"/>
  </si>
  <si>
    <t>CHK:3953a3e9d451b0c16241</t>
    <phoneticPr fontId="1" type="noConversion"/>
  </si>
  <si>
    <t>负时长适用范围</t>
    <phoneticPr fontId="1" type="noConversion"/>
  </si>
  <si>
    <t>65d54ed7c790f871f7f9</t>
    <phoneticPr fontId="1" type="noConversion"/>
  </si>
  <si>
    <t>CHK:65d54ed7c790f871f7f9</t>
    <phoneticPr fontId="1" type="noConversion"/>
  </si>
  <si>
    <t>纠正最大创建时点及相应截止口径描述</t>
    <phoneticPr fontId="1" type="noConversion"/>
  </si>
  <si>
    <t>82bbbda7dc9de2490096</t>
    <phoneticPr fontId="1" type="noConversion"/>
  </si>
  <si>
    <t>CHK:82bbbda7dc9de2490096</t>
    <phoneticPr fontId="1" type="noConversion"/>
  </si>
  <si>
    <t>行为片段复核</t>
    <phoneticPr fontId="1" type="noConversion"/>
  </si>
  <si>
    <t>数据理解与质量</t>
    <phoneticPr fontId="1" type="noConversion"/>
  </si>
  <si>
    <t>已执行并进入成品</t>
    <phoneticPr fontId="1" type="noConversion"/>
  </si>
  <si>
    <t>BEH:DeepSeek:01</t>
    <phoneticPr fontId="1" type="noConversion"/>
  </si>
  <si>
    <t>CHK:BEH:DeepSeek:01</t>
    <phoneticPr fontId="1" type="noConversion"/>
  </si>
  <si>
    <t>动作5–28</t>
    <phoneticPr fontId="1" type="noConversion"/>
  </si>
  <si>
    <t>覆盖schema、时间边界、状态、负时长、缺失与队列删失。</t>
    <phoneticPr fontId="1" type="noConversion"/>
  </si>
  <si>
    <t>贡献拆解</t>
    <phoneticPr fontId="1" type="noConversion"/>
  </si>
  <si>
    <t>BEH:DeepSeek:02</t>
    <phoneticPr fontId="1" type="noConversion"/>
  </si>
  <si>
    <t>CHK:BEH:DeepSeek:02</t>
    <phoneticPr fontId="1" type="noConversion"/>
  </si>
  <si>
    <t>动作29–37</t>
    <phoneticPr fontId="1" type="noConversion"/>
  </si>
  <si>
    <t>提取统一中间表，并做机构/类型增量与构成检查。</t>
    <phoneticPr fontId="1" type="noConversion"/>
  </si>
  <si>
    <t>异常下钻</t>
    <phoneticPr fontId="1" type="noConversion"/>
  </si>
  <si>
    <t>BEH:DeepSeek:03</t>
    <phoneticPr fontId="1" type="noConversion"/>
  </si>
  <si>
    <t>CHK:BEH:DeepSeek:03</t>
    <phoneticPr fontId="1" type="noConversion"/>
  </si>
  <si>
    <t>动作41–49</t>
    <phoneticPr fontId="1" type="noConversion"/>
  </si>
  <si>
    <t>对ZIP10466与单地址集中做连续深挖，并扩展检查其他高集中类型。</t>
    <phoneticPr fontId="1" type="noConversion"/>
  </si>
  <si>
    <t>替代解释与稳健性</t>
    <phoneticPr fontId="1" type="noConversion"/>
  </si>
  <si>
    <t>BEH:DeepSeek:04</t>
    <phoneticPr fontId="1" type="noConversion"/>
  </si>
  <si>
    <t>CHK:BEH:DeepSeek:04</t>
    <phoneticPr fontId="1" type="noConversion"/>
  </si>
  <si>
    <t>动作35–49</t>
    <phoneticPr fontId="1" type="noConversion"/>
  </si>
  <si>
    <t>固定30天关闭率、删失、集中度泛化等检查用于修正解释。</t>
    <phoneticPr fontId="1" type="noConversion"/>
  </si>
  <si>
    <t>自主纠错</t>
    <phoneticPr fontId="1" type="noConversion"/>
  </si>
  <si>
    <t>已执行；仍有残留问题</t>
    <phoneticPr fontId="1" type="noConversion"/>
  </si>
  <si>
    <t>BEH:DeepSeek:05</t>
    <phoneticPr fontId="1" type="noConversion"/>
  </si>
  <si>
    <t>CHK:BEH:DeepSeek:05</t>
    <phoneticPr fontId="1" type="noConversion"/>
  </si>
  <si>
    <t>动作52–84</t>
    <phoneticPr fontId="1" type="noConversion"/>
  </si>
  <si>
    <t>多轮核对硬编码数字、DHS口径和关键表后重建报告/Excel。</t>
    <phoneticPr fontId="1" type="noConversion"/>
  </si>
  <si>
    <t>最终验收</t>
    <phoneticPr fontId="1" type="noConversion"/>
  </si>
  <si>
    <t>BEH:DeepSeek:06</t>
    <phoneticPr fontId="1" type="noConversion"/>
  </si>
  <si>
    <t>CHK:BEH:DeepSeek:06</t>
    <phoneticPr fontId="1" type="noConversion"/>
  </si>
  <si>
    <t>动作85–91</t>
    <phoneticPr fontId="1" type="noConversion"/>
  </si>
  <si>
    <t>建立独立verify脚本、原始哈希和最终重建核查。</t>
    <phoneticPr fontId="1" type="noConversion"/>
  </si>
  <si>
    <t>重新对账后修正贡献项数与比例</t>
    <phoneticPr fontId="1" type="noConversion"/>
  </si>
  <si>
    <t>LOOP004</t>
    <phoneticPr fontId="1" type="noConversion"/>
  </si>
  <si>
    <t>CHK:LOOP004</t>
    <phoneticPr fontId="1" type="noConversion"/>
  </si>
  <si>
    <t>创建边界</t>
    <phoneticPr fontId="1" type="noConversion"/>
  </si>
  <si>
    <t>a85919b7c813b2d5cbfb</t>
    <phoneticPr fontId="1" type="noConversion"/>
  </si>
  <si>
    <t>CHK:a85919b7c813b2d5cbfb</t>
    <phoneticPr fontId="1" type="noConversion"/>
  </si>
  <si>
    <t>创建量同比窗口</t>
    <phoneticPr fontId="1" type="noConversion"/>
  </si>
  <si>
    <t>a9beacd9625c914cfffe</t>
    <phoneticPr fontId="1" type="noConversion"/>
  </si>
  <si>
    <t>CHK:a9beacd9625c914cfffe</t>
    <phoneticPr fontId="1" type="noConversion"/>
  </si>
  <si>
    <t>解释与可比性</t>
    <phoneticPr fontId="1" type="noConversion"/>
  </si>
  <si>
    <t>口径须修正</t>
    <phoneticPr fontId="1" type="noConversion"/>
  </si>
  <si>
    <t>c35b126e6e04037eb340</t>
    <phoneticPr fontId="1" type="noConversion"/>
  </si>
  <si>
    <t>CHK:c35b126e6e04037eb340</t>
    <phoneticPr fontId="1" type="noConversion"/>
  </si>
  <si>
    <t>038f1c5185d06c91cb61</t>
    <phoneticPr fontId="1" type="noConversion"/>
  </si>
  <si>
    <t>CHK:038f1c5185d06c91cb61</t>
    <phoneticPr fontId="1" type="noConversion"/>
  </si>
  <si>
    <t>边界明确</t>
    <phoneticPr fontId="1" type="noConversion"/>
  </si>
  <si>
    <t>4517236988e1a0cc7120</t>
    <phoneticPr fontId="1" type="noConversion"/>
  </si>
  <si>
    <t>CHK:4517236988e1a0cc7120</t>
    <phoneticPr fontId="1" type="noConversion"/>
  </si>
  <si>
    <t>固定构成后ONLINE份额</t>
    <phoneticPr fontId="1" type="noConversion"/>
  </si>
  <si>
    <t>5854cf870c002a35f101</t>
    <phoneticPr fontId="1" type="noConversion"/>
  </si>
  <si>
    <t>CHK:5854cf870c002a35f101</t>
    <phoneticPr fontId="1" type="noConversion"/>
  </si>
  <si>
    <t>月份×类别×机构固定构成</t>
    <phoneticPr fontId="1" type="noConversion"/>
  </si>
  <si>
    <t>5b1a009df16e73a3ea6c</t>
    <phoneticPr fontId="1" type="noConversion"/>
  </si>
  <si>
    <t>CHK:5b1a009df16e73a3ea6c</t>
    <phoneticPr fontId="1" type="noConversion"/>
  </si>
  <si>
    <t>雪冰最高5天记录数</t>
    <phoneticPr fontId="1" type="noConversion"/>
  </si>
  <si>
    <t>5ebe6d1bf905d4eee2ee</t>
    <phoneticPr fontId="1" type="noConversion"/>
  </si>
  <si>
    <t>CHK:5ebe6d1bf905d4eee2ee</t>
    <phoneticPr fontId="1" type="noConversion"/>
  </si>
  <si>
    <t>2026年1—8月 Snow or Ice</t>
    <phoneticPr fontId="1" type="noConversion"/>
  </si>
  <si>
    <t>69e557f49f54db6ee76b</t>
    <phoneticPr fontId="1" type="noConversion"/>
  </si>
  <si>
    <t>CHK:69e557f49f54db6ee76b</t>
    <phoneticPr fontId="1" type="noConversion"/>
  </si>
  <si>
    <t>884b210fe18acb6409be</t>
    <phoneticPr fontId="1" type="noConversion"/>
  </si>
  <si>
    <t>CHK:884b210fe18acb6409be</t>
    <phoneticPr fontId="1" type="noConversion"/>
  </si>
  <si>
    <t>AP004</t>
    <phoneticPr fontId="1" type="noConversion"/>
  </si>
  <si>
    <t>CHK:AP004</t>
    <phoneticPr fontId="1" type="noConversion"/>
  </si>
  <si>
    <t>AP005</t>
    <phoneticPr fontId="1" type="noConversion"/>
  </si>
  <si>
    <t>CHK:AP005</t>
    <phoneticPr fontId="1" type="noConversion"/>
  </si>
  <si>
    <t>AP006</t>
    <phoneticPr fontId="1" type="noConversion"/>
  </si>
  <si>
    <t>CHK:AP006</t>
    <phoneticPr fontId="1" type="noConversion"/>
  </si>
  <si>
    <t>雪冰2025基期</t>
    <phoneticPr fontId="1" type="noConversion"/>
  </si>
  <si>
    <t>AP007</t>
    <phoneticPr fontId="1" type="noConversion"/>
  </si>
  <si>
    <t>CHK:AP007</t>
    <phoneticPr fontId="1" type="noConversion"/>
  </si>
  <si>
    <t>雪冰2026同窗</t>
    <phoneticPr fontId="1" type="noConversion"/>
  </si>
  <si>
    <t>AP008</t>
    <phoneticPr fontId="1" type="noConversion"/>
  </si>
  <si>
    <t>CHK:AP008</t>
    <phoneticPr fontId="1" type="noConversion"/>
  </si>
  <si>
    <t>雪冰2026最高5天</t>
    <phoneticPr fontId="1" type="noConversion"/>
  </si>
  <si>
    <t>AP009</t>
    <phoneticPr fontId="1" type="noConversion"/>
  </si>
  <si>
    <t>CHK:AP009</t>
    <phoneticPr fontId="1" type="noConversion"/>
  </si>
  <si>
    <t>雪冰2026删峰后</t>
    <phoneticPr fontId="1" type="noConversion"/>
  </si>
  <si>
    <t>AP010</t>
    <phoneticPr fontId="1" type="noConversion"/>
  </si>
  <si>
    <t>CHK:AP010</t>
    <phoneticPr fontId="1" type="noConversion"/>
  </si>
  <si>
    <t>雪冰同比增加月数</t>
    <phoneticPr fontId="1" type="noConversion"/>
  </si>
  <si>
    <t>月</t>
    <phoneticPr fontId="1" type="noConversion"/>
  </si>
  <si>
    <t>AP011</t>
    <phoneticPr fontId="1" type="noConversion"/>
  </si>
  <si>
    <t>CHK:AP011</t>
    <phoneticPr fontId="1" type="noConversion"/>
  </si>
  <si>
    <t>排除Tracking后2025雪冰</t>
    <phoneticPr fontId="1" type="noConversion"/>
  </si>
  <si>
    <t>AP012</t>
    <phoneticPr fontId="1" type="noConversion"/>
  </si>
  <si>
    <t>CHK:AP012</t>
    <phoneticPr fontId="1" type="noConversion"/>
  </si>
  <si>
    <t>排除Tracking后2026雪冰</t>
    <phoneticPr fontId="1" type="noConversion"/>
  </si>
  <si>
    <t>AP013</t>
    <phoneticPr fontId="1" type="noConversion"/>
  </si>
  <si>
    <t>CHK:AP013</t>
    <phoneticPr fontId="1" type="noConversion"/>
  </si>
  <si>
    <t>Pothole净增</t>
    <phoneticPr fontId="1" type="noConversion"/>
  </si>
  <si>
    <t>AP014</t>
    <phoneticPr fontId="1" type="noConversion"/>
  </si>
  <si>
    <t>CHK:AP014</t>
    <phoneticPr fontId="1" type="noConversion"/>
  </si>
  <si>
    <t>道路2025同窗</t>
    <phoneticPr fontId="1" type="noConversion"/>
  </si>
  <si>
    <t>AP015</t>
    <phoneticPr fontId="1" type="noConversion"/>
  </si>
  <si>
    <t>CHK:AP015</t>
    <phoneticPr fontId="1" type="noConversion"/>
  </si>
  <si>
    <t>道路2026同窗</t>
    <phoneticPr fontId="1" type="noConversion"/>
  </si>
  <si>
    <t>AP016</t>
    <phoneticPr fontId="1" type="noConversion"/>
  </si>
  <si>
    <t>CHK:AP016</t>
    <phoneticPr fontId="1" type="noConversion"/>
  </si>
  <si>
    <t>道路同比增加月数</t>
    <phoneticPr fontId="1" type="noConversion"/>
  </si>
  <si>
    <t>AP017</t>
    <phoneticPr fontId="1" type="noConversion"/>
  </si>
  <si>
    <t>CHK:AP017</t>
    <phoneticPr fontId="1" type="noConversion"/>
  </si>
  <si>
    <t>ONLINE基期记录</t>
    <phoneticPr fontId="1" type="noConversion"/>
  </si>
  <si>
    <t>AP018</t>
    <phoneticPr fontId="1" type="noConversion"/>
  </si>
  <si>
    <t>CHK:AP018</t>
    <phoneticPr fontId="1" type="noConversion"/>
  </si>
  <si>
    <t>ONLINE报告期记录</t>
    <phoneticPr fontId="1" type="noConversion"/>
  </si>
  <si>
    <t>AP019</t>
    <phoneticPr fontId="1" type="noConversion"/>
  </si>
  <si>
    <t>CHK:AP019</t>
    <phoneticPr fontId="1" type="noConversion"/>
  </si>
  <si>
    <t>共同单元基期N</t>
    <phoneticPr fontId="1" type="noConversion"/>
  </si>
  <si>
    <t>AP020</t>
    <phoneticPr fontId="1" type="noConversion"/>
  </si>
  <si>
    <t>CHK:AP020</t>
    <phoneticPr fontId="1" type="noConversion"/>
  </si>
  <si>
    <t>共同单元报告期N</t>
    <phoneticPr fontId="1" type="noConversion"/>
  </si>
  <si>
    <t>AP021</t>
    <phoneticPr fontId="1" type="noConversion"/>
  </si>
  <si>
    <t>CHK:AP021</t>
    <phoneticPr fontId="1" type="noConversion"/>
  </si>
  <si>
    <t>标准化基期份额</t>
    <phoneticPr fontId="1" type="noConversion"/>
  </si>
  <si>
    <t>份额（0—1）</t>
    <phoneticPr fontId="1" type="noConversion"/>
  </si>
  <si>
    <t>AP022</t>
    <phoneticPr fontId="1" type="noConversion"/>
  </si>
  <si>
    <t>CHK:AP022</t>
    <phoneticPr fontId="1" type="noConversion"/>
  </si>
  <si>
    <t>标准化报告期份额</t>
    <phoneticPr fontId="1" type="noConversion"/>
  </si>
  <si>
    <t>AP023</t>
    <phoneticPr fontId="1" type="noConversion"/>
  </si>
  <si>
    <t>CHK:AP023</t>
    <phoneticPr fontId="1" type="noConversion"/>
  </si>
  <si>
    <t>AP028</t>
    <phoneticPr fontId="1" type="noConversion"/>
  </si>
  <si>
    <t>CHK:AP028</t>
    <phoneticPr fontId="1" type="noConversion"/>
  </si>
  <si>
    <t>AP029</t>
    <phoneticPr fontId="1" type="noConversion"/>
  </si>
  <si>
    <t>CHK:AP029</t>
    <phoneticPr fontId="1" type="noConversion"/>
  </si>
  <si>
    <t>AP030</t>
    <phoneticPr fontId="1" type="noConversion"/>
  </si>
  <si>
    <t>CHK:AP030</t>
    <phoneticPr fontId="1" type="noConversion"/>
  </si>
  <si>
    <t>AP031</t>
    <phoneticPr fontId="1" type="noConversion"/>
  </si>
  <si>
    <t>CHK:AP031</t>
    <phoneticPr fontId="1" type="noConversion"/>
  </si>
  <si>
    <t>AP038</t>
    <phoneticPr fontId="1" type="noConversion"/>
  </si>
  <si>
    <t>CHK:AP038</t>
    <phoneticPr fontId="1" type="noConversion"/>
  </si>
  <si>
    <t>AP039</t>
    <phoneticPr fontId="1" type="noConversion"/>
  </si>
  <si>
    <t>CHK:AP039</t>
    <phoneticPr fontId="1" type="noConversion"/>
  </si>
  <si>
    <t>AP040</t>
    <phoneticPr fontId="1" type="noConversion"/>
  </si>
  <si>
    <t>CHK:AP040</t>
    <phoneticPr fontId="1" type="noConversion"/>
  </si>
  <si>
    <t>AP041</t>
    <phoneticPr fontId="1" type="noConversion"/>
  </si>
  <si>
    <t>CHK:AP041</t>
    <phoneticPr fontId="1" type="noConversion"/>
  </si>
  <si>
    <t>AP042</t>
    <phoneticPr fontId="1" type="noConversion"/>
  </si>
  <si>
    <t>CHK:AP042</t>
    <phoneticPr fontId="1" type="noConversion"/>
  </si>
  <si>
    <t>AP043</t>
    <phoneticPr fontId="1" type="noConversion"/>
  </si>
  <si>
    <t>CHK:AP043</t>
    <phoneticPr fontId="1" type="noConversion"/>
  </si>
  <si>
    <t>AP045</t>
    <phoneticPr fontId="1" type="noConversion"/>
  </si>
  <si>
    <t>CHK:AP045</t>
    <phoneticPr fontId="1" type="noConversion"/>
  </si>
  <si>
    <t>BEH:GPT:01</t>
    <phoneticPr fontId="1" type="noConversion"/>
  </si>
  <si>
    <t>CHK:BEH:GPT:01</t>
    <phoneticPr fontId="1" type="noConversion"/>
  </si>
  <si>
    <t>动作4–15</t>
    <phoneticPr fontId="1" type="noConversion"/>
  </si>
  <si>
    <t>全量结构、边界、缺失和异常被保存并用于后续分析。</t>
    <phoneticPr fontId="1" type="noConversion"/>
  </si>
  <si>
    <t>BEH:GPT:02</t>
    <phoneticPr fontId="1" type="noConversion"/>
  </si>
  <si>
    <t>CHK:BEH:GPT:02</t>
    <phoneticPr fontId="1" type="noConversion"/>
  </si>
  <si>
    <t>动作16–16</t>
    <phoneticPr fontId="1" type="noConversion"/>
  </si>
  <si>
    <t>形成同比互斥拆解和道路/雪冰/供暖贡献。</t>
    <phoneticPr fontId="1" type="noConversion"/>
  </si>
  <si>
    <t>BEH:GPT:03</t>
    <phoneticPr fontId="1" type="noConversion"/>
  </si>
  <si>
    <t>CHK:BEH:GPT:03</t>
    <phoneticPr fontId="1" type="noConversion"/>
  </si>
  <si>
    <t>动作17–18</t>
    <phoneticPr fontId="1" type="noConversion"/>
  </si>
  <si>
    <t>下钻雪冰峰日、道路descriptor与尖峰集中。</t>
    <phoneticPr fontId="1" type="noConversion"/>
  </si>
  <si>
    <t>BEH:GPT:04</t>
    <phoneticPr fontId="1" type="noConversion"/>
  </si>
  <si>
    <t>CHK:BEH:GPT:04</t>
    <phoneticPr fontId="1" type="noConversion"/>
  </si>
  <si>
    <t>动作17–19</t>
    <phoneticPr fontId="1" type="noConversion"/>
  </si>
  <si>
    <t>删峰、排除Snow Tracking、固定构成ONLINE等检查改变了证据强度。</t>
    <phoneticPr fontId="1" type="noConversion"/>
  </si>
  <si>
    <t>BEH:GPT:05</t>
    <phoneticPr fontId="1" type="noConversion"/>
  </si>
  <si>
    <t>CHK:BEH:GPT:05</t>
    <phoneticPr fontId="1" type="noConversion"/>
  </si>
  <si>
    <t>动作22–29</t>
    <phoneticPr fontId="1" type="noConversion"/>
  </si>
  <si>
    <t>发现Excel生成/打开问题后修改构建方式并重建。</t>
    <phoneticPr fontId="1" type="noConversion"/>
  </si>
  <si>
    <t>BEH:GPT:06</t>
    <phoneticPr fontId="1" type="noConversion"/>
  </si>
  <si>
    <t>CHK:BEH:GPT:06</t>
    <phoneticPr fontId="1" type="noConversion"/>
  </si>
  <si>
    <t>动作30–36</t>
    <phoneticPr fontId="1" type="noConversion"/>
  </si>
  <si>
    <t>桌面Excel重算、公式扫描、图表来源与多页预览均有记录。</t>
    <phoneticPr fontId="1" type="noConversion"/>
  </si>
  <si>
    <t>Excel打开问题、重建与终检</t>
    <phoneticPr fontId="1" type="noConversion"/>
  </si>
  <si>
    <t>LOOP002</t>
    <phoneticPr fontId="1" type="noConversion"/>
  </si>
  <si>
    <t>CHK:LOOP002</t>
    <phoneticPr fontId="1" type="noConversion"/>
  </si>
  <si>
    <t>披露支持</t>
    <phoneticPr fontId="1" type="noConversion"/>
  </si>
  <si>
    <t>d3e8989e81eab7ee2bf3</t>
    <phoneticPr fontId="1" type="noConversion"/>
  </si>
  <si>
    <t>CHK:d3e8989e81eab7ee2bf3</t>
    <phoneticPr fontId="1" type="noConversion"/>
  </si>
  <si>
    <t>ed09288c66cf83eab6fa</t>
    <phoneticPr fontId="1" type="noConversion"/>
  </si>
  <si>
    <t>CHK:ed09288c66cf83eab6fa</t>
    <phoneticPr fontId="1" type="noConversion"/>
  </si>
  <si>
    <t>148932f213ad481f3e1d</t>
    <phoneticPr fontId="1" type="noConversion"/>
  </si>
  <si>
    <t>CHK:148932f213ad481f3e1d</t>
    <phoneticPr fontId="1" type="noConversion"/>
  </si>
  <si>
    <t>子集数值支持</t>
    <phoneticPr fontId="1" type="noConversion"/>
  </si>
  <si>
    <t>25d1af3887b1b17e8209</t>
    <phoneticPr fontId="1" type="noConversion"/>
  </si>
  <si>
    <t>CHK:25d1af3887b1b17e8209</t>
    <phoneticPr fontId="1" type="noConversion"/>
  </si>
  <si>
    <t>Closed子集负时长</t>
    <phoneticPr fontId="1" type="noConversion"/>
  </si>
  <si>
    <t>34d2c7d44bf24859c663</t>
    <phoneticPr fontId="1" type="noConversion"/>
  </si>
  <si>
    <t>CHK:34d2c7d44bf24859c663</t>
    <phoneticPr fontId="1" type="noConversion"/>
  </si>
  <si>
    <t>status=Closed</t>
    <phoneticPr fontId="1" type="noConversion"/>
  </si>
  <si>
    <t>49d2edcf989457baecec</t>
    <phoneticPr fontId="1" type="noConversion"/>
  </si>
  <si>
    <t>CHK:49d2edcf989457baecec</t>
    <phoneticPr fontId="1" type="noConversion"/>
  </si>
  <si>
    <t>解释过强</t>
    <phoneticPr fontId="1" type="noConversion"/>
  </si>
  <si>
    <t>7579a8a494135cc27b80</t>
    <phoneticPr fontId="1" type="noConversion"/>
  </si>
  <si>
    <t>CHK:7579a8a494135cc27b80</t>
    <phoneticPr fontId="1" type="noConversion"/>
  </si>
  <si>
    <t>撤回将Closed子集547当全量错数的判定；评分仍待重审</t>
    <phoneticPr fontId="1" type="noConversion"/>
  </si>
  <si>
    <t>勘误</t>
    <phoneticPr fontId="1" type="noConversion"/>
  </si>
  <si>
    <t>8004584dec06211fc5fd</t>
    <phoneticPr fontId="1" type="noConversion"/>
  </si>
  <si>
    <t>CHK:8004584dec06211fc5fd</t>
    <phoneticPr fontId="1" type="noConversion"/>
  </si>
  <si>
    <t>评测方</t>
    <phoneticPr fontId="1" type="noConversion"/>
  </si>
  <si>
    <t>评测口径</t>
    <phoneticPr fontId="1" type="noConversion"/>
  </si>
  <si>
    <t>物理字段数</t>
    <phoneticPr fontId="1" type="noConversion"/>
  </si>
  <si>
    <t>列</t>
    <phoneticPr fontId="1" type="noConversion"/>
  </si>
  <si>
    <t>8baad95416de9732e99f</t>
    <phoneticPr fontId="1" type="noConversion"/>
  </si>
  <si>
    <t>CHK:8baad95416de9732e99f</t>
    <phoneticPr fontId="1" type="noConversion"/>
  </si>
  <si>
    <t>原始 Parquet</t>
    <phoneticPr fontId="1" type="noConversion"/>
  </si>
  <si>
    <t>9c5613a4ae153ba5ae49</t>
    <phoneticPr fontId="1" type="noConversion"/>
  </si>
  <si>
    <t>CHK:9c5613a4ae153ba5ae49</t>
    <phoneticPr fontId="1" type="noConversion"/>
  </si>
  <si>
    <t>BEH:GLM:01</t>
    <phoneticPr fontId="1" type="noConversion"/>
  </si>
  <si>
    <t>CHK:BEH:GLM:01</t>
    <phoneticPr fontId="1" type="noConversion"/>
  </si>
  <si>
    <t>动作6–13</t>
    <phoneticPr fontId="1" type="noConversion"/>
  </si>
  <si>
    <t>检查schema、分布、负时长与季节性；547为Closed子集口径。</t>
    <phoneticPr fontId="1" type="noConversion"/>
  </si>
  <si>
    <t>BEH:GLM:02</t>
    <phoneticPr fontId="1" type="noConversion"/>
  </si>
  <si>
    <t>CHK:BEH:GLM:02</t>
    <phoneticPr fontId="1" type="noConversion"/>
  </si>
  <si>
    <t>动作14–22</t>
    <phoneticPr fontId="1" type="noConversion"/>
  </si>
  <si>
    <t>做同比类型分解并保存核心聚合表。</t>
    <phoneticPr fontId="1" type="noConversion"/>
  </si>
  <si>
    <t>BEH:GLM:03</t>
    <phoneticPr fontId="1" type="noConversion"/>
  </si>
  <si>
    <t>CHK:BEH:GLM:03</t>
    <phoneticPr fontId="1" type="noConversion"/>
  </si>
  <si>
    <t>动作15–22</t>
    <phoneticPr fontId="1" type="noConversion"/>
  </si>
  <si>
    <t>继续看住宅噪声、时长异常及月度结构。</t>
    <phoneticPr fontId="1" type="noConversion"/>
  </si>
  <si>
    <t>部分执行</t>
    <phoneticPr fontId="1" type="noConversion"/>
  </si>
  <si>
    <t>BEH:GLM:04</t>
    <phoneticPr fontId="1" type="noConversion"/>
  </si>
  <si>
    <t>CHK:BEH:GLM:04</t>
    <phoneticPr fontId="1" type="noConversion"/>
  </si>
  <si>
    <t>动作13–22</t>
    <phoneticPr fontId="1" type="noConversion"/>
  </si>
  <si>
    <t>识别时长/季节性和若干异常，但替代解释检查少于GPT/DeepSeek。</t>
    <phoneticPr fontId="1" type="noConversion"/>
  </si>
  <si>
    <t>BEH:GLM:05</t>
    <phoneticPr fontId="1" type="noConversion"/>
  </si>
  <si>
    <t>CHK:BEH:GLM:05</t>
    <phoneticPr fontId="1" type="noConversion"/>
  </si>
  <si>
    <t>动作30–41</t>
    <phoneticPr fontId="1" type="noConversion"/>
  </si>
  <si>
    <t>验证工作簿后连续修改构建脚本并重建。</t>
    <phoneticPr fontId="1" type="noConversion"/>
  </si>
  <si>
    <t>BEH:GLM:06</t>
    <phoneticPr fontId="1" type="noConversion"/>
  </si>
  <si>
    <t>CHK:BEH:GLM:06</t>
    <phoneticPr fontId="1" type="noConversion"/>
  </si>
  <si>
    <t>动作44–50</t>
    <phoneticPr fontId="1" type="noConversion"/>
  </si>
  <si>
    <t>复现聚合、Excel COM打开、图表与月表对账后再修正。</t>
    <phoneticPr fontId="1" type="noConversion"/>
  </si>
  <si>
    <t>完整月份、月均值与末次对账没有同步闭合</t>
    <phoneticPr fontId="1" type="noConversion"/>
  </si>
  <si>
    <t>LOOP006</t>
    <phoneticPr fontId="1" type="noConversion"/>
  </si>
  <si>
    <t>CHK:LOOP006</t>
    <phoneticPr fontId="1" type="noConversion"/>
  </si>
  <si>
    <t>43物理字段改为44；如指投影则明确说明</t>
    <phoneticPr fontId="1" type="noConversion"/>
  </si>
  <si>
    <t>c7eb5c42a89c75cee5c3</t>
    <phoneticPr fontId="1" type="noConversion"/>
  </si>
  <si>
    <t>CHK:c7eb5c42a89c75cee5c3</t>
    <phoneticPr fontId="1" type="noConversion"/>
  </si>
  <si>
    <t>同一数据清单的连续重复读取</t>
    <phoneticPr fontId="1" type="noConversion"/>
  </si>
  <si>
    <t>LOOP013</t>
    <phoneticPr fontId="1" type="noConversion"/>
  </si>
  <si>
    <t>CHK:LOOP013</t>
    <phoneticPr fontId="1" type="noConversion"/>
  </si>
  <si>
    <t>比较仍有限制</t>
    <phoneticPr fontId="1" type="noConversion"/>
  </si>
  <si>
    <t>1527c7681f4241ba1a5b</t>
    <phoneticPr fontId="1" type="noConversion"/>
  </si>
  <si>
    <t>CHK:1527c7681f4241ba1a5b</t>
    <phoneticPr fontId="1" type="noConversion"/>
  </si>
  <si>
    <t>43f0fc1fa9453a846f61</t>
    <phoneticPr fontId="1" type="noConversion"/>
  </si>
  <si>
    <t>CHK:43f0fc1fa9453a846f61</t>
    <phoneticPr fontId="1" type="noConversion"/>
  </si>
  <si>
    <t>成熟队列有效时长记录</t>
    <phoneticPr fontId="1" type="noConversion"/>
  </si>
  <si>
    <t>452c63c5a2d02d90c1ef</t>
    <phoneticPr fontId="1" type="noConversion"/>
  </si>
  <si>
    <t>CHK:452c63c5a2d02d90c1ef</t>
    <phoneticPr fontId="1" type="noConversion"/>
  </si>
  <si>
    <t>原稿成熟队列</t>
    <phoneticPr fontId="1" type="noConversion"/>
  </si>
  <si>
    <t>核查Drug Activity描述构成，修改结构未变叙述</t>
    <phoneticPr fontId="1" type="noConversion"/>
  </si>
  <si>
    <t>6773cda7d0c7031ef417</t>
    <phoneticPr fontId="1" type="noConversion"/>
  </si>
  <si>
    <t>CHK:6773cda7d0c7031ef417</t>
    <phoneticPr fontId="1" type="noConversion"/>
  </si>
  <si>
    <t>79c4d40ad777b478d04b</t>
    <phoneticPr fontId="1" type="noConversion"/>
  </si>
  <si>
    <t>CHK:79c4d40ad777b478d04b</t>
    <phoneticPr fontId="1" type="noConversion"/>
  </si>
  <si>
    <t>8181e1827828c678c3a6</t>
    <phoneticPr fontId="1" type="noConversion"/>
  </si>
  <si>
    <t>CHK:8181e1827828c678c3a6</t>
    <phoneticPr fontId="1" type="noConversion"/>
  </si>
  <si>
    <t>BEH:Qwen:01</t>
    <phoneticPr fontId="1" type="noConversion"/>
  </si>
  <si>
    <t>CHK:BEH:Qwen:01</t>
    <phoneticPr fontId="1" type="noConversion"/>
  </si>
  <si>
    <t>动作12–20</t>
    <phoneticPr fontId="1" type="noConversion"/>
  </si>
  <si>
    <t>检查schema、文件边界、唯一键、缺失、状态和时间异常。</t>
    <phoneticPr fontId="1" type="noConversion"/>
  </si>
  <si>
    <t>BEH:Qwen:02</t>
    <phoneticPr fontId="1" type="noConversion"/>
  </si>
  <si>
    <t>CHK:BEH:Qwen:02</t>
    <phoneticPr fontId="1" type="noConversion"/>
  </si>
  <si>
    <t>动作23–38</t>
    <phoneticPr fontId="1" type="noConversion"/>
  </si>
  <si>
    <t>做类别同比、增量贡献、borough/channel和异常调整。</t>
    <phoneticPr fontId="1" type="noConversion"/>
  </si>
  <si>
    <t>BEH:Qwen:03</t>
    <phoneticPr fontId="1" type="noConversion"/>
  </si>
  <si>
    <t>CHK:BEH:Qwen:03</t>
    <phoneticPr fontId="1" type="noConversion"/>
  </si>
  <si>
    <t>动作33–38</t>
    <phoneticPr fontId="1" type="noConversion"/>
  </si>
  <si>
    <t>对2025噪声尖峰、空间分散和违停结构继续下钻。</t>
    <phoneticPr fontId="1" type="noConversion"/>
  </si>
  <si>
    <t>BEH:Qwen:04</t>
    <phoneticPr fontId="1" type="noConversion"/>
  </si>
  <si>
    <t>CHK:BEH:Qwen:04</t>
    <phoneticPr fontId="1" type="noConversion"/>
  </si>
  <si>
    <t>动作29–38</t>
    <phoneticPr fontId="1" type="noConversion"/>
  </si>
  <si>
    <t>检查taxonomy、Drug Activity、渠道与异常调整。</t>
    <phoneticPr fontId="1" type="noConversion"/>
  </si>
  <si>
    <t>BEH:Qwen:05</t>
    <phoneticPr fontId="1" type="noConversion"/>
  </si>
  <si>
    <t>CHK:BEH:Qwen:05</t>
    <phoneticPr fontId="1" type="noConversion"/>
  </si>
  <si>
    <t>动作43–53</t>
    <phoneticPr fontId="1" type="noConversion"/>
  </si>
  <si>
    <t>最终表生成后多次修改标签/口径并重跑。</t>
    <phoneticPr fontId="1" type="noConversion"/>
  </si>
  <si>
    <t>BEH:Qwen:06</t>
    <phoneticPr fontId="1" type="noConversion"/>
  </si>
  <si>
    <t>CHK:BEH:Qwen:06</t>
    <phoneticPr fontId="1" type="noConversion"/>
  </si>
  <si>
    <t>动作59–85</t>
    <phoneticPr fontId="1" type="noConversion"/>
  </si>
  <si>
    <t>XML/图表/Excel单元格/MD数字/readback多轮核对并改图。</t>
    <phoneticPr fontId="1" type="noConversion"/>
  </si>
  <si>
    <t>冬三月口径改写后读回并核对</t>
    <phoneticPr fontId="1" type="noConversion"/>
  </si>
  <si>
    <t>LOOP008</t>
    <phoneticPr fontId="1" type="noConversion"/>
  </si>
  <si>
    <t>CHK:LOOP008</t>
    <phoneticPr fontId="1" type="noConversion"/>
  </si>
  <si>
    <t>窗口敏感性观测</t>
    <phoneticPr fontId="1" type="noConversion"/>
  </si>
  <si>
    <t>HEAT/HOT WATER</t>
    <phoneticPr fontId="1" type="noConversion"/>
  </si>
  <si>
    <t>WIN:HEAT/HOT WATER</t>
    <phoneticPr fontId="1" type="noConversion"/>
  </si>
  <si>
    <t>CHK:WIN:HEAT/HOT WATER</t>
    <phoneticPr fontId="1" type="noConversion"/>
  </si>
  <si>
    <t>基期11月 / 报告期9月 / 基期同月9月</t>
    <phoneticPr fontId="1" type="noConversion"/>
  </si>
  <si>
    <t>同月敏感性复算</t>
    <phoneticPr fontId="1" type="noConversion"/>
  </si>
  <si>
    <t>Illegal Parking</t>
    <phoneticPr fontId="1" type="noConversion"/>
  </si>
  <si>
    <t>WIN:Illegal Parking</t>
    <phoneticPr fontId="1" type="noConversion"/>
  </si>
  <si>
    <t>CHK:WIN:Illegal Parking</t>
    <phoneticPr fontId="1" type="noConversion"/>
  </si>
  <si>
    <t>Noise - Residential</t>
    <phoneticPr fontId="1" type="noConversion"/>
  </si>
  <si>
    <t>WIN:Noise - Residential</t>
    <phoneticPr fontId="1" type="noConversion"/>
  </si>
  <si>
    <t>CHK:WIN:Noise - Residential</t>
    <phoneticPr fontId="1" type="noConversion"/>
  </si>
  <si>
    <t>PAINT/PLASTER</t>
    <phoneticPr fontId="1" type="noConversion"/>
  </si>
  <si>
    <t>WIN:PAINT/PLASTER</t>
    <phoneticPr fontId="1" type="noConversion"/>
  </si>
  <si>
    <t>CHK:WIN:PAINT/PLASTER</t>
    <phoneticPr fontId="1" type="noConversion"/>
  </si>
  <si>
    <t>PLUMBING</t>
    <phoneticPr fontId="1" type="noConversion"/>
  </si>
  <si>
    <t>WIN:PLUMBING</t>
    <phoneticPr fontId="1" type="noConversion"/>
  </si>
  <si>
    <t>CHK:WIN:PLUMBING</t>
    <phoneticPr fontId="1" type="noConversion"/>
  </si>
  <si>
    <t>Street Condition</t>
    <phoneticPr fontId="1" type="noConversion"/>
  </si>
  <si>
    <t>WIN:Street Condition</t>
    <phoneticPr fontId="1" type="noConversion"/>
  </si>
  <si>
    <t>CHK:WIN:Street Condition</t>
    <phoneticPr fontId="1" type="noConversion"/>
  </si>
  <si>
    <t>UNSANITARY CONDITION</t>
    <phoneticPr fontId="1" type="noConversion"/>
  </si>
  <si>
    <t>WIN:UNSANITARY CONDITION</t>
    <phoneticPr fontId="1" type="noConversion"/>
  </si>
  <si>
    <t>CHK:WIN:UNSANITARY CONDITION</t>
    <phoneticPr fontId="1" type="noConversion"/>
  </si>
  <si>
    <t>2026年3月道路状况记录</t>
    <phoneticPr fontId="1" type="noConversion"/>
  </si>
  <si>
    <t>bf9d5d6bf3a55f177e4c</t>
    <phoneticPr fontId="1" type="noConversion"/>
  </si>
  <si>
    <t>CHK:bf9d5d6bf3a55f177e4c</t>
    <phoneticPr fontId="1" type="noConversion"/>
  </si>
  <si>
    <t>2026年3月 Street Condition</t>
    <phoneticPr fontId="1" type="noConversion"/>
  </si>
  <si>
    <t>更正类别首次出现时间，撤回确定改名/必须合并</t>
    <phoneticPr fontId="1" type="noConversion"/>
  </si>
  <si>
    <t>d25121d70abf09464ae3</t>
    <phoneticPr fontId="1" type="noConversion"/>
  </si>
  <si>
    <t>CHK:d25121d70abf09464ae3</t>
    <phoneticPr fontId="1" type="noConversion"/>
  </si>
  <si>
    <t>fba177223e25205d005f</t>
    <phoneticPr fontId="1" type="noConversion"/>
  </si>
  <si>
    <t>CHK:fba177223e25205d005f</t>
    <phoneticPr fontId="1" type="noConversion"/>
  </si>
  <si>
    <t>撤回地址数等于建筑数及治理可消除等比例投诉</t>
    <phoneticPr fontId="1" type="noConversion"/>
  </si>
  <si>
    <t>0b950f918e246a929a2a</t>
    <phoneticPr fontId="1" type="noConversion"/>
  </si>
  <si>
    <t>CHK:0b950f918e246a929a2a</t>
    <phoneticPr fontId="1" type="noConversion"/>
  </si>
  <si>
    <t>去掉未经授权且不可比的人口占比解释</t>
    <phoneticPr fontId="1" type="noConversion"/>
  </si>
  <si>
    <t>0d657256b4d22b89f240</t>
    <phoneticPr fontId="1" type="noConversion"/>
  </si>
  <si>
    <t>CHK:0d657256b4d22b89f240</t>
    <phoneticPr fontId="1" type="noConversion"/>
  </si>
  <si>
    <t>将内部字典重构解释降回未验证</t>
    <phoneticPr fontId="1" type="noConversion"/>
  </si>
  <si>
    <t>3d492992f93cd6861ace</t>
    <phoneticPr fontId="1" type="noConversion"/>
  </si>
  <si>
    <t>CHK:3d492992f93cd6861ace</t>
    <phoneticPr fontId="1" type="noConversion"/>
  </si>
  <si>
    <t>说明未披露</t>
    <phoneticPr fontId="1" type="noConversion"/>
  </si>
  <si>
    <t>5e3c810df02ccac8c05f</t>
    <phoneticPr fontId="1" type="noConversion"/>
  </si>
  <si>
    <t>CHK:5e3c810df02ccac8c05f</t>
    <phoneticPr fontId="1" type="noConversion"/>
  </si>
  <si>
    <t>区分arrest否定语境后重算拘捕文本占比</t>
    <phoneticPr fontId="1" type="noConversion"/>
  </si>
  <si>
    <t>6810ce388800c83303f0</t>
    <phoneticPr fontId="1" type="noConversion"/>
  </si>
  <si>
    <t>CHK:6810ce388800c83303f0</t>
    <phoneticPr fontId="1" type="noConversion"/>
  </si>
  <si>
    <t>文本语义</t>
    <phoneticPr fontId="1" type="noConversion"/>
  </si>
  <si>
    <t>解释越界</t>
    <phoneticPr fontId="1" type="noConversion"/>
  </si>
  <si>
    <t>84daa84a602ea9bf2299</t>
    <phoneticPr fontId="1" type="noConversion"/>
  </si>
  <si>
    <t>CHK:84daa84a602ea9bf2299</t>
    <phoneticPr fontId="1" type="noConversion"/>
  </si>
  <si>
    <t>BEH:Gemini:01</t>
    <phoneticPr fontId="1" type="noConversion"/>
  </si>
  <si>
    <t>CHK:BEH:Gemini:01</t>
    <phoneticPr fontId="1" type="noConversion"/>
  </si>
  <si>
    <t>动作14–17</t>
    <phoneticPr fontId="1" type="noConversion"/>
  </si>
  <si>
    <t>检查日期范围、字段质量和异常计数。</t>
    <phoneticPr fontId="1" type="noConversion"/>
  </si>
  <si>
    <t>BEH:Gemini:02</t>
    <phoneticPr fontId="1" type="noConversion"/>
  </si>
  <si>
    <t>CHK:BEH:Gemini:02</t>
    <phoneticPr fontId="1" type="noConversion"/>
  </si>
  <si>
    <t>动作18–23</t>
    <phoneticPr fontId="1" type="noConversion"/>
  </si>
  <si>
    <t>广泛探索后做年度增长与部门/类别贡献。</t>
    <phoneticPr fontId="1" type="noConversion"/>
  </si>
  <si>
    <t>BEH:Gemini:03</t>
    <phoneticPr fontId="1" type="noConversion"/>
  </si>
  <si>
    <t>CHK:BEH:Gemini:03</t>
    <phoneticPr fontId="1" type="noConversion"/>
  </si>
  <si>
    <t>动作24–39</t>
    <phoneticPr fontId="1" type="noConversion"/>
  </si>
  <si>
    <t>继续看道路、DEP、供暖Pareto、空间与处置结果。</t>
    <phoneticPr fontId="1" type="noConversion"/>
  </si>
  <si>
    <t>BEH:Gemini:04</t>
    <phoneticPr fontId="1" type="noConversion"/>
  </si>
  <si>
    <t>CHK:BEH:Gemini:04</t>
    <phoneticPr fontId="1" type="noConversion"/>
  </si>
  <si>
    <t>做右删失、分类漂移和结构检查。</t>
    <phoneticPr fontId="1" type="noConversion"/>
  </si>
  <si>
    <t>BEH:Gemini:05</t>
    <phoneticPr fontId="1" type="noConversion"/>
  </si>
  <si>
    <t>CHK:BEH:Gemini:05</t>
    <phoneticPr fontId="1" type="noConversion"/>
  </si>
  <si>
    <t>动作43–47</t>
    <phoneticPr fontId="1" type="noConversion"/>
  </si>
  <si>
    <t>有工作簿完整性与最终脚本验证。</t>
    <phoneticPr fontId="1" type="noConversion"/>
  </si>
  <si>
    <t>BEH:Gemini:06</t>
    <phoneticPr fontId="1" type="noConversion"/>
  </si>
  <si>
    <t>CHK:BEH:Gemini:06</t>
    <phoneticPr fontId="1" type="noConversion"/>
  </si>
  <si>
    <t>动作42–47</t>
    <phoneticPr fontId="1" type="noConversion"/>
  </si>
  <si>
    <t>生成Excel、完整性检查、说明和最终验证脚本。</t>
    <phoneticPr fontId="1" type="noConversion"/>
  </si>
  <si>
    <t>Pareto脚本失败后重写并运行</t>
    <phoneticPr fontId="1" type="noConversion"/>
  </si>
  <si>
    <t>LOOP010</t>
    <phoneticPr fontId="1" type="noConversion"/>
  </si>
  <si>
    <t>CHK:LOOP010</t>
    <phoneticPr fontId="1" type="noConversion"/>
  </si>
  <si>
    <t>明确拘捕占违停比例</t>
    <phoneticPr fontId="1" type="noConversion"/>
  </si>
  <si>
    <t>a67e77f9ff4959b954cf</t>
    <phoneticPr fontId="1" type="noConversion"/>
  </si>
  <si>
    <t>CHK:a67e77f9ff4959b954cf</t>
    <phoneticPr fontId="1" type="noConversion"/>
  </si>
  <si>
    <t>made an arrest / 违停记录</t>
    <phoneticPr fontId="1" type="noConversion"/>
  </si>
  <si>
    <t>d6fb1e4bc64c9af7ed07</t>
    <phoneticPr fontId="1" type="noConversion"/>
  </si>
  <si>
    <t>CHK:d6fb1e4bc64c9af7ed07</t>
    <phoneticPr fontId="1" type="noConversion"/>
  </si>
  <si>
    <t>eff2fb39a391f4771196</t>
    <phoneticPr fontId="1" type="noConversion"/>
  </si>
  <si>
    <t>CHK:eff2fb39a391f4771196</t>
    <phoneticPr fontId="1" type="noConversion"/>
  </si>
  <si>
    <t>撤回未经天气数据验证的因果链</t>
    <phoneticPr fontId="1" type="noConversion"/>
  </si>
  <si>
    <t>f09d7cfe2eac888f49be</t>
    <phoneticPr fontId="1" type="noConversion"/>
  </si>
  <si>
    <t>CHK:f09d7cfe2eac888f49be</t>
    <phoneticPr fontId="1" type="noConversion"/>
  </si>
  <si>
    <t>f877149dcfda41032945</t>
    <phoneticPr fontId="1" type="noConversion"/>
  </si>
  <si>
    <t>CHK:f877149dcfda41032945</t>
    <phoneticPr fontId="1" type="noConversion"/>
  </si>
  <si>
    <t>雪冰高峰日期记录数</t>
    <phoneticPr fontId="1" type="noConversion"/>
  </si>
  <si>
    <t>016944fa7239656e1be8</t>
    <phoneticPr fontId="1" type="noConversion"/>
  </si>
  <si>
    <t>CHK:016944fa7239656e1be8</t>
    <phoneticPr fontId="1" type="noConversion"/>
  </si>
  <si>
    <t>原稿峰日集合</t>
    <phoneticPr fontId="1" type="noConversion"/>
  </si>
  <si>
    <t>MD已与原生Write内容按CRLF逐字节一致；Excel旧哈希仍无匹配原件</t>
    <phoneticPr fontId="1" type="noConversion"/>
  </si>
  <si>
    <t>0f287d3aa3b9cfc999b1</t>
    <phoneticPr fontId="1" type="noConversion"/>
  </si>
  <si>
    <t>CHK:0f287d3aa3b9cfc999b1</t>
    <phoneticPr fontId="1" type="noConversion"/>
  </si>
  <si>
    <t>文件身份</t>
    <phoneticPr fontId="1" type="noConversion"/>
  </si>
  <si>
    <t>HPD关闭时长P90</t>
    <phoneticPr fontId="1" type="noConversion"/>
  </si>
  <si>
    <t>29ac6351972b46bb8c26</t>
    <phoneticPr fontId="1" type="noConversion"/>
  </si>
  <si>
    <t>CHK:29ac6351972b46bb8c26</t>
    <phoneticPr fontId="1" type="noConversion"/>
  </si>
  <si>
    <t>原稿整数小时桶</t>
    <phoneticPr fontId="1" type="noConversion"/>
  </si>
  <si>
    <t>剔除固定Top10地块后供暖记录：报告期</t>
    <phoneticPr fontId="1" type="noConversion"/>
  </si>
  <si>
    <t>2fc49a27b1c31d886c9b</t>
    <phoneticPr fontId="1" type="noConversion"/>
  </si>
  <si>
    <t>CHK:2fc49a27b1c31d886c9b</t>
    <phoneticPr fontId="1" type="noConversion"/>
  </si>
  <si>
    <t>固定Top10地块排除</t>
    <phoneticPr fontId="1" type="noConversion"/>
  </si>
  <si>
    <t>34ba413e43dc7ac1ef5f</t>
    <phoneticPr fontId="1" type="noConversion"/>
  </si>
  <si>
    <t>CHK:34ba413e43dc7ac1ef5f</t>
    <phoneticPr fontId="1" type="noConversion"/>
  </si>
  <si>
    <t>剔除固定Top10地块后供暖记录：基期</t>
    <phoneticPr fontId="1" type="noConversion"/>
  </si>
  <si>
    <t>4694271f3a62d051a830</t>
    <phoneticPr fontId="1" type="noConversion"/>
  </si>
  <si>
    <t>CHK:4694271f3a62d051a830</t>
    <phoneticPr fontId="1" type="noConversion"/>
  </si>
  <si>
    <t>4c4246c2b3eb00a06c54</t>
    <phoneticPr fontId="1" type="noConversion"/>
  </si>
  <si>
    <t>CHK:4c4246c2b3eb00a06c54</t>
    <phoneticPr fontId="1" type="noConversion"/>
  </si>
  <si>
    <t>533ff7691134cb4de95e</t>
    <phoneticPr fontId="1" type="noConversion"/>
  </si>
  <si>
    <t>CHK:533ff7691134cb4de95e</t>
    <phoneticPr fontId="1" type="noConversion"/>
  </si>
  <si>
    <t>未来关闭日期</t>
    <phoneticPr fontId="1" type="noConversion"/>
  </si>
  <si>
    <t>553f2b165fb365bdae2a</t>
    <phoneticPr fontId="1" type="noConversion"/>
  </si>
  <si>
    <t>CHK:553f2b165fb365bdae2a</t>
    <phoneticPr fontId="1" type="noConversion"/>
  </si>
  <si>
    <t>HPD关闭时长中位数</t>
    <phoneticPr fontId="1" type="noConversion"/>
  </si>
  <si>
    <t>5f8387f9752c23d5c77f</t>
    <phoneticPr fontId="1" type="noConversion"/>
  </si>
  <si>
    <t>CHK:5f8387f9752c23d5c77f</t>
    <phoneticPr fontId="1" type="noConversion"/>
  </si>
  <si>
    <t>指定OOS类别首次出现月</t>
    <phoneticPr fontId="1" type="noConversion"/>
  </si>
  <si>
    <t>年月</t>
    <phoneticPr fontId="1" type="noConversion"/>
  </si>
  <si>
    <t>604bf3198d46a1e4607c</t>
    <phoneticPr fontId="1" type="noConversion"/>
  </si>
  <si>
    <t>CHK:604bf3198d46a1e4607c</t>
    <phoneticPr fontId="1" type="noConversion"/>
  </si>
  <si>
    <t>2025-09</t>
    <phoneticPr fontId="1" type="noConversion"/>
  </si>
  <si>
    <t>oos_timeline</t>
    <phoneticPr fontId="1" type="noConversion"/>
  </si>
  <si>
    <t>指定OOS类别记录数</t>
    <phoneticPr fontId="1" type="noConversion"/>
  </si>
  <si>
    <t>6f27ccea134403bec0ae</t>
    <phoneticPr fontId="1" type="noConversion"/>
  </si>
  <si>
    <t>CHK:6f27ccea134403bec0ae</t>
    <phoneticPr fontId="1" type="noConversion"/>
  </si>
  <si>
    <t>旧复算底稿11项数值</t>
    <phoneticPr fontId="1" type="noConversion"/>
  </si>
  <si>
    <t>700b5a8f251a2cbceb96</t>
    <phoneticPr fontId="1" type="noConversion"/>
  </si>
  <si>
    <t>CHK:700b5a8f251a2cbceb96</t>
    <phoneticPr fontId="1" type="noConversion"/>
  </si>
  <si>
    <t>评测方数值勘误</t>
    <phoneticPr fontId="1" type="noConversion"/>
  </si>
  <si>
    <t>BEH:Grok:01</t>
    <phoneticPr fontId="1" type="noConversion"/>
  </si>
  <si>
    <t>CHK:BEH:Grok:01</t>
    <phoneticPr fontId="1" type="noConversion"/>
  </si>
  <si>
    <t>动作12–18</t>
    <phoneticPr fontId="1" type="noConversion"/>
  </si>
  <si>
    <t>检查schema、状态、渠道、borough、taxonomy与时长质量。</t>
    <phoneticPr fontId="1" type="noConversion"/>
  </si>
  <si>
    <t>BEH:Grok:02</t>
    <phoneticPr fontId="1" type="noConversion"/>
  </si>
  <si>
    <t>CHK:BEH:Grok:02</t>
    <phoneticPr fontId="1" type="noConversion"/>
  </si>
  <si>
    <t>动作19–26</t>
    <phoneticPr fontId="1" type="noConversion"/>
  </si>
  <si>
    <t>做11个月同比、类型/机构贡献和互斥桶。</t>
    <phoneticPr fontId="1" type="noConversion"/>
  </si>
  <si>
    <t>BEH:Grok:03</t>
    <phoneticPr fontId="1" type="noConversion"/>
  </si>
  <si>
    <t>CHK:BEH:Grok:03</t>
    <phoneticPr fontId="1" type="noConversion"/>
  </si>
  <si>
    <t>动作27–31</t>
    <phoneticPr fontId="1" type="noConversion"/>
  </si>
  <si>
    <t>继续做积雪/坑洞集中、供暖Top BBL、删失、水务/违停/OOS。</t>
    <phoneticPr fontId="1" type="noConversion"/>
  </si>
  <si>
    <t>BEH:Grok:04</t>
    <phoneticPr fontId="1" type="noConversion"/>
  </si>
  <si>
    <t>CHK:BEH:Grok:04</t>
    <phoneticPr fontId="1" type="noConversion"/>
  </si>
  <si>
    <t>动作28–31</t>
    <phoneticPr fontId="1" type="noConversion"/>
  </si>
  <si>
    <t>剔除雪/坑洞、固定Top10地块和成熟队列检查增强结论。</t>
    <phoneticPr fontId="1" type="noConversion"/>
  </si>
  <si>
    <t>BEH:Grok:05</t>
    <phoneticPr fontId="1" type="noConversion"/>
  </si>
  <si>
    <t>CHK:BEH:Grok:05</t>
    <phoneticPr fontId="1" type="noConversion"/>
  </si>
  <si>
    <t>动作35–47</t>
    <phoneticPr fontId="1" type="noConversion"/>
  </si>
  <si>
    <t>读取中间表、调整工作簿与报告后继续检查。</t>
    <phoneticPr fontId="1" type="noConversion"/>
  </si>
  <si>
    <t>BEH:Grok:06</t>
    <phoneticPr fontId="1" type="noConversion"/>
  </si>
  <si>
    <t>CHK:BEH:Grok:06</t>
    <phoneticPr fontId="1" type="noConversion"/>
  </si>
  <si>
    <t>动作48–51</t>
    <phoneticPr fontId="1" type="noConversion"/>
  </si>
  <si>
    <t>写qa_verify并执行清理/输出核对。</t>
    <phoneticPr fontId="1" type="noConversion"/>
  </si>
  <si>
    <t>QA脚本、报告写入和执行请求</t>
    <phoneticPr fontId="1" type="noConversion"/>
  </si>
  <si>
    <t>LOOP012</t>
    <phoneticPr fontId="1" type="noConversion"/>
  </si>
  <si>
    <t>CHK:LOOP012</t>
    <phoneticPr fontId="1" type="noConversion"/>
  </si>
  <si>
    <t>a29c692b7e8087c0d618</t>
    <phoneticPr fontId="1" type="noConversion"/>
  </si>
  <si>
    <t>CHK:a29c692b7e8087c0d618</t>
    <phoneticPr fontId="1" type="noConversion"/>
  </si>
  <si>
    <t>af022f313ae484b25e5a</t>
    <phoneticPr fontId="1" type="noConversion"/>
  </si>
  <si>
    <t>CHK:af022f313ae484b25e5a</t>
    <phoneticPr fontId="1" type="noConversion"/>
  </si>
  <si>
    <t>供暖duplicate标记记录数</t>
    <phoneticPr fontId="1" type="noConversion"/>
  </si>
  <si>
    <t>af75ec7e55e1df8366c4</t>
    <phoneticPr fontId="1" type="noConversion"/>
  </si>
  <si>
    <t>CHK:af75ec7e55e1df8366c4</t>
    <phoneticPr fontId="1" type="noConversion"/>
  </si>
  <si>
    <t>报告期；duplicate结案标记</t>
    <phoneticPr fontId="1" type="noConversion"/>
  </si>
  <si>
    <t>b18f39071ee9741082e3</t>
    <phoneticPr fontId="1" type="noConversion"/>
  </si>
  <si>
    <t>CHK:b18f39071ee9741082e3</t>
    <phoneticPr fontId="1" type="noConversion"/>
  </si>
  <si>
    <t>同址+同类+同日规则簇</t>
    <phoneticPr fontId="1" type="noConversion"/>
  </si>
  <si>
    <t>0407255cdc967c8f346b</t>
    <phoneticPr fontId="1" type="noConversion"/>
  </si>
  <si>
    <t>CHK:0407255cdc967c8f346b</t>
    <phoneticPr fontId="1" type="noConversion"/>
  </si>
  <si>
    <t>辅助成品</t>
    <phoneticPr fontId="1" type="noConversion"/>
  </si>
  <si>
    <t>语义与推断</t>
    <phoneticPr fontId="1" type="noConversion"/>
  </si>
  <si>
    <t>异常高频地址应作为异常标记与敏感性场景，不应在未证明无效记录时作为全局主分析删除口径</t>
    <phoneticPr fontId="1" type="noConversion"/>
  </si>
  <si>
    <t>c9209487b2568e2bc4bf</t>
    <phoneticPr fontId="1" type="noConversion"/>
  </si>
  <si>
    <t>CHK:c9209487b2568e2bc4bf</t>
    <phoneticPr fontId="1" type="noConversion"/>
  </si>
  <si>
    <t>清洗依据</t>
    <phoneticPr fontId="1" type="noConversion"/>
  </si>
  <si>
    <t>“一个地址贡献2.5%”需改成四个地址写法/组合合计；最大单一原文地址约2.22%</t>
    <phoneticPr fontId="1" type="noConversion"/>
  </si>
  <si>
    <t>d47533cb537104e99779</t>
    <phoneticPr fontId="1" type="noConversion"/>
  </si>
  <si>
    <t>CHK:d47533cb537104e99779</t>
    <phoneticPr fontId="1" type="noConversion"/>
  </si>
  <si>
    <t>数量与口径</t>
    <phoneticPr fontId="1" type="noConversion"/>
  </si>
  <si>
    <t>辅助成品复核</t>
    <phoneticPr fontId="1" type="noConversion"/>
  </si>
  <si>
    <t>原始请求记录数</t>
    <phoneticPr fontId="1" type="noConversion"/>
  </si>
  <si>
    <t>CLAUDE:N</t>
    <phoneticPr fontId="1" type="noConversion"/>
  </si>
  <si>
    <t>CHK:CLAUDE:N</t>
    <phoneticPr fontId="1" type="noConversion"/>
  </si>
  <si>
    <t>独立复算</t>
    <phoneticPr fontId="1" type="noConversion"/>
  </si>
  <si>
    <t>按峰日阈值剔除记录</t>
    <phoneticPr fontId="1" type="noConversion"/>
  </si>
  <si>
    <t>数值一致（项目定义）</t>
    <phoneticPr fontId="1" type="noConversion"/>
  </si>
  <si>
    <t>CLAUDE:EX</t>
    <phoneticPr fontId="1" type="noConversion"/>
  </si>
  <si>
    <t>CHK:CLAUDE:EX</t>
    <phoneticPr fontId="1" type="noConversion"/>
  </si>
  <si>
    <t>项目筛选后请求量</t>
    <phoneticPr fontId="1" type="noConversion"/>
  </si>
  <si>
    <t>CLAUDE:ANA</t>
    <phoneticPr fontId="1" type="noConversion"/>
  </si>
  <si>
    <t>CHK:CLAUDE:ANA</t>
    <phoneticPr fontId="1" type="noConversion"/>
  </si>
  <si>
    <t>基期记录数</t>
    <phoneticPr fontId="1" type="noConversion"/>
  </si>
  <si>
    <t>CLAUDE:Y1</t>
    <phoneticPr fontId="1" type="noConversion"/>
  </si>
  <si>
    <t>CHK:CLAUDE:Y1</t>
    <phoneticPr fontId="1" type="noConversion"/>
  </si>
  <si>
    <t>报告期记录数</t>
    <phoneticPr fontId="1" type="noConversion"/>
  </si>
  <si>
    <t>CLAUDE:Y2</t>
    <phoneticPr fontId="1" type="noConversion"/>
  </si>
  <si>
    <t>CHK:CLAUDE:Y2</t>
    <phoneticPr fontId="1" type="noConversion"/>
  </si>
  <si>
    <t>按有记录日期计算的日均增长</t>
    <phoneticPr fontId="1" type="noConversion"/>
  </si>
  <si>
    <t>CLAUDE:DAILY</t>
    <phoneticPr fontId="1" type="noConversion"/>
  </si>
  <si>
    <t>CHK:CLAUDE:DAILY</t>
    <phoneticPr fontId="1" type="noConversion"/>
  </si>
  <si>
    <t>单一原始地址最高占全量比例</t>
    <phoneticPr fontId="1" type="noConversion"/>
  </si>
  <si>
    <t>标题对象错配</t>
    <phoneticPr fontId="1" type="noConversion"/>
  </si>
  <si>
    <t>CLAUDE:ONEADDR</t>
    <phoneticPr fontId="1" type="noConversion"/>
  </si>
  <si>
    <t>CHK:CLAUDE:ONEADDR</t>
    <phoneticPr fontId="1" type="noConversion"/>
  </si>
  <si>
    <t>住宅噪声原始同比</t>
    <phoneticPr fontId="1" type="noConversion"/>
  </si>
  <si>
    <t>CLAUDE:NOISE_RAW</t>
    <phoneticPr fontId="1" type="noConversion"/>
  </si>
  <si>
    <t>CHK:CLAUDE:NOISE_RAW</t>
    <phoneticPr fontId="1" type="noConversion"/>
  </si>
  <si>
    <t>住宅噪声排除后同比</t>
    <phoneticPr fontId="1" type="noConversion"/>
  </si>
  <si>
    <t>CLAUDE:NOISE_EX</t>
    <phoneticPr fontId="1" type="noConversion"/>
  </si>
  <si>
    <t>CHK:CLAUDE:NOISE_EX</t>
    <phoneticPr fontId="1" type="noConversion"/>
  </si>
  <si>
    <t>全部类型净增</t>
    <phoneticPr fontId="1" type="noConversion"/>
  </si>
  <si>
    <t>CLAUDE:NET</t>
    <phoneticPr fontId="1" type="noConversion"/>
  </si>
  <si>
    <t>CHK:CLAUDE:NET</t>
    <phoneticPr fontId="1" type="noConversion"/>
  </si>
  <si>
    <t>前20类增量合计是否覆盖全部净增</t>
    <phoneticPr fontId="1" type="noConversion"/>
  </si>
  <si>
    <t>范围不一致</t>
    <phoneticPr fontId="1" type="noConversion"/>
  </si>
  <si>
    <t>CLAUDE:TOP20</t>
    <phoneticPr fontId="1" type="noConversion"/>
  </si>
  <si>
    <t>CHK:CLAUDE:TOP20</t>
    <phoneticPr fontId="1" type="noConversion"/>
  </si>
  <si>
    <t>汇总范围</t>
    <phoneticPr fontId="1" type="noConversion"/>
  </si>
  <si>
    <t>分钟边界差为零</t>
    <phoneticPr fontId="1" type="noConversion"/>
  </si>
  <si>
    <t>数值一致（分钟边界）</t>
    <phoneticPr fontId="1" type="noConversion"/>
  </si>
  <si>
    <t>CLAUDE:ZEROMIN</t>
    <phoneticPr fontId="1" type="noConversion"/>
  </si>
  <si>
    <t>CHK:CLAUDE:ZEROMIN</t>
    <phoneticPr fontId="1" type="noConversion"/>
  </si>
  <si>
    <t>精确零时长参照</t>
    <phoneticPr fontId="1" type="noConversion"/>
  </si>
  <si>
    <t>独立参照</t>
    <phoneticPr fontId="1" type="noConversion"/>
  </si>
  <si>
    <t>CLAUDE:ZEROEXACT</t>
    <phoneticPr fontId="1" type="noConversion"/>
  </si>
  <si>
    <t>CHK:CLAUDE:ZEROEXACT</t>
    <phoneticPr fontId="1" type="noConversion"/>
  </si>
  <si>
    <t>同址同类同日冗余量</t>
    <phoneticPr fontId="1" type="noConversion"/>
  </si>
  <si>
    <t>CLAUDE:REDUNDANT</t>
    <phoneticPr fontId="1" type="noConversion"/>
  </si>
  <si>
    <t>CHK:CLAUDE:REDUNDANT</t>
    <phoneticPr fontId="1" type="noConversion"/>
  </si>
  <si>
    <t>规则冗余占分析量</t>
    <phoneticPr fontId="1" type="noConversion"/>
  </si>
  <si>
    <t>CLAUDE:RATE</t>
    <phoneticPr fontId="1" type="noConversion"/>
  </si>
  <si>
    <t>CHK:CLAUDE:RATE</t>
    <phoneticPr fontId="1" type="noConversion"/>
  </si>
  <si>
    <t>NYPD规则行动类条数</t>
    <phoneticPr fontId="1" type="noConversion"/>
  </si>
  <si>
    <t>数值一致（文本规则）</t>
    <phoneticPr fontId="1" type="noConversion"/>
  </si>
  <si>
    <t>CLAUDE:ACTION</t>
    <phoneticPr fontId="1" type="noConversion"/>
  </si>
  <si>
    <t>CHK:CLAUDE:ACTION</t>
    <phoneticPr fontId="1" type="noConversion"/>
  </si>
  <si>
    <t>真实重复率保守下界</t>
    <phoneticPr fontId="1" type="noConversion"/>
  </si>
  <si>
    <t>证据不足</t>
    <phoneticPr fontId="1" type="noConversion"/>
  </si>
  <si>
    <t>CLAUDE:BOUND</t>
    <phoneticPr fontId="1" type="noConversion"/>
  </si>
  <si>
    <t>CHK:CLAUDE:BOUND</t>
    <phoneticPr fontId="1" type="noConversion"/>
  </si>
  <si>
    <t>必须删除高频地址才能得到正确趋势</t>
    <phoneticPr fontId="1" type="noConversion"/>
  </si>
  <si>
    <t>CLAUDE:DELETE</t>
    <phoneticPr fontId="1" type="noConversion"/>
  </si>
  <si>
    <t>CHK:CLAUDE:DELETE</t>
    <phoneticPr fontId="1" type="noConversion"/>
  </si>
  <si>
    <t>近一半增量来自天气而非市民行为</t>
    <phoneticPr fontId="1" type="noConversion"/>
  </si>
  <si>
    <t>原因未验证</t>
    <phoneticPr fontId="1" type="noConversion"/>
  </si>
  <si>
    <t>CLAUDE:WEATHER</t>
    <phoneticPr fontId="1" type="noConversion"/>
  </si>
  <si>
    <t>CHK:CLAUDE:WEATHER</t>
    <phoneticPr fontId="1" type="noConversion"/>
  </si>
  <si>
    <t>因果解释</t>
    <phoneticPr fontId="1" type="noConversion"/>
  </si>
  <si>
    <t>DEP在指定日期完成分类改名</t>
    <phoneticPr fontId="1" type="noConversion"/>
  </si>
  <si>
    <t>事件未核实</t>
    <phoneticPr fontId="1" type="noConversion"/>
  </si>
  <si>
    <t>CLAUDE:RENAME</t>
    <phoneticPr fontId="1" type="noConversion"/>
  </si>
  <si>
    <t>CHK:CLAUDE:RENAME</t>
    <phoneticPr fontId="1" type="noConversion"/>
  </si>
  <si>
    <t>排除最后不完整日期后的日均增幅</t>
    <phoneticPr fontId="1" type="noConversion"/>
  </si>
  <si>
    <t>敏感性参照</t>
    <phoneticPr fontId="1" type="noConversion"/>
  </si>
  <si>
    <t>CLAUDE:PARTDAY</t>
    <phoneticPr fontId="1" type="noConversion"/>
  </si>
  <si>
    <t>CHK:CLAUDE:PARTDAY</t>
    <phoneticPr fontId="1" type="noConversion"/>
  </si>
  <si>
    <t>文件身份核验</t>
    <phoneticPr fontId="1" type="noConversion"/>
  </si>
  <si>
    <t>工作簿身份</t>
    <phoneticPr fontId="1" type="noConversion"/>
  </si>
  <si>
    <t>已闭合</t>
    <phoneticPr fontId="1" type="noConversion"/>
  </si>
  <si>
    <t>IDENT:GEMINI_XLSX</t>
    <phoneticPr fontId="1" type="noConversion"/>
  </si>
  <si>
    <t>CHK:IDENT:GEMINI_XLSX</t>
    <phoneticPr fontId="1" type="noConversion"/>
  </si>
  <si>
    <t>说明身份</t>
    <phoneticPr fontId="1" type="noConversion"/>
  </si>
  <si>
    <t>IDENT:GROK_MD</t>
    <phoneticPr fontId="1" type="noConversion"/>
  </si>
  <si>
    <t>CHK:IDENT:GROK_MD</t>
    <phoneticPr fontId="1" type="noConversion"/>
  </si>
  <si>
    <t>已闭合（逻辑内容）</t>
    <phoneticPr fontId="1" type="noConversion"/>
  </si>
  <si>
    <t>IDENT:GROK_XLSX</t>
    <phoneticPr fontId="1" type="noConversion"/>
  </si>
  <si>
    <t>CHK:IDENT:GROK_XLSX</t>
    <phoneticPr fontId="1" type="noConversion"/>
  </si>
  <si>
    <t>数值差（对照减原值）</t>
    <phoneticPr fontId="1" type="noConversion"/>
  </si>
  <si>
    <t>表名</t>
    <phoneticPr fontId="1" type="noConversion"/>
  </si>
  <si>
    <t>字段</t>
    <phoneticPr fontId="1" type="noConversion"/>
  </si>
  <si>
    <t>含义</t>
    <phoneticPr fontId="1" type="noConversion"/>
  </si>
  <si>
    <t>允许值</t>
    <phoneticPr fontId="1" type="noConversion"/>
  </si>
  <si>
    <t>空值规则</t>
    <phoneticPr fontId="1" type="noConversion"/>
  </si>
  <si>
    <t>运行记录</t>
    <phoneticPr fontId="1" type="noConversion"/>
  </si>
  <si>
    <t>AI 系统</t>
    <phoneticPr fontId="1" type="noConversion"/>
  </si>
  <si>
    <t>GPT；Grok；DeepSeek；Gemini；Qwen；GLM；Kimi；Claude</t>
    <phoneticPr fontId="1" type="noConversion"/>
  </si>
  <si>
    <t>必填</t>
    <phoneticPr fontId="1" type="noConversion"/>
  </si>
  <si>
    <t>实验轮次</t>
    <phoneticPr fontId="1" type="noConversion"/>
  </si>
  <si>
    <t>第一轮；第二轮</t>
    <phoneticPr fontId="1" type="noConversion"/>
  </si>
  <si>
    <t>运行结果</t>
    <phoneticPr fontId="1" type="noConversion"/>
  </si>
  <si>
    <t>样本角色</t>
    <phoneticPr fontId="1" type="noConversion"/>
  </si>
  <si>
    <t>宿主 / Agent 工具</t>
    <phoneticPr fontId="1" type="noConversion"/>
  </si>
  <si>
    <t>Codex；Cursor；Claude Code；Antigravity</t>
    <phoneticPr fontId="1" type="noConversion"/>
  </si>
  <si>
    <t>API 目录价口径</t>
    <phoneticPr fontId="1" type="noConversion"/>
  </si>
  <si>
    <t>自由文本</t>
    <phoneticPr fontId="1" type="noConversion"/>
  </si>
  <si>
    <t>原生运行时长（秒）</t>
    <phoneticPr fontId="1" type="noConversion"/>
  </si>
  <si>
    <t>可空：无起止时间</t>
    <phoneticPr fontId="1" type="noConversion"/>
  </si>
  <si>
    <t>模型名称/版本</t>
    <phoneticPr fontId="1" type="noConversion"/>
  </si>
  <si>
    <t>可空：无独立模型运行</t>
    <phoneticPr fontId="1" type="noConversion"/>
  </si>
  <si>
    <t>分析表连接键</t>
    <phoneticPr fontId="1" type="noConversion"/>
  </si>
  <si>
    <t>唯一标识/关联键</t>
    <phoneticPr fontId="1" type="noConversion"/>
  </si>
  <si>
    <t>benchmark_run.run_id</t>
    <phoneticPr fontId="1" type="noConversion"/>
  </si>
  <si>
    <t>可空：无独立 run</t>
    <phoneticPr fontId="1" type="noConversion"/>
  </si>
  <si>
    <t>证据查询键</t>
    <phoneticPr fontId="1" type="noConversion"/>
  </si>
  <si>
    <t>原生用时÷60</t>
    <phoneticPr fontId="1" type="noConversion"/>
  </si>
  <si>
    <t>可空：无原生用时</t>
    <phoneticPr fontId="1" type="noConversion"/>
  </si>
  <si>
    <t>输入+缓存读+缓存写+输出</t>
    <phoneticPr fontId="1" type="noConversion"/>
  </si>
  <si>
    <t>可空：Token 项不完整</t>
    <phoneticPr fontId="1" type="noConversion"/>
  </si>
  <si>
    <t>可空：Token/价格不完整</t>
    <phoneticPr fontId="1" type="noConversion"/>
  </si>
  <si>
    <t>评分与用量</t>
    <phoneticPr fontId="1" type="noConversion"/>
  </si>
  <si>
    <t>指标名称</t>
    <phoneticPr fontId="1" type="noConversion"/>
  </si>
  <si>
    <t>指标值</t>
    <phoneticPr fontId="1" type="noConversion"/>
  </si>
  <si>
    <t>数值单位</t>
    <phoneticPr fontId="1" type="noConversion"/>
  </si>
  <si>
    <t>可空：纯文字核验</t>
    <phoneticPr fontId="1" type="noConversion"/>
  </si>
  <si>
    <t>评分/审计/价格版本</t>
    <phoneticPr fontId="1" type="noConversion"/>
  </si>
  <si>
    <t>指标唯一键</t>
    <phoneticPr fontId="1" type="noConversion"/>
  </si>
  <si>
    <t>API计价</t>
    <phoneticPr fontId="1" type="noConversion"/>
  </si>
  <si>
    <t>GPT；DeepSeek；Qwen；GLM；Kimi</t>
    <phoneticPr fontId="1" type="noConversion"/>
  </si>
  <si>
    <t>计费 Token 类型</t>
    <phoneticPr fontId="1" type="noConversion"/>
  </si>
  <si>
    <t>未缓存输入；缓存读取；缓存写入；输出</t>
    <phoneticPr fontId="1" type="noConversion"/>
  </si>
  <si>
    <t>价格档位</t>
    <phoneticPr fontId="1" type="noConversion"/>
  </si>
  <si>
    <t>低；高</t>
    <phoneticPr fontId="1" type="noConversion"/>
  </si>
  <si>
    <t>API 单价</t>
    <phoneticPr fontId="1" type="noConversion"/>
  </si>
  <si>
    <t>API 单价单位</t>
    <phoneticPr fontId="1" type="noConversion"/>
  </si>
  <si>
    <t>USD/百万Token；CNY/百万Token</t>
    <phoneticPr fontId="1" type="noConversion"/>
  </si>
  <si>
    <t>计费 Token</t>
    <phoneticPr fontId="1" type="noConversion"/>
  </si>
  <si>
    <t>人民币换算系数</t>
    <phoneticPr fontId="1" type="noConversion"/>
  </si>
  <si>
    <t>API 单价基数</t>
    <phoneticPr fontId="1" type="noConversion"/>
  </si>
  <si>
    <t>API 目录价分项成本</t>
    <phoneticPr fontId="1" type="noConversion"/>
  </si>
  <si>
    <t>行为记录</t>
    <phoneticPr fontId="1" type="noConversion"/>
  </si>
  <si>
    <t>run 内动作序号</t>
    <phoneticPr fontId="1" type="noConversion"/>
  </si>
  <si>
    <t>工具动作类别</t>
    <phoneticPr fontId="1" type="noConversion"/>
  </si>
  <si>
    <t>9 类</t>
    <phoneticPr fontId="1" type="noConversion"/>
  </si>
  <si>
    <t>动作对象/目的</t>
    <phoneticPr fontId="1" type="noConversion"/>
  </si>
  <si>
    <t>工具返回文本可见性</t>
    <phoneticPr fontId="1" type="noConversion"/>
  </si>
  <si>
    <t>是；否</t>
    <phoneticPr fontId="1" type="noConversion"/>
  </si>
  <si>
    <t>工具执行状态标记</t>
    <phoneticPr fontId="1" type="noConversion"/>
  </si>
  <si>
    <t>否；是</t>
    <phoneticPr fontId="1" type="noConversion"/>
  </si>
  <si>
    <t>返回摘录错误标记</t>
    <phoneticPr fontId="1" type="noConversion"/>
  </si>
  <si>
    <t>old/new 替换请求</t>
    <phoneticPr fontId="1" type="noConversion"/>
  </si>
  <si>
    <t>old/new 替换结果确认</t>
    <phoneticPr fontId="1" type="noConversion"/>
  </si>
  <si>
    <t>可空：不适用/未核实</t>
    <phoneticPr fontId="1" type="noConversion"/>
  </si>
  <si>
    <t>相邻同参数重复读取</t>
    <phoneticPr fontId="1" type="noConversion"/>
  </si>
  <si>
    <t>可空：无可比前项</t>
    <phoneticPr fontId="1" type="noConversion"/>
  </si>
  <si>
    <t>动作评审标签</t>
    <phoneticPr fontId="1" type="noConversion"/>
  </si>
  <si>
    <t>必要探索；直接贡献交付；管理动作；确认无收益</t>
    <phoneticPr fontId="1" type="noConversion"/>
  </si>
  <si>
    <t>动作评审版本</t>
    <phoneticPr fontId="1" type="noConversion"/>
  </si>
  <si>
    <t>第一轮；第二轮；混合会话</t>
    <phoneticPr fontId="1" type="noConversion"/>
  </si>
  <si>
    <t>动作观测时长（秒）</t>
    <phoneticPr fontId="1" type="noConversion"/>
  </si>
  <si>
    <t>可空：无动作时长</t>
    <phoneticPr fontId="1" type="noConversion"/>
  </si>
  <si>
    <t>原生工具名称</t>
    <phoneticPr fontId="1" type="noConversion"/>
  </si>
  <si>
    <t>动作唯一键</t>
    <phoneticPr fontId="1" type="noConversion"/>
  </si>
  <si>
    <t>混合会话执行阶段</t>
    <phoneticPr fontId="1" type="noConversion"/>
  </si>
  <si>
    <t>原单模型运行；Claude主体；Grok收尾</t>
    <phoneticPr fontId="1" type="noConversion"/>
  </si>
  <si>
    <t>可空：非混合会话</t>
    <phoneticPr fontId="1" type="noConversion"/>
  </si>
  <si>
    <t>核验记录</t>
    <phoneticPr fontId="1" type="noConversion"/>
  </si>
  <si>
    <t>10 类</t>
    <phoneticPr fontId="1" type="noConversion"/>
  </si>
  <si>
    <t>核验对象</t>
    <phoneticPr fontId="1" type="noConversion"/>
  </si>
  <si>
    <t>核验结果</t>
    <phoneticPr fontId="1" type="noConversion"/>
  </si>
  <si>
    <t>36 类</t>
    <phoneticPr fontId="1" type="noConversion"/>
  </si>
  <si>
    <t>原值</t>
    <phoneticPr fontId="1" type="noConversion"/>
  </si>
  <si>
    <t>可空：无原值</t>
    <phoneticPr fontId="1" type="noConversion"/>
  </si>
  <si>
    <t>对照值</t>
    <phoneticPr fontId="1" type="noConversion"/>
  </si>
  <si>
    <t>可空：无对照值</t>
    <phoneticPr fontId="1" type="noConversion"/>
  </si>
  <si>
    <t>第三参照值</t>
    <phoneticPr fontId="1" type="noConversion"/>
  </si>
  <si>
    <t>可空：非三端/敏感性比较</t>
    <phoneticPr fontId="1" type="noConversion"/>
  </si>
  <si>
    <t>17 类</t>
    <phoneticPr fontId="1" type="noConversion"/>
  </si>
  <si>
    <t>叙述/路线变化</t>
    <phoneticPr fontId="1" type="noConversion"/>
  </si>
  <si>
    <t>修正尝试</t>
    <phoneticPr fontId="1" type="noConversion"/>
  </si>
  <si>
    <t>问题闭合状态</t>
    <phoneticPr fontId="1" type="noConversion"/>
  </si>
  <si>
    <t>是；待处理；否</t>
    <phoneticPr fontId="1" type="noConversion"/>
  </si>
  <si>
    <t>核验唯一键</t>
    <phoneticPr fontId="1" type="noConversion"/>
  </si>
  <si>
    <t>模型；交付补验；评测方；文件身份；辅助成品</t>
    <phoneticPr fontId="1" type="noConversion"/>
  </si>
  <si>
    <t>原始文本</t>
    <phoneticPr fontId="1" type="noConversion"/>
  </si>
  <si>
    <t>可空：纯数值核验</t>
    <phoneticPr fontId="1" type="noConversion"/>
  </si>
  <si>
    <t>对照文本</t>
    <phoneticPr fontId="1" type="noConversion"/>
  </si>
  <si>
    <t>可空：无文字对照</t>
    <phoneticPr fontId="1" type="noConversion"/>
  </si>
  <si>
    <t>数值范围/口径</t>
    <phoneticPr fontId="1" type="noConversion"/>
  </si>
  <si>
    <t>判断证据来源</t>
    <phoneticPr fontId="1" type="noConversion"/>
  </si>
  <si>
    <t>SQL核验；作品摘录；历史回溯；行为片段复核；同月敏感性复算；独立复算；文件身份核验</t>
    <phoneticPr fontId="1" type="noConversion"/>
  </si>
  <si>
    <t>问题类型</t>
    <phoneticPr fontId="1" type="noConversion"/>
  </si>
  <si>
    <t>15 类</t>
    <phoneticPr fontId="1" type="noConversion"/>
  </si>
  <si>
    <t>对照值−原值</t>
    <phoneticPr fontId="1" type="noConversion"/>
  </si>
  <si>
    <t>可空：原值/对照值缺失</t>
    <phoneticPr fontId="1" type="noConversion"/>
  </si>
  <si>
    <t xml:space="preserve"> </t>
    <phoneticPr fontId="1" type="noConversion"/>
  </si>
  <si>
    <t>缓存读取占比</t>
  </si>
  <si>
    <t>直接贡献＋必要探索</t>
  </si>
  <si>
    <t>确认无收益占比</t>
  </si>
  <si>
    <t>NYC311 自主交付评测 · 模型、宿主与当轮条件共同构成比较单位</t>
    <phoneticPr fontId="1" type="noConversion"/>
  </si>
  <si>
    <t>返回评测总览  ›</t>
    <phoneticPr fontId="1" type="noConversion"/>
  </si>
  <si>
    <t>满分</t>
  </si>
  <si>
    <t>第一轮均分</t>
  </si>
  <si>
    <t>第二轮均分</t>
  </si>
  <si>
    <t>平均增量</t>
  </si>
  <si>
    <t>证据与计算</t>
  </si>
  <si>
    <t>已退出</t>
    <phoneticPr fontId="1" type="noConversion"/>
  </si>
  <si>
    <t>排除</t>
    <phoneticPr fontId="1" type="noConversion"/>
  </si>
  <si>
    <t>decision:baseline:Kimi</t>
    <phoneticPr fontId="1" type="noConversion"/>
  </si>
  <si>
    <t>RUN:decision:baseline:Kimi</t>
    <phoneticPr fontId="1" type="noConversion"/>
  </si>
  <si>
    <t>已完成；失败；混合交付；已退出</t>
    <phoneticPr fontId="1" type="noConversion"/>
  </si>
  <si>
    <t>比较说明</t>
  </si>
  <si>
    <t>比较范围</t>
  </si>
  <si>
    <t>计算方法</t>
  </si>
  <si>
    <t>满分均为 100</t>
  </si>
  <si>
    <t>不含管理动作</t>
  </si>
  <si>
    <t>目录价</t>
  </si>
  <si>
    <t>供成本比较，非实际账单</t>
  </si>
  <si>
    <t>缺失值</t>
  </si>
  <si>
    <t>保留空白或“—”</t>
  </si>
  <si>
    <t>计算范围：当前 AI、当前轮次的已记录项</t>
  </si>
  <si>
    <t>▼</t>
    <phoneticPr fontId="1" type="noConversion"/>
  </si>
  <si>
    <t>查看单个 AI  ›</t>
  </si>
  <si>
    <t>编号</t>
  </si>
  <si>
    <t>评分项</t>
  </si>
  <si>
    <t>A1</t>
  </si>
  <si>
    <t>A2</t>
  </si>
  <si>
    <t>A3</t>
  </si>
  <si>
    <t>A4</t>
  </si>
  <si>
    <t>B1</t>
  </si>
  <si>
    <t>数字与口径</t>
  </si>
  <si>
    <t>B2</t>
  </si>
  <si>
    <t>B3</t>
  </si>
  <si>
    <t>B4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</si>
  <si>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</si>
  <si>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</si>
  <si>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</si>
  <si>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</si>
  <si>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</si>
  <si>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</si>
  <si>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</si>
  <si>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</si>
  <si>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</si>
  <si>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E1</t>
  </si>
  <si>
    <t>E2</t>
  </si>
  <si>
    <t>E3</t>
  </si>
  <si>
    <t>参评模型、思考强度与 Harness</t>
  </si>
  <si>
    <t>第一轮模型</t>
  </si>
  <si>
    <t>第二轮模型</t>
  </si>
  <si>
    <t>思考强度</t>
  </si>
  <si>
    <t>Harness（执行环境）</t>
  </si>
  <si>
    <t>gpt-6-astra</t>
  </si>
  <si>
    <t>中（medium）</t>
  </si>
  <si>
    <t>Codex</t>
  </si>
  <si>
    <t>grok-4.6</t>
  </si>
  <si>
    <t>Cursor</t>
  </si>
  <si>
    <t>deepseek-v4.1-flash</t>
  </si>
  <si>
    <t>high</t>
  </si>
  <si>
    <t>Claude Code</t>
  </si>
  <si>
    <t>glm-5.3</t>
  </si>
  <si>
    <t>Claude Code / Brain Router</t>
  </si>
  <si>
    <t>qwen3.8-max-0902</t>
  </si>
  <si>
    <t>gemini-3.8-flash</t>
  </si>
  <si>
    <t>Antigravity</t>
  </si>
  <si>
    <t>Claude Opus 5 → Grok</t>
  </si>
  <si>
    <t>无独立运行</t>
  </si>
  <si>
    <t>Kimi（子版本未核实）</t>
  </si>
  <si>
    <t>kimi-k3</t>
  </si>
  <si>
    <t>分差</t>
  </si>
  <si>
    <t>运行说明</t>
  </si>
  <si>
    <t>执行环境</t>
  </si>
  <si>
    <t>Harness指模型使用的执行环境；GLM经Brain Router路由。同名强度设置不代表跨平台相同思考预算。</t>
  </si>
  <si>
    <t>版本与缺失</t>
  </si>
  <si>
    <t>补充观察</t>
    <phoneticPr fontId="1" type="noConversion"/>
  </si>
  <si>
    <t>分项增量占比</t>
    <phoneticPr fontId="1" type="noConversion"/>
  </si>
  <si>
    <t>2026-09-05 02:22:25</t>
    <phoneticPr fontId="1" type="noConversion"/>
  </si>
  <si>
    <t>2026-09-05 01:50:33</t>
    <phoneticPr fontId="1" type="noConversion"/>
  </si>
  <si>
    <t>第一轮主样本；第二轮主样本；补充失败样本；补充观察；混合成果；排除</t>
    <phoneticPr fontId="1" type="noConversion"/>
  </si>
  <si>
    <t>本轮资格</t>
  </si>
  <si>
    <t>构成说明</t>
    <phoneticPr fontId="1" type="noConversion"/>
  </si>
  <si>
    <t>Cursor订阅额度内用量计价</t>
    <phoneticPr fontId="1" type="noConversion"/>
  </si>
  <si>
    <t>标准API Token等价估算</t>
    <phoneticPr fontId="1" type="noConversion"/>
  </si>
  <si>
    <t>AI 评测总览 · 现行 S</t>
  </si>
  <si>
    <t>六系统配对；Claude第一轮单列，Kimi未评分</t>
  </si>
  <si>
    <t>配对系统数</t>
  </si>
  <si>
    <t>第一轮平均 S</t>
  </si>
  <si>
    <t>第二轮平均 S</t>
  </si>
  <si>
    <t>首轮 S</t>
  </si>
  <si>
    <t>次轮 S</t>
  </si>
  <si>
    <t>API目录价（元）</t>
  </si>
  <si>
    <t>评分标准：六维25项，共100分。六个系统两轮配对；Claude仅第一轮，Kimi未评分。</t>
  </si>
  <si>
    <t>两轮 S 分数变化 · 六系统配对</t>
  </si>
  <si>
    <t>第一轮 S</t>
  </si>
  <si>
    <t>第二轮 S</t>
  </si>
  <si>
    <t>ΔS</t>
  </si>
  <si>
    <t>第一轮分钟</t>
  </si>
  <si>
    <t>第二轮分钟</t>
  </si>
  <si>
    <t>Δ分钟</t>
  </si>
  <si>
    <t>六系统配对 · S 六维变化</t>
  </si>
  <si>
    <t>GPT、Grok、DeepSeek、GLM、Qwen、Gemini 六系统两轮等权。</t>
  </si>
  <si>
    <t>评分维度</t>
  </si>
  <si>
    <t>数据基础与问题定义</t>
  </si>
  <si>
    <t>逐项评分可在“评分细项”和“评分与用量”复算。</t>
  </si>
  <si>
    <t>调查深度与判断</t>
  </si>
  <si>
    <t>主要变化</t>
  </si>
  <si>
    <t>调查深度与判断平均提高4.67分，占总增量约49.3%。</t>
  </si>
  <si>
    <t>人工复现与维护</t>
  </si>
  <si>
    <t>成品实际可用性</t>
  </si>
  <si>
    <t>评分说明</t>
  </si>
  <si>
    <t>评分标准；六系统按同一口径评分。</t>
  </si>
  <si>
    <t>自主性与资源纪律</t>
  </si>
  <si>
    <t>六维合计</t>
  </si>
  <si>
    <t>▼</t>
  </si>
  <si>
    <t>A  数据基础与问题定义 · 15分</t>
  </si>
  <si>
    <t>粒度与语义</t>
  </si>
  <si>
    <t>阅读入口与步骤</t>
  </si>
  <si>
    <t>数据质量判断</t>
  </si>
  <si>
    <t>过程可理解</t>
  </si>
  <si>
    <t>问题可回答性</t>
  </si>
  <si>
    <t>结果可重做</t>
  </si>
  <si>
    <t>问题优先级</t>
  </si>
  <si>
    <t>更新与错误定位</t>
  </si>
  <si>
    <t>B  证据与计算 · 20分</t>
  </si>
  <si>
    <t>D5</t>
  </si>
  <si>
    <t>原AI的成品检查</t>
  </si>
  <si>
    <t>可比性</t>
  </si>
  <si>
    <t>阅读与比较</t>
  </si>
  <si>
    <t>来源链</t>
  </si>
  <si>
    <t>画面与交互</t>
  </si>
  <si>
    <t>解释成立</t>
  </si>
  <si>
    <t>文件一致与完成声明</t>
  </si>
  <si>
    <t>C  调查深度与判断 · 20分</t>
  </si>
  <si>
    <t>差异分解</t>
  </si>
  <si>
    <t>F1</t>
  </si>
  <si>
    <t>原运行独立性</t>
  </si>
  <si>
    <t>下钻调查</t>
  </si>
  <si>
    <t>F2</t>
  </si>
  <si>
    <t>交后修正负担</t>
  </si>
  <si>
    <t>稳健性与替代解释</t>
  </si>
  <si>
    <t>F3</t>
  </si>
  <si>
    <t>失败处理</t>
  </si>
  <si>
    <t>据证据修正</t>
  </si>
  <si>
    <t>F4</t>
  </si>
  <si>
    <t>资源使用</t>
  </si>
  <si>
    <t>范围与停止</t>
  </si>
  <si>
    <t>现行 S /100</t>
  </si>
  <si>
    <t>已评分条款</t>
  </si>
  <si>
    <t>空白表示该轮未评分；评分依据见“评分与用量”的 S 分项。</t>
  </si>
  <si>
    <t>单个 AI 评测明细</t>
  </si>
  <si>
    <t>本轮现行 S</t>
  </si>
  <si>
    <t>另一轮 S</t>
  </si>
  <si>
    <t>六维 S 评分</t>
  </si>
  <si>
    <t>现行 S</t>
  </si>
  <si>
    <t>已评分细项数</t>
  </si>
  <si>
    <t>数据基础
/15</t>
  </si>
  <si>
    <t>证据计算
/20</t>
  </si>
  <si>
    <t>调查判断
/20</t>
  </si>
  <si>
    <t>复现维护
/25</t>
  </si>
  <si>
    <t>成品可用
/10</t>
  </si>
  <si>
    <t>自主资源
/10</t>
  </si>
  <si>
    <t>合计 /100</t>
  </si>
  <si>
    <t>六系统配对均值</t>
  </si>
  <si>
    <t>评分条款数</t>
  </si>
  <si>
    <t>现行 S/100</t>
  </si>
  <si>
    <t>Gemini (subversion unverified)</t>
  </si>
  <si>
    <t>Claude主导 / Grok收尾</t>
  </si>
  <si>
    <t>实验条件</t>
  </si>
  <si>
    <t>启动指令字符数</t>
  </si>
  <si>
    <t>字符</t>
  </si>
  <si>
    <t>条件复核2026-09-17</t>
  </si>
  <si>
    <t>b322d3b2035f057934af</t>
  </si>
  <si>
    <t>MET:b322d3b2035f057934af</t>
  </si>
  <si>
    <t>数据清单哈希可核</t>
  </si>
  <si>
    <t>是=1/否=0</t>
  </si>
  <si>
    <t>b151dc009b98fdb8de1f</t>
  </si>
  <si>
    <t>MET:b151dc009b98fdb8de1f</t>
  </si>
  <si>
    <t>方法Skill哈希可核</t>
  </si>
  <si>
    <t>a41bbc197a6f1ab9e21d</t>
  </si>
  <si>
    <t>MET:a41bbc197a6f1ab9e21d</t>
  </si>
  <si>
    <t>独立业务字段字典公共输入证据</t>
  </si>
  <si>
    <t>条件复核2026-09-18</t>
  </si>
  <si>
    <t>c8ed4a7d8136d4c8bbee</t>
  </si>
  <si>
    <t>MET:c8ed4a7d8136d4c8bbee</t>
  </si>
  <si>
    <t>额外启动方法清单</t>
  </si>
  <si>
    <t>2cf6630b50288d733308</t>
  </si>
  <si>
    <t>MET:2cf6630b50288d733308</t>
  </si>
  <si>
    <t>行为二审</t>
  </si>
  <si>
    <t>AWR_count</t>
  </si>
  <si>
    <t>比例（0—1）</t>
  </si>
  <si>
    <t>动作二审2026-09-18</t>
  </si>
  <si>
    <t>7382a8712b014a2b3026</t>
  </si>
  <si>
    <t>MET:7382a8712b014a2b3026</t>
  </si>
  <si>
    <t>AWR_time</t>
  </si>
  <si>
    <t>98a2853c05a1d4137e3c</t>
  </si>
  <si>
    <t>MET:98a2853c05a1d4137e3c</t>
  </si>
  <si>
    <t>动作二审覆盖率</t>
  </si>
  <si>
    <t>c670c2372f0b7e13d2a3</t>
  </si>
  <si>
    <t>MET:c670c2372f0b7e13d2a3</t>
  </si>
  <si>
    <t>实质动作数</t>
  </si>
  <si>
    <t>次</t>
  </si>
  <si>
    <t>852ea0e93cadea05902b</t>
  </si>
  <si>
    <t>MET:852ea0e93cadea05902b</t>
  </si>
  <si>
    <t>实质动作时长覆盖率</t>
  </si>
  <si>
    <t>aadeac85626ed3b07028</t>
  </si>
  <si>
    <t>MET:aadeac85626ed3b07028</t>
  </si>
  <si>
    <t>最长连续无收益动作数</t>
  </si>
  <si>
    <t>1fa362023b41df8e61d4</t>
  </si>
  <si>
    <t>MET:1fa362023b41df8e61d4</t>
  </si>
  <si>
    <t>确认无收益动作数</t>
  </si>
  <si>
    <t>488dd4e62179fdf7154f</t>
  </si>
  <si>
    <t>MET:488dd4e62179fdf7154f</t>
  </si>
  <si>
    <t>运行观测</t>
  </si>
  <si>
    <t>可查动作数</t>
  </si>
  <si>
    <t>SQL观测</t>
  </si>
  <si>
    <t>73cb3894b9f958da9309</t>
  </si>
  <si>
    <t>MET:73cb3894b9f958da9309</t>
  </si>
  <si>
    <t>外部计时</t>
  </si>
  <si>
    <t>秒</t>
  </si>
  <si>
    <t>b724100330b72a9b9090</t>
  </si>
  <si>
    <t>MET:b724100330b72a9b9090</t>
  </si>
  <si>
    <t>有返回文本动作数</t>
  </si>
  <si>
    <t>9dada6d01a3f35795038</t>
  </si>
  <si>
    <t>MET:9dada6d01a3f35795038</t>
  </si>
  <si>
    <t>追加指令次数</t>
  </si>
  <si>
    <t>e70a2a70190d14977e62</t>
  </si>
  <si>
    <t>MET:e70a2a70190d14977e62</t>
  </si>
  <si>
    <t>额外启动清单</t>
  </si>
  <si>
    <t>9a6c4acef08969d5f3a8</t>
  </si>
  <si>
    <t>MET:9a6c4acef08969d5f3a8</t>
  </si>
  <si>
    <t>人工负担证据</t>
  </si>
  <si>
    <t>评测方或身份任务数</t>
  </si>
  <si>
    <t>项</t>
  </si>
  <si>
    <t>修正任务</t>
  </si>
  <si>
    <t>manifest:20260916_133206_Grok_2a33e3a3</t>
  </si>
  <si>
    <t>20260916_133206_Grok_2a33e3a3</t>
  </si>
  <si>
    <t>4cbb9b964cc4c6fb5be5</t>
  </si>
  <si>
    <t>MET:4cbb9b964cc4c6fb5be5</t>
  </si>
  <si>
    <t>首交后需处理任务数</t>
  </si>
  <si>
    <t>489247c2d8c6003e8278</t>
  </si>
  <si>
    <t>MET:489247c2d8c6003e8278</t>
  </si>
  <si>
    <t>f5ca58ddf85c2d3612fa</t>
  </si>
  <si>
    <t>MET:f5ca58ddf85c2d3612fa</t>
  </si>
  <si>
    <t>aa45eae05ef334b7a6b9</t>
  </si>
  <si>
    <t>MET:aa45eae05ef334b7a6b9</t>
  </si>
  <si>
    <t>697f8e9b8466a4658f98</t>
  </si>
  <si>
    <t>MET:697f8e9b8466a4658f98</t>
  </si>
  <si>
    <t>f5f6f353805ca15ffd42</t>
  </si>
  <si>
    <t>MET:f5f6f353805ca15ffd42</t>
  </si>
  <si>
    <t>db73be61b10b75f718d1</t>
  </si>
  <si>
    <t>MET:db73be61b10b75f718d1</t>
  </si>
  <si>
    <t>db0786060b2709920dfd</t>
  </si>
  <si>
    <t>MET:db0786060b2709920dfd</t>
  </si>
  <si>
    <t>7b598e9d941cfe966864</t>
  </si>
  <si>
    <t>MET:7b598e9d941cfe966864</t>
  </si>
  <si>
    <t>64676afa3843ba021fa0</t>
  </si>
  <si>
    <t>MET:64676afa3843ba021fa0</t>
  </si>
  <si>
    <t>0bbd51fe16038a3d0b06</t>
  </si>
  <si>
    <t>MET:0bbd51fe16038a3d0b06</t>
  </si>
  <si>
    <t>6ae13baab9c65a47bb66</t>
  </si>
  <si>
    <t>MET:6ae13baab9c65a47bb66</t>
  </si>
  <si>
    <t>7eadde3641ab1a496b5c</t>
  </si>
  <si>
    <t>MET:7eadde3641ab1a496b5c</t>
  </si>
  <si>
    <t>5388cdd8649f1ede8322</t>
  </si>
  <si>
    <t>MET:5388cdd8649f1ede8322</t>
  </si>
  <si>
    <t>5d801ddea23d5d891c46</t>
  </si>
  <si>
    <t>MET:5d801ddea23d5d891c46</t>
  </si>
  <si>
    <t>3492fbedb23858e0157a</t>
  </si>
  <si>
    <t>MET:3492fbedb23858e0157a</t>
  </si>
  <si>
    <t>9c3abf2eafaeaaf341ec</t>
  </si>
  <si>
    <t>MET:9c3abf2eafaeaaf341ec</t>
  </si>
  <si>
    <t>e75c103cb2716619c010</t>
  </si>
  <si>
    <t>MET:e75c103cb2716619c010</t>
  </si>
  <si>
    <t>Token用量</t>
  </si>
  <si>
    <t>未缓存输入Token</t>
  </si>
  <si>
    <t>Token</t>
  </si>
  <si>
    <t>usage复核</t>
  </si>
  <si>
    <t>manifest:20260916_153015_DeepSeek_a32f78bc</t>
  </si>
  <si>
    <t>20260916_153015_DeepSeek_a32f78bc</t>
  </si>
  <si>
    <t>cc1da136a0a412335a33</t>
  </si>
  <si>
    <t>MET:cc1da136a0a412335a33</t>
  </si>
  <si>
    <t>缓存写入Token</t>
  </si>
  <si>
    <t>da10e7c3c0314499087c</t>
  </si>
  <si>
    <t>MET:da10e7c3c0314499087c</t>
  </si>
  <si>
    <t>缓存读取Token</t>
  </si>
  <si>
    <t>5812bb34a95de73d450c</t>
  </si>
  <si>
    <t>MET:5812bb34a95de73d450c</t>
  </si>
  <si>
    <t>输出Token</t>
  </si>
  <si>
    <t>8489a4271fd608b39dc2</t>
  </si>
  <si>
    <t>MET:8489a4271fd608b39dc2</t>
  </si>
  <si>
    <t>3c8510992c20c419194b</t>
  </si>
  <si>
    <t>MET:3c8510992c20c419194b</t>
  </si>
  <si>
    <t>a975b628c3f74a482c95</t>
  </si>
  <si>
    <t>MET:a975b628c3f74a482c95</t>
  </si>
  <si>
    <t>80cabdb8ff9e160c7859</t>
  </si>
  <si>
    <t>MET:80cabdb8ff9e160c7859</t>
  </si>
  <si>
    <t>28ae01f89ced61ce19fd</t>
  </si>
  <si>
    <t>MET:28ae01f89ced61ce19fd</t>
  </si>
  <si>
    <t>61ffec63c3561c00c2b4</t>
  </si>
  <si>
    <t>MET:61ffec63c3561c00c2b4</t>
  </si>
  <si>
    <t>1fef8ef02ab247cfabca</t>
  </si>
  <si>
    <t>MET:1fef8ef02ab247cfabca</t>
  </si>
  <si>
    <t>ddb07672a80406493b08</t>
  </si>
  <si>
    <t>MET:ddb07672a80406493b08</t>
  </si>
  <si>
    <t>9aeddc8cd633d6333ad8</t>
  </si>
  <si>
    <t>MET:9aeddc8cd633d6333ad8</t>
  </si>
  <si>
    <t>2e4c8d3b6a1b41e5c9fe</t>
  </si>
  <si>
    <t>MET:2e4c8d3b6a1b41e5c9fe</t>
  </si>
  <si>
    <t>4580cb710bd22be0f836</t>
  </si>
  <si>
    <t>MET:4580cb710bd22be0f836</t>
  </si>
  <si>
    <t>99feb0b8b36b889e2c86</t>
  </si>
  <si>
    <t>MET:99feb0b8b36b889e2c86</t>
  </si>
  <si>
    <t>47adfc3bab99db945914</t>
  </si>
  <si>
    <t>MET:47adfc3bab99db945914</t>
  </si>
  <si>
    <t>1f09a0a387f5502f9212</t>
  </si>
  <si>
    <t>MET:1f09a0a387f5502f9212</t>
  </si>
  <si>
    <t>50c18b8e1ad95c4b7e68</t>
  </si>
  <si>
    <t>MET:50c18b8e1ad95c4b7e68</t>
  </si>
  <si>
    <t>9fe5a62085f3be271f2e</t>
  </si>
  <si>
    <t>MET:9fe5a62085f3be271f2e</t>
  </si>
  <si>
    <t>a0432c56eee28b6811be</t>
  </si>
  <si>
    <t>MET:a0432c56eee28b6811be</t>
  </si>
  <si>
    <t>62b7c7b35a6168b7c8c1</t>
  </si>
  <si>
    <t>MET:62b7c7b35a6168b7c8c1</t>
  </si>
  <si>
    <t>4ba93273f3aa017235ac</t>
  </si>
  <si>
    <t>MET:4ba93273f3aa017235ac</t>
  </si>
  <si>
    <t>manifest:20260916_153701_Gemini_1dd2676d</t>
  </si>
  <si>
    <t>20260916_153701_Gemini_1dd2676d</t>
  </si>
  <si>
    <t>6cfd3622050d2b5ef8d3</t>
  </si>
  <si>
    <t>MET:6cfd3622050d2b5ef8d3</t>
  </si>
  <si>
    <t>b753a51777301e398688</t>
  </si>
  <si>
    <t>MET:b753a51777301e398688</t>
  </si>
  <si>
    <t>442a0d79cff0a48ba5b6</t>
  </si>
  <si>
    <t>MET:442a0d79cff0a48ba5b6</t>
  </si>
  <si>
    <t>1eca5fa3e7e1699bfbe3</t>
  </si>
  <si>
    <t>MET:1eca5fa3e7e1699bfbe3</t>
  </si>
  <si>
    <t>2e61637e7e4ccacd965f</t>
  </si>
  <si>
    <t>MET:2e61637e7e4ccacd965f</t>
  </si>
  <si>
    <t>e8db1b30d49549e32e3d</t>
  </si>
  <si>
    <t>MET:e8db1b30d49549e32e3d</t>
  </si>
  <si>
    <t>8b9f1f4b45426ff578e5</t>
  </si>
  <si>
    <t>MET:8b9f1f4b45426ff578e5</t>
  </si>
  <si>
    <t>9448dcc0cdb340774c3d</t>
  </si>
  <si>
    <t>MET:9448dcc0cdb340774c3d</t>
  </si>
  <si>
    <t>2a786251d1bc17d73de8</t>
  </si>
  <si>
    <t>MET:2a786251d1bc17d73de8</t>
  </si>
  <si>
    <t>558d3883ac3b52c3a33e</t>
  </si>
  <si>
    <t>MET:558d3883ac3b52c3a33e</t>
  </si>
  <si>
    <t>b2554df7b05b1dd5c2f0</t>
  </si>
  <si>
    <t>MET:b2554df7b05b1dd5c2f0</t>
  </si>
  <si>
    <t>f32326c623104eef16a1</t>
  </si>
  <si>
    <t>MET:f32326c623104eef16a1</t>
  </si>
  <si>
    <t>c05edd2310fcbf4cbbc0</t>
  </si>
  <si>
    <t>MET:c05edd2310fcbf4cbbc0</t>
  </si>
  <si>
    <t>f96dbdb52a7e83e441d5</t>
  </si>
  <si>
    <t>MET:f96dbdb52a7e83e441d5</t>
  </si>
  <si>
    <t>c775e61db104794d888b</t>
  </si>
  <si>
    <t>MET:c775e61db104794d888b</t>
  </si>
  <si>
    <t>9315580182834cc94345</t>
  </si>
  <si>
    <t>MET:9315580182834cc94345</t>
  </si>
  <si>
    <t>81653bdb5aa0cad45599</t>
  </si>
  <si>
    <t>MET:81653bdb5aa0cad45599</t>
  </si>
  <si>
    <t>manifest:20260916_192639_Qwen_8fc12d57</t>
  </si>
  <si>
    <t>20260916_192639_Qwen_8fc12d57</t>
  </si>
  <si>
    <t>c032ee0be33279dae11e</t>
  </si>
  <si>
    <t>MET:c032ee0be33279dae11e</t>
  </si>
  <si>
    <t>ca1438d15853384e15ad</t>
  </si>
  <si>
    <t>MET:ca1438d15853384e15ad</t>
  </si>
  <si>
    <t>2a7565bcd34ba390eea7</t>
  </si>
  <si>
    <t>MET:2a7565bcd34ba390eea7</t>
  </si>
  <si>
    <t>03d5c926629d3e1264b8</t>
  </si>
  <si>
    <t>MET:03d5c926629d3e1264b8</t>
  </si>
  <si>
    <t>76bef097f89d1920b41e</t>
  </si>
  <si>
    <t>MET:76bef097f89d1920b41e</t>
  </si>
  <si>
    <t>7c135c28750915964f74</t>
  </si>
  <si>
    <t>MET:7c135c28750915964f74</t>
  </si>
  <si>
    <t>aeeaaed1c1cf83741df5</t>
  </si>
  <si>
    <t>MET:aeeaaed1c1cf83741df5</t>
  </si>
  <si>
    <t>f86e4d266daf10b0e1c5</t>
  </si>
  <si>
    <t>MET:f86e4d266daf10b0e1c5</t>
  </si>
  <si>
    <t>db6028161bf3ccc199f0</t>
  </si>
  <si>
    <t>MET:db6028161bf3ccc199f0</t>
  </si>
  <si>
    <t>778df20fbbdc1c971e7b</t>
  </si>
  <si>
    <t>MET:778df20fbbdc1c971e7b</t>
  </si>
  <si>
    <t>3c42d91b62391dc5dfed</t>
  </si>
  <si>
    <t>MET:3c42d91b62391dc5dfed</t>
  </si>
  <si>
    <t>2fb52f6ed02622c5db7a</t>
  </si>
  <si>
    <t>MET:2fb52f6ed02622c5db7a</t>
  </si>
  <si>
    <t>fac964012f17b97a8e99</t>
  </si>
  <si>
    <t>MET:fac964012f17b97a8e99</t>
  </si>
  <si>
    <t>7ba9d86a5334f5358950</t>
  </si>
  <si>
    <t>MET:7ba9d86a5334f5358950</t>
  </si>
  <si>
    <t>013f4c86a986df103d2d</t>
  </si>
  <si>
    <t>MET:013f4c86a986df103d2d</t>
  </si>
  <si>
    <t>49e055d01a941238c235</t>
  </si>
  <si>
    <t>MET:49e055d01a941238c235</t>
  </si>
  <si>
    <t>5357e28a2e125a4c5e6d</t>
  </si>
  <si>
    <t>MET:5357e28a2e125a4c5e6d</t>
  </si>
  <si>
    <t>8641f3974005f63f5e89</t>
  </si>
  <si>
    <t>MET:8641f3974005f63f5e89</t>
  </si>
  <si>
    <t>064f1323590a6d84d2a2</t>
  </si>
  <si>
    <t>MET:064f1323590a6d84d2a2</t>
  </si>
  <si>
    <t>3a15e6987528f7b72f59</t>
  </si>
  <si>
    <t>MET:3a15e6987528f7b72f59</t>
  </si>
  <si>
    <t>9e7937a31668b86c60e3</t>
  </si>
  <si>
    <t>MET:9e7937a31668b86c60e3</t>
  </si>
  <si>
    <t>5ed1894a41922be80ce3</t>
  </si>
  <si>
    <t>MET:5ed1894a41922be80ce3</t>
  </si>
  <si>
    <t>manifest:20260916_210900_GLM_ce9faeda</t>
  </si>
  <si>
    <t>20260916_210900_GLM_ce9faeda</t>
  </si>
  <si>
    <t>00f04307cae50459153c</t>
  </si>
  <si>
    <t>MET:00f04307cae50459153c</t>
  </si>
  <si>
    <t>c97f2edbd7474f262c1b</t>
  </si>
  <si>
    <t>MET:c97f2edbd7474f262c1b</t>
  </si>
  <si>
    <t>7303168a157eaf30e643</t>
  </si>
  <si>
    <t>MET:7303168a157eaf30e643</t>
  </si>
  <si>
    <t>e8bd4ce54bfe39ad8fe4</t>
  </si>
  <si>
    <t>MET:e8bd4ce54bfe39ad8fe4</t>
  </si>
  <si>
    <t>c5e7e028f724c5c9dc59</t>
  </si>
  <si>
    <t>MET:c5e7e028f724c5c9dc59</t>
  </si>
  <si>
    <t>3a6c00a6b81dbe26b2b9</t>
  </si>
  <si>
    <t>MET:3a6c00a6b81dbe26b2b9</t>
  </si>
  <si>
    <t>5df889404890de642b46</t>
  </si>
  <si>
    <t>MET:5df889404890de642b46</t>
  </si>
  <si>
    <t>1f333b928cb69ccfbd17</t>
  </si>
  <si>
    <t>MET:1f333b928cb69ccfbd17</t>
  </si>
  <si>
    <t>630bdeba46b5c2d46e72</t>
  </si>
  <si>
    <t>MET:630bdeba46b5c2d46e72</t>
  </si>
  <si>
    <t>049385903d75cb002d08</t>
  </si>
  <si>
    <t>MET:049385903d75cb002d08</t>
  </si>
  <si>
    <t>5547cfc4471d6719f591</t>
  </si>
  <si>
    <t>MET:5547cfc4471d6719f591</t>
  </si>
  <si>
    <t>507db9ee9c5249f31b52</t>
  </si>
  <si>
    <t>MET:507db9ee9c5249f31b52</t>
  </si>
  <si>
    <t>f866a9315a9d0a58bcf7</t>
  </si>
  <si>
    <t>MET:f866a9315a9d0a58bcf7</t>
  </si>
  <si>
    <t>86b64f0f1ff168cabdbf</t>
  </si>
  <si>
    <t>MET:86b64f0f1ff168cabdbf</t>
  </si>
  <si>
    <t>d356b60f6fb0c2fe0b55</t>
  </si>
  <si>
    <t>MET:d356b60f6fb0c2fe0b55</t>
  </si>
  <si>
    <t>27f3386a73a1e5bdc199</t>
  </si>
  <si>
    <t>MET:27f3386a73a1e5bdc199</t>
  </si>
  <si>
    <t>1b3403ed5d1551c7642b</t>
  </si>
  <si>
    <t>MET:1b3403ed5d1551c7642b</t>
  </si>
  <si>
    <t>f77ecff9b7abd310f82d</t>
  </si>
  <si>
    <t>MET:f77ecff9b7abd310f82d</t>
  </si>
  <si>
    <t>10d49163793b1e5a3926</t>
  </si>
  <si>
    <t>MET:10d49163793b1e5a3926</t>
  </si>
  <si>
    <t>0e5cc9b0fb5e70a719bd</t>
  </si>
  <si>
    <t>MET:0e5cc9b0fb5e70a719bd</t>
  </si>
  <si>
    <t>9602a69b945f5565c5cd</t>
  </si>
  <si>
    <t>MET:9602a69b945f5565c5cd</t>
  </si>
  <si>
    <t>401fce84d93fa6b3496e</t>
  </si>
  <si>
    <t>MET:401fce84d93fa6b3496e</t>
  </si>
  <si>
    <t>manifest:20260917_103101_DeepSeek_6a24da15</t>
  </si>
  <si>
    <t>20260917_103101_DeepSeek_6a24da15</t>
  </si>
  <si>
    <t>96898b179a8cc4cf6373</t>
  </si>
  <si>
    <t>MET:96898b179a8cc4cf6373</t>
  </si>
  <si>
    <t>d83aa3413537e0e9625e</t>
  </si>
  <si>
    <t>MET:d83aa3413537e0e9625e</t>
  </si>
  <si>
    <t>dddbc18ab39e4ace6d4f</t>
  </si>
  <si>
    <t>MET:dddbc18ab39e4ace6d4f</t>
  </si>
  <si>
    <t>3060aa54b141bce2986d</t>
  </si>
  <si>
    <t>MET:3060aa54b141bce2986d</t>
  </si>
  <si>
    <t>419f7dfbcdf7f15ee390</t>
  </si>
  <si>
    <t>MET:419f7dfbcdf7f15ee390</t>
  </si>
  <si>
    <t>08be840198d0ef139c28</t>
  </si>
  <si>
    <t>MET:08be840198d0ef139c28</t>
  </si>
  <si>
    <t>92be960f244ea013fe60</t>
  </si>
  <si>
    <t>MET:92be960f244ea013fe60</t>
  </si>
  <si>
    <t>f433ecc0defad06d5031</t>
  </si>
  <si>
    <t>MET:f433ecc0defad06d5031</t>
  </si>
  <si>
    <t>35e9ed16637970dcd9f9</t>
  </si>
  <si>
    <t>MET:35e9ed16637970dcd9f9</t>
  </si>
  <si>
    <t>09407b58172881ae8fbf</t>
  </si>
  <si>
    <t>MET:09407b58172881ae8fbf</t>
  </si>
  <si>
    <t>fdab004982ec5b8fd8a0</t>
  </si>
  <si>
    <t>MET:fdab004982ec5b8fd8a0</t>
  </si>
  <si>
    <t>cac2d4ef77d7a9d98cab</t>
  </si>
  <si>
    <t>MET:cac2d4ef77d7a9d98cab</t>
  </si>
  <si>
    <t>c21f7c12c46c21e9aba7</t>
  </si>
  <si>
    <t>MET:c21f7c12c46c21e9aba7</t>
  </si>
  <si>
    <t>82c283fb979960c8ff5a</t>
  </si>
  <si>
    <t>MET:82c283fb979960c8ff5a</t>
  </si>
  <si>
    <t>989abbe763d55d8caee5</t>
  </si>
  <si>
    <t>MET:989abbe763d55d8caee5</t>
  </si>
  <si>
    <t>3b106ef04a20d01bfb60</t>
  </si>
  <si>
    <t>MET:3b106ef04a20d01bfb60</t>
  </si>
  <si>
    <t>b1e47258c0b0221e6c29</t>
  </si>
  <si>
    <t>MET:b1e47258c0b0221e6c29</t>
  </si>
  <si>
    <t>5753b39e0d02b431b76d</t>
  </si>
  <si>
    <t>MET:5753b39e0d02b431b76d</t>
  </si>
  <si>
    <t>0da9a5222995db5f1912</t>
  </si>
  <si>
    <t>MET:0da9a5222995db5f1912</t>
  </si>
  <si>
    <t>b4280d455d0ae1cf1920</t>
  </si>
  <si>
    <t>MET:b4280d455d0ae1cf1920</t>
  </si>
  <si>
    <t>f8daf6efef9d66c7c6e8</t>
  </si>
  <si>
    <t>MET:f8daf6efef9d66c7c6e8</t>
  </si>
  <si>
    <t>75d03145bed7509150b6</t>
  </si>
  <si>
    <t>MET:75d03145bed7509150b6</t>
  </si>
  <si>
    <t>8f3ddb8441ed71741606</t>
  </si>
  <si>
    <t>MET:8f3ddb8441ed71741606</t>
  </si>
  <si>
    <t>推理Token（输出子集）</t>
  </si>
  <si>
    <t>原生usage</t>
  </si>
  <si>
    <t>manifest:20260917_104522_GPT_b97ef10b</t>
  </si>
  <si>
    <t>20260917_104522_GPT_b97ef10b</t>
  </si>
  <si>
    <t>119fd806271bd4e946ba</t>
  </si>
  <si>
    <t>MET:119fd806271bd4e946ba</t>
  </si>
  <si>
    <t>73e379cf2b1ecc0ee497</t>
  </si>
  <si>
    <t>MET:73e379cf2b1ecc0ee497</t>
  </si>
  <si>
    <t>9ff42ba8fbf1709a5840</t>
  </si>
  <si>
    <t>MET:9ff42ba8fbf1709a5840</t>
  </si>
  <si>
    <t>0f6b2e5c80e63b706ddf</t>
  </si>
  <si>
    <t>MET:0f6b2e5c80e63b706ddf</t>
  </si>
  <si>
    <t>a1161d0708d5e192ef2b</t>
  </si>
  <si>
    <t>MET:a1161d0708d5e192ef2b</t>
  </si>
  <si>
    <t>a1b53aec432bf9154101</t>
  </si>
  <si>
    <t>MET:a1b53aec432bf9154101</t>
  </si>
  <si>
    <t>e94b89f7e216be5eaadd</t>
  </si>
  <si>
    <t>MET:e94b89f7e216be5eaadd</t>
  </si>
  <si>
    <t>34be9b08108f83ad24f6</t>
  </si>
  <si>
    <t>MET:34be9b08108f83ad24f6</t>
  </si>
  <si>
    <t>5750e70cce329d03cc30</t>
  </si>
  <si>
    <t>MET:5750e70cce329d03cc30</t>
  </si>
  <si>
    <t>0f56d4efb1f98990477f</t>
  </si>
  <si>
    <t>MET:0f56d4efb1f98990477f</t>
  </si>
  <si>
    <t>3777126f98c4bb862f0e</t>
  </si>
  <si>
    <t>MET:3777126f98c4bb862f0e</t>
  </si>
  <si>
    <t>c4f04a49ddb3037e5fd4</t>
  </si>
  <si>
    <t>MET:c4f04a49ddb3037e5fd4</t>
  </si>
  <si>
    <t>af195fc1642e7c231942</t>
  </si>
  <si>
    <t>MET:af195fc1642e7c231942</t>
  </si>
  <si>
    <t>3ebe9769c16a64752c20</t>
  </si>
  <si>
    <t>MET:3ebe9769c16a64752c20</t>
  </si>
  <si>
    <t>f37104a11deb54f99b97</t>
  </si>
  <si>
    <t>MET:f37104a11deb54f99b97</t>
  </si>
  <si>
    <t>706f44a8cf5dc4cc80a3</t>
  </si>
  <si>
    <t>MET:706f44a8cf5dc4cc80a3</t>
  </si>
  <si>
    <t>cc3f268bb2115d9d4377</t>
  </si>
  <si>
    <t>MET:cc3f268bb2115d9d4377</t>
  </si>
  <si>
    <t>702b95cabf18ef267472</t>
  </si>
  <si>
    <t>MET:702b95cabf18ef267472</t>
  </si>
  <si>
    <t>d636db688df52c6bcf62</t>
  </si>
  <si>
    <t>MET:d636db688df52c6bcf62</t>
  </si>
  <si>
    <t>0cf3a99b57c067b4c376</t>
  </si>
  <si>
    <t>MET:0cf3a99b57c067b4c376</t>
  </si>
  <si>
    <t>4bab7b61fb90d790f947</t>
  </si>
  <si>
    <t>MET:4bab7b61fb90d790f947</t>
  </si>
  <si>
    <t>69d25bdd05cf4f296737</t>
  </si>
  <si>
    <t>MET:69d25bdd05cf4f296737</t>
  </si>
  <si>
    <t>a5ee9ffca6cd2d93260b</t>
  </si>
  <si>
    <t>MET:a5ee9ffca6cd2d93260b</t>
  </si>
  <si>
    <t>3a0bab47a709abe1513d</t>
  </si>
  <si>
    <t>MET:3a0bab47a709abe1513d</t>
  </si>
  <si>
    <t>manifest:20260917_104919_GLM_b5270231</t>
  </si>
  <si>
    <t>20260917_104919_GLM_b5270231</t>
  </si>
  <si>
    <t>9fbabb50b1e7042325aa</t>
  </si>
  <si>
    <t>MET:9fbabb50b1e7042325aa</t>
  </si>
  <si>
    <t>990fcee2eeff8da04019</t>
  </si>
  <si>
    <t>MET:990fcee2eeff8da04019</t>
  </si>
  <si>
    <t>5234bf914e6b78724c6a</t>
  </si>
  <si>
    <t>MET:5234bf914e6b78724c6a</t>
  </si>
  <si>
    <t>97063d149c67cdc59a97</t>
  </si>
  <si>
    <t>MET:97063d149c67cdc59a97</t>
  </si>
  <si>
    <t>73c7e6c12f06374e1c55</t>
  </si>
  <si>
    <t>MET:73c7e6c12f06374e1c55</t>
  </si>
  <si>
    <t>5c9a3af14bc666e2aee4</t>
  </si>
  <si>
    <t>MET:5c9a3af14bc666e2aee4</t>
  </si>
  <si>
    <t>9e716a8aaad2f725b9ee</t>
  </si>
  <si>
    <t>MET:9e716a8aaad2f725b9ee</t>
  </si>
  <si>
    <t>0028e001384bd83de4cd</t>
  </si>
  <si>
    <t>MET:0028e001384bd83de4cd</t>
  </si>
  <si>
    <t>87870a17b7a895ae280c</t>
  </si>
  <si>
    <t>MET:87870a17b7a895ae280c</t>
  </si>
  <si>
    <t>4e071d535273e06fe9b9</t>
  </si>
  <si>
    <t>MET:4e071d535273e06fe9b9</t>
  </si>
  <si>
    <t>375a7aba521601f20bf3</t>
  </si>
  <si>
    <t>MET:375a7aba521601f20bf3</t>
  </si>
  <si>
    <t>31b15d11ebe4d4094c9b</t>
  </si>
  <si>
    <t>MET:31b15d11ebe4d4094c9b</t>
  </si>
  <si>
    <t>ee67e482c875ddfb40a6</t>
  </si>
  <si>
    <t>MET:ee67e482c875ddfb40a6</t>
  </si>
  <si>
    <t>4a8d19484cc239be6209</t>
  </si>
  <si>
    <t>MET:4a8d19484cc239be6209</t>
  </si>
  <si>
    <t>2789e09f7742d83135f5</t>
  </si>
  <si>
    <t>MET:2789e09f7742d83135f5</t>
  </si>
  <si>
    <t>ab6a14b7734db37a37e5</t>
  </si>
  <si>
    <t>MET:ab6a14b7734db37a37e5</t>
  </si>
  <si>
    <t>5b0f44a5099f17d3b493</t>
  </si>
  <si>
    <t>MET:5b0f44a5099f17d3b493</t>
  </si>
  <si>
    <t>6160db296ef84c8d40a8</t>
  </si>
  <si>
    <t>MET:6160db296ef84c8d40a8</t>
  </si>
  <si>
    <t>9b868731fe509d69b28b</t>
  </si>
  <si>
    <t>MET:9b868731fe509d69b28b</t>
  </si>
  <si>
    <t>ad761d4d5bca99b60344</t>
  </si>
  <si>
    <t>MET:ad761d4d5bca99b60344</t>
  </si>
  <si>
    <t>cc70ea5112d67101575e</t>
  </si>
  <si>
    <t>MET:cc70ea5112d67101575e</t>
  </si>
  <si>
    <t>c9764cfc4798f07f7658</t>
  </si>
  <si>
    <t>MET:c9764cfc4798f07f7658</t>
  </si>
  <si>
    <t>ede36e4404608aaf84d1</t>
  </si>
  <si>
    <t>MET:ede36e4404608aaf84d1</t>
  </si>
  <si>
    <t>manifest:20260917_104919_Kimi_006567a6</t>
  </si>
  <si>
    <t>20260917_104919_Kimi_006567a6</t>
  </si>
  <si>
    <t>bf8aa0dd20c9fe21726f</t>
  </si>
  <si>
    <t>MET:bf8aa0dd20c9fe21726f</t>
  </si>
  <si>
    <t>389d9aa9dd44a488db16</t>
  </si>
  <si>
    <t>MET:389d9aa9dd44a488db16</t>
  </si>
  <si>
    <t>f8abf0839e6c85562ca2</t>
  </si>
  <si>
    <t>MET:f8abf0839e6c85562ca2</t>
  </si>
  <si>
    <t>525085b4632c0fe213f8</t>
  </si>
  <si>
    <t>MET:525085b4632c0fe213f8</t>
  </si>
  <si>
    <t>9a95e4052a39a9a58a86</t>
  </si>
  <si>
    <t>MET:9a95e4052a39a9a58a86</t>
  </si>
  <si>
    <t>02cb6db081c6a6e48c9d</t>
  </si>
  <si>
    <t>MET:02cb6db081c6a6e48c9d</t>
  </si>
  <si>
    <t>2b215481c9b031171825</t>
  </si>
  <si>
    <t>MET:2b215481c9b031171825</t>
  </si>
  <si>
    <t>56896eca8002224fb3ab</t>
  </si>
  <si>
    <t>MET:56896eca8002224fb3ab</t>
  </si>
  <si>
    <t>b62c68d93668e9ab7c3a</t>
  </si>
  <si>
    <t>MET:b62c68d93668e9ab7c3a</t>
  </si>
  <si>
    <t>8a9aa382ecef21329cba</t>
  </si>
  <si>
    <t>MET:8a9aa382ecef21329cba</t>
  </si>
  <si>
    <t>e1374e5ad1e9ad102fcb</t>
  </si>
  <si>
    <t>MET:e1374e5ad1e9ad102fcb</t>
  </si>
  <si>
    <t>70d2fc6b049fe6b1679a</t>
  </si>
  <si>
    <t>MET:70d2fc6b049fe6b1679a</t>
  </si>
  <si>
    <t>342eb249875f91e30e45</t>
  </si>
  <si>
    <t>MET:342eb249875f91e30e45</t>
  </si>
  <si>
    <t>95ff16d1d8688efe1f6a</t>
  </si>
  <si>
    <t>MET:95ff16d1d8688efe1f6a</t>
  </si>
  <si>
    <t>91e301c99dca0610eceb</t>
  </si>
  <si>
    <t>MET:91e301c99dca0610eceb</t>
  </si>
  <si>
    <t>44f02242ed8d68d19452</t>
  </si>
  <si>
    <t>MET:44f02242ed8d68d19452</t>
  </si>
  <si>
    <t>9f9d02a8071833b97324</t>
  </si>
  <si>
    <t>MET:9f9d02a8071833b97324</t>
  </si>
  <si>
    <t>429fffc7451e7211fbf4</t>
  </si>
  <si>
    <t>MET:429fffc7451e7211fbf4</t>
  </si>
  <si>
    <t>55dd34cf23699d37a263</t>
  </si>
  <si>
    <t>MET:55dd34cf23699d37a263</t>
  </si>
  <si>
    <t>9a8314f7a42a16b21958</t>
  </si>
  <si>
    <t>MET:9a8314f7a42a16b21958</t>
  </si>
  <si>
    <t>600d907f96e04421afa5</t>
  </si>
  <si>
    <t>MET:600d907f96e04421afa5</t>
  </si>
  <si>
    <t>a99c012ddf0e7bf4bb8e</t>
  </si>
  <si>
    <t>MET:a99c012ddf0e7bf4bb8e</t>
  </si>
  <si>
    <t>02551032af3e6ca2b8df</t>
  </si>
  <si>
    <t>MET:02551032af3e6ca2b8df</t>
  </si>
  <si>
    <t>manifest:20260917_104919_Qwen_ca834dcf</t>
  </si>
  <si>
    <t>20260917_104919_Qwen_ca834dcf</t>
  </si>
  <si>
    <t>2caef140b042fbdde5e8</t>
  </si>
  <si>
    <t>MET:2caef140b042fbdde5e8</t>
  </si>
  <si>
    <t>4c80734a87e739f8dd93</t>
  </si>
  <si>
    <t>MET:4c80734a87e739f8dd93</t>
  </si>
  <si>
    <t>b2ea144d411a4db058e5</t>
  </si>
  <si>
    <t>MET:b2ea144d411a4db058e5</t>
  </si>
  <si>
    <t>b44876c2cc72fee92737</t>
  </si>
  <si>
    <t>MET:b44876c2cc72fee92737</t>
  </si>
  <si>
    <t>e91aebe1c5ab63c82830</t>
  </si>
  <si>
    <t>MET:e91aebe1c5ab63c82830</t>
  </si>
  <si>
    <t>fbe42e727d7c506e82cb</t>
  </si>
  <si>
    <t>MET:fbe42e727d7c506e82cb</t>
  </si>
  <si>
    <t>4773643e49c0e38f89b8</t>
  </si>
  <si>
    <t>MET:4773643e49c0e38f89b8</t>
  </si>
  <si>
    <t>df70f4e1122d519ac23d</t>
  </si>
  <si>
    <t>MET:df70f4e1122d519ac23d</t>
  </si>
  <si>
    <t>f87b634d2ef4c046a16d</t>
  </si>
  <si>
    <t>MET:f87b634d2ef4c046a16d</t>
  </si>
  <si>
    <t>d9d90ecb594bfdcbeb44</t>
  </si>
  <si>
    <t>MET:d9d90ecb594bfdcbeb44</t>
  </si>
  <si>
    <t>2fd2d8ec80e574bfed35</t>
  </si>
  <si>
    <t>MET:2fd2d8ec80e574bfed35</t>
  </si>
  <si>
    <t>e259fa4adbae01cdb407</t>
  </si>
  <si>
    <t>MET:e259fa4adbae01cdb407</t>
  </si>
  <si>
    <t>6632b4e26a5d3f0800e8</t>
  </si>
  <si>
    <t>MET:6632b4e26a5d3f0800e8</t>
  </si>
  <si>
    <t>eda06a472ca353e5e1b1</t>
  </si>
  <si>
    <t>MET:eda06a472ca353e5e1b1</t>
  </si>
  <si>
    <t>bdfd48d32b51e1ea38bd</t>
  </si>
  <si>
    <t>MET:bdfd48d32b51e1ea38bd</t>
  </si>
  <si>
    <t>e2386da7aea753ec7dff</t>
  </si>
  <si>
    <t>MET:e2386da7aea753ec7dff</t>
  </si>
  <si>
    <t>bc93e3a3cf2f7ba84cfa</t>
  </si>
  <si>
    <t>MET:bc93e3a3cf2f7ba84cfa</t>
  </si>
  <si>
    <t>cdef74daf7256909af2d</t>
  </si>
  <si>
    <t>MET:cdef74daf7256909af2d</t>
  </si>
  <si>
    <t>eae792b78366c2428ff5</t>
  </si>
  <si>
    <t>MET:eae792b78366c2428ff5</t>
  </si>
  <si>
    <t>8dfe7994db4e03b31c19</t>
  </si>
  <si>
    <t>MET:8dfe7994db4e03b31c19</t>
  </si>
  <si>
    <t>b00102181e0bf87508fa</t>
  </si>
  <si>
    <t>MET:b00102181e0bf87508fa</t>
  </si>
  <si>
    <t>34ddfbfe3ea9c062b401</t>
  </si>
  <si>
    <t>MET:34ddfbfe3ea9c062b401</t>
  </si>
  <si>
    <t>f0efc2d02d521aa56771</t>
  </si>
  <si>
    <t>MET:f0efc2d02d521aa56771</t>
  </si>
  <si>
    <t>manifest:20260917_135307_Gemini_Antigravity_b8812ad3</t>
  </si>
  <si>
    <t>20260917_135307_Gemini_Antigravity_b8812ad3</t>
  </si>
  <si>
    <t>4c04bc2deebd81a4f42c</t>
  </si>
  <si>
    <t>MET:4c04bc2deebd81a4f42c</t>
  </si>
  <si>
    <t>b7cdd489b51ff03541c9</t>
  </si>
  <si>
    <t>MET:b7cdd489b51ff03541c9</t>
  </si>
  <si>
    <t>c2e751051cc562f45f3a</t>
  </si>
  <si>
    <t>MET:c2e751051cc562f45f3a</t>
  </si>
  <si>
    <t>773a77567a8dff9b6957</t>
  </si>
  <si>
    <t>MET:773a77567a8dff9b6957</t>
  </si>
  <si>
    <t>7e009254cd2701e17972</t>
  </si>
  <si>
    <t>MET:7e009254cd2701e17972</t>
  </si>
  <si>
    <t>f1b8a2e30f55aadb8e60</t>
  </si>
  <si>
    <t>MET:f1b8a2e30f55aadb8e60</t>
  </si>
  <si>
    <t>1b86cca6e05bceee6dab</t>
  </si>
  <si>
    <t>MET:1b86cca6e05bceee6dab</t>
  </si>
  <si>
    <t>0e35f79069bf42180487</t>
  </si>
  <si>
    <t>MET:0e35f79069bf42180487</t>
  </si>
  <si>
    <t>52a39b7a801a26cd32a3</t>
  </si>
  <si>
    <t>MET:52a39b7a801a26cd32a3</t>
  </si>
  <si>
    <t>d6c5d368569fd8840949</t>
  </si>
  <si>
    <t>MET:d6c5d368569fd8840949</t>
  </si>
  <si>
    <t>678b2b137d7ba4d803bb</t>
  </si>
  <si>
    <t>MET:678b2b137d7ba4d803bb</t>
  </si>
  <si>
    <t>5f66017f336468db4976</t>
  </si>
  <si>
    <t>MET:5f66017f336468db4976</t>
  </si>
  <si>
    <t>1c598683af63e479caa8</t>
  </si>
  <si>
    <t>MET:1c598683af63e479caa8</t>
  </si>
  <si>
    <t>155d602533b4e2cfa2a4</t>
  </si>
  <si>
    <t>MET:155d602533b4e2cfa2a4</t>
  </si>
  <si>
    <t>c0cf255ec4a3fc3a5d84</t>
  </si>
  <si>
    <t>MET:c0cf255ec4a3fc3a5d84</t>
  </si>
  <si>
    <t>979ece8f56843c600010</t>
  </si>
  <si>
    <t>MET:979ece8f56843c600010</t>
  </si>
  <si>
    <t>be02f76d224ae22cc7ca</t>
  </si>
  <si>
    <t>MET:be02f76d224ae22cc7ca</t>
  </si>
  <si>
    <t>manifest:20260917_135616_Grok_Cursor_a1f4906a</t>
  </si>
  <si>
    <t>20260917_135616_Grok_Cursor_a1f4906a</t>
  </si>
  <si>
    <t>3f62c49998ae7a305f2f</t>
  </si>
  <si>
    <t>MET:3f62c49998ae7a305f2f</t>
  </si>
  <si>
    <t>da9321acfb9074c5e2ff</t>
  </si>
  <si>
    <t>MET:da9321acfb9074c5e2ff</t>
  </si>
  <si>
    <t>b25a60d30e99aaba6aac</t>
  </si>
  <si>
    <t>MET:b25a60d30e99aaba6aac</t>
  </si>
  <si>
    <t>c224979e6b8dfd198a22</t>
  </si>
  <si>
    <t>MET:c224979e6b8dfd198a22</t>
  </si>
  <si>
    <t>5390f86ef4f95a646a2f</t>
  </si>
  <si>
    <t>MET:5390f86ef4f95a646a2f</t>
  </si>
  <si>
    <t>5accc37309e862b3f138</t>
  </si>
  <si>
    <t>MET:5accc37309e862b3f138</t>
  </si>
  <si>
    <t>3cd817ce3d2762ef2fad</t>
  </si>
  <si>
    <t>MET:3cd817ce3d2762ef2fad</t>
  </si>
  <si>
    <t>acb159fc8c957f1573b0</t>
  </si>
  <si>
    <t>MET:acb159fc8c957f1573b0</t>
  </si>
  <si>
    <t>f3099d4440e0b04f580b</t>
  </si>
  <si>
    <t>MET:f3099d4440e0b04f580b</t>
  </si>
  <si>
    <t>2efb5404a042643b8074</t>
  </si>
  <si>
    <t>MET:2efb5404a042643b8074</t>
  </si>
  <si>
    <t>7a9093094035a59b10dd</t>
  </si>
  <si>
    <t>MET:7a9093094035a59b10dd</t>
  </si>
  <si>
    <t>fef042ec512d7f417f06</t>
  </si>
  <si>
    <t>MET:fef042ec512d7f417f06</t>
  </si>
  <si>
    <t>78f99d0036d670160481</t>
  </si>
  <si>
    <t>MET:78f99d0036d670160481</t>
  </si>
  <si>
    <t>55387a91a50202d15bd4</t>
  </si>
  <si>
    <t>MET:55387a91a50202d15bd4</t>
  </si>
  <si>
    <t>d4b465df2bbf9ea3b0ab</t>
  </si>
  <si>
    <t>MET:d4b465df2bbf9ea3b0ab</t>
  </si>
  <si>
    <t>cc28c6dac0f35c713a7a</t>
  </si>
  <si>
    <t>MET:cc28c6dac0f35c713a7a</t>
  </si>
  <si>
    <t>42aa07d0e664f700a645</t>
  </si>
  <si>
    <t>MET:42aa07d0e664f700a645</t>
  </si>
  <si>
    <t>decision:baseline:Claude</t>
  </si>
  <si>
    <t>f56a9fc68ae3bf2d70ee</t>
  </si>
  <si>
    <t>MET:f56a9fc68ae3bf2d70ee</t>
  </si>
  <si>
    <t>adcde577aa15b3d6b8eb</t>
  </si>
  <si>
    <t>MET:adcde577aa15b3d6b8eb</t>
  </si>
  <si>
    <t>混合会话观测</t>
  </si>
  <si>
    <t>中断记录数</t>
  </si>
  <si>
    <t>混合会话2026-09-18</t>
  </si>
  <si>
    <t>c3ddc80bdfeee7453992</t>
  </si>
  <si>
    <t>MET:c3ddc80bdfeee7453992</t>
  </si>
  <si>
    <t>工具调用请求数（混合会话）</t>
  </si>
  <si>
    <t>9072a4df85131a4cbf6d</t>
  </si>
  <si>
    <t>MET:9072a4df85131a4cbf6d</t>
  </si>
  <si>
    <t>模型切换提示数</t>
  </si>
  <si>
    <t>532713745313582c8cb5</t>
  </si>
  <si>
    <t>MET:532713745313582c8cb5</t>
  </si>
  <si>
    <t>用户任务消息数</t>
  </si>
  <si>
    <t>3a9d8a833b8e9a9f0ac1</t>
  </si>
  <si>
    <t>MET:3a9d8a833b8e9a9f0ac1</t>
  </si>
  <si>
    <t>追加任务消息数</t>
  </si>
  <si>
    <t>23b7ada2b8486fb89a5e</t>
  </si>
  <si>
    <t>MET:23b7ada2b8486fb89a5e</t>
  </si>
  <si>
    <t>5cf9de07026d463bc5d0</t>
  </si>
  <si>
    <t>MET:5cf9de07026d463bc5d0</t>
  </si>
  <si>
    <t>7c54118020a023f1fddc</t>
  </si>
  <si>
    <t>MET:7c54118020a023f1fddc</t>
  </si>
  <si>
    <t>a2dcb9ed9474ab66c313</t>
  </si>
  <si>
    <t>MET:a2dcb9ed9474ab66c313</t>
  </si>
  <si>
    <t>41a6bc1541364b7144a0</t>
  </si>
  <si>
    <t>MET:41a6bc1541364b7144a0</t>
  </si>
  <si>
    <t>1ca1a92719eafbf7989b</t>
  </si>
  <si>
    <t>MET:1ca1a92719eafbf7989b</t>
  </si>
  <si>
    <t>2a7ccf34771fa7a15c32</t>
  </si>
  <si>
    <t>MET:2a7ccf34771fa7a15c32</t>
  </si>
  <si>
    <t>原生usage复审</t>
  </si>
  <si>
    <t>usage-Grok-1-2</t>
  </si>
  <si>
    <t>原生费用核查:Grok 第1轮</t>
  </si>
  <si>
    <t>usage-Grok-1-3</t>
  </si>
  <si>
    <t>usage-Grok-1-4</t>
  </si>
  <si>
    <t>usage-Grok-1-5</t>
  </si>
  <si>
    <t>usage-Grok-2-2</t>
  </si>
  <si>
    <t>原生费用核查:Grok 第2轮</t>
  </si>
  <si>
    <t>usage-Grok-2-3</t>
  </si>
  <si>
    <t>usage-Grok-2-4</t>
  </si>
  <si>
    <t>usage-Grok-2-5</t>
  </si>
  <si>
    <t>usage-Gemini-1-2</t>
  </si>
  <si>
    <t>原生费用核查:Gemini 第1轮</t>
  </si>
  <si>
    <t>usage-Gemini-1-3</t>
  </si>
  <si>
    <t>usage-Gemini-1-4</t>
  </si>
  <si>
    <t>usage-Gemini-1-5</t>
  </si>
  <si>
    <t>usage-Gemini-2-2</t>
  </si>
  <si>
    <t>原生费用核查:Gemini 第2轮</t>
  </si>
  <si>
    <t>usage-Gemini-2-3</t>
  </si>
  <si>
    <t>usage-Gemini-2-4</t>
  </si>
  <si>
    <t>usage-Gemini-2-5</t>
  </si>
  <si>
    <t>usage-Claude-1-2</t>
  </si>
  <si>
    <t>原生费用核查:Claude 第1轮</t>
  </si>
  <si>
    <t>usage-Claude-1-3</t>
  </si>
  <si>
    <t>usage-Claude-1-4</t>
  </si>
  <si>
    <t>usage-Claude-1-5</t>
  </si>
  <si>
    <t>S分项</t>
  </si>
  <si>
    <t>A1 粒度与语义</t>
  </si>
  <si>
    <t>评分标准</t>
  </si>
  <si>
    <t>manifest:20260916_105830_GPT_886636b7</t>
  </si>
  <si>
    <t>20260916_105830_GPT_886636b7</t>
  </si>
  <si>
    <t>GPT-1-A1</t>
  </si>
  <si>
    <t>A2 数据质量判断</t>
  </si>
  <si>
    <t>GPT-1-A2</t>
  </si>
  <si>
    <t>A3 问题可回答性</t>
  </si>
  <si>
    <t>GPT-1-A3</t>
  </si>
  <si>
    <t>A4 问题优先级</t>
  </si>
  <si>
    <t>GPT-1-A4</t>
  </si>
  <si>
    <t>B1 数字与口径</t>
  </si>
  <si>
    <t>GPT-1-B1</t>
  </si>
  <si>
    <t>B2 可比性</t>
  </si>
  <si>
    <t>GPT-1-B2</t>
  </si>
  <si>
    <t>B3 来源链</t>
  </si>
  <si>
    <t>GPT-1-B3</t>
  </si>
  <si>
    <t>B4 解释成立</t>
  </si>
  <si>
    <t>GPT-1-B4</t>
  </si>
  <si>
    <t>C1 差异分解</t>
  </si>
  <si>
    <t>GPT-1-C1</t>
  </si>
  <si>
    <t>C2 下钻调查</t>
  </si>
  <si>
    <t>GPT-1-C2</t>
  </si>
  <si>
    <t>C3 稳健性与替代解释</t>
  </si>
  <si>
    <t>GPT-1-C3</t>
  </si>
  <si>
    <t>C4 据证据修正</t>
  </si>
  <si>
    <t>GPT-1-C4</t>
  </si>
  <si>
    <t>C5 范围与停止</t>
  </si>
  <si>
    <t>GPT-1-C5</t>
  </si>
  <si>
    <t>D1 阅读入口与步骤</t>
  </si>
  <si>
    <t>GPT-1-D1</t>
  </si>
  <si>
    <t>D2 过程可理解</t>
  </si>
  <si>
    <t>GPT-1-D2</t>
  </si>
  <si>
    <t>D3 结果可重做</t>
  </si>
  <si>
    <t>GPT-1-D3</t>
  </si>
  <si>
    <t>D4 更新与错误定位</t>
  </si>
  <si>
    <t>GPT-1-D4</t>
  </si>
  <si>
    <t>D5 原AI的成品检查</t>
  </si>
  <si>
    <t>分</t>
  </si>
  <si>
    <t>GPT-1-D5</t>
  </si>
  <si>
    <t>E1 阅读与比较</t>
  </si>
  <si>
    <t>GPT-1-E1</t>
  </si>
  <si>
    <t>E2 画面与交互</t>
  </si>
  <si>
    <t>GPT-1-E2</t>
  </si>
  <si>
    <t>E3 文件一致与完成声明</t>
  </si>
  <si>
    <t>GPT-1-E3</t>
  </si>
  <si>
    <t>F1 原运行独立性</t>
  </si>
  <si>
    <t>GPT-1-F1</t>
  </si>
  <si>
    <t>F2 交后修正负担</t>
  </si>
  <si>
    <t>GPT-1-F2</t>
  </si>
  <si>
    <t>F3 失败处理</t>
  </si>
  <si>
    <t>GPT-1-F3</t>
  </si>
  <si>
    <t>F4 资源使用</t>
  </si>
  <si>
    <t>GPT-1-F4</t>
  </si>
  <si>
    <t>GPT-2-A1</t>
  </si>
  <si>
    <t>GPT-2-A2</t>
  </si>
  <si>
    <t>GPT-2-A3</t>
  </si>
  <si>
    <t>GPT-2-A4</t>
  </si>
  <si>
    <t>GPT-2-B1</t>
  </si>
  <si>
    <t>GPT-2-B2</t>
  </si>
  <si>
    <t>GPT-2-B3</t>
  </si>
  <si>
    <t>GPT-2-B4</t>
  </si>
  <si>
    <t>GPT-2-C1</t>
  </si>
  <si>
    <t>GPT-2-C2</t>
  </si>
  <si>
    <t>GPT-2-C3</t>
  </si>
  <si>
    <t>GPT-2-C4</t>
  </si>
  <si>
    <t>GPT-2-C5</t>
  </si>
  <si>
    <t>GPT-2-D1</t>
  </si>
  <si>
    <t>GPT-2-D2</t>
  </si>
  <si>
    <t>GPT-2-D3</t>
  </si>
  <si>
    <t>GPT-2-D4</t>
  </si>
  <si>
    <t>GPT-2-D5</t>
  </si>
  <si>
    <t>GPT-2-E1</t>
  </si>
  <si>
    <t>GPT-2-E2</t>
  </si>
  <si>
    <t>GPT-2-E3</t>
  </si>
  <si>
    <t>GPT-2-F1</t>
  </si>
  <si>
    <t>GPT-2-F2</t>
  </si>
  <si>
    <t>GPT-2-F3</t>
  </si>
  <si>
    <t>GPT-2-F4</t>
  </si>
  <si>
    <t>Grok-1-A1</t>
  </si>
  <si>
    <t>Grok-1-A2</t>
  </si>
  <si>
    <t>Grok-1-A3</t>
  </si>
  <si>
    <t>Grok-1-A4</t>
  </si>
  <si>
    <t>Grok-1-B1</t>
  </si>
  <si>
    <t>Grok-1-B2</t>
  </si>
  <si>
    <t>Grok-1-B3</t>
  </si>
  <si>
    <t>Grok-1-B4</t>
  </si>
  <si>
    <t>Grok-1-C1</t>
  </si>
  <si>
    <t>Grok-1-C2</t>
  </si>
  <si>
    <t>Grok-1-C3</t>
  </si>
  <si>
    <t>Grok-1-C4</t>
  </si>
  <si>
    <t>Grok-1-C5</t>
  </si>
  <si>
    <t>Grok-1-D1</t>
  </si>
  <si>
    <t>Grok-1-D2</t>
  </si>
  <si>
    <t>Grok-1-D3</t>
  </si>
  <si>
    <t>Grok-1-D4</t>
  </si>
  <si>
    <t>Grok-1-D5</t>
  </si>
  <si>
    <t>Grok-1-E1</t>
  </si>
  <si>
    <t>Grok-1-E2</t>
  </si>
  <si>
    <t>Grok-1-E3</t>
  </si>
  <si>
    <t>Grok-1-F1</t>
  </si>
  <si>
    <t>Grok-1-F2</t>
  </si>
  <si>
    <t>Grok-1-F3</t>
  </si>
  <si>
    <t>Grok-1-F4</t>
  </si>
  <si>
    <t>Grok-2-A1</t>
  </si>
  <si>
    <t>Grok-2-A2</t>
  </si>
  <si>
    <t>Grok-2-A3</t>
  </si>
  <si>
    <t>Grok-2-A4</t>
  </si>
  <si>
    <t>Grok-2-B1</t>
  </si>
  <si>
    <t>Grok-2-B2</t>
  </si>
  <si>
    <t>Grok-2-B3</t>
  </si>
  <si>
    <t>Grok-2-B4</t>
  </si>
  <si>
    <t>Grok-2-C1</t>
  </si>
  <si>
    <t>Grok-2-C2</t>
  </si>
  <si>
    <t>Grok-2-C3</t>
  </si>
  <si>
    <t>Grok-2-C4</t>
  </si>
  <si>
    <t>Grok-2-C5</t>
  </si>
  <si>
    <t>Grok-2-D1</t>
  </si>
  <si>
    <t>Grok-2-D2</t>
  </si>
  <si>
    <t>Grok-2-D3</t>
  </si>
  <si>
    <t>Grok-2-D4</t>
  </si>
  <si>
    <t>Grok-2-D5</t>
  </si>
  <si>
    <t>Grok-2-E1</t>
  </si>
  <si>
    <t>Grok-2-E2</t>
  </si>
  <si>
    <t>Grok-2-E3</t>
  </si>
  <si>
    <t>Grok-2-F1</t>
  </si>
  <si>
    <t>Grok-2-F2</t>
  </si>
  <si>
    <t>Grok-2-F3</t>
  </si>
  <si>
    <t>Grok-2-F4</t>
  </si>
  <si>
    <t>DeepSeek-1-A1</t>
  </si>
  <si>
    <t>DeepSeek-1-A2</t>
  </si>
  <si>
    <t>DeepSeek-1-A3</t>
  </si>
  <si>
    <t>DeepSeek-1-A4</t>
  </si>
  <si>
    <t>DS1-CAT</t>
  </si>
  <si>
    <t>DeepSeek-1-B2</t>
  </si>
  <si>
    <t>DeepSeek-1-B3</t>
  </si>
  <si>
    <t>DeepSeek-1-C1</t>
  </si>
  <si>
    <t>DeepSeek-1-C2</t>
  </si>
  <si>
    <t>DeepSeek-1-C3</t>
  </si>
  <si>
    <t>DeepSeek-1-C4</t>
  </si>
  <si>
    <t>DeepSeek-1-C5</t>
  </si>
  <si>
    <t>DeepSeek-1-D1</t>
  </si>
  <si>
    <t>DeepSeek-1-D2</t>
  </si>
  <si>
    <t>DeepSeek-1-D3</t>
  </si>
  <si>
    <t>DeepSeek-1-D4</t>
  </si>
  <si>
    <t>DeepSeek-1-D5</t>
  </si>
  <si>
    <t>DeepSeek-1-E1</t>
  </si>
  <si>
    <t>DeepSeek-1-E2</t>
  </si>
  <si>
    <t>DeepSeek-1-F1</t>
  </si>
  <si>
    <t>DeepSeek-1-F3</t>
  </si>
  <si>
    <t>DeepSeek-1-F4</t>
  </si>
  <si>
    <t>DeepSeek-2-A1</t>
  </si>
  <si>
    <t>DeepSeek-2-A2</t>
  </si>
  <si>
    <t>DeepSeek-2-A3</t>
  </si>
  <si>
    <t>DeepSeek-2-A4</t>
  </si>
  <si>
    <t>DeepSeek-2-B1</t>
  </si>
  <si>
    <t>DeepSeek-2-B2</t>
  </si>
  <si>
    <t>DeepSeek-2-B3</t>
  </si>
  <si>
    <t>DeepSeek-2-B4</t>
  </si>
  <si>
    <t>DeepSeek-2-C1</t>
  </si>
  <si>
    <t>DeepSeek-2-C2</t>
  </si>
  <si>
    <t>DeepSeek-2-C3</t>
  </si>
  <si>
    <t>DeepSeek-2-C4</t>
  </si>
  <si>
    <t>DeepSeek-2-C5</t>
  </si>
  <si>
    <t>DeepSeek-2-D1</t>
  </si>
  <si>
    <t>DeepSeek-2-D2</t>
  </si>
  <si>
    <t>DeepSeek-2-D3</t>
  </si>
  <si>
    <t>DeepSeek-2-D4</t>
  </si>
  <si>
    <t>DeepSeek-2-D5</t>
  </si>
  <si>
    <t>DeepSeek-2-E1</t>
  </si>
  <si>
    <t>DeepSeek-2-E2</t>
  </si>
  <si>
    <t>DeepSeek-2-E3</t>
  </si>
  <si>
    <t>DeepSeek-2-F1</t>
  </si>
  <si>
    <t>DeepSeek-2-F2</t>
  </si>
  <si>
    <t>DeepSeek-2-F3</t>
  </si>
  <si>
    <t>DeepSeek-2-F4</t>
  </si>
  <si>
    <t>GLM-1-A1</t>
  </si>
  <si>
    <t>GLM-1-A2</t>
  </si>
  <si>
    <t>GLM-1-A3</t>
  </si>
  <si>
    <t>GLM-1-A4</t>
  </si>
  <si>
    <t>GLM-1-B1</t>
  </si>
  <si>
    <t>GLM-1-B2</t>
  </si>
  <si>
    <t>GLM-1-B3</t>
  </si>
  <si>
    <t>GLM-1-B4</t>
  </si>
  <si>
    <t>GLM-1-C1</t>
  </si>
  <si>
    <t>GLM-1-C2</t>
  </si>
  <si>
    <t>GLM-1-C3</t>
  </si>
  <si>
    <t>GLM-1-C4</t>
  </si>
  <si>
    <t>GLM-1-C5</t>
  </si>
  <si>
    <t>GLM-1-D1</t>
  </si>
  <si>
    <t>GLM-1-D2</t>
  </si>
  <si>
    <t>GLM-1-D3</t>
  </si>
  <si>
    <t>GLM-1-D4</t>
  </si>
  <si>
    <t>GLM-1-D5</t>
  </si>
  <si>
    <t>GLM-1-E1</t>
  </si>
  <si>
    <t>GLM-1-E2</t>
  </si>
  <si>
    <t>GLM-1-E3</t>
  </si>
  <si>
    <t>GLM-1-F1</t>
  </si>
  <si>
    <t>GLM-1-F2</t>
  </si>
  <si>
    <t>GLM-1-F3</t>
  </si>
  <si>
    <t>GLM-1-F4</t>
  </si>
  <si>
    <t>GLM-2-A1</t>
  </si>
  <si>
    <t>GLM-2-A2</t>
  </si>
  <si>
    <t>GLM-2-A3</t>
  </si>
  <si>
    <t>GLM-2-A4</t>
  </si>
  <si>
    <t>GLM-2-B1</t>
  </si>
  <si>
    <t>GLM-2-B2</t>
  </si>
  <si>
    <t>GLM-2-B3</t>
  </si>
  <si>
    <t>GLM-2-B4</t>
  </si>
  <si>
    <t>GLM-2-C1</t>
  </si>
  <si>
    <t>GLM-2-C2</t>
  </si>
  <si>
    <t>GLM-2-C3</t>
  </si>
  <si>
    <t>GLM-2-C4</t>
  </si>
  <si>
    <t>GLM-2-C5</t>
  </si>
  <si>
    <t>GLM-2-D1</t>
  </si>
  <si>
    <t>GLM-2-D2</t>
  </si>
  <si>
    <t>GLM-2-D3</t>
  </si>
  <si>
    <t>GLM-2-D4</t>
  </si>
  <si>
    <t>GLM-2-D5</t>
  </si>
  <si>
    <t>GLM-2-E1</t>
  </si>
  <si>
    <t>GLM-2-E2</t>
  </si>
  <si>
    <t>GLM-2-E3</t>
  </si>
  <si>
    <t>GLM-2-F1</t>
  </si>
  <si>
    <t>GLM-2-F2</t>
  </si>
  <si>
    <t>GLM-2-F3</t>
  </si>
  <si>
    <t>GLM-2-F4</t>
  </si>
  <si>
    <t>Qwen-1-A1</t>
  </si>
  <si>
    <t>Qwen-1-A2</t>
  </si>
  <si>
    <t>Qwen-1-A3</t>
  </si>
  <si>
    <t>Qwen-1-A4</t>
  </si>
  <si>
    <t>Qwen-1-B1</t>
  </si>
  <si>
    <t>Qwen-1-B2</t>
  </si>
  <si>
    <t>Qwen-1-B3</t>
  </si>
  <si>
    <t>QW1-STRUCT</t>
  </si>
  <si>
    <t>Qwen-1-C1</t>
  </si>
  <si>
    <t>Qwen-1-C5</t>
  </si>
  <si>
    <t>Qwen-1-D1</t>
  </si>
  <si>
    <t>Qwen-1-D2</t>
  </si>
  <si>
    <t>Qwen-1-D3</t>
  </si>
  <si>
    <t>Qwen-1-D4</t>
  </si>
  <si>
    <t>Qwen-1-D5</t>
  </si>
  <si>
    <t>Qwen-1-E1</t>
  </si>
  <si>
    <t>Qwen-1-E2</t>
  </si>
  <si>
    <t>Qwen-1-F1</t>
  </si>
  <si>
    <t>Qwen-1-F3</t>
  </si>
  <si>
    <t>Qwen-1-F4</t>
  </si>
  <si>
    <t>Qwen-2-A1</t>
  </si>
  <si>
    <t>Qwen-2-A2</t>
  </si>
  <si>
    <t>Qwen-2-A3</t>
  </si>
  <si>
    <t>Qwen-2-A4</t>
  </si>
  <si>
    <t>QW2-WINDOW</t>
  </si>
  <si>
    <t>Qwen-2-B3</t>
  </si>
  <si>
    <t>Qwen-2-C1</t>
  </si>
  <si>
    <t>Qwen-2-C2</t>
  </si>
  <si>
    <t>Qwen-2-C5</t>
  </si>
  <si>
    <t>Qwen-2-D1</t>
  </si>
  <si>
    <t>Qwen-2-D2</t>
  </si>
  <si>
    <t>Qwen-2-D3</t>
  </si>
  <si>
    <t>Qwen-2-D4</t>
  </si>
  <si>
    <t>Qwen-2-D5</t>
  </si>
  <si>
    <t>Qwen-2-E2</t>
  </si>
  <si>
    <t>Qwen-2-F1</t>
  </si>
  <si>
    <t>Qwen-2-F3</t>
  </si>
  <si>
    <t>Qwen-2-F4</t>
  </si>
  <si>
    <t>GE1-ADDR</t>
  </si>
  <si>
    <t>Gemini-1-A3</t>
  </si>
  <si>
    <t>Gemini-1-A4</t>
  </si>
  <si>
    <t>Gemini-1-B3</t>
  </si>
  <si>
    <t>Gemini-1-C2</t>
  </si>
  <si>
    <t>Gemini-1-C3</t>
  </si>
  <si>
    <t>Gemini-1-C4</t>
  </si>
  <si>
    <t>Gemini-1-C5</t>
  </si>
  <si>
    <t>Gemini-1-D1</t>
  </si>
  <si>
    <t>Gemini-1-D2</t>
  </si>
  <si>
    <t>Gemini-1-D3</t>
  </si>
  <si>
    <t>Gemini-1-D4</t>
  </si>
  <si>
    <t>Gemini-1-D5</t>
  </si>
  <si>
    <t>Gemini-1-E1</t>
  </si>
  <si>
    <t>Gemini-1-E2</t>
  </si>
  <si>
    <t>Gemini-1-F1</t>
  </si>
  <si>
    <t>Gemini-1-F3</t>
  </si>
  <si>
    <t>Gemini-1-F4</t>
  </si>
  <si>
    <t>Gemini-2-A1</t>
  </si>
  <si>
    <t>GE2-ARREST</t>
  </si>
  <si>
    <t>Gemini-2-A3</t>
  </si>
  <si>
    <t>Gemini-2-A4</t>
  </si>
  <si>
    <t>Gemini-2-B2</t>
  </si>
  <si>
    <t>Gemini-2-B3</t>
  </si>
  <si>
    <t>Gemini-2-C1</t>
  </si>
  <si>
    <t>Gemini-2-C3</t>
  </si>
  <si>
    <t>Gemini-2-C5</t>
  </si>
  <si>
    <t>Gemini-2-D1</t>
  </si>
  <si>
    <t>Gemini-2-D2</t>
  </si>
  <si>
    <t>Gemini-2-D3</t>
  </si>
  <si>
    <t>Gemini-2-D4</t>
  </si>
  <si>
    <t>Gemini-2-E1</t>
  </si>
  <si>
    <t>Gemini-2-E2</t>
  </si>
  <si>
    <t>Gemini-2-F1</t>
  </si>
  <si>
    <t>Gemini-2-F3</t>
  </si>
  <si>
    <t>Gemini-2-F4</t>
  </si>
  <si>
    <t>Claude-1-A1</t>
  </si>
  <si>
    <t>CL1-EXCLUSION</t>
  </si>
  <si>
    <t>Claude-1-A3</t>
  </si>
  <si>
    <t>Claude-1-A4</t>
  </si>
  <si>
    <t>Claude-1-B1</t>
  </si>
  <si>
    <t>Claude-1-B3</t>
  </si>
  <si>
    <t>Claude-1-C1</t>
  </si>
  <si>
    <t>Claude-1-C2</t>
  </si>
  <si>
    <t>Claude-1-C4</t>
  </si>
  <si>
    <t>Claude-1-C5</t>
  </si>
  <si>
    <t>Claude-1-D1</t>
  </si>
  <si>
    <t>Claude-1-D2</t>
  </si>
  <si>
    <t>CL1-REBUILD</t>
  </si>
  <si>
    <t>Claude-1-D5</t>
  </si>
  <si>
    <t>Claude-1-E1</t>
  </si>
  <si>
    <t>Claude-1-E2</t>
  </si>
  <si>
    <t>Claude-1-E3</t>
  </si>
  <si>
    <t>Claude-1-F1</t>
  </si>
  <si>
    <t>Claude-1-F3</t>
  </si>
  <si>
    <t>Claude-1-F4</t>
  </si>
  <si>
    <t>第一轮；第二轮；未评分；混合成果</t>
  </si>
  <si>
    <t>Gemini（子版本未核实）</t>
  </si>
  <si>
    <t>海外模型设为中，国内模型设为Claude Code中的high。</t>
  </si>
  <si>
    <t>模型版本取自运行记录。Claude第二轮未运行；Gemini第二轮、Kimi第一轮的具体子版本未核实。</t>
  </si>
  <si>
    <t>现行 S 得分</t>
  </si>
  <si>
    <t>评分标准：六维25项，满分100。</t>
  </si>
  <si>
    <t>可空：未形成可评分成品</t>
  </si>
  <si>
    <t>评分细项数</t>
  </si>
  <si>
    <t>已评分细项数，完整评分为25项</t>
  </si>
  <si>
    <t>低档 API 目录价等价成本</t>
  </si>
  <si>
    <t>高档 API 目录价等价成本</t>
  </si>
  <si>
    <t>Token用量；人工负担证据；S分项；实验条件；行为二审；运行观测；混合会话观测</t>
  </si>
  <si>
    <t>Token；项；分；字符；是=1/否=0；比例（0—1）；次；秒</t>
  </si>
  <si>
    <t>12 类</t>
  </si>
  <si>
    <t>GPT</t>
    <phoneticPr fontId="1" type="noConversion"/>
  </si>
  <si>
    <t>评分标准：六维25项；Claude仅评第一轮接管前工作，Kimi未评分。</t>
  </si>
  <si>
    <t>评分细项：下拉切换 AI，查看两轮25项评分。
评分与用量：查分项及依据编号。</t>
  </si>
  <si>
    <t>现行 S · 分维度比较</t>
  </si>
  <si>
    <t>比较轮次</t>
  </si>
  <si>
    <t>显示口径</t>
  </si>
  <si>
    <t>得分</t>
  </si>
  <si>
    <t>空白表示未评分；两轮变化为第二轮减第一轮，得分率变化按百分点比较。配对均值只含前六个系统。</t>
  </si>
  <si>
    <t>D 人工复现与维护 · 25分</t>
  </si>
  <si>
    <t>E 成品实际可用性 · 10分</t>
  </si>
  <si>
    <t>F 自主性与资源纪律 · 10分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</si>
</sst>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"/>
    <numFmt numFmtId="177" formatCode="\¥0.00"/>
    <numFmt numFmtId="178" formatCode="0.0000"/>
    <numFmt numFmtId="179" formatCode="#,##0.0"/>
    <numFmt numFmtId="180" formatCode="0.0%"/>
    <numFmt numFmtId="181" formatCode="\+0;\-0;0"/>
    <numFmt numFmtId="182" formatCode="\+0;\-0;&quot;—&quot;"/>
    <numFmt numFmtId="183" formatCode="\+0.0;\-0.0;0.0"/>
    <numFmt numFmtId="184" formatCode="0.0;\-0.0;0.0"/>
  </numFmts>
  <fonts count="39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Carlito"/>
    </font>
    <font>
      <sz val="11"/>
      <color theme="1"/>
      <name val="等线"/>
      <family val="3"/>
      <charset val="134"/>
    </font>
    <font>
      <sz val="10"/>
      <color rgb="FF171B24"/>
      <name val="等线"/>
      <family val="3"/>
      <charset val="134"/>
    </font>
    <font>
      <sz val="11"/>
      <name val="等线"/>
      <family val="3"/>
      <charset val="134"/>
    </font>
    <font>
      <sz val="11"/>
      <color rgb="FF1C1C1C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b/>
      <sz val="13"/>
      <color rgb="FFFFFFFF"/>
      <name val="微软雅黑"/>
      <family val="2"/>
      <charset val="134"/>
    </font>
    <font>
      <b/>
      <sz val="13"/>
      <color rgb="FF1C1C1C"/>
      <name val="微软雅黑"/>
      <family val="2"/>
      <charset val="134"/>
    </font>
    <font>
      <b/>
      <sz val="13"/>
      <color rgb="FF000000"/>
      <name val="微软雅黑"/>
      <family val="2"/>
      <charset val="134"/>
    </font>
    <font>
      <sz val="13"/>
      <color rgb="FFFFFFFF"/>
      <name val="微软雅黑"/>
      <family val="2"/>
      <charset val="134"/>
    </font>
    <font>
      <sz val="13"/>
      <name val="微软雅黑"/>
      <family val="2"/>
      <charset val="134"/>
    </font>
    <font>
      <sz val="13"/>
      <color theme="1"/>
      <name val="微软雅黑"/>
      <family val="2"/>
      <charset val="134"/>
    </font>
    <font>
      <sz val="13"/>
      <color rgb="FF1C1C1C"/>
      <name val="微软雅黑"/>
      <family val="2"/>
      <charset val="134"/>
    </font>
    <font>
      <sz val="13"/>
      <color rgb="FF000000"/>
      <name val="微软雅黑"/>
      <family val="2"/>
      <charset val="134"/>
    </font>
    <font>
      <sz val="13"/>
      <color theme="0"/>
      <name val="微软雅黑"/>
      <family val="2"/>
      <charset val="134"/>
    </font>
    <font>
      <b/>
      <sz val="18"/>
      <color rgb="FFFFFFFF"/>
      <name val="微软雅黑"/>
      <family val="2"/>
      <charset val="134"/>
    </font>
    <font>
      <sz val="11"/>
      <color rgb="FF5C5C5C"/>
      <name val="微软雅黑"/>
      <family val="2"/>
      <charset val="134"/>
    </font>
    <font>
      <sz val="12"/>
      <color rgb="FF5C5C5C"/>
      <name val="微软雅黑"/>
      <family val="2"/>
      <charset val="134"/>
    </font>
    <font>
      <sz val="12"/>
      <color rgb="FF1C1C1C"/>
      <name val="微软雅黑"/>
      <family val="2"/>
      <charset val="134"/>
    </font>
    <font>
      <b/>
      <sz val="20"/>
      <color rgb="FF1C1C1C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2"/>
      <color rgb="FF26323B"/>
      <name val="微软雅黑"/>
      <family val="2"/>
      <charset val="134"/>
    </font>
    <font>
      <sz val="12"/>
      <color rgb="FF687780"/>
      <name val="微软雅黑"/>
      <family val="2"/>
      <charset val="134"/>
    </font>
    <font>
      <sz val="12"/>
      <color rgb="FF16726A"/>
      <name val="微软雅黑"/>
      <family val="2"/>
      <charset val="134"/>
    </font>
    <font>
      <sz val="11"/>
      <color rgb="FF52616B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1"/>
      <color theme="1"/>
      <name val="等线"/>
      <family val="3"/>
      <charset val="134"/>
    </font>
    <font>
      <b/>
      <sz val="20"/>
      <color rgb="FF1C1C1C"/>
      <name val="等线"/>
      <family val="3"/>
      <charset val="134"/>
    </font>
    <font>
      <b/>
      <sz val="11"/>
      <color rgb="FFFFFFFF"/>
      <name val="等线"/>
      <family val="3"/>
      <charset val="134"/>
    </font>
    <font>
      <b/>
      <sz val="20"/>
      <color theme="1"/>
      <name val="宋体"/>
      <family val="3"/>
      <charset val="134"/>
      <scheme val="minor"/>
    </font>
    <font>
      <sz val="12"/>
      <color rgb="FF000000"/>
      <name val="微软雅黑"/>
      <family val="2"/>
      <charset val="134"/>
    </font>
    <font>
      <b/>
      <sz val="13"/>
      <color rgb="FFFFFFFF"/>
      <name val="微软雅黑"/>
      <family val="2"/>
      <charset val="134"/>
    </font>
  </fonts>
  <fills count="21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indexed="64"/>
      </patternFill>
    </fill>
    <fill>
      <patternFill patternType="solid">
        <fgColor rgb="FF1C1C1C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154BAF"/>
        <bgColor indexed="64"/>
      </patternFill>
    </fill>
    <fill>
      <patternFill patternType="solid">
        <fgColor rgb="FFD2E8FF"/>
        <bgColor indexed="64"/>
      </patternFill>
    </fill>
    <fill>
      <patternFill patternType="solid">
        <fgColor rgb="FFC9E1FB"/>
        <bgColor indexed="64"/>
      </patternFill>
    </fill>
    <fill>
      <patternFill patternType="solid">
        <fgColor rgb="FFD0E7FE"/>
        <bgColor indexed="64"/>
      </patternFill>
    </fill>
    <fill>
      <patternFill patternType="solid">
        <fgColor rgb="FF7EA2DB"/>
        <bgColor indexed="64"/>
      </patternFill>
    </fill>
    <fill>
      <patternFill patternType="solid">
        <fgColor rgb="FFBDD7F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20202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E1E1E"/>
        <bgColor indexed="64"/>
      </patternFill>
    </fill>
    <fill>
      <patternFill patternType="solid">
        <fgColor rgb="FF1C1C1C"/>
        <bgColor indexed="64"/>
      </patternFill>
    </fill>
    <fill>
      <patternFill patternType="solid">
        <fgColor rgb="FFFFFFFF"/>
        <bgColor indexed="64"/>
      </patternFill>
    </fill>
  </fills>
  <borders count="56">
    <border>
      <left/>
      <right/>
      <top/>
      <bottom/>
      <diagonal/>
    </border>
    <border>
      <left/>
      <right/>
      <top/>
      <bottom/>
      <diagonal/>
    </border>
    <border>
      <left style="thin">
        <color rgb="FFE1E0E9"/>
      </left>
      <right/>
      <top/>
      <bottom/>
      <diagonal/>
    </border>
    <border>
      <left style="thin">
        <color rgb="FFE1E0E9"/>
      </left>
      <right/>
      <top style="thin">
        <color rgb="FFE1E0E9"/>
      </top>
      <bottom/>
      <diagonal/>
    </border>
    <border>
      <left/>
      <right/>
      <top style="thin">
        <color rgb="FFE1E0E9"/>
      </top>
      <bottom/>
      <diagonal/>
    </border>
    <border>
      <left style="thin">
        <color rgb="FFE1E0E9"/>
      </left>
      <right/>
      <top/>
      <bottom style="thin">
        <color rgb="FFE1E0E9"/>
      </bottom>
      <diagonal/>
    </border>
    <border>
      <left/>
      <right/>
      <top/>
      <bottom style="thin">
        <color rgb="FFE1E0E9"/>
      </bottom>
      <diagonal/>
    </border>
    <border>
      <left/>
      <right style="thin">
        <color rgb="FFE1E0E9"/>
      </right>
      <top style="thin">
        <color rgb="FFE1E0E9"/>
      </top>
      <bottom/>
      <diagonal/>
    </border>
    <border>
      <left/>
      <right style="thin">
        <color rgb="FFE1E0E9"/>
      </right>
      <top/>
      <bottom/>
      <diagonal/>
    </border>
    <border>
      <left/>
      <right style="thin">
        <color rgb="FFE1E0E9"/>
      </right>
      <top/>
      <bottom style="thin">
        <color rgb="FFE1E0E9"/>
      </bottom>
      <diagonal/>
    </border>
    <border>
      <left style="thin">
        <color rgb="FFC8CDD6"/>
      </left>
      <right/>
      <top style="thin">
        <color rgb="FFC8CDD6"/>
      </top>
      <bottom/>
      <diagonal/>
    </border>
    <border>
      <left/>
      <right style="thin">
        <color rgb="FFC8CDD6"/>
      </right>
      <top style="thin">
        <color rgb="FFC8CDD6"/>
      </top>
      <bottom/>
      <diagonal/>
    </border>
    <border>
      <left style="thick">
        <color rgb="FF00A3FF"/>
      </left>
      <right/>
      <top/>
      <bottom/>
      <diagonal/>
    </border>
    <border>
      <left style="thick">
        <color rgb="FF00CC8C"/>
      </left>
      <right/>
      <top/>
      <bottom/>
      <diagonal/>
    </border>
    <border>
      <left style="thick">
        <color rgb="FFFFCC00"/>
      </left>
      <right/>
      <top/>
      <bottom/>
      <diagonal/>
    </border>
    <border>
      <left style="thick">
        <color rgb="FFA85CFF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A3FF"/>
      </left>
      <right/>
      <top style="thin">
        <color rgb="FF000000"/>
      </top>
      <bottom/>
      <diagonal/>
    </border>
    <border>
      <left style="thick">
        <color rgb="FF00A3FF"/>
      </left>
      <right/>
      <top/>
      <bottom style="thin">
        <color rgb="FF000000"/>
      </bottom>
      <diagonal/>
    </border>
    <border>
      <left style="thick">
        <color rgb="FF00CC8C"/>
      </left>
      <right/>
      <top style="thin">
        <color rgb="FF000000"/>
      </top>
      <bottom/>
      <diagonal/>
    </border>
    <border>
      <left style="thick">
        <color rgb="FF00CC8C"/>
      </left>
      <right/>
      <top/>
      <bottom style="thin">
        <color rgb="FF000000"/>
      </bottom>
      <diagonal/>
    </border>
    <border>
      <left style="thick">
        <color rgb="FFFFCC00"/>
      </left>
      <right/>
      <top style="thin">
        <color rgb="FF000000"/>
      </top>
      <bottom/>
      <diagonal/>
    </border>
    <border>
      <left style="thick">
        <color rgb="FFFFCC00"/>
      </left>
      <right/>
      <top/>
      <bottom style="thin">
        <color rgb="FF000000"/>
      </bottom>
      <diagonal/>
    </border>
    <border>
      <left style="thick">
        <color rgb="FFA85CFF"/>
      </left>
      <right/>
      <top style="thin">
        <color rgb="FF000000"/>
      </top>
      <bottom/>
      <diagonal/>
    </border>
    <border>
      <left style="thick">
        <color rgb="FFA85CFF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  <border>
      <left/>
      <right style="thin">
        <color rgb="FFD2D2D2"/>
      </right>
      <top style="thin">
        <color rgb="FFD2D2D2"/>
      </top>
      <bottom style="thin">
        <color rgb="FFD2D2D2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E1E6E9"/>
      </top>
      <bottom style="thin">
        <color rgb="FFE1E6E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3D3D3"/>
      </left>
      <right/>
      <top style="thin">
        <color rgb="FFD2D2D2"/>
      </top>
      <bottom style="thin">
        <color rgb="FFD3D3D3"/>
      </bottom>
      <diagonal/>
    </border>
    <border>
      <left/>
      <right/>
      <top style="thin">
        <color rgb="FFD2D2D2"/>
      </top>
      <bottom style="thin">
        <color rgb="FFD3D3D3"/>
      </bottom>
      <diagonal/>
    </border>
    <border>
      <left/>
      <right style="thin">
        <color rgb="FFD3D3D3"/>
      </right>
      <top style="thin">
        <color rgb="FFD2D2D2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3">
    <xf numFmtId="0" fontId="0" fillId="0" borderId="0"/>
    <xf numFmtId="0" fontId="2" fillId="2" borderId="1"/>
    <xf numFmtId="0" fontId="2" fillId="2" borderId="1"/>
  </cellStyleXfs>
  <cellXfs count="211">
    <xf numFmtId="0" fontId="0" fillId="0" borderId="0" xfId="0"/>
    <xf numFmtId="0" fontId="2" fillId="2" borderId="1" xfId="2"/>
    <xf numFmtId="0" fontId="4" fillId="0" borderId="1" xfId="1" applyFont="1" applyFill="1" applyAlignment="1">
      <alignment vertical="center"/>
    </xf>
    <xf numFmtId="0" fontId="5" fillId="2" borderId="1" xfId="2" applyFont="1"/>
    <xf numFmtId="0" fontId="3" fillId="2" borderId="1" xfId="2" applyFont="1"/>
    <xf numFmtId="0" fontId="5" fillId="0" borderId="1" xfId="2" applyFont="1" applyFill="1"/>
    <xf numFmtId="0" fontId="6" fillId="0" borderId="1" xfId="1" applyFont="1" applyFill="1" applyAlignment="1">
      <alignment vertical="center"/>
    </xf>
    <xf numFmtId="0" fontId="9" fillId="14" borderId="0" xfId="0" applyFont="1" applyFill="1"/>
    <xf numFmtId="0" fontId="9" fillId="14" borderId="31" xfId="0" applyFont="1" applyFill="1" applyBorder="1" applyAlignment="1">
      <alignment horizontal="left" vertical="center"/>
    </xf>
    <xf numFmtId="0" fontId="9" fillId="14" borderId="31" xfId="0" applyFont="1" applyFill="1" applyBorder="1" applyAlignment="1">
      <alignment horizontal="center" vertical="center"/>
    </xf>
    <xf numFmtId="176" fontId="10" fillId="3" borderId="31" xfId="0" applyNumberFormat="1" applyFont="1" applyFill="1" applyBorder="1" applyAlignment="1">
      <alignment horizontal="left" vertical="center"/>
    </xf>
    <xf numFmtId="176" fontId="10" fillId="3" borderId="31" xfId="0" applyNumberFormat="1" applyFont="1" applyFill="1" applyBorder="1" applyAlignment="1">
      <alignment horizontal="center" vertical="center"/>
    </xf>
    <xf numFmtId="180" fontId="10" fillId="3" borderId="31" xfId="0" applyNumberFormat="1" applyFont="1" applyFill="1" applyBorder="1" applyAlignment="1">
      <alignment horizontal="center" vertical="center"/>
    </xf>
    <xf numFmtId="0" fontId="11" fillId="4" borderId="16" xfId="1" applyFont="1" applyFill="1" applyBorder="1" applyAlignment="1">
      <alignment vertical="center"/>
    </xf>
    <xf numFmtId="0" fontId="11" fillId="14" borderId="31" xfId="1" applyFont="1" applyFill="1" applyBorder="1" applyAlignment="1">
      <alignment horizontal="center" vertical="center"/>
    </xf>
    <xf numFmtId="0" fontId="13" fillId="3" borderId="31" xfId="1" applyFont="1" applyFill="1" applyBorder="1" applyAlignment="1">
      <alignment horizontal="right" vertical="center"/>
    </xf>
    <xf numFmtId="0" fontId="15" fillId="2" borderId="1" xfId="2" applyFont="1"/>
    <xf numFmtId="0" fontId="16" fillId="0" borderId="0" xfId="0" applyFont="1"/>
    <xf numFmtId="0" fontId="17" fillId="0" borderId="1" xfId="1" applyFont="1" applyFill="1" applyAlignment="1">
      <alignment vertical="center"/>
    </xf>
    <xf numFmtId="0" fontId="17" fillId="0" borderId="3" xfId="1" applyFont="1" applyFill="1" applyBorder="1" applyAlignment="1">
      <alignment vertical="center"/>
    </xf>
    <xf numFmtId="0" fontId="17" fillId="0" borderId="4" xfId="1" applyFont="1" applyFill="1" applyBorder="1" applyAlignment="1">
      <alignment vertical="center"/>
    </xf>
    <xf numFmtId="0" fontId="17" fillId="0" borderId="7" xfId="1" applyFont="1" applyFill="1" applyBorder="1" applyAlignment="1">
      <alignment vertical="center"/>
    </xf>
    <xf numFmtId="0" fontId="17" fillId="0" borderId="2" xfId="1" applyFont="1" applyFill="1" applyBorder="1" applyAlignment="1">
      <alignment vertical="center"/>
    </xf>
    <xf numFmtId="0" fontId="17" fillId="0" borderId="8" xfId="1" applyFont="1" applyFill="1" applyBorder="1" applyAlignment="1">
      <alignment vertical="center"/>
    </xf>
    <xf numFmtId="0" fontId="18" fillId="3" borderId="31" xfId="1" applyFont="1" applyFill="1" applyBorder="1" applyAlignment="1">
      <alignment horizontal="left" vertical="center"/>
    </xf>
    <xf numFmtId="176" fontId="18" fillId="3" borderId="31" xfId="1" applyNumberFormat="1" applyFont="1" applyFill="1" applyBorder="1" applyAlignment="1">
      <alignment horizontal="right" vertical="center"/>
    </xf>
    <xf numFmtId="180" fontId="18" fillId="3" borderId="31" xfId="1" applyNumberFormat="1" applyFont="1" applyFill="1" applyBorder="1" applyAlignment="1">
      <alignment horizontal="right" vertical="center"/>
    </xf>
    <xf numFmtId="0" fontId="17" fillId="0" borderId="5" xfId="1" applyFont="1" applyFill="1" applyBorder="1" applyAlignment="1">
      <alignment vertical="center"/>
    </xf>
    <xf numFmtId="0" fontId="17" fillId="0" borderId="6" xfId="1" applyFont="1" applyFill="1" applyBorder="1" applyAlignment="1">
      <alignment vertical="center"/>
    </xf>
    <xf numFmtId="0" fontId="17" fillId="0" borderId="9" xfId="1" applyFont="1" applyFill="1" applyBorder="1" applyAlignment="1">
      <alignment vertical="center"/>
    </xf>
    <xf numFmtId="0" fontId="19" fillId="16" borderId="1" xfId="0" applyFont="1" applyFill="1" applyBorder="1" applyAlignment="1">
      <alignment vertical="center" wrapText="1"/>
    </xf>
    <xf numFmtId="0" fontId="17" fillId="0" borderId="1" xfId="2" applyFont="1" applyFill="1"/>
    <xf numFmtId="0" fontId="23" fillId="0" borderId="1" xfId="1" applyFont="1" applyFill="1" applyAlignment="1">
      <alignment vertical="center"/>
    </xf>
    <xf numFmtId="0" fontId="23" fillId="0" borderId="3" xfId="1" applyFont="1" applyFill="1" applyBorder="1" applyAlignment="1">
      <alignment vertical="center"/>
    </xf>
    <xf numFmtId="0" fontId="23" fillId="0" borderId="4" xfId="1" applyFont="1" applyFill="1" applyBorder="1" applyAlignment="1">
      <alignment vertical="center"/>
    </xf>
    <xf numFmtId="0" fontId="23" fillId="0" borderId="7" xfId="1" applyFont="1" applyFill="1" applyBorder="1" applyAlignment="1">
      <alignment vertical="center"/>
    </xf>
    <xf numFmtId="176" fontId="25" fillId="3" borderId="31" xfId="0" applyNumberFormat="1" applyFont="1" applyFill="1" applyBorder="1" applyAlignment="1">
      <alignment horizontal="left" vertical="center"/>
    </xf>
    <xf numFmtId="176" fontId="25" fillId="3" borderId="31" xfId="0" applyNumberFormat="1" applyFont="1" applyFill="1" applyBorder="1" applyAlignment="1">
      <alignment horizontal="center" vertical="center"/>
    </xf>
    <xf numFmtId="180" fontId="25" fillId="3" borderId="31" xfId="0" applyNumberFormat="1" applyFont="1" applyFill="1" applyBorder="1" applyAlignment="1">
      <alignment horizontal="center" vertical="center"/>
    </xf>
    <xf numFmtId="0" fontId="17" fillId="0" borderId="1" xfId="1" applyFont="1" applyFill="1" applyAlignment="1">
      <alignment horizontal="right" vertical="center"/>
    </xf>
    <xf numFmtId="180" fontId="17" fillId="10" borderId="30" xfId="0" applyNumberFormat="1" applyFont="1" applyFill="1" applyBorder="1"/>
    <xf numFmtId="180" fontId="14" fillId="8" borderId="30" xfId="0" applyNumberFormat="1" applyFont="1" applyFill="1" applyBorder="1"/>
    <xf numFmtId="0" fontId="17" fillId="0" borderId="1" xfId="0" applyFont="1" applyBorder="1"/>
    <xf numFmtId="180" fontId="17" fillId="12" borderId="30" xfId="0" applyNumberFormat="1" applyFont="1" applyFill="1" applyBorder="1"/>
    <xf numFmtId="180" fontId="17" fillId="9" borderId="30" xfId="0" applyNumberFormat="1" applyFont="1" applyFill="1" applyBorder="1"/>
    <xf numFmtId="180" fontId="17" fillId="13" borderId="30" xfId="0" applyNumberFormat="1" applyFont="1" applyFill="1" applyBorder="1"/>
    <xf numFmtId="180" fontId="17" fillId="11" borderId="30" xfId="0" applyNumberFormat="1" applyFont="1" applyFill="1" applyBorder="1"/>
    <xf numFmtId="0" fontId="26" fillId="3" borderId="0" xfId="0" applyFont="1" applyFill="1" applyAlignment="1">
      <alignment vertical="center"/>
    </xf>
    <xf numFmtId="0" fontId="26" fillId="3" borderId="0" xfId="0" applyFont="1" applyFill="1" applyAlignment="1">
      <alignment horizontal="center" vertical="center"/>
    </xf>
    <xf numFmtId="0" fontId="26" fillId="3" borderId="39" xfId="0" applyFont="1" applyFill="1" applyBorder="1" applyAlignment="1">
      <alignment vertical="center"/>
    </xf>
    <xf numFmtId="0" fontId="26" fillId="3" borderId="39" xfId="0" applyFont="1" applyFill="1" applyBorder="1" applyAlignment="1">
      <alignment horizontal="center" vertical="center"/>
    </xf>
    <xf numFmtId="0" fontId="27" fillId="3" borderId="39" xfId="0" applyFont="1" applyFill="1" applyBorder="1" applyAlignment="1">
      <alignment vertical="center"/>
    </xf>
    <xf numFmtId="0" fontId="27" fillId="3" borderId="39" xfId="0" applyFont="1" applyFill="1" applyBorder="1" applyAlignment="1">
      <alignment horizontal="center" vertical="center"/>
    </xf>
    <xf numFmtId="182" fontId="28" fillId="3" borderId="39" xfId="0" applyNumberFormat="1" applyFont="1" applyFill="1" applyBorder="1" applyAlignment="1">
      <alignment horizontal="center" vertical="center"/>
    </xf>
    <xf numFmtId="0" fontId="32" fillId="17" borderId="46" xfId="0" applyFont="1" applyFill="1" applyBorder="1" applyAlignment="1">
      <alignment vertical="center" wrapText="1"/>
    </xf>
    <xf numFmtId="0" fontId="32" fillId="3" borderId="46" xfId="0" applyFont="1" applyFill="1" applyBorder="1" applyAlignment="1">
      <alignment vertical="center" wrapText="1"/>
    </xf>
    <xf numFmtId="0" fontId="30" fillId="0" borderId="1" xfId="0" applyFont="1" applyBorder="1" applyAlignment="1">
      <alignment vertical="center" wrapText="1"/>
    </xf>
    <xf numFmtId="0" fontId="31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179" fontId="30" fillId="0" borderId="1" xfId="0" applyNumberFormat="1" applyFont="1" applyBorder="1" applyAlignment="1">
      <alignment horizontal="left" vertical="center" wrapText="1"/>
    </xf>
    <xf numFmtId="176" fontId="30" fillId="0" borderId="1" xfId="0" applyNumberFormat="1" applyFont="1" applyBorder="1" applyAlignment="1">
      <alignment horizontal="left" vertical="center" wrapText="1"/>
    </xf>
    <xf numFmtId="1" fontId="30" fillId="0" borderId="1" xfId="0" applyNumberFormat="1" applyFont="1" applyBorder="1" applyAlignment="1">
      <alignment horizontal="left" vertical="center" wrapText="1"/>
    </xf>
    <xf numFmtId="3" fontId="30" fillId="0" borderId="1" xfId="0" applyNumberFormat="1" applyFont="1" applyBorder="1" applyAlignment="1">
      <alignment horizontal="left" vertical="center" wrapText="1"/>
    </xf>
    <xf numFmtId="2" fontId="30" fillId="0" borderId="1" xfId="0" applyNumberFormat="1" applyFont="1" applyBorder="1" applyAlignment="1">
      <alignment horizontal="left" vertical="center" wrapText="1"/>
    </xf>
    <xf numFmtId="178" fontId="30" fillId="0" borderId="1" xfId="0" applyNumberFormat="1" applyFont="1" applyBorder="1" applyAlignment="1">
      <alignment horizontal="left" vertical="center" wrapText="1"/>
    </xf>
    <xf numFmtId="177" fontId="30" fillId="0" borderId="1" xfId="0" applyNumberFormat="1" applyFont="1" applyBorder="1" applyAlignment="1">
      <alignment horizontal="left" vertical="center" wrapText="1"/>
    </xf>
    <xf numFmtId="176" fontId="0" fillId="3" borderId="31" xfId="0" applyNumberFormat="1" applyFill="1" applyBorder="1" applyAlignment="1">
      <alignment horizontal="center" vertical="center"/>
    </xf>
    <xf numFmtId="0" fontId="0" fillId="3" borderId="31" xfId="1" applyFont="1" applyFill="1" applyBorder="1" applyAlignment="1">
      <alignment horizontal="right" vertical="center"/>
    </xf>
    <xf numFmtId="0" fontId="0" fillId="2" borderId="1" xfId="2" applyFont="1"/>
    <xf numFmtId="49" fontId="30" fillId="0" borderId="1" xfId="0" applyNumberFormat="1" applyFont="1" applyBorder="1" applyAlignment="1">
      <alignment horizontal="left" vertical="center" wrapText="1"/>
    </xf>
    <xf numFmtId="0" fontId="30" fillId="0" borderId="54" xfId="0" applyFont="1" applyBorder="1" applyAlignment="1">
      <alignment horizontal="left" vertical="center" wrapText="1"/>
    </xf>
    <xf numFmtId="183" fontId="18" fillId="3" borderId="31" xfId="1" applyNumberFormat="1" applyFont="1" applyFill="1" applyBorder="1" applyAlignment="1">
      <alignment horizontal="right" vertical="center"/>
    </xf>
    <xf numFmtId="0" fontId="6" fillId="0" borderId="1" xfId="1" applyFont="1" applyFill="1" applyAlignment="1">
      <alignment horizontal="left" vertical="center" wrapText="1"/>
    </xf>
    <xf numFmtId="0" fontId="6" fillId="6" borderId="10" xfId="1" applyFont="1" applyFill="1" applyBorder="1" applyAlignment="1">
      <alignment horizontal="left" vertical="center" wrapText="1"/>
    </xf>
    <xf numFmtId="0" fontId="11" fillId="14" borderId="31" xfId="0" applyFont="1" applyFill="1" applyBorder="1" applyAlignment="1">
      <alignment horizontal="left" vertical="center" wrapText="1"/>
    </xf>
    <xf numFmtId="0" fontId="11" fillId="14" borderId="31" xfId="0" applyFont="1" applyFill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left" vertical="center" wrapText="1"/>
    </xf>
    <xf numFmtId="0" fontId="18" fillId="3" borderId="31" xfId="0" applyFont="1" applyFill="1" applyBorder="1" applyAlignment="1">
      <alignment horizontal="right" vertical="center" wrapText="1"/>
    </xf>
    <xf numFmtId="182" fontId="18" fillId="3" borderId="31" xfId="0" applyNumberFormat="1" applyFont="1" applyFill="1" applyBorder="1" applyAlignment="1">
      <alignment horizontal="right" vertical="center" wrapText="1"/>
    </xf>
    <xf numFmtId="0" fontId="12" fillId="5" borderId="33" xfId="0" applyFont="1" applyFill="1" applyBorder="1" applyAlignment="1">
      <alignment horizontal="left" vertical="center" wrapText="1"/>
    </xf>
    <xf numFmtId="0" fontId="12" fillId="5" borderId="33" xfId="0" applyFont="1" applyFill="1" applyBorder="1" applyAlignment="1">
      <alignment horizontal="right" vertical="center" wrapText="1"/>
    </xf>
    <xf numFmtId="182" fontId="12" fillId="5" borderId="33" xfId="0" applyNumberFormat="1" applyFont="1" applyFill="1" applyBorder="1" applyAlignment="1">
      <alignment horizontal="right" vertical="center" wrapText="1"/>
    </xf>
    <xf numFmtId="184" fontId="12" fillId="5" borderId="33" xfId="0" applyNumberFormat="1" applyFont="1" applyFill="1" applyBorder="1" applyAlignment="1">
      <alignment horizontal="right" vertical="center" wrapText="1"/>
    </xf>
    <xf numFmtId="0" fontId="18" fillId="3" borderId="31" xfId="1" applyFont="1" applyFill="1" applyBorder="1" applyAlignment="1">
      <alignment horizontal="right" vertical="center"/>
    </xf>
    <xf numFmtId="0" fontId="9" fillId="14" borderId="31" xfId="0" applyFont="1" applyFill="1" applyBorder="1" applyAlignment="1">
      <alignment vertical="center" wrapText="1"/>
    </xf>
    <xf numFmtId="0" fontId="25" fillId="3" borderId="31" xfId="0" applyFont="1" applyFill="1" applyBorder="1" applyAlignment="1">
      <alignment vertical="center" wrapText="1"/>
    </xf>
    <xf numFmtId="0" fontId="11" fillId="14" borderId="32" xfId="0" applyFont="1" applyFill="1" applyBorder="1" applyAlignment="1">
      <alignment vertical="center" wrapText="1"/>
    </xf>
    <xf numFmtId="0" fontId="11" fillId="14" borderId="31" xfId="0" applyFont="1" applyFill="1" applyBorder="1" applyAlignment="1">
      <alignment vertical="center" wrapText="1"/>
    </xf>
    <xf numFmtId="0" fontId="9" fillId="14" borderId="53" xfId="0" applyFont="1" applyFill="1" applyBorder="1" applyAlignment="1">
      <alignment vertical="center" wrapText="1"/>
    </xf>
    <xf numFmtId="0" fontId="25" fillId="3" borderId="53" xfId="0" applyFont="1" applyFill="1" applyBorder="1" applyAlignment="1">
      <alignment vertical="center" wrapText="1"/>
    </xf>
    <xf numFmtId="181" fontId="18" fillId="3" borderId="31" xfId="1" applyNumberFormat="1" applyFont="1" applyFill="1" applyBorder="1" applyAlignment="1">
      <alignment horizontal="right" vertical="center"/>
    </xf>
    <xf numFmtId="0" fontId="11" fillId="14" borderId="31" xfId="1" applyFont="1" applyFill="1" applyBorder="1" applyAlignment="1">
      <alignment horizontal="center" vertical="center"/>
    </xf>
    <xf numFmtId="0" fontId="7" fillId="14" borderId="31" xfId="0" applyFont="1" applyFill="1" applyBorder="1" applyAlignment="1">
      <alignment horizontal="left" vertical="center" wrapText="1"/>
    </xf>
    <xf numFmtId="0" fontId="8" fillId="3" borderId="31" xfId="0" applyFont="1" applyFill="1" applyBorder="1" applyAlignment="1">
      <alignment horizontal="left" vertical="center" wrapText="1"/>
    </xf>
    <xf numFmtId="3" fontId="18" fillId="3" borderId="31" xfId="1" applyNumberFormat="1" applyFont="1" applyFill="1" applyBorder="1" applyAlignment="1">
      <alignment horizontal="right" vertical="center"/>
    </xf>
    <xf numFmtId="3" fontId="18" fillId="3" borderId="31" xfId="1" applyNumberFormat="1" applyFont="1" applyFill="1" applyBorder="1" applyAlignment="1">
      <alignment horizontal="left" vertical="center"/>
    </xf>
    <xf numFmtId="0" fontId="18" fillId="3" borderId="31" xfId="1" applyFont="1" applyFill="1" applyBorder="1" applyAlignment="1">
      <alignment horizontal="left" vertical="center"/>
    </xf>
    <xf numFmtId="0" fontId="11" fillId="15" borderId="0" xfId="0" applyFont="1" applyFill="1"/>
    <xf numFmtId="0" fontId="18" fillId="3" borderId="31" xfId="0" applyFont="1" applyFill="1" applyBorder="1" applyAlignment="1">
      <alignment horizontal="left" vertical="center"/>
    </xf>
    <xf numFmtId="0" fontId="20" fillId="4" borderId="34" xfId="0" applyFont="1" applyFill="1" applyBorder="1" applyAlignment="1">
      <alignment horizontal="left" vertical="center"/>
    </xf>
    <xf numFmtId="0" fontId="20" fillId="4" borderId="16" xfId="0" applyFont="1" applyFill="1" applyBorder="1"/>
    <xf numFmtId="0" fontId="21" fillId="5" borderId="1" xfId="0" applyFont="1" applyFill="1" applyBorder="1" applyAlignment="1">
      <alignment horizontal="left" vertical="center"/>
    </xf>
    <xf numFmtId="0" fontId="21" fillId="5" borderId="1" xfId="0" applyFont="1" applyFill="1" applyBorder="1"/>
    <xf numFmtId="0" fontId="6" fillId="0" borderId="1" xfId="0" applyFont="1" applyBorder="1" applyAlignment="1">
      <alignment horizontal="left" vertical="center"/>
    </xf>
    <xf numFmtId="0" fontId="6" fillId="0" borderId="1" xfId="0" applyFont="1" applyBorder="1"/>
    <xf numFmtId="0" fontId="12" fillId="5" borderId="33" xfId="0" applyFont="1" applyFill="1" applyBorder="1" applyAlignment="1">
      <alignment horizontal="left" vertical="center"/>
    </xf>
    <xf numFmtId="0" fontId="12" fillId="5" borderId="17" xfId="0" applyFont="1" applyFill="1" applyBorder="1"/>
    <xf numFmtId="0" fontId="12" fillId="5" borderId="19" xfId="0" applyFont="1" applyFill="1" applyBorder="1"/>
    <xf numFmtId="0" fontId="6" fillId="6" borderId="10" xfId="1" applyFont="1" applyFill="1" applyBorder="1" applyAlignment="1">
      <alignment vertical="center"/>
    </xf>
    <xf numFmtId="0" fontId="6" fillId="6" borderId="11" xfId="1" applyFont="1" applyFill="1" applyBorder="1" applyAlignment="1">
      <alignment vertical="center"/>
    </xf>
    <xf numFmtId="0" fontId="24" fillId="3" borderId="12" xfId="1" applyFont="1" applyFill="1" applyBorder="1" applyAlignment="1">
      <alignment horizontal="left" vertical="center"/>
    </xf>
    <xf numFmtId="0" fontId="24" fillId="3" borderId="1" xfId="1" applyFont="1" applyFill="1" applyAlignment="1">
      <alignment horizontal="left" vertical="center"/>
    </xf>
    <xf numFmtId="0" fontId="24" fillId="3" borderId="23" xfId="1" applyFont="1" applyFill="1" applyBorder="1" applyAlignment="1">
      <alignment horizontal="left" vertical="center"/>
    </xf>
    <xf numFmtId="0" fontId="24" fillId="3" borderId="18" xfId="1" applyFont="1" applyFill="1" applyBorder="1" applyAlignment="1">
      <alignment horizontal="left" vertical="center"/>
    </xf>
    <xf numFmtId="176" fontId="24" fillId="7" borderId="13" xfId="1" applyNumberFormat="1" applyFont="1" applyFill="1" applyBorder="1" applyAlignment="1">
      <alignment horizontal="left" vertical="center"/>
    </xf>
    <xf numFmtId="176" fontId="24" fillId="7" borderId="1" xfId="1" applyNumberFormat="1" applyFont="1" applyFill="1" applyAlignment="1">
      <alignment horizontal="left" vertical="center"/>
    </xf>
    <xf numFmtId="176" fontId="24" fillId="7" borderId="25" xfId="1" applyNumberFormat="1" applyFont="1" applyFill="1" applyBorder="1" applyAlignment="1">
      <alignment horizontal="left" vertical="center"/>
    </xf>
    <xf numFmtId="176" fontId="24" fillId="7" borderId="18" xfId="1" applyNumberFormat="1" applyFont="1" applyFill="1" applyBorder="1" applyAlignment="1">
      <alignment horizontal="left" vertical="center"/>
    </xf>
    <xf numFmtId="176" fontId="24" fillId="3" borderId="14" xfId="1" applyNumberFormat="1" applyFont="1" applyFill="1" applyBorder="1" applyAlignment="1">
      <alignment horizontal="left" vertical="center"/>
    </xf>
    <xf numFmtId="176" fontId="24" fillId="3" borderId="1" xfId="1" applyNumberFormat="1" applyFont="1" applyFill="1" applyAlignment="1">
      <alignment horizontal="left" vertical="center"/>
    </xf>
    <xf numFmtId="176" fontId="24" fillId="3" borderId="27" xfId="1" applyNumberFormat="1" applyFont="1" applyFill="1" applyBorder="1" applyAlignment="1">
      <alignment horizontal="left" vertical="center"/>
    </xf>
    <xf numFmtId="176" fontId="24" fillId="3" borderId="18" xfId="1" applyNumberFormat="1" applyFont="1" applyFill="1" applyBorder="1" applyAlignment="1">
      <alignment horizontal="left" vertical="center"/>
    </xf>
    <xf numFmtId="176" fontId="24" fillId="7" borderId="15" xfId="1" applyNumberFormat="1" applyFont="1" applyFill="1" applyBorder="1" applyAlignment="1">
      <alignment horizontal="left" vertical="center"/>
    </xf>
    <xf numFmtId="176" fontId="24" fillId="7" borderId="20" xfId="1" applyNumberFormat="1" applyFont="1" applyFill="1" applyBorder="1" applyAlignment="1">
      <alignment horizontal="left" vertical="center"/>
    </xf>
    <xf numFmtId="176" fontId="24" fillId="7" borderId="29" xfId="1" applyNumberFormat="1" applyFont="1" applyFill="1" applyBorder="1" applyAlignment="1">
      <alignment horizontal="left" vertical="center"/>
    </xf>
    <xf numFmtId="176" fontId="24" fillId="7" borderId="21" xfId="1" applyNumberFormat="1" applyFont="1" applyFill="1" applyBorder="1" applyAlignment="1">
      <alignment horizontal="left" vertical="center"/>
    </xf>
    <xf numFmtId="0" fontId="22" fillId="3" borderId="22" xfId="1" applyFont="1" applyFill="1" applyBorder="1" applyAlignment="1">
      <alignment vertical="center"/>
    </xf>
    <xf numFmtId="0" fontId="22" fillId="3" borderId="17" xfId="1" applyFont="1" applyFill="1" applyBorder="1" applyAlignment="1">
      <alignment vertical="center"/>
    </xf>
    <xf numFmtId="0" fontId="22" fillId="7" borderId="24" xfId="1" applyFont="1" applyFill="1" applyBorder="1" applyAlignment="1">
      <alignment vertical="center"/>
    </xf>
    <xf numFmtId="0" fontId="22" fillId="7" borderId="17" xfId="1" applyFont="1" applyFill="1" applyBorder="1" applyAlignment="1">
      <alignment vertical="center"/>
    </xf>
    <xf numFmtId="0" fontId="22" fillId="3" borderId="26" xfId="1" applyFont="1" applyFill="1" applyBorder="1" applyAlignment="1">
      <alignment vertical="center"/>
    </xf>
    <xf numFmtId="0" fontId="22" fillId="7" borderId="28" xfId="1" applyFont="1" applyFill="1" applyBorder="1" applyAlignment="1">
      <alignment vertical="center"/>
    </xf>
    <xf numFmtId="0" fontId="22" fillId="7" borderId="19" xfId="1" applyFont="1" applyFill="1" applyBorder="1" applyAlignment="1">
      <alignment vertical="center"/>
    </xf>
    <xf numFmtId="180" fontId="3" fillId="2" borderId="47" xfId="0" applyNumberFormat="1" applyFont="1" applyFill="1" applyBorder="1" applyAlignment="1">
      <alignment horizontal="center"/>
    </xf>
    <xf numFmtId="176" fontId="3" fillId="2" borderId="49" xfId="0" applyNumberFormat="1" applyFont="1" applyFill="1" applyBorder="1" applyAlignment="1">
      <alignment horizontal="center"/>
    </xf>
    <xf numFmtId="0" fontId="33" fillId="2" borderId="50" xfId="0" applyFont="1" applyFill="1" applyBorder="1"/>
    <xf numFmtId="0" fontId="33" fillId="2" borderId="51" xfId="0" applyFont="1" applyFill="1" applyBorder="1"/>
    <xf numFmtId="0" fontId="33" fillId="2" borderId="52" xfId="0" applyFont="1" applyFill="1" applyBorder="1"/>
    <xf numFmtId="176" fontId="33" fillId="2" borderId="50" xfId="0" applyNumberFormat="1" applyFont="1" applyFill="1" applyBorder="1" applyAlignment="1">
      <alignment horizontal="center"/>
    </xf>
    <xf numFmtId="176" fontId="33" fillId="2" borderId="52" xfId="0" applyNumberFormat="1" applyFont="1" applyFill="1" applyBorder="1" applyAlignment="1">
      <alignment horizontal="center"/>
    </xf>
    <xf numFmtId="0" fontId="3" fillId="2" borderId="47" xfId="0" applyFont="1" applyFill="1" applyBorder="1"/>
    <xf numFmtId="0" fontId="3" fillId="2" borderId="48" xfId="0" applyFont="1" applyFill="1" applyBorder="1"/>
    <xf numFmtId="0" fontId="3" fillId="2" borderId="49" xfId="0" applyFont="1" applyFill="1" applyBorder="1"/>
    <xf numFmtId="176" fontId="3" fillId="2" borderId="47" xfId="0" applyNumberFormat="1" applyFont="1" applyFill="1" applyBorder="1" applyAlignment="1">
      <alignment horizontal="center"/>
    </xf>
    <xf numFmtId="0" fontId="12" fillId="5" borderId="33" xfId="0" applyFont="1" applyFill="1" applyBorder="1" applyAlignment="1">
      <alignment horizontal="left" vertical="center" wrapText="1"/>
    </xf>
    <xf numFmtId="0" fontId="29" fillId="3" borderId="0" xfId="0" applyFont="1" applyFill="1" applyAlignment="1">
      <alignment vertical="center" wrapText="1"/>
    </xf>
    <xf numFmtId="0" fontId="20" fillId="4" borderId="34" xfId="0" applyFont="1" applyFill="1" applyBorder="1" applyAlignment="1">
      <alignment horizontal="left" vertical="center" wrapText="1"/>
    </xf>
    <xf numFmtId="0" fontId="11" fillId="4" borderId="30" xfId="0" applyFont="1" applyFill="1" applyBorder="1" applyAlignment="1">
      <alignment horizontal="left" vertical="center" wrapText="1"/>
    </xf>
    <xf numFmtId="0" fontId="17" fillId="3" borderId="30" xfId="0" applyFont="1" applyFill="1" applyBorder="1"/>
    <xf numFmtId="0" fontId="11" fillId="4" borderId="35" xfId="0" applyFont="1" applyFill="1" applyBorder="1"/>
    <xf numFmtId="0" fontId="11" fillId="4" borderId="30" xfId="0" applyFont="1" applyFill="1" applyBorder="1"/>
    <xf numFmtId="3" fontId="17" fillId="13" borderId="30" xfId="0" applyNumberFormat="1" applyFont="1" applyFill="1" applyBorder="1" applyAlignment="1">
      <alignment horizontal="right"/>
    </xf>
    <xf numFmtId="3" fontId="17" fillId="3" borderId="30" xfId="0" applyNumberFormat="1" applyFont="1" applyFill="1" applyBorder="1" applyAlignment="1">
      <alignment horizontal="right"/>
    </xf>
    <xf numFmtId="3" fontId="17" fillId="12" borderId="30" xfId="0" applyNumberFormat="1" applyFont="1" applyFill="1" applyBorder="1" applyAlignment="1">
      <alignment horizontal="right"/>
    </xf>
    <xf numFmtId="180" fontId="25" fillId="3" borderId="31" xfId="0" applyNumberFormat="1" applyFont="1" applyFill="1" applyBorder="1" applyAlignment="1">
      <alignment horizontal="right" vertical="center" wrapText="1"/>
    </xf>
    <xf numFmtId="0" fontId="17" fillId="3" borderId="30" xfId="1" applyFont="1" applyFill="1" applyBorder="1" applyAlignment="1">
      <alignment horizontal="left" vertical="center"/>
    </xf>
    <xf numFmtId="0" fontId="17" fillId="13" borderId="30" xfId="1" applyFont="1" applyFill="1" applyBorder="1" applyAlignment="1">
      <alignment horizontal="right" vertical="center"/>
    </xf>
    <xf numFmtId="0" fontId="17" fillId="3" borderId="30" xfId="1" applyFont="1" applyFill="1" applyBorder="1" applyAlignment="1">
      <alignment horizontal="right" vertical="center"/>
    </xf>
    <xf numFmtId="0" fontId="17" fillId="9" borderId="30" xfId="1" applyFont="1" applyFill="1" applyBorder="1" applyAlignment="1">
      <alignment horizontal="right" vertical="center"/>
    </xf>
    <xf numFmtId="0" fontId="11" fillId="4" borderId="30" xfId="1" applyFont="1" applyFill="1" applyBorder="1" applyAlignment="1">
      <alignment horizontal="center" vertical="center"/>
    </xf>
    <xf numFmtId="0" fontId="17" fillId="12" borderId="30" xfId="1" applyFont="1" applyFill="1" applyBorder="1" applyAlignment="1">
      <alignment horizontal="right" vertical="center"/>
    </xf>
    <xf numFmtId="3" fontId="0" fillId="10" borderId="30" xfId="1" applyNumberFormat="1" applyFont="1" applyFill="1" applyBorder="1" applyAlignment="1">
      <alignment horizontal="right" vertical="center"/>
    </xf>
    <xf numFmtId="3" fontId="17" fillId="3" borderId="30" xfId="1" applyNumberFormat="1" applyFont="1" applyFill="1" applyBorder="1" applyAlignment="1">
      <alignment horizontal="right" vertical="center"/>
    </xf>
    <xf numFmtId="3" fontId="0" fillId="8" borderId="30" xfId="1" applyNumberFormat="1" applyFont="1" applyFill="1" applyBorder="1" applyAlignment="1">
      <alignment horizontal="right" vertical="center"/>
    </xf>
    <xf numFmtId="3" fontId="0" fillId="9" borderId="30" xfId="1" applyNumberFormat="1" applyFont="1" applyFill="1" applyBorder="1" applyAlignment="1">
      <alignment horizontal="right" vertical="center"/>
    </xf>
    <xf numFmtId="3" fontId="0" fillId="11" borderId="30" xfId="1" applyNumberFormat="1" applyFont="1" applyFill="1" applyBorder="1" applyAlignment="1">
      <alignment horizontal="right" vertical="center"/>
    </xf>
    <xf numFmtId="0" fontId="14" fillId="8" borderId="30" xfId="1" applyFont="1" applyFill="1" applyBorder="1" applyAlignment="1">
      <alignment horizontal="right" vertical="center"/>
    </xf>
    <xf numFmtId="0" fontId="22" fillId="3" borderId="19" xfId="1" applyFont="1" applyFill="1" applyBorder="1" applyAlignment="1">
      <alignment vertical="center"/>
    </xf>
    <xf numFmtId="0" fontId="34" fillId="3" borderId="12" xfId="1" applyFont="1" applyFill="1" applyBorder="1" applyAlignment="1">
      <alignment horizontal="left" vertical="center"/>
    </xf>
    <xf numFmtId="0" fontId="34" fillId="7" borderId="13" xfId="1" applyFont="1" applyFill="1" applyBorder="1" applyAlignment="1">
      <alignment horizontal="left" vertical="center"/>
    </xf>
    <xf numFmtId="0" fontId="24" fillId="7" borderId="1" xfId="1" applyFont="1" applyFill="1" applyAlignment="1">
      <alignment horizontal="left" vertical="center"/>
    </xf>
    <xf numFmtId="0" fontId="24" fillId="7" borderId="25" xfId="1" applyFont="1" applyFill="1" applyBorder="1" applyAlignment="1">
      <alignment horizontal="left" vertical="center"/>
    </xf>
    <xf numFmtId="0" fontId="24" fillId="7" borderId="18" xfId="1" applyFont="1" applyFill="1" applyBorder="1" applyAlignment="1">
      <alignment horizontal="left" vertical="center"/>
    </xf>
    <xf numFmtId="176" fontId="34" fillId="3" borderId="14" xfId="1" applyNumberFormat="1" applyFont="1" applyFill="1" applyBorder="1" applyAlignment="1">
      <alignment horizontal="left" vertical="center"/>
    </xf>
    <xf numFmtId="0" fontId="24" fillId="3" borderId="27" xfId="1" applyFont="1" applyFill="1" applyBorder="1" applyAlignment="1">
      <alignment horizontal="left" vertical="center"/>
    </xf>
    <xf numFmtId="0" fontId="34" fillId="7" borderId="15" xfId="1" applyFont="1" applyFill="1" applyBorder="1" applyAlignment="1">
      <alignment horizontal="left" vertical="center"/>
    </xf>
    <xf numFmtId="0" fontId="24" fillId="7" borderId="29" xfId="1" applyFont="1" applyFill="1" applyBorder="1" applyAlignment="1">
      <alignment horizontal="left" vertical="center"/>
    </xf>
    <xf numFmtId="3" fontId="34" fillId="3" borderId="12" xfId="1" applyNumberFormat="1" applyFont="1" applyFill="1" applyBorder="1" applyAlignment="1">
      <alignment horizontal="left" vertical="center"/>
    </xf>
    <xf numFmtId="180" fontId="34" fillId="7" borderId="13" xfId="1" applyNumberFormat="1" applyFont="1" applyFill="1" applyBorder="1" applyAlignment="1">
      <alignment horizontal="left" vertical="center"/>
    </xf>
    <xf numFmtId="0" fontId="36" fillId="3" borderId="14" xfId="1" applyFont="1" applyFill="1" applyBorder="1" applyAlignment="1">
      <alignment horizontal="left" vertical="center"/>
    </xf>
    <xf numFmtId="0" fontId="24" fillId="3" borderId="20" xfId="1" applyFont="1" applyFill="1" applyBorder="1" applyAlignment="1">
      <alignment horizontal="left" vertical="center"/>
    </xf>
    <xf numFmtId="0" fontId="24" fillId="3" borderId="21" xfId="1" applyFont="1" applyFill="1" applyBorder="1" applyAlignment="1">
      <alignment horizontal="left" vertical="center"/>
    </xf>
    <xf numFmtId="0" fontId="11" fillId="4" borderId="16" xfId="0" applyFont="1" applyFill="1" applyBorder="1" applyAlignment="1">
      <alignment horizontal="left" vertical="center"/>
    </xf>
    <xf numFmtId="0" fontId="11" fillId="4" borderId="16" xfId="0" applyFont="1" applyFill="1" applyBorder="1"/>
    <xf numFmtId="0" fontId="11" fillId="4" borderId="34" xfId="0" applyFont="1" applyFill="1" applyBorder="1"/>
    <xf numFmtId="3" fontId="17" fillId="11" borderId="30" xfId="0" applyNumberFormat="1" applyFont="1" applyFill="1" applyBorder="1" applyAlignment="1">
      <alignment horizontal="right"/>
    </xf>
    <xf numFmtId="3" fontId="17" fillId="9" borderId="30" xfId="0" applyNumberFormat="1" applyFont="1" applyFill="1" applyBorder="1" applyAlignment="1">
      <alignment horizontal="right"/>
    </xf>
    <xf numFmtId="3" fontId="17" fillId="10" borderId="30" xfId="0" applyNumberFormat="1" applyFont="1" applyFill="1" applyBorder="1" applyAlignment="1">
      <alignment horizontal="right"/>
    </xf>
    <xf numFmtId="3" fontId="14" fillId="8" borderId="30" xfId="0" applyNumberFormat="1" applyFont="1" applyFill="1" applyBorder="1" applyAlignment="1">
      <alignment horizontal="right"/>
    </xf>
    <xf numFmtId="0" fontId="37" fillId="20" borderId="55" xfId="0" applyFont="1" applyFill="1" applyBorder="1" applyAlignment="1">
      <alignment horizontal="left" vertical="center" wrapText="1"/>
    </xf>
    <xf numFmtId="0" fontId="8" fillId="3" borderId="31" xfId="0" applyFont="1" applyFill="1" applyBorder="1" applyAlignment="1">
      <alignment vertical="center" wrapText="1"/>
    </xf>
    <xf numFmtId="1" fontId="18" fillId="3" borderId="31" xfId="0" applyNumberFormat="1" applyFont="1" applyFill="1" applyBorder="1" applyAlignment="1">
      <alignment horizontal="right" vertical="center"/>
    </xf>
    <xf numFmtId="0" fontId="18" fillId="3" borderId="31" xfId="0" applyFont="1" applyFill="1" applyBorder="1" applyAlignment="1">
      <alignment horizontal="right" vertical="center"/>
    </xf>
    <xf numFmtId="176" fontId="18" fillId="3" borderId="31" xfId="0" applyNumberFormat="1" applyFont="1" applyFill="1" applyBorder="1" applyAlignment="1">
      <alignment horizontal="right" vertical="center"/>
    </xf>
    <xf numFmtId="0" fontId="11" fillId="4" borderId="30" xfId="0" applyFont="1" applyFill="1" applyBorder="1" applyAlignment="1">
      <alignment horizontal="left" vertical="center"/>
    </xf>
    <xf numFmtId="0" fontId="11" fillId="14" borderId="31" xfId="0" applyFont="1" applyFill="1" applyBorder="1" applyAlignment="1">
      <alignment horizontal="center" vertical="center"/>
    </xf>
    <xf numFmtId="0" fontId="25" fillId="3" borderId="31" xfId="1" applyFont="1" applyFill="1" applyBorder="1" applyAlignment="1">
      <alignment horizontal="left" vertical="center" wrapText="1"/>
    </xf>
    <xf numFmtId="0" fontId="38" fillId="19" borderId="0" xfId="0" applyFont="1" applyFill="1" applyAlignment="1">
      <alignment horizontal="left" vertical="center" wrapText="1"/>
    </xf>
    <xf numFmtId="0" fontId="35" fillId="18" borderId="0" xfId="0" applyFont="1" applyFill="1"/>
    <xf numFmtId="0" fontId="8" fillId="17" borderId="36" xfId="0" applyFont="1" applyFill="1" applyBorder="1" applyAlignment="1">
      <alignment vertical="center" wrapText="1"/>
    </xf>
    <xf numFmtId="0" fontId="8" fillId="17" borderId="37" xfId="0" applyFont="1" applyFill="1" applyBorder="1" applyAlignment="1">
      <alignment vertical="center" wrapText="1"/>
    </xf>
    <xf numFmtId="0" fontId="8" fillId="17" borderId="38" xfId="0" applyFont="1" applyFill="1" applyBorder="1" applyAlignment="1">
      <alignment vertical="center" wrapText="1"/>
    </xf>
    <xf numFmtId="0" fontId="7" fillId="14" borderId="40" xfId="0" applyFont="1" applyFill="1" applyBorder="1" applyAlignment="1">
      <alignment vertical="center" wrapText="1"/>
    </xf>
    <xf numFmtId="0" fontId="7" fillId="14" borderId="41" xfId="0" applyFont="1" applyFill="1" applyBorder="1" applyAlignment="1">
      <alignment vertical="center" wrapText="1"/>
    </xf>
    <xf numFmtId="0" fontId="7" fillId="14" borderId="42" xfId="0" applyFont="1" applyFill="1" applyBorder="1" applyAlignment="1">
      <alignment vertical="center" wrapText="1"/>
    </xf>
    <xf numFmtId="0" fontId="7" fillId="14" borderId="43" xfId="0" applyFont="1" applyFill="1" applyBorder="1" applyAlignment="1">
      <alignment vertical="center" wrapText="1"/>
    </xf>
    <xf numFmtId="0" fontId="7" fillId="14" borderId="44" xfId="0" applyFont="1" applyFill="1" applyBorder="1" applyAlignment="1">
      <alignment vertical="center" wrapText="1"/>
    </xf>
    <xf numFmtId="0" fontId="7" fillId="14" borderId="45" xfId="0" applyFont="1" applyFill="1" applyBorder="1" applyAlignment="1">
      <alignment vertical="center" wrapText="1"/>
    </xf>
    <xf numFmtId="0" fontId="8" fillId="3" borderId="36" xfId="0" applyFont="1" applyFill="1" applyBorder="1" applyAlignment="1">
      <alignment vertical="center" wrapText="1"/>
    </xf>
    <xf numFmtId="0" fontId="8" fillId="3" borderId="37" xfId="0" applyFont="1" applyFill="1" applyBorder="1" applyAlignment="1">
      <alignment vertical="center" wrapText="1"/>
    </xf>
    <xf numFmtId="0" fontId="8" fillId="3" borderId="38" xfId="0" applyFont="1" applyFill="1" applyBorder="1" applyAlignment="1">
      <alignment vertical="center" wrapText="1"/>
    </xf>
  </cellXfs>
  <cellStyles count="3">
    <cellStyle name="Normal" xfId="1" xr:uid="{13E407F9-D242-4461-BB1B-555C52743C02}"/>
    <cellStyle name="常规" xfId="0" builtinId="0"/>
    <cellStyle name="常规 2" xfId="2" xr:uid="{4B187A1D-9F63-4E14-931B-5BB4B402B4C2}"/>
  </cellStyles>
  <dxfs count="119"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general" vertical="center" textRotation="0" wrapText="1" indent="0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D2D2D2"/>
        </left>
        <right style="thin">
          <color rgb="FFD2D2D2"/>
        </right>
        <top/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177" formatCode="\¥0.00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3" formatCode="#,##0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178" formatCode="0.0000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3" formatCode="#,##0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178" formatCode="0.0000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2" formatCode="0.00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2" formatCode="0.00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3" formatCode="#,##0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1" formatCode="0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1" formatCode="0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176" formatCode="0.0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179" formatCode="#,##0.0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D2D2D2"/>
        </left>
        <right style="thin">
          <color rgb="FFD2D2D2"/>
        </right>
        <top/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zh-CN"/>
              <a:t>两轮现行 S 得分</a:t>
            </a:r>
          </a:p>
        </c:rich>
      </c:tx>
      <c:layout>
        <c:manualLayout>
          <c:xMode val="edge"/>
          <c:yMode val="edge"/>
          <c:x val="0.36946412769648335"/>
          <c:y val="3.712121433555323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31824862788613001"/>
          <c:y val="0.19527428986365367"/>
          <c:w val="0.55645354407439473"/>
          <c:h val="0.65227276618186392"/>
        </c:manualLayout>
      </c:layout>
      <c:barChart>
        <c:barDir val="bar"/>
        <c:grouping val="clustered"/>
        <c:varyColors val="0"/>
        <c:ser>
          <c:idx val="0"/>
          <c:order val="0"/>
          <c:tx>
            <c:v>第一轮</c:v>
          </c:tx>
          <c:spPr>
            <a:solidFill>
              <a:srgbClr val="00A8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评测总览!$B$9:$B$14</c:f>
              <c:strCache>
                <c:ptCount val="6"/>
                <c:pt idx="0">
                  <c:v>GPT</c:v>
                </c:pt>
                <c:pt idx="1">
                  <c:v>Grok</c:v>
                </c:pt>
                <c:pt idx="2">
                  <c:v>DeepSeek</c:v>
                </c:pt>
                <c:pt idx="3">
                  <c:v>GLM</c:v>
                </c:pt>
                <c:pt idx="4">
                  <c:v>Qwen</c:v>
                </c:pt>
                <c:pt idx="5">
                  <c:v>Gemini</c:v>
                </c:pt>
              </c:strCache>
            </c:strRef>
          </c:cat>
          <c:val>
            <c:numRef>
              <c:f>评测总览!$C$9:$C$14</c:f>
              <c:numCache>
                <c:formatCode>General</c:formatCode>
                <c:ptCount val="6"/>
                <c:pt idx="0">
                  <c:v>88</c:v>
                </c:pt>
                <c:pt idx="1">
                  <c:v>84.5</c:v>
                </c:pt>
                <c:pt idx="2">
                  <c:v>76.5</c:v>
                </c:pt>
                <c:pt idx="3">
                  <c:v>74</c:v>
                </c:pt>
                <c:pt idx="4">
                  <c:v>67.5</c:v>
                </c:pt>
                <c:pt idx="5">
                  <c:v>39.5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4D-41D5-9047-76D9346ED13C}"/>
            </c:ext>
          </c:extLst>
        </c:ser>
        <c:ser>
          <c:idx val="1"/>
          <c:order val="1"/>
          <c:tx>
            <c:v>第二轮</c:v>
          </c:tx>
          <c:spPr>
            <a:solidFill>
              <a:srgbClr val="00D69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评测总览!$B$9:$B$14</c:f>
              <c:strCache>
                <c:ptCount val="6"/>
                <c:pt idx="0">
                  <c:v>GPT</c:v>
                </c:pt>
                <c:pt idx="1">
                  <c:v>Grok</c:v>
                </c:pt>
                <c:pt idx="2">
                  <c:v>DeepSeek</c:v>
                </c:pt>
                <c:pt idx="3">
                  <c:v>GLM</c:v>
                </c:pt>
                <c:pt idx="4">
                  <c:v>Qwen</c:v>
                </c:pt>
                <c:pt idx="5">
                  <c:v>Gemini</c:v>
                </c:pt>
              </c:strCache>
            </c:strRef>
          </c:cat>
          <c:val>
            <c:numRef>
              <c:f>评测总览!$D$9:$D$14</c:f>
              <c:numCache>
                <c:formatCode>General</c:formatCode>
                <c:ptCount val="6"/>
                <c:pt idx="0">
                  <c:v>98.5</c:v>
                </c:pt>
                <c:pt idx="1">
                  <c:v>85.25</c:v>
                </c:pt>
                <c:pt idx="2">
                  <c:v>87.25</c:v>
                </c:pt>
                <c:pt idx="3">
                  <c:v>81</c:v>
                </c:pt>
                <c:pt idx="4">
                  <c:v>75.25</c:v>
                </c:pt>
                <c:pt idx="5">
                  <c:v>59.5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4D-41D5-9047-76D9346ED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709683440"/>
        <c:axId val="143214512"/>
      </c:barChart>
      <c:catAx>
        <c:axId val="70968344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000" b="0"/>
            </a:pPr>
            <a:endParaRPr lang="zh-CN"/>
          </a:p>
        </c:txPr>
        <c:crossAx val="143214512"/>
        <c:crosses val="autoZero"/>
        <c:auto val="1"/>
        <c:lblAlgn val="ctr"/>
        <c:lblOffset val="100"/>
        <c:noMultiLvlLbl val="0"/>
      </c:catAx>
      <c:valAx>
        <c:axId val="143214512"/>
        <c:scaling>
          <c:orientation val="minMax"/>
          <c:max val="110"/>
          <c:min val="0"/>
        </c:scaling>
        <c:delete val="0"/>
        <c:axPos val="t"/>
        <c:numFmt formatCode="0" sourceLinked="0"/>
        <c:majorTickMark val="out"/>
        <c:minorTickMark val="none"/>
        <c:tickLblPos val="high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000" b="0"/>
            </a:pPr>
            <a:endParaRPr lang="zh-CN"/>
          </a:p>
        </c:txPr>
        <c:crossAx val="709683440"/>
        <c:crosses val="autoZero"/>
        <c:crossBetween val="between"/>
        <c:majorUnit val="25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ayout>
        <c:manualLayout>
          <c:xMode val="edge"/>
          <c:yMode val="edge"/>
          <c:x val="0.56000000000000005"/>
          <c:y val="0.02"/>
          <c:w val="0.43"/>
          <c:h val="0.08"/>
        </c:manualLayout>
      </c:layout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solidFill>
        <a:srgbClr val="464646"/>
      </a:solidFill>
      <a:prstDash val="solid"/>
      <a:round/>
    </a:ln>
    <a:effectLst/>
  </c:spPr>
  <c:txPr>
    <a:bodyPr/>
    <a:lstStyle/>
    <a:p>
      <a:pPr>
        <a:defRPr sz="1100" b="0">
          <a:latin typeface="微软雅黑"/>
          <a:ea typeface="微软雅黑"/>
          <a:cs typeface="微软雅黑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zh-CN"/>
              <a:t>完成耗时（分钟）</a:t>
            </a:r>
          </a:p>
        </c:rich>
      </c:tx>
      <c:layout>
        <c:manualLayout>
          <c:xMode val="edge"/>
          <c:yMode val="edge"/>
          <c:x val="0.36944444444444446"/>
          <c:y val="3.712121433555323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31827427821522308"/>
          <c:y val="0.20681819415522512"/>
          <c:w val="0.56353324584426945"/>
          <c:h val="0.65227276618186392"/>
        </c:manualLayout>
      </c:layout>
      <c:barChart>
        <c:barDir val="bar"/>
        <c:grouping val="clustered"/>
        <c:varyColors val="0"/>
        <c:ser>
          <c:idx val="0"/>
          <c:order val="0"/>
          <c:tx>
            <c:v>分钟</c:v>
          </c:tx>
          <c:spPr>
            <a:solidFill>
              <a:srgbClr val="00A8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1"/>
            <c:invertIfNegative val="0"/>
            <c:bubble3D val="0"/>
            <c:spPr>
              <a:solidFill>
                <a:srgbClr val="00D696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3-4AD9-43C2-B7C7-3E321B1CFEF9}"/>
              </c:ext>
            </c:extLst>
          </c:dPt>
          <c:dPt>
            <c:idx val="2"/>
            <c:invertIfNegative val="0"/>
            <c:bubble3D val="0"/>
            <c:spPr>
              <a:solidFill>
                <a:srgbClr val="BEE614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4-4AD9-43C2-B7C7-3E321B1CFEF9}"/>
              </c:ext>
            </c:extLst>
          </c:dPt>
          <c:dPt>
            <c:idx val="3"/>
            <c:invertIfNegative val="0"/>
            <c:bubble3D val="0"/>
            <c:spPr>
              <a:solidFill>
                <a:srgbClr val="A85CFF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5-4AD9-43C2-B7C7-3E321B1CFEF9}"/>
              </c:ext>
            </c:extLst>
          </c:dPt>
          <c:dPt>
            <c:idx val="4"/>
            <c:invertIfNegative val="0"/>
            <c:bubble3D val="0"/>
            <c:spPr>
              <a:solidFill>
                <a:srgbClr val="FFC400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0-6DA4-43AB-AAE0-52B9D6482459}"/>
              </c:ext>
            </c:extLst>
          </c:dPt>
          <c:dPt>
            <c:idx val="5"/>
            <c:invertIfNegative val="0"/>
            <c:bubble3D val="0"/>
            <c:spPr>
              <a:solidFill>
                <a:srgbClr val="FF5C8C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6-4AD9-43C2-B7C7-3E321B1CFEF9}"/>
              </c:ext>
            </c:extLst>
          </c:dPt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评测总览!$B$9:$B$14</c:f>
              <c:strCache>
                <c:ptCount val="6"/>
                <c:pt idx="0">
                  <c:v>GPT</c:v>
                </c:pt>
                <c:pt idx="1">
                  <c:v>Grok</c:v>
                </c:pt>
                <c:pt idx="2">
                  <c:v>DeepSeek</c:v>
                </c:pt>
                <c:pt idx="3">
                  <c:v>GLM</c:v>
                </c:pt>
                <c:pt idx="4">
                  <c:v>Qwen</c:v>
                </c:pt>
                <c:pt idx="5">
                  <c:v>Gemini</c:v>
                </c:pt>
              </c:strCache>
            </c:strRef>
          </c:cat>
          <c:val>
            <c:numRef>
              <c:f>评测总览!$E$9:$E$14</c:f>
              <c:numCache>
                <c:formatCode>0.0</c:formatCode>
                <c:ptCount val="6"/>
                <c:pt idx="0">
                  <c:v>17.781400000000001</c:v>
                </c:pt>
                <c:pt idx="1">
                  <c:v>11.707416666666667</c:v>
                </c:pt>
                <c:pt idx="2">
                  <c:v>21.701233333333334</c:v>
                </c:pt>
                <c:pt idx="3">
                  <c:v>9.5915833333333342</c:v>
                </c:pt>
                <c:pt idx="4">
                  <c:v>60.205983333333329</c:v>
                </c:pt>
                <c:pt idx="5">
                  <c:v>6.0697350500000002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E1-4EFD-AF82-476E0FCC9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709676016"/>
        <c:axId val="143201552"/>
      </c:barChart>
      <c:catAx>
        <c:axId val="70967601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000" b="0"/>
            </a:pPr>
            <a:endParaRPr lang="zh-CN"/>
          </a:p>
        </c:txPr>
        <c:crossAx val="143201552"/>
        <c:crosses val="autoZero"/>
        <c:auto val="1"/>
        <c:lblAlgn val="ctr"/>
        <c:lblOffset val="100"/>
        <c:noMultiLvlLbl val="0"/>
      </c:catAx>
      <c:valAx>
        <c:axId val="143201552"/>
        <c:scaling>
          <c:orientation val="minMax"/>
          <c:min val="0"/>
        </c:scaling>
        <c:delete val="0"/>
        <c:axPos val="t"/>
        <c:numFmt formatCode="0.0" sourceLinked="0"/>
        <c:majorTickMark val="out"/>
        <c:minorTickMark val="none"/>
        <c:tickLblPos val="high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000" b="0"/>
            </a:pPr>
            <a:endParaRPr lang="zh-CN"/>
          </a:p>
        </c:txPr>
        <c:crossAx val="709676016"/>
        <c:crosses val="autoZero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solidFill>
        <a:srgbClr val="464646"/>
      </a:solidFill>
      <a:prstDash val="solid"/>
      <a:round/>
    </a:ln>
    <a:effectLst/>
  </c:spPr>
  <c:txPr>
    <a:bodyPr/>
    <a:lstStyle/>
    <a:p>
      <a:pPr>
        <a:defRPr sz="1100" b="0">
          <a:latin typeface="微软雅黑"/>
          <a:ea typeface="微软雅黑"/>
          <a:cs typeface="微软雅黑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zh-CN" altLang="en-US"/>
              <a:t>费用参考值（元）</a:t>
            </a:r>
          </a:p>
        </c:rich>
      </c:tx>
      <c:layout>
        <c:manualLayout>
          <c:xMode val="edge"/>
          <c:yMode val="edge"/>
          <c:x val="0.32372801924913436"/>
          <c:y val="3.417014966448679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2979432889488002"/>
          <c:y val="0.19037654813071214"/>
          <c:w val="0.64149628369652956"/>
          <c:h val="0.67852154333766646"/>
        </c:manualLayout>
      </c:layout>
      <c:barChart>
        <c:barDir val="bar"/>
        <c:grouping val="clustered"/>
        <c:varyColors val="0"/>
        <c:ser>
          <c:idx val="0"/>
          <c:order val="0"/>
          <c:tx>
            <c:v>API目录价（低档，元）</c:v>
          </c:tx>
          <c:spPr>
            <a:solidFill>
              <a:srgbClr val="00A8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1"/>
            <c:invertIfNegative val="0"/>
            <c:bubble3D val="0"/>
            <c:spPr>
              <a:solidFill>
                <a:srgbClr val="00D696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A-3244-402D-9E4B-FFD2C58C6DCC}"/>
              </c:ext>
            </c:extLst>
          </c:dPt>
          <c:dPt>
            <c:idx val="2"/>
            <c:invertIfNegative val="0"/>
            <c:bubble3D val="0"/>
            <c:spPr>
              <a:solidFill>
                <a:srgbClr val="BEE614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B-3244-402D-9E4B-FFD2C58C6DCC}"/>
              </c:ext>
            </c:extLst>
          </c:dPt>
          <c:dPt>
            <c:idx val="3"/>
            <c:invertIfNegative val="0"/>
            <c:bubble3D val="0"/>
            <c:spPr>
              <a:solidFill>
                <a:srgbClr val="A85CFF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C-3244-402D-9E4B-FFD2C58C6DCC}"/>
              </c:ext>
            </c:extLst>
          </c:dPt>
          <c:dPt>
            <c:idx val="4"/>
            <c:invertIfNegative val="0"/>
            <c:bubble3D val="0"/>
            <c:spPr>
              <a:solidFill>
                <a:srgbClr val="FFC400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D-3244-402D-9E4B-FFD2C58C6DCC}"/>
              </c:ext>
            </c:extLst>
          </c:dPt>
          <c:dPt>
            <c:idx val="5"/>
            <c:invertIfNegative val="0"/>
            <c:bubble3D val="0"/>
            <c:spPr>
              <a:solidFill>
                <a:srgbClr val="FF5C8C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E-3244-402D-9E4B-FFD2C58C6DCC}"/>
              </c:ext>
            </c:extLst>
          </c:dPt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评测总览!$B$9:$B$14</c:f>
              <c:strCache>
                <c:ptCount val="6"/>
                <c:pt idx="0">
                  <c:v>GPT</c:v>
                </c:pt>
                <c:pt idx="1">
                  <c:v>Grok</c:v>
                </c:pt>
                <c:pt idx="2">
                  <c:v>DeepSeek</c:v>
                </c:pt>
                <c:pt idx="3">
                  <c:v>GLM</c:v>
                </c:pt>
                <c:pt idx="4">
                  <c:v>Qwen</c:v>
                </c:pt>
                <c:pt idx="5">
                  <c:v>Gemini</c:v>
                </c:pt>
              </c:strCache>
            </c:strRef>
          </c:cat>
          <c:val>
            <c:numRef>
              <c:f>评测总览!$BC$9:$BC$14</c:f>
              <c:numCache>
                <c:formatCode>General</c:formatCode>
                <c:ptCount val="6"/>
                <c:pt idx="0">
                  <c:v>38.958407857600001</c:v>
                </c:pt>
                <c:pt idx="1">
                  <c:v>9.8583229184000007</c:v>
                </c:pt>
                <c:pt idx="2">
                  <c:v>1.3686114</c:v>
                </c:pt>
                <c:pt idx="3">
                  <c:v>6.4802759999999999</c:v>
                </c:pt>
                <c:pt idx="4">
                  <c:v>14.328685</c:v>
                </c:pt>
                <c:pt idx="5">
                  <c:v>5.1199395399900007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244-402D-9E4B-FFD2C58C6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1701416847"/>
        <c:axId val="529276527"/>
      </c:barChart>
      <c:catAx>
        <c:axId val="170141684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000" b="0"/>
            </a:pPr>
            <a:endParaRPr lang="zh-CN"/>
          </a:p>
        </c:txPr>
        <c:crossAx val="529276527"/>
        <c:crosses val="autoZero"/>
        <c:auto val="1"/>
        <c:lblAlgn val="ctr"/>
        <c:lblOffset val="100"/>
        <c:noMultiLvlLbl val="0"/>
      </c:catAx>
      <c:valAx>
        <c:axId val="529276527"/>
        <c:scaling>
          <c:orientation val="minMax"/>
          <c:min val="0"/>
        </c:scaling>
        <c:delete val="0"/>
        <c:axPos val="t"/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000" b="0"/>
            </a:pPr>
            <a:endParaRPr lang="zh-CN"/>
          </a:p>
        </c:txPr>
        <c:crossAx val="1701416847"/>
        <c:crosses val="autoZero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solidFill>
        <a:srgbClr val="464646"/>
      </a:solidFill>
      <a:prstDash val="solid"/>
      <a:round/>
    </a:ln>
    <a:effectLst/>
  </c:spPr>
  <c:txPr>
    <a:bodyPr/>
    <a:lstStyle/>
    <a:p>
      <a:pPr>
        <a:defRPr sz="1100" b="0">
          <a:latin typeface="微软雅黑"/>
          <a:ea typeface="微软雅黑"/>
          <a:cs typeface="微软雅黑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zh-CN"/>
              <a:t>无收益动作占比（</a:t>
            </a:r>
            <a:r>
              <a:rPr lang="en-US"/>
              <a:t>AWR</a:t>
            </a:r>
            <a:r>
              <a:rPr lang="zh-CN"/>
              <a:t>）</a:t>
            </a:r>
          </a:p>
        </c:rich>
      </c:tx>
      <c:layout>
        <c:manualLayout>
          <c:xMode val="edge"/>
          <c:yMode val="edge"/>
          <c:x val="0.31126388888888895"/>
          <c:y val="3.417014966448679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263035870516185"/>
          <c:y val="0.19037654813071214"/>
          <c:w val="0.64076837270341203"/>
          <c:h val="0.67852154333766646"/>
        </c:manualLayout>
      </c:layout>
      <c:barChart>
        <c:barDir val="bar"/>
        <c:grouping val="clustered"/>
        <c:varyColors val="0"/>
        <c:ser>
          <c:idx val="0"/>
          <c:order val="0"/>
          <c:tx>
            <c:v>无收益动作占比（AWR）</c:v>
          </c:tx>
          <c:spPr>
            <a:solidFill>
              <a:srgbClr val="00A8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1"/>
            <c:invertIfNegative val="0"/>
            <c:bubble3D val="0"/>
            <c:spPr>
              <a:solidFill>
                <a:srgbClr val="00D696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A-3310-4DA8-AE73-1649356428C9}"/>
              </c:ext>
            </c:extLst>
          </c:dPt>
          <c:dPt>
            <c:idx val="2"/>
            <c:invertIfNegative val="0"/>
            <c:bubble3D val="0"/>
            <c:spPr>
              <a:solidFill>
                <a:srgbClr val="BEE614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B-3310-4DA8-AE73-1649356428C9}"/>
              </c:ext>
            </c:extLst>
          </c:dPt>
          <c:dPt>
            <c:idx val="3"/>
            <c:invertIfNegative val="0"/>
            <c:bubble3D val="0"/>
            <c:spPr>
              <a:solidFill>
                <a:srgbClr val="A85CFF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C-3310-4DA8-AE73-1649356428C9}"/>
              </c:ext>
            </c:extLst>
          </c:dPt>
          <c:dPt>
            <c:idx val="4"/>
            <c:invertIfNegative val="0"/>
            <c:bubble3D val="0"/>
            <c:spPr>
              <a:solidFill>
                <a:srgbClr val="FFC400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D-3310-4DA8-AE73-1649356428C9}"/>
              </c:ext>
            </c:extLst>
          </c:dPt>
          <c:dPt>
            <c:idx val="5"/>
            <c:invertIfNegative val="0"/>
            <c:bubble3D val="0"/>
            <c:spPr>
              <a:solidFill>
                <a:srgbClr val="FF5C8C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E-3310-4DA8-AE73-1649356428C9}"/>
              </c:ext>
            </c:extLst>
          </c:dPt>
          <c:dLbls>
            <c:dLbl>
              <c:idx val="0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altLang="en-US" sz="1000" b="0">
                      <a:solidFill>
                        <a:srgbClr val="FFFFFF"/>
                      </a:solidFill>
                      <a:latin typeface="等线"/>
                      <a:ea typeface="等线"/>
                      <a:cs typeface="等线"/>
                    </a:defRPr>
                  </a:pPr>
                  <a:endParaRPr lang="zh-CN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EB2-45DF-8FF3-E7015ABCF0E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310-4DA8-AE73-1649356428C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310-4DA8-AE73-1649356428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310-4DA8-AE73-1649356428C9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评测总览!$B$9:$B$14</c:f>
              <c:strCache>
                <c:ptCount val="6"/>
                <c:pt idx="0">
                  <c:v>GPT</c:v>
                </c:pt>
                <c:pt idx="1">
                  <c:v>Grok</c:v>
                </c:pt>
                <c:pt idx="2">
                  <c:v>DeepSeek</c:v>
                </c:pt>
                <c:pt idx="3">
                  <c:v>GLM</c:v>
                </c:pt>
                <c:pt idx="4">
                  <c:v>Qwen</c:v>
                </c:pt>
                <c:pt idx="5">
                  <c:v>Gemini</c:v>
                </c:pt>
              </c:strCache>
            </c:strRef>
          </c:cat>
          <c:val>
            <c:numRef>
              <c:f>评测总览!$H$9:$H$14</c:f>
              <c:numCache>
                <c:formatCode>0.0%</c:formatCode>
                <c:ptCount val="6"/>
                <c:pt idx="0">
                  <c:v>6.25E-2</c:v>
                </c:pt>
                <c:pt idx="1">
                  <c:v>0</c:v>
                </c:pt>
                <c:pt idx="2">
                  <c:v>1.1363636363636364E-2</c:v>
                </c:pt>
                <c:pt idx="3">
                  <c:v>4.878048780487805E-2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310-4DA8-AE73-164935642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1701426591"/>
        <c:axId val="529278447"/>
      </c:barChart>
      <c:catAx>
        <c:axId val="1701426591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000" b="0"/>
            </a:pPr>
            <a:endParaRPr lang="zh-CN"/>
          </a:p>
        </c:txPr>
        <c:crossAx val="529278447"/>
        <c:crosses val="autoZero"/>
        <c:auto val="1"/>
        <c:lblAlgn val="ctr"/>
        <c:lblOffset val="100"/>
        <c:noMultiLvlLbl val="0"/>
      </c:catAx>
      <c:valAx>
        <c:axId val="529278447"/>
        <c:scaling>
          <c:orientation val="minMax"/>
          <c:min val="0"/>
        </c:scaling>
        <c:delete val="0"/>
        <c:axPos val="t"/>
        <c:numFmt formatCode="0%" sourceLinked="0"/>
        <c:majorTickMark val="out"/>
        <c:minorTickMark val="none"/>
        <c:tickLblPos val="high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000" b="0"/>
            </a:pPr>
            <a:endParaRPr lang="zh-CN"/>
          </a:p>
        </c:txPr>
        <c:crossAx val="1701426591"/>
        <c:crosses val="autoZero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solidFill>
        <a:srgbClr val="464646"/>
      </a:solidFill>
      <a:prstDash val="solid"/>
      <a:round/>
    </a:ln>
    <a:effectLst/>
  </c:spPr>
  <c:txPr>
    <a:bodyPr/>
    <a:lstStyle/>
    <a:p>
      <a:pPr>
        <a:defRPr sz="1100" b="0">
          <a:latin typeface="微软雅黑"/>
          <a:ea typeface="微软雅黑"/>
          <a:cs typeface="微软雅黑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zh-CN"/>
              <a:t>第一轮六维达成率</a:t>
            </a:r>
          </a:p>
        </c:rich>
      </c:tx>
      <c:layout>
        <c:manualLayout>
          <c:xMode val="edge"/>
          <c:yMode val="edge"/>
          <c:x val="0.37298911580556626"/>
          <c:y val="4.487179487179487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9213578032475668"/>
          <c:y val="0.21980113062790227"/>
          <c:w val="0.58229292284410394"/>
          <c:h val="0.58333333333333337"/>
        </c:manualLayout>
      </c:layout>
      <c:barChart>
        <c:barDir val="bar"/>
        <c:grouping val="clustered"/>
        <c:varyColors val="0"/>
        <c:ser>
          <c:idx val="0"/>
          <c:order val="0"/>
          <c:tx>
            <c:v>达成率</c:v>
          </c:tx>
          <c:spPr>
            <a:solidFill>
              <a:srgbClr val="00A8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1"/>
            <c:invertIfNegative val="0"/>
            <c:bubble3D val="0"/>
            <c:spPr>
              <a:solidFill>
                <a:srgbClr val="00D696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1-64E9-42A4-902F-7B74674FC347}"/>
              </c:ext>
            </c:extLst>
          </c:dPt>
          <c:dPt>
            <c:idx val="2"/>
            <c:invertIfNegative val="0"/>
            <c:bubble3D val="0"/>
            <c:spPr>
              <a:solidFill>
                <a:srgbClr val="FFC400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2-64E9-42A4-902F-7B74674FC347}"/>
              </c:ext>
            </c:extLst>
          </c:dPt>
          <c:dPt>
            <c:idx val="3"/>
            <c:invertIfNegative val="0"/>
            <c:bubble3D val="0"/>
            <c:spPr>
              <a:solidFill>
                <a:srgbClr val="A85CFF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3-64E9-42A4-902F-7B74674FC347}"/>
              </c:ext>
            </c:extLst>
          </c:dPt>
          <c:dPt>
            <c:idx val="4"/>
            <c:invertIfNegative val="0"/>
            <c:bubble3D val="0"/>
            <c:spPr>
              <a:solidFill>
                <a:srgbClr val="FF5C8C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4-64E9-42A4-902F-7B74674FC347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单AI分析!$AA$7:$AA$12</c:f>
              <c:strCache>
                <c:ptCount val="6"/>
                <c:pt idx="0">
                  <c:v>数据基础与问题定义</c:v>
                </c:pt>
                <c:pt idx="1">
                  <c:v>证据与计算</c:v>
                </c:pt>
                <c:pt idx="2">
                  <c:v>调查深度与判断</c:v>
                </c:pt>
                <c:pt idx="3">
                  <c:v>人工复现与维护</c:v>
                </c:pt>
                <c:pt idx="4">
                  <c:v>成品实际可用性</c:v>
                </c:pt>
                <c:pt idx="5">
                  <c:v>自主性与资源纪律</c:v>
                </c:pt>
              </c:strCache>
            </c:strRef>
          </c:cat>
          <c:val>
            <c:numRef>
              <c:f>单AI分析!$AB$7:$AB$12</c:f>
              <c:numCache>
                <c:formatCode>General</c:formatCode>
                <c:ptCount val="6"/>
                <c:pt idx="0">
                  <c:v>0.93333333333333335</c:v>
                </c:pt>
                <c:pt idx="1">
                  <c:v>1</c:v>
                </c:pt>
                <c:pt idx="2">
                  <c:v>0.71250000000000002</c:v>
                </c:pt>
                <c:pt idx="3">
                  <c:v>0.79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A1-404E-87D0-1FBA282EC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1085563695"/>
        <c:axId val="143175152"/>
      </c:barChart>
      <c:catAx>
        <c:axId val="1085563695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000" b="0"/>
            </a:pPr>
            <a:endParaRPr lang="zh-CN"/>
          </a:p>
        </c:txPr>
        <c:crossAx val="143175152"/>
        <c:crosses val="autoZero"/>
        <c:auto val="1"/>
        <c:lblAlgn val="ctr"/>
        <c:lblOffset val="100"/>
        <c:noMultiLvlLbl val="0"/>
      </c:catAx>
      <c:valAx>
        <c:axId val="143175152"/>
        <c:scaling>
          <c:orientation val="minMax"/>
          <c:max val="1.2"/>
          <c:min val="0"/>
        </c:scaling>
        <c:delete val="0"/>
        <c:axPos val="t"/>
        <c:numFmt formatCode="0%" sourceLinked="0"/>
        <c:majorTickMark val="out"/>
        <c:minorTickMark val="none"/>
        <c:tickLblPos val="high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000" b="0"/>
            </a:pPr>
            <a:endParaRPr lang="zh-CN"/>
          </a:p>
        </c:txPr>
        <c:crossAx val="1085563695"/>
        <c:crosses val="autoZero"/>
        <c:crossBetween val="between"/>
        <c:majorUnit val="0.25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solidFill>
        <a:srgbClr val="464646"/>
      </a:solidFill>
      <a:prstDash val="solid"/>
      <a:round/>
    </a:ln>
    <a:effectLst/>
  </c:spPr>
  <c:txPr>
    <a:bodyPr/>
    <a:lstStyle/>
    <a:p>
      <a:pPr>
        <a:defRPr sz="1100" b="0">
          <a:latin typeface="微软雅黑"/>
          <a:ea typeface="微软雅黑"/>
          <a:cs typeface="微软雅黑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zh-CN"/>
              <a:t>第二轮六维达成率</a:t>
            </a:r>
          </a:p>
        </c:rich>
      </c:tx>
      <c:layout>
        <c:manualLayout>
          <c:xMode val="edge"/>
          <c:yMode val="edge"/>
          <c:x val="0.36011910293555338"/>
          <c:y val="4.487179487179487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30175130135760059"/>
          <c:y val="0.21980113062790227"/>
          <c:w val="0.5669825055651827"/>
          <c:h val="0.58333333333333337"/>
        </c:manualLayout>
      </c:layout>
      <c:barChart>
        <c:barDir val="bar"/>
        <c:grouping val="clustered"/>
        <c:varyColors val="0"/>
        <c:ser>
          <c:idx val="0"/>
          <c:order val="0"/>
          <c:tx>
            <c:v>达成率</c:v>
          </c:tx>
          <c:spPr>
            <a:solidFill>
              <a:srgbClr val="00A8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318-45DC-8429-8BB31EE4C32B}"/>
              </c:ext>
            </c:extLst>
          </c:dPt>
          <c:dPt>
            <c:idx val="1"/>
            <c:invertIfNegative val="0"/>
            <c:bubble3D val="0"/>
            <c:spPr>
              <a:solidFill>
                <a:srgbClr val="00D696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4-7C19-400E-9D0C-EE9A80768618}"/>
              </c:ext>
            </c:extLst>
          </c:dPt>
          <c:dPt>
            <c:idx val="2"/>
            <c:invertIfNegative val="0"/>
            <c:bubble3D val="0"/>
            <c:spPr>
              <a:solidFill>
                <a:srgbClr val="FFC400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2-D318-45DC-8429-8BB31EE4C32B}"/>
              </c:ext>
            </c:extLst>
          </c:dPt>
          <c:dPt>
            <c:idx val="3"/>
            <c:invertIfNegative val="0"/>
            <c:bubble3D val="0"/>
            <c:spPr>
              <a:solidFill>
                <a:srgbClr val="A85CFF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3-D318-45DC-8429-8BB31EE4C32B}"/>
              </c:ext>
            </c:extLst>
          </c:dPt>
          <c:dPt>
            <c:idx val="4"/>
            <c:invertIfNegative val="0"/>
            <c:bubble3D val="0"/>
            <c:spPr>
              <a:solidFill>
                <a:srgbClr val="FF5C8C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4-D318-45DC-8429-8BB31EE4C32B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单AI分析!$AD$7:$AD$12</c:f>
              <c:strCache>
                <c:ptCount val="6"/>
                <c:pt idx="0">
                  <c:v>数据基础与问题定义</c:v>
                </c:pt>
                <c:pt idx="1">
                  <c:v>证据与计算</c:v>
                </c:pt>
                <c:pt idx="2">
                  <c:v>调查深度与判断</c:v>
                </c:pt>
                <c:pt idx="3">
                  <c:v>人工复现与维护</c:v>
                </c:pt>
                <c:pt idx="4">
                  <c:v>成品实际可用性</c:v>
                </c:pt>
                <c:pt idx="5">
                  <c:v>自主性与资源纪律</c:v>
                </c:pt>
              </c:strCache>
            </c:strRef>
          </c:cat>
          <c:val>
            <c:numRef>
              <c:f>单AI分析!$AE$7:$AE$12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0.94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CA-4C08-803E-29A2499A2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715101648"/>
        <c:axId val="143181872"/>
      </c:barChart>
      <c:catAx>
        <c:axId val="71510164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000" b="0"/>
            </a:pPr>
            <a:endParaRPr lang="zh-CN"/>
          </a:p>
        </c:txPr>
        <c:crossAx val="143181872"/>
        <c:crosses val="autoZero"/>
        <c:auto val="1"/>
        <c:lblAlgn val="ctr"/>
        <c:lblOffset val="100"/>
        <c:noMultiLvlLbl val="0"/>
      </c:catAx>
      <c:valAx>
        <c:axId val="143181872"/>
        <c:scaling>
          <c:orientation val="minMax"/>
          <c:max val="1.2"/>
          <c:min val="0"/>
        </c:scaling>
        <c:delete val="0"/>
        <c:axPos val="t"/>
        <c:numFmt formatCode="0%" sourceLinked="0"/>
        <c:majorTickMark val="out"/>
        <c:minorTickMark val="none"/>
        <c:tickLblPos val="high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000" b="0"/>
            </a:pPr>
            <a:endParaRPr lang="zh-CN"/>
          </a:p>
        </c:txPr>
        <c:crossAx val="715101648"/>
        <c:crosses val="autoZero"/>
        <c:crossBetween val="between"/>
        <c:majorUnit val="0.25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solidFill>
        <a:srgbClr val="464646"/>
      </a:solidFill>
      <a:prstDash val="solid"/>
      <a:round/>
    </a:ln>
    <a:effectLst/>
  </c:spPr>
  <c:txPr>
    <a:bodyPr/>
    <a:lstStyle/>
    <a:p>
      <a:pPr>
        <a:defRPr sz="1100" b="0">
          <a:latin typeface="微软雅黑"/>
          <a:ea typeface="微软雅黑"/>
          <a:cs typeface="微软雅黑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083209286193386E-2"/>
          <c:y val="0.26785714285714285"/>
          <c:w val="0.88267982763211739"/>
          <c:h val="0.24801587301587302"/>
        </c:manualLayout>
      </c:layout>
      <c:barChart>
        <c:barDir val="bar"/>
        <c:grouping val="percentStacked"/>
        <c:varyColors val="0"/>
        <c:ser>
          <c:idx val="0"/>
          <c:order val="0"/>
          <c:tx>
            <c:v>未缓存输入</c:v>
          </c:tx>
          <c:spPr>
            <a:solidFill>
              <a:srgbClr val="00A8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[&gt;=0.08]0%;[&lt;=0]&quot;&quot;;&quot;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>
                    <a:latin typeface="微软雅黑"/>
                    <a:ea typeface="微软雅黑"/>
                    <a:cs typeface="微软雅黑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"/>
              <c:pt idx="0">
                <c:v> </c:v>
              </c:pt>
            </c:strLit>
          </c:cat>
          <c:val>
            <c:numRef>
              <c:f>单AI分析!$E$30</c:f>
              <c:numCache>
                <c:formatCode>0.0%</c:formatCode>
                <c:ptCount val="1"/>
                <c:pt idx="0">
                  <c:v>4.4011897989409902E-2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88-4DB5-AD2D-6A717C4B9996}"/>
            </c:ext>
          </c:extLst>
        </c:ser>
        <c:ser>
          <c:idx val="1"/>
          <c:order val="1"/>
          <c:tx>
            <c:v>缓存读取</c:v>
          </c:tx>
          <c:spPr>
            <a:solidFill>
              <a:srgbClr val="00D69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[&gt;=0.08]0%;[&lt;=0]&quot;&quot;;&quot;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>
                    <a:latin typeface="微软雅黑"/>
                    <a:ea typeface="微软雅黑"/>
                    <a:cs typeface="微软雅黑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"/>
              <c:pt idx="0">
                <c:v> </c:v>
              </c:pt>
            </c:strLit>
          </c:cat>
          <c:val>
            <c:numRef>
              <c:f>单AI分析!$E$31</c:f>
              <c:numCache>
                <c:formatCode>0.0%</c:formatCode>
                <c:ptCount val="1"/>
                <c:pt idx="0">
                  <c:v>0.94824953974183634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88-4DB5-AD2D-6A717C4B9996}"/>
            </c:ext>
          </c:extLst>
        </c:ser>
        <c:ser>
          <c:idx val="2"/>
          <c:order val="2"/>
          <c:tx>
            <c:v>缓存写入</c:v>
          </c:tx>
          <c:spPr>
            <a:solidFill>
              <a:srgbClr val="FFC40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[&gt;=0.08]0%;[&lt;=0]&quot;&quot;;&quot;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>
                    <a:latin typeface="微软雅黑"/>
                    <a:ea typeface="微软雅黑"/>
                    <a:cs typeface="微软雅黑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"/>
              <c:pt idx="0">
                <c:v> </c:v>
              </c:pt>
            </c:strLit>
          </c:cat>
          <c:val>
            <c:numRef>
              <c:f>单AI分析!$E$32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88-4DB5-AD2D-6A717C4B9996}"/>
            </c:ext>
          </c:extLst>
        </c:ser>
        <c:ser>
          <c:idx val="3"/>
          <c:order val="3"/>
          <c:tx>
            <c:v>输出</c:v>
          </c:tx>
          <c:spPr>
            <a:solidFill>
              <a:srgbClr val="A85C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[&gt;=0.08]0%;[&lt;=0]&quot;&quot;;&quot;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>
                    <a:latin typeface="微软雅黑"/>
                    <a:ea typeface="微软雅黑"/>
                    <a:cs typeface="微软雅黑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"/>
              <c:pt idx="0">
                <c:v> </c:v>
              </c:pt>
            </c:strLit>
          </c:cat>
          <c:val>
            <c:numRef>
              <c:f>单AI分析!$E$33</c:f>
              <c:numCache>
                <c:formatCode>0.0%</c:formatCode>
                <c:ptCount val="1"/>
                <c:pt idx="0">
                  <c:v>7.7385622687537866E-3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88-4DB5-AD2D-6A717C4B9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899902512"/>
        <c:axId val="162679792"/>
      </c:barChart>
      <c:catAx>
        <c:axId val="189990251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000" b="0"/>
            </a:pPr>
            <a:endParaRPr lang="zh-CN"/>
          </a:p>
        </c:txPr>
        <c:crossAx val="162679792"/>
        <c:crosses val="autoZero"/>
        <c:auto val="1"/>
        <c:lblAlgn val="ctr"/>
        <c:lblOffset val="100"/>
        <c:noMultiLvlLbl val="0"/>
      </c:catAx>
      <c:valAx>
        <c:axId val="162679792"/>
        <c:scaling>
          <c:orientation val="minMax"/>
          <c:max val="1"/>
          <c:min val="0"/>
        </c:scaling>
        <c:delete val="0"/>
        <c:axPos val="t"/>
        <c:numFmt formatCode="0%" sourceLinked="0"/>
        <c:majorTickMark val="out"/>
        <c:minorTickMark val="none"/>
        <c:tickLblPos val="low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000" b="0"/>
            </a:pPr>
            <a:endParaRPr lang="zh-CN"/>
          </a:p>
        </c:txPr>
        <c:crossAx val="1899902512"/>
        <c:crosses val="autoZero"/>
        <c:crossBetween val="between"/>
        <c:majorUnit val="0.25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b"/>
      <c:layout>
        <c:manualLayout>
          <c:xMode val="edge"/>
          <c:yMode val="edge"/>
          <c:x val="0.22037093336305935"/>
          <c:y val="0.79786979752530929"/>
          <c:w val="0.5592581332738813"/>
          <c:h val="0.14880952380952381"/>
        </c:manualLayout>
      </c:layout>
      <c:overlay val="0"/>
      <c:txPr>
        <a:bodyPr/>
        <a:lstStyle/>
        <a:p>
          <a:pPr>
            <a:defRPr sz="1000"/>
          </a:pPr>
          <a:endParaRPr lang="zh-CN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solidFill>
        <a:srgbClr val="464646"/>
      </a:solidFill>
      <a:prstDash val="solid"/>
      <a:round/>
    </a:ln>
    <a:effectLst/>
  </c:spPr>
  <c:txPr>
    <a:bodyPr/>
    <a:lstStyle/>
    <a:p>
      <a:pPr>
        <a:defRPr sz="1100" b="0">
          <a:latin typeface="微软雅黑"/>
          <a:ea typeface="微软雅黑"/>
          <a:cs typeface="微软雅黑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11065043403155E-2"/>
          <c:y val="0.26785714285714285"/>
          <c:w val="0.87947141308415722"/>
          <c:h val="0.24801587301587302"/>
        </c:manualLayout>
      </c:layout>
      <c:barChart>
        <c:barDir val="bar"/>
        <c:grouping val="percentStacked"/>
        <c:varyColors val="0"/>
        <c:ser>
          <c:idx val="0"/>
          <c:order val="0"/>
          <c:tx>
            <c:v>直接贡献</c:v>
          </c:tx>
          <c:spPr>
            <a:solidFill>
              <a:srgbClr val="00A8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[&gt;=0.08]0%;[&lt;=0]&quot;&quot;;&quot;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>
                    <a:latin typeface="微软雅黑"/>
                    <a:ea typeface="微软雅黑"/>
                    <a:cs typeface="微软雅黑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"/>
              <c:pt idx="0">
                <c:v> </c:v>
              </c:pt>
            </c:strLit>
          </c:cat>
          <c:val>
            <c:numRef>
              <c:f>单AI分析!$M$30</c:f>
              <c:numCache>
                <c:formatCode>0.0%</c:formatCode>
                <c:ptCount val="1"/>
                <c:pt idx="0">
                  <c:v>0.55555555555555558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5A-4972-A64C-3572297EB4B2}"/>
            </c:ext>
          </c:extLst>
        </c:ser>
        <c:ser>
          <c:idx val="1"/>
          <c:order val="1"/>
          <c:tx>
            <c:v>必要探索</c:v>
          </c:tx>
          <c:spPr>
            <a:solidFill>
              <a:srgbClr val="00D69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[&gt;=0.08]0%;[&lt;=0]&quot;&quot;;&quot;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>
                    <a:latin typeface="微软雅黑"/>
                    <a:ea typeface="微软雅黑"/>
                    <a:cs typeface="微软雅黑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"/>
              <c:pt idx="0">
                <c:v> </c:v>
              </c:pt>
            </c:strLit>
          </c:cat>
          <c:val>
            <c:numRef>
              <c:f>单AI分析!$M$31</c:f>
              <c:numCache>
                <c:formatCode>0.0%</c:formatCode>
                <c:ptCount val="1"/>
                <c:pt idx="0">
                  <c:v>0.27777777777777779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5A-4972-A64C-3572297EB4B2}"/>
            </c:ext>
          </c:extLst>
        </c:ser>
        <c:ser>
          <c:idx val="2"/>
          <c:order val="2"/>
          <c:tx>
            <c:v>管理动作</c:v>
          </c:tx>
          <c:spPr>
            <a:solidFill>
              <a:srgbClr val="FFC40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[&gt;=0.08]0%;[&lt;=0]&quot;&quot;;&quot;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>
                    <a:latin typeface="微软雅黑"/>
                    <a:ea typeface="微软雅黑"/>
                    <a:cs typeface="微软雅黑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"/>
              <c:pt idx="0">
                <c:v> </c:v>
              </c:pt>
            </c:strLit>
          </c:cat>
          <c:val>
            <c:numRef>
              <c:f>单AI分析!$M$32</c:f>
              <c:numCache>
                <c:formatCode>0.0%</c:formatCode>
                <c:ptCount val="1"/>
                <c:pt idx="0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5A-4972-A64C-3572297EB4B2}"/>
            </c:ext>
          </c:extLst>
        </c:ser>
        <c:ser>
          <c:idx val="3"/>
          <c:order val="3"/>
          <c:tx>
            <c:v>确认无收益</c:v>
          </c:tx>
          <c:spPr>
            <a:solidFill>
              <a:srgbClr val="A85C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[&gt;=0.08]0%;[&lt;=0]&quot;&quot;;&quot;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>
                    <a:latin typeface="微软雅黑"/>
                    <a:ea typeface="微软雅黑"/>
                    <a:cs typeface="微软雅黑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"/>
              <c:pt idx="0">
                <c:v> </c:v>
              </c:pt>
            </c:strLit>
          </c:cat>
          <c:val>
            <c:numRef>
              <c:f>单AI分析!$M$33</c:f>
              <c:numCache>
                <c:formatCode>0.0%</c:formatCode>
                <c:ptCount val="1"/>
                <c:pt idx="0">
                  <c:v>5.5555555555555552E-2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5A-4972-A64C-3572297EB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899917824"/>
        <c:axId val="162681232"/>
      </c:barChart>
      <c:catAx>
        <c:axId val="189991782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000" b="0"/>
            </a:pPr>
            <a:endParaRPr lang="zh-CN"/>
          </a:p>
        </c:txPr>
        <c:crossAx val="162681232"/>
        <c:crosses val="autoZero"/>
        <c:auto val="1"/>
        <c:lblAlgn val="ctr"/>
        <c:lblOffset val="100"/>
        <c:noMultiLvlLbl val="0"/>
      </c:catAx>
      <c:valAx>
        <c:axId val="162681232"/>
        <c:scaling>
          <c:orientation val="minMax"/>
          <c:max val="1"/>
          <c:min val="0"/>
        </c:scaling>
        <c:delete val="0"/>
        <c:axPos val="t"/>
        <c:numFmt formatCode="0%" sourceLinked="0"/>
        <c:majorTickMark val="out"/>
        <c:minorTickMark val="none"/>
        <c:tickLblPos val="low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000" b="0"/>
            </a:pPr>
            <a:endParaRPr lang="zh-CN"/>
          </a:p>
        </c:txPr>
        <c:crossAx val="1899917824"/>
        <c:crosses val="autoZero"/>
        <c:crossBetween val="between"/>
        <c:majorUnit val="0.25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b"/>
      <c:layout>
        <c:manualLayout>
          <c:xMode val="edge"/>
          <c:yMode val="edge"/>
          <c:x val="0.19205690504903103"/>
          <c:y val="0.79786979752530929"/>
          <c:w val="0.61588618990193789"/>
          <c:h val="0.14880952380952381"/>
        </c:manualLayout>
      </c:layout>
      <c:overlay val="0"/>
      <c:txPr>
        <a:bodyPr/>
        <a:lstStyle/>
        <a:p>
          <a:pPr>
            <a:defRPr sz="1000"/>
          </a:pPr>
          <a:endParaRPr lang="zh-CN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solidFill>
        <a:srgbClr val="464646"/>
      </a:solidFill>
      <a:prstDash val="solid"/>
      <a:round/>
    </a:ln>
    <a:effectLst/>
  </c:spPr>
  <c:txPr>
    <a:bodyPr/>
    <a:lstStyle/>
    <a:p>
      <a:pPr>
        <a:defRPr sz="1100" b="0">
          <a:latin typeface="微软雅黑"/>
          <a:ea typeface="微软雅黑"/>
          <a:cs typeface="微软雅黑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omments/scoreNotes.xml><?xml version="1.0" encoding="utf-8"?>
<comments xmlns="http://schemas.openxmlformats.org/spreadsheetml/2006/main">
  <authors>
    <author>评分复审</author>
  </authors>
  <commentList>
    <comment ref="E310" authorId="0" shapeId="0">
      <text>
        <t>评分项：A1 粒度与语义；得分 4.0/4
实际工作与缺口：按请求记录、唯一键、创建时间定义对象，没有将记录量解释为事件数。
原件：D:\项目2\GPT\第一轮
核查依据：分析说明.md；数据质量工作表
核查方式：原件审读、现有独立核验复查及本轮定向检查
问题编号：GPT-1-A1
评测方补做：仅用于核验，不计作原AI完成</t>
      </text>
    </comment>
    <comment ref="E311" authorId="0" shapeId="0">
      <text>
        <t>评分项：A2 数据质量判断；得分 4.0/4
实际工作与缺口：检查44字段、唯一性、缺失、关闭异常和残缺月份，并据此放弃机构效率排名。
原件：D:\项目2\GPT\第一轮
核查依据：分析说明.md；数据质量工作表
核查方式：原件审读、现有独立核验复查及本轮定向检查
问题编号：GPT-1-A2
评测方补做：仅用于核验，不计作原AI完成</t>
      </text>
    </comment>
    <comment ref="E312" authorId="0" shapeId="0">
      <text>
        <t>评分项：A3 问题可回答性；得分 3.0/3
实际工作与缺口：增长来源和地区贡献可由现有数据回答，天气与人口解释没有当作事实。
原件：D:\项目2\GPT\第一轮
核查依据：分析说明.md；数据质量工作表
核查方式：原件审读、现有独立核验复查及本轮定向检查
问题编号：GPT-1-A3
评测方补做：仅用于核验，不计作原AI完成</t>
      </text>
    </comment>
    <comment ref="E313" authorId="0" shapeId="0">
      <text>
        <t>评分项：A4 问题优先级；得分 3.0/4
实际工作与缺口：选中同比增长和地区贡献，但筛选方向的比较依据较少，主要停留在概览。
原件：D:\项目2\GPT\第一轮
核查依据：分析说明.md；数据质量工作表
核查方式：原件审读、现有独立核验复查及本轮定向检查
问题编号：GPT-1-A4
评测方补做：仅用于核验，不计作原AI完成</t>
      </text>
    </comment>
    <comment ref="E314" authorId="0" shapeId="0">
      <text>
        <t>评分项：B1 数字与口径；得分 6.0/6
实际工作与缺口：1—8月两期2378736与2666078、三类增量136823及两区增量205514均核对成立。
原件：D:\项目2\GPT\第一轮
核查依据：分析说明.md；evaluation_numeric_check.json对应AI正式版本；maintenance_query_results.json
核查方式：原件审读、现有独立核验复查及本轮定向检查
问题编号：GPT-1-B1
评测方补做：仅用于核验，不计作原AI完成</t>
      </text>
    </comment>
    <comment ref="E315" authorId="0" shapeId="0">
      <text>
        <t>评分项：B2 可比性；得分 5.0/5
实际工作与缺口：两期均243天，排除残缺9月，跨维度贡献分别计算。
原件：D:\项目2\GPT\第一轮
核查依据：分析说明.md；evaluation_numeric_check.json对应AI正式版本；maintenance_query_results.json
核查方式：原件审读、现有独立核验复查及本轮定向检查
问题编号：GPT-1-B2
评测方补做：仅用于核验，不计作原AI完成</t>
      </text>
    </comment>
    <comment ref="E316" authorId="0" shapeId="0">
      <text>
        <t>评分项：B3 来源链；得分 5.0/5
实际工作与缺口：Parquet、汇总CSV、工作簿公式与说明可对应，另有独立查询核验。
原件：D:\项目2\GPT\第一轮
核查依据：分析说明.md；evaluation_numeric_check.json对应AI正式版本；maintenance_query_results.json
核查方式：原件审读、现有独立核验复查及本轮定向检查
问题编号：GPT-1-B3
评测方补做：仅用于核验，不计作原AI完成</t>
      </text>
    </comment>
    <comment ref="E317" authorId="0" shapeId="0">
      <text>
        <t>评分项：B4 解释成立；得分 4.0/4
实际工作与缺口：区分记录增长、人口发生率与天气原因，未引入缺少变量的解释。
原件：D:\项目2\GPT\第一轮
核查依据：分析说明.md；evaluation_numeric_check.json对应AI正式版本；maintenance_query_results.json
核查方式：原件审读、现有独立核验复查及本轮定向检查
问题编号：GPT-1-B4
评测方补做：仅用于核验，不计作原AI完成</t>
      </text>
    </comment>
    <comment ref="E318" authorId="0" shapeId="0">
      <text>
        <t>评分项：C1 差异分解；得分 4.0/4
实际工作与缺口：将总增量拆到类别和行政区，并核对各维度合计。
原件：D:\项目2\GPT\第一轮
核查依据：分析说明.md主要发现；原分析SQL与汇总
核查方式：原件审读、现有独立核验复查及本轮定向检查
问题编号：GPT-1-C1
评测方补做：仅用于核验，不计作原AI完成</t>
      </text>
    </comment>
    <comment ref="E319" authorId="0" shapeId="0">
      <text>
        <t>评分项：C2 下钻调查；得分 2.0/4
实际工作与缺口：细分到类型、地区和月度，但未继续核查道路描述、尖峰日期或渠道构成。
原件：D:\项目2\GPT\第一轮
核查依据：分析说明.md主要发现；原分析SQL与汇总
核查方式：原件审读、现有独立核验复查及本轮定向检查
问题编号：GPT-1-C2
评测方补做：仅用于核验，不计作原AI完成</t>
      </text>
    </comment>
    <comment ref="E320" authorId="0" shapeId="0">
      <text>
        <t>评分项：C3 稳健性与替代解释；得分 1.25/5
实际工作与缺口：保留风险说明，尚缺少针对增长来源的剔除、匹配或固定构成检验。
原件：D:\项目2\GPT\第一轮
核查依据：分析说明.md主要发现；原分析SQL与汇总
核查方式：原件审读、现有独立核验复查及本轮定向检查
问题编号：GPT-1-C3
评测方补做：仅用于核验，不计作原AI完成</t>
      </text>
    </comment>
    <comment ref="E321" authorId="0" shapeId="0">
      <text>
        <t>评分项：C4 据证据修正；得分 4.0/4
实际工作与缺口：核对主要汇总和交叉维度，未发现应改未改的数值矛盾。
原件：D:\项目2\GPT\第一轮
核查依据：分析说明.md主要发现；原分析SQL与汇总
核查方式：原件审读、现有独立核验复查及本轮定向检查
问题编号：GPT-1-C4
评测方补做：仅用于核验，不计作原AI完成</t>
      </text>
    </comment>
    <comment ref="E322" authorId="0" shapeId="0">
      <text>
        <t>评分项：C5 范围与停止；得分 3.0/3
实际工作与缺口：停止时效绩效和未经核实的类别合并，相关限制留在成品旁。
原件：D:\项目2\GPT\第一轮
核查依据：分析说明.md主要发现；原分析SQL与汇总
核查方式：原件审读、现有独立核验复查及本轮定向检查
问题编号：GPT-1-C5
评测方补做：仅用于核验，不计作原AI完成</t>
      </text>
    </comment>
    <comment ref="E323" authorId="0" shapeId="0">
      <text>
        <t>评分项：D1 阅读入口与步骤；得分 4.0/4
实际工作与缺口：给出analyze、summarize、write_findings、build顺序、依赖及运行时迁移说明。
原件：D:\项目2\GPT\第一轮
核查依据：分析说明.md复现段；原生产脚本；strict_repro_20260922核验记录；维护核查记录
核查方式：原件审读、现有独立核验复查及本轮定向检查
问题编号：GPT-1-D1
评测方补做：仅用于核验，不计作原AI完成</t>
      </text>
    </comment>
    <comment ref="E324" authorId="0" shapeId="0">
      <text>
        <t>评分项：D2 过程可理解；得分 4.5/6
实际工作与缺口：主要窗口和分母清楚，筛选方向的探索判断与代码之间说明较简略。
原件：D:\项目2\GPT\第一轮
核查依据：分析说明.md复现段；原生产脚本；strict_repro_20260922核验记录；维护核查记录
核查方式：原件审读、现有独立核验复查及本轮定向检查
问题编号：GPT-1-D2
评测方补做：仅用于核验，不计作原AI完成</t>
      </text>
    </comment>
    <comment ref="E325" authorId="0" shapeId="0">
      <text>
        <t>评分项：D3 结果可重做；得分 6.0/6
实际工作与缺口：既有隔离重建完成，从冻结输入得到与提交一致的关键结果；本轮重核主窗口。
原件：D:\项目2\GPT\第一轮
核查依据：分析说明.md复现段；原生产脚本；strict_repro_20260922核验记录；维护核查记录
核查方式：原件审读、现有独立核验复查及本轮定向检查
问题编号：GPT-1-D3
评测方补做：仅用于核验，不计作原AI完成</t>
      </text>
    </comment>
    <comment ref="E326" authorId="0" shapeId="0">
      <text>
        <t>评分项：D4 更新与错误定位；得分 3.0/6
实际工作与缺口：窗口及正文数字散布于分析、汇总和生成文件，缺少更新时逐处核对的对应清单。
原件：D:\项目2\GPT\第一轮
核查依据：分析说明.md复现段；原生产脚本；strict_repro_20260922核验记录；维护核查记录
核查方式：原件审读、现有独立核验复查及本轮定向检查
问题编号：GPT-1-D4
评测方补做：仅用于核验，不计作原AI完成</t>
      </text>
    </comment>
    <comment ref="E327" authorId="0" shapeId="0">
      <text>
        <t>评分项：D5 原AI的成品检查；得分 2.25/3
实际工作与缺口：原运行做数值及四页渲染检查；明确未做桌面Excel操作验收。
原件：D:\项目2\GPT\第一轮
核查依据：分析说明.md复现段；原生产脚本；strict_repro_20260922核验记录；维护核查记录
核查方式：原件审读、现有独立核验复查及本轮定向检查
问题编号：GPT-1-D5
评测方补做：仅用于核验，不计作原AI完成</t>
      </text>
    </comment>
    <comment ref="E328" authorId="0" shapeId="0">
      <text>
        <t>评分项：E1 阅读与比较；得分 4.0/4
实际工作与缺口：先列三项发现再给月度和贡献表，比较条件可直接找到。
原件：D:\项目2\GPT\第一轮
核查依据：最终成果.xlsx；GPT1_sheet原生导出及窗口截图
核查方式：原件审读、现有独立核验复查及本轮定向检查
问题编号：GPT-1-E1
评测方补做：仅用于核验，不计作原AI完成</t>
      </text>
    </comment>
    <comment ref="E329" authorId="0" shapeId="0">
      <text>
        <t>评分项：E2 画面与交互；得分 3.0/3
实际工作与缺口：本轮原生窗口与导出查看总览、月度页，标题和主要图表可辨，无确认的叠字。
原件：D:\项目2\GPT\第一轮
核查依据：最终成果.xlsx；GPT1_sheet原生导出及窗口截图
核查方式：原件审读、现有独立核验复查及本轮定向检查
问题编号：GPT-1-E2
评测方补做：仅用于核验，不计作原AI完成</t>
      </text>
    </comment>
    <comment ref="E330" authorId="0" shapeId="0">
      <text>
        <t>评分项：E3 文件一致与完成声明；得分 3.0/3
实际工作与缺口：说明、主要表值和公式一致，未将未做的桌面检查写成已完成。
原件：D:\项目2\GPT\第一轮
核查依据：最终成果.xlsx；GPT1_sheet原生导出及窗口截图
核查方式：原件审读、现有独立核验复查及本轮定向检查
问题编号：GPT-1-E3
评测方补做：仅用于核验，不计作原AI完成</t>
      </text>
    </comment>
    <comment ref="E331" authorId="0" shapeId="0">
      <text>
        <t>评分项：F1 原运行独立性；得分 3.0/3
实际工作与缺口：原运行独立完成，没有持续续跑或他者收尾记录。
原件：D:\项目2\GPT\第一轮
核查依据：evaluation_run_metrics；evaluation_action；autonomy_repairs正式记录
核查方式：原件审读、现有独立核验复查及本轮定向检查
问题编号：GPT-1-F1
评测方补做：仅用于核验，不计作原AI完成</t>
      </text>
    </comment>
    <comment ref="E332" authorId="0" shapeId="0">
      <text>
        <t>评分项：F2 交后修正负担；得分 3.0/3
实际工作与缺口：已核主要发现无需用户改写数字或解释，保留正常阅读核查。
原件：D:\项目2\GPT\第一轮
核查依据：evaluation_run_metrics；evaluation_action；autonomy_repairs正式记录
核查方式：原件审读、现有独立核验复查及本轮定向检查
问题编号：GPT-1-F2
评测方补做：仅用于核验，不计作原AI完成</t>
      </text>
    </comment>
    <comment ref="E333" authorId="0" shapeId="0">
      <text>
        <t>评分项：F3 失败处理；得分 2.0/2
实际工作与缺口：发生工具错误后完成替代处理和核验，未形成重复失败回路。
原件：D:\项目2\GPT\第一轮
核查依据：evaluation_run_metrics；evaluation_action；autonomy_repairs正式记录
核查方式：原件审读、现有独立核验复查及本轮定向检查
问题编号：GPT-1-F3
评测方补做：仅用于核验，不计作原AI完成</t>
      </text>
    </comment>
    <comment ref="E334" authorId="0" shapeId="0">
      <text>
        <t>评分项：F4 资源使用；得分 2.0/2
实际工作与缺口：复用中间汇总完成看板，记录中未确认与任务无关的昂贵分支。
原件：D:\项目2\GPT\第一轮
核查依据：evaluation_run_metrics；evaluation_action；autonomy_repairs正式记录
核查方式：原件审读、现有独立核验复查及本轮定向检查
问题编号：GPT-1-F4
评测方补做：仅用于核验，不计作原AI完成</t>
      </text>
    </comment>
    <comment ref="E335" authorId="0" shapeId="0">
      <text>
        <t>评分项：A1 粒度与语义；得分 4.0/4
实际工作与缺口：请求、原始地址值、类别和渠道所指对象清楚，未把地址数当事件数。
原件：D:\项目2\GPT\第二轮
核查依据：分析说明.md；数据质量工作表
核查方式：原件审读、现有独立核验复查及本轮定向检查
问题编号：GPT-2-A1
评测方补做：仅用于核验，不计作原AI完成</t>
      </text>
    </comment>
    <comment ref="E336" authorId="0" shapeId="0">
      <text>
        <t>评分项：A2 数据质量判断；得分 4.0/4
实际工作与缺口：全量哈希、44字段、主键、日期与状态矛盾均检查，按用途决定是否进入口径。
原件：D:\项目2\GPT\第二轮
核查依据：分析说明.md；数据质量工作表
核查方式：原件审读、现有独立核验复查及本轮定向检查
问题编号：GPT-2-A2
评测方补做：仅用于核验，不计作原AI完成</t>
      </text>
    </comment>
    <comment ref="E337" authorId="0" shapeId="0">
      <text>
        <t>评分项：A3 问题可回答性；得分 3.0/3
实际工作与缺口：围绕增长来源、尖峰和渠道构成提出可回答问题。
原件：D:\项目2\GPT\第二轮
核查依据：分析说明.md；数据质量工作表
核查方式：原件审读、现有独立核验复查及本轮定向检查
问题编号：GPT-2-A3
评测方补做：仅用于核验，不计作原AI完成</t>
      </text>
    </comment>
    <comment ref="E338" authorId="0" shapeId="0">
      <text>
        <t>评分项：A4 问题优先级；得分 4.0/4
实际工作与缺口：从增长拆解进一步选择道路、雪冰和ONLINE，三条主线都有新增核查。
原件：D:\项目2\GPT\第二轮
核查依据：分析说明.md；数据质量工作表
核查方式：原件审读、现有独立核验复查及本轮定向检查
问题编号：GPT-2-A4
评测方补做：仅用于核验，不计作原AI完成</t>
      </text>
    </comment>
    <comment ref="E339" authorId="0" shapeId="0">
      <text>
        <t>评分项：B1 数字与口径；得分 6.0/6
实际工作与缺口：同窗增量287342、雪冰前五日32819、固定构成49.30%等主要值均有独立核对。
原件：D:\项目2\GPT\第二轮
核查依据：分析说明.md；evaluation_numeric_check.json对应AI正式版本；maintenance_query_results.json
核查方式：原件审读、现有独立核验复查及本轮定向检查
问题编号：GPT-2-B1
评测方补做：仅用于核验，不计作原AI完成</t>
      </text>
    </comment>
    <comment ref="E340" authorId="0" shapeId="0">
      <text>
        <t>评分项：B2 可比性；得分 5.0/5
实际工作与缺口：等长同比与单侧删除压力测试明确区分，固定构成使用共同单元并给覆盖率。
原件：D:\项目2\GPT\第二轮
核查依据：分析说明.md；evaluation_numeric_check.json对应AI正式版本；maintenance_query_results.json
核查方式：原件审读、现有独立核验复查及本轮定向检查
问题编号：GPT-2-B2
评测方补做：仅用于核验，不计作原AI完成</t>
      </text>
    </comment>
    <comment ref="E341" authorId="0" shapeId="0">
      <text>
        <t>评分项：B3 来源链；得分 5.0/5
实际工作与缺口：每项主要发现对应CSV、保存的SQL和可回查记录键。
原件：D:\项目2\GPT\第二轮
核查依据：分析说明.md；evaluation_numeric_check.json对应AI正式版本；maintenance_query_results.json
核查方式：原件审读、现有独立核验复查及本轮定向检查
问题编号：GPT-2-B3
评测方补做：仅用于核验，不计作原AI完成</t>
      </text>
    </comment>
    <comment ref="E342" authorId="0" shapeId="0">
      <text>
        <t>评分项：B4 解释成立；得分 4.0/4
实际工作与缺口：ONLINE构成变化只解释记录结构，未据此宣称个人迁移或天气因果。
原件：D:\项目2\GPT\第二轮
核查依据：分析说明.md；evaluation_numeric_check.json对应AI正式版本；maintenance_query_results.json
核查方式：原件审读、现有独立核验复查及本轮定向检查
问题编号：GPT-2-B4
评测方补做：仅用于核验，不计作原AI完成</t>
      </text>
    </comment>
    <comment ref="E343" authorId="0" shapeId="0">
      <text>
        <t>评分项：C1 差异分解；得分 4.0/4
实际工作与缺口：类别、地区、月份及渠道拆分均与总量核对。
原件：D:\项目2\GPT\第二轮
核查依据：分析说明.md主要发现；原分析SQL与汇总
核查方式：原件审读、现有独立核验复查及本轮定向检查
问题编号：GPT-2-C1
评测方补做：仅用于核验，不计作原AI完成</t>
      </text>
    </comment>
    <comment ref="E344" authorId="0" shapeId="0">
      <text>
        <t>评分项：C2 下钻调查；得分 4.0/4
实际工作与缺口：核查坑洞描述、峰日原记录、Snow Tracking及类别变化。
原件：D:\项目2\GPT\第二轮
核查依据：分析说明.md主要发现；原分析SQL与汇总
核查方式：原件审读、现有独立核验复查及本轮定向检查
问题编号：GPT-2-C2
评测方补做：仅用于核验，不计作原AI完成</t>
      </text>
    </comment>
    <comment ref="E345" authorId="0" shapeId="0">
      <text>
        <t>评分项：C3 稳健性与替代解释；得分 5.0/5
实际工作与缺口：做尖峰删除、描述排除、4—8月比较和固定构成，多种核查直接检验核心解释。
原件：D:\项目2\GPT\第二轮
核查依据：分析说明.md主要发现；原分析SQL与汇总
核查方式：原件审读、现有独立核验复查及本轮定向检查
问题编号：GPT-2-C3
评测方补做：仅用于核验，不计作原AI完成</t>
      </text>
    </comment>
    <comment ref="E346" authorId="0" shapeId="0">
      <text>
        <t>评分项：C4 据证据修正；得分 4.0/4
实际工作与缺口：保留单侧压力测试与等长同比的差别，核查后没有把未证实的原因升级为事实。
原件：D:\项目2\GPT\第二轮
核查依据：分析说明.md主要发现；原分析SQL与汇总
核查方式：原件审读、现有独立核验复查及本轮定向检查
问题编号：GPT-2-C4
评测方补做：仅用于核验，不计作原AI完成</t>
      </text>
    </comment>
    <comment ref="E347" authorId="0" shapeId="0">
      <text>
        <t>评分项：C5 范围与停止；得分 3.0/3
实际工作与缺口：放弃不可靠绩效排名和未经映射的类别合并，三条调查有明确范围。
原件：D:\项目2\GPT\第二轮
核查依据：分析说明.md主要发现；原分析SQL与汇总
核查方式：原件审读、现有独立核验复查及本轮定向检查
问题编号：GPT-2-C5
评测方补做：仅用于核验，不计作原AI完成</t>
      </text>
    </comment>
    <comment ref="E348" authorId="0" shapeId="0">
      <text>
        <t>评分项：D1 阅读入口与步骤；得分 4.0/4
实际工作与缺口：六步顺序、依赖、文件职责、查看入口及刷新后的文字检查均写明。
原件：D:\项目2\GPT\第二轮
核查依据：分析说明.md复现段；原生产脚本；strict_repro_20260922核验记录；维护核查记录
核查方式：原件审读、现有独立核验复查及本轮定向检查
问题编号：GPT-2-D1
评测方补做：仅用于核验，不计作原AI完成</t>
      </text>
    </comment>
    <comment ref="E349" authorId="0" shapeId="0">
      <text>
        <t>评分项：D2 过程可理解；得分 6.0/6
实际工作与缺口：清洗选择、共同单元、权重、分母和计算文件对应清楚，可按步骤追踪。
原件：D:\项目2\GPT\第二轮
核查依据：分析说明.md复现段；原生产脚本；strict_repro_20260922核验记录；维护核查记录
核查方式：原件审读、现有独立核验复查及本轮定向检查
问题编号：GPT-2-D2
评测方补做：仅用于核验，不计作原AI完成</t>
      </text>
    </comment>
    <comment ref="E350" authorId="0" shapeId="0">
      <text>
        <t>评分项：D3 结果可重做；得分 6.0/6
实际工作与缺口：既有六步重建和本轮主要数值核对成立；隔离运行原deep_checks脚本成功。
原件：D:\项目2\GPT\第二轮
核查依据：分析说明.md复现段；原生产脚本；strict_repro_20260922核验记录；维护核查记录
核查方式：原件审读、现有独立核验复查及本轮定向检查
问题编号：GPT-2-D3
评测方补做：仅用于核验，不计作原AI完成</t>
      </text>
    </comment>
    <comment ref="E351" authorId="0" shapeId="0">
      <text>
        <t>评分项：D4 更新与错误定位；得分 4.5/6
实际工作与缺口：1—7月演练须同时改两个日期上界和月份筛选，后续生成与正文仍需分别核对，缺少集中参数及完整影响表。
原件：D:\项目2\GPT\第二轮
核查依据：分析说明.md复现段；原生产脚本；strict_repro_20260922核验记录；维护核查记录
核查方式：原件审读、现有独立核验复查及本轮定向检查
问题编号：GPT-2-D4
评测方补做：仅用于核验，不计作原AI完成</t>
      </text>
    </comment>
    <comment ref="E352" authorId="0" shapeId="0">
      <text>
        <t>评分项：D5 原AI的成品检查；得分 3.0/3
实际工作与缺口：原运行打开Excel复算7391公式，检查两个图表并查看七页导出，记录对应最终对象。
原件：D:\项目2\GPT\第二轮
核查依据：分析说明.md复现段；原生产脚本；strict_repro_20260922核验记录；维护核查记录
核查方式：原件审读、现有独立核验复查及本轮定向检查
问题编号：GPT-2-D5
评测方补做：仅用于核验，不计作原AI完成</t>
      </text>
    </comment>
    <comment ref="E353" authorId="0" shapeId="0">
      <text>
        <t>评分项：E1 阅读与比较；得分 4.0/4
实际工作与缺口：总览回答三条主线，明细表、来源和标准化公式可继续查证。
原件：D:\项目2\GPT\第二轮
核查依据：最终成果.xlsx；GPT2_sheet原生导出及窗口截图
核查方式：原件审读、现有独立核验复查及本轮定向检查
问题编号：GPT-2-E1
评测方补做：仅用于核验，不计作原AI完成</t>
      </text>
    </comment>
    <comment ref="E354" authorId="0" shapeId="0">
      <text>
        <t>评分项：E2 画面与交互；得分 3.0/3
实际工作与缺口：原生总览及原运行七页检查支持可读性；本轮未将自定导出范围造成的图边裁切扣分。
原件：D:\项目2\GPT\第二轮
核查依据：最终成果.xlsx；GPT2_sheet原生导出及窗口截图
核查方式：原件审读、现有独立核验复查及本轮定向检查
问题编号：GPT-2-E2
评测方补做：仅用于核验，不计作原AI完成</t>
      </text>
    </comment>
    <comment ref="E355" authorId="0" shapeId="0">
      <text>
        <t>评分项：E3 文件一致与完成声明；得分 3.0/3
实际工作与缺口：分析说明与工作簿主要结果相符，说明汇总刷新与文字维护的边界。
原件：D:\项目2\GPT\第二轮
核查依据：最终成果.xlsx；GPT2_sheet原生导出及窗口截图
核查方式：原件审读、现有独立核验复查及本轮定向检查
问题编号：GPT-2-E3
评测方补做：仅用于核验，不计作原AI完成</t>
      </text>
    </comment>
    <comment ref="E356" authorId="0" shapeId="0">
      <text>
        <t>评分项：F1 原运行独立性；得分 3.0/3
实际工作与缺口：原运行从数据检查到交付独立完成，没有人工接管。
原件：D:\项目2\GPT\第二轮
核查依据：evaluation_run_metrics；evaluation_action；autonomy_repairs正式记录
核查方式：原件审读、现有独立核验复查及本轮定向检查
问题编号：GPT-2-F1
评测方补做：仅用于核验，不计作原AI完成</t>
      </text>
    </comment>
    <comment ref="E357" authorId="0" shapeId="0">
      <text>
        <t>评分项：F2 交后修正负担；得分 3.0/3
实际工作与缺口：已核主要结论无实质修正任务；更新口径时仍须按说明复核静态文字。
原件：D:\项目2\GPT\第二轮
核查依据：evaluation_run_metrics；evaluation_action；autonomy_repairs正式记录
核查方式：原件审读、现有独立核验复查及本轮定向检查
问题编号：GPT-2-F2
评测方补做：仅用于核验，不计作原AI完成</t>
      </text>
    </comment>
    <comment ref="E358" authorId="0" shapeId="0">
      <text>
        <t>评分项：F3 失败处理；得分 2.0/2
实际工作与缺口：少量语法和命令包装失败后调整完成，未反复陷入同类无效操作。
原件：D:\项目2\GPT\第二轮
核查依据：evaluation_run_metrics；evaluation_action；autonomy_repairs正式记录
核查方式：原件审读、现有独立核验复查及本轮定向检查
问题编号：GPT-2-F3
评测方补做：仅用于核验，不计作原AI完成</t>
      </text>
    </comment>
    <comment ref="E359" authorId="0" shapeId="0">
      <text>
        <t>评分项：F4 资源使用；得分 2.0/2
实际工作与缺口：用已生成的维度汇总做敏感性与标准化，未因API单价较高直接扣分。
原件：D:\项目2\GPT\第二轮
核查依据：evaluation_run_metrics；evaluation_action；autonomy_repairs正式记录
核查方式：原件审读、现有独立核验复查及本轮定向检查
问题编号：GPT-2-F4
评测方补做：仅用于核验，不计作原AI完成</t>
      </text>
    </comment>
    <comment ref="E360" authorId="0" shapeId="0">
      <text>
        <t>评分项：A1 粒度与语义；得分 4.0/4
实际工作与缺口：主键、请求、关闭状态和时间单位有清楚定义。
原件：D:\项目2\Grok\第一轮
核查依据：分析说明.md；数据质量工作表
核查方式：原件审读、现有独立核验复查及本轮定向检查
问题编号：Grok-1-A1
评测方补做：仅用于核验，不计作原AI完成</t>
      </text>
    </comment>
    <comment ref="E361" authorId="0" shapeId="0">
      <text>
        <t>评分项：A2 数据质量判断；得分 4.0/4
实际工作与缺口：检查1877条负时长、缺失关闭时间及残缺月份，区分状态与日期。
原件：D:\项目2\Grok\第一轮
核查依据：分析说明.md；数据质量工作表
核查方式：原件审读、现有独立核验复查及本轮定向检查
问题编号：Grok-1-A2
评测方补做：仅用于核验，不计作原AI完成</t>
      </text>
    </comment>
    <comment ref="E362" authorId="0" shapeId="0">
      <text>
        <t>评分项：A3 问题可回答性；得分 3.0/3
实际工作与缺口：聚焦增量、冬季结构和结案差异，并保留不能据此判断绩效的限制。
原件：D:\项目2\Grok\第一轮
核查依据：分析说明.md；数据质量工作表
核查方式：原件审读、现有独立核验复查及本轮定向检查
问题编号：Grok-1-A3
评测方补做：仅用于核验，不计作原AI完成</t>
      </text>
    </comment>
    <comment ref="E363" authorId="0" shapeId="0">
      <text>
        <t>评分项：A4 问题优先级；得分 4.0/4
实际工作与缺口：从11个月增长定位类别、冬季与尖峰，调查方向有计数支持。
原件：D:\项目2\Grok\第一轮
核查依据：分析说明.md；数据质量工作表
核查方式：原件审读、现有独立核验复查及本轮定向检查
问题编号：Grok-1-A4
评测方补做：仅用于核验，不计作原AI完成</t>
      </text>
    </comment>
    <comment ref="E364" authorId="0" shapeId="0">
      <text>
        <t>评分项：B1 数字与口径；得分 6.0/6
实际工作与缺口：两期3293003与3639698、尖峰22805及主要类别值核对成立。
原件：D:\项目2\Grok\第一轮
核查依据：分析说明.md；evaluation_numeric_check.json对应AI正式版本；maintenance_query_results.json
核查方式：原件审读、现有独立核验复查及本轮定向检查
问题编号：Grok-1-B1
评测方补做：仅用于核验，不计作原AI完成</t>
      </text>
    </comment>
    <comment ref="E365" authorId="0" shapeId="0">
      <text>
        <t>评分项：B2 可比性；得分 5.0/5
实际工作与缺口：采用同月11个月，时长只用Closed且非负记录，未把跨机构差异直接当效率。
原件：D:\项目2\Grok\第一轮
核查依据：分析说明.md；evaluation_numeric_check.json对应AI正式版本；maintenance_query_results.json
核查方式：原件审读、现有独立核验复查及本轮定向检查
问题编号：Grok-1-B2
评测方补做：仅用于核验，不计作原AI完成</t>
      </text>
    </comment>
    <comment ref="E366" authorId="0" shapeId="0">
      <text>
        <t>评分项：B3 来源链；得分 5.0/5
实际工作与缺口：三段分析与汇总、Excel表及说明能互相定位。
原件：D:\项目2\Grok\第一轮
核查依据：分析说明.md；evaluation_numeric_check.json对应AI正式版本；maintenance_query_results.json
核查方式：原件审读、现有独立核验复查及本轮定向检查
问题编号：Grok-1-B3
评测方补做：仅用于核验，不计作原AI完成</t>
      </text>
    </comment>
    <comment ref="E367" authorId="0" shapeId="0">
      <text>
        <t>评分项：B4 解释成立；得分 3.0/4
实际工作与缺口：多数推断有标记，但把新增类别承接旧类别说得过于确定。
原件：D:\项目2\Grok\第一轮
核查依据：分析说明.md；evaluation_numeric_check.json对应AI正式版本；maintenance_query_results.json
核查方式：原件审读、现有独立核验复查及本轮定向检查
问题编号：Grok-1-B4
评测方补做：仅用于核验，不计作原AI完成</t>
      </text>
    </comment>
    <comment ref="E368" authorId="0" shapeId="0">
      <text>
        <t>评分项：C1 差异分解；得分 4.0/4
实际工作与缺口：拆解净增346695到主要类型、机构及区域。
原件：D:\项目2\Grok\第一轮
核查依据：分析说明.md主要发现；原分析SQL与汇总
核查方式：原件审读、现有独立核验复查及本轮定向检查
问题编号：Grok-1-C1
评测方补做：仅用于核验，不计作原AI完成</t>
      </text>
    </comment>
    <comment ref="E369" authorId="0" shapeId="0">
      <text>
        <t>评分项：C2 下钻调查；得分 3.0/4
实际工作与缺口：查到2月24日尖峰和冬季结构，Street Condition未再展开描述层。
原件：D:\项目2\Grok\第一轮
核查依据：分析说明.md主要发现；原分析SQL与汇总
核查方式：原件审读、现有独立核验复查及本轮定向检查
问题编号：Grok-1-C2
评测方补做：仅用于核验，不计作原AI完成</t>
      </text>
    </comment>
    <comment ref="E370" authorId="0" shapeId="0">
      <text>
        <t>评分项：C3 稳健性与替代解释；得分 2.5/5
实际工作与缺口：有跨月与类别对照，缺少剔除高峰或固定构成后的稳定性检查。
原件：D:\项目2\Grok\第一轮
核查依据：分析说明.md主要发现；原分析SQL与汇总
核查方式：原件审读、现有独立核验复查及本轮定向检查
问题编号：Grok-1-C3
评测方补做：仅用于核验，不计作原AI完成</t>
      </text>
    </comment>
    <comment ref="E371" authorId="0" shapeId="0">
      <text>
        <t>评分项：C4 据证据修正；得分 4.0/4
实际工作与缺口：原运行发现地区比例差异后修改并重建，数值修正进入成品。
原件：D:\项目2\Grok\第一轮
核查依据：分析说明.md主要发现；原分析SQL与汇总
核查方式：原件审读、现有独立核验复查及本轮定向检查
问题编号：Grok-1-C4
评测方补做：仅用于核验，不计作原AI完成</t>
      </text>
    </comment>
    <comment ref="E372" authorId="0" shapeId="0">
      <text>
        <t>评分项：C5 范围与停止；得分 2.25/3
实际工作与缺口：大部分弱方向被限制，但未核定的新旧分类承接判断仍保留。
原件：D:\项目2\Grok\第一轮
核查依据：分析说明.md主要发现；原分析SQL与汇总
核查方式：原件审读、现有独立核验复查及本轮定向检查
问题编号：Grok-1-C5
评测方补做：仅用于核验，不计作原AI完成</t>
      </text>
    </comment>
    <comment ref="E373" authorId="0" shapeId="0">
      <text>
        <t>评分项：D1 阅读入口与步骤；得分 2.0/4
实际工作与缺口：有三脚本顺序，环境依赖、首次配置和预期中间文件交代不全。
原件：D:\项目2\Grok\第一轮
核查依据：分析说明.md复现段；原生产脚本；strict_repro_20260922核验记录；维护核查记录
核查方式：原件审读、现有独立核验复查及本轮定向检查
问题编号：Grok-1-D1
评测方补做：仅用于核验，不计作原AI完成</t>
      </text>
    </comment>
    <comment ref="E374" authorId="0" shapeId="0">
      <text>
        <t>评分项：D2 过程可理解；得分 4.5/6
实际工作与缺口：时间窗和主要筛选可理解，汇总生成与说明更新的对应关系较简略。
原件：D:\项目2\Grok\第一轮
核查依据：分析说明.md复现段；原生产脚本；strict_repro_20260922核验记录；维护核查记录
核查方式：原件审读、现有独立核验复查及本轮定向检查
问题编号：Grok-1-D2
评测方补做：仅用于核验，不计作原AI完成</t>
      </text>
    </comment>
    <comment ref="E375" authorId="0" shapeId="0">
      <text>
        <t>评分项：D3 结果可重做；得分 6.0/6
实际工作与缺口：既有重建三脚本运行完成，输出路径回原目录属于配置问题；本轮重核同比总量。
原件：D:\项目2\Grok\第一轮
核查依据：分析说明.md复现段；原生产脚本；strict_repro_20260922核验记录；维护核查记录
核查方式：原件审读、现有独立核验复查及本轮定向检查
问题编号：Grok-1-D3
评测方补做：仅用于核验，不计作原AI完成</t>
      </text>
    </comment>
    <comment ref="E376" authorId="0" shapeId="0">
      <text>
        <t>评分项：D4 更新与错误定位；得分 3.0/6
实际工作与缺口：输入输出目录及文字分布在多个脚本，变更后要查哪些表和说明未明确。
原件：D:\项目2\Grok\第一轮
核查依据：分析说明.md复现段；原生产脚本；strict_repro_20260922核验记录；维护核查记录
核查方式：原件审读、现有独立核验复查及本轮定向检查
问题编号：Grok-1-D4
评测方补做：仅用于核验，不计作原AI完成</t>
      </text>
    </comment>
    <comment ref="E377" authorId="0" shapeId="0">
      <text>
        <t>评分项：D5 原AI的成品检查；得分 1.5/3
实际工作与缺口：有保存后读取及修正，最后一次重建后未留下再次读回最终对象的记录。
原件：D:\项目2\Grok\第一轮
核查依据：分析说明.md复现段；原生产脚本；strict_repro_20260922核验记录；维护核查记录
核查方式：原件审读、现有独立核验复查及本轮定向检查
问题编号：Grok-1-D5
评测方补做：仅用于核验，不计作原AI完成</t>
      </text>
    </comment>
    <comment ref="E378" authorId="0" shapeId="0">
      <text>
        <t>评分项：E1 阅读与比较；得分 4.0/4
实际工作与缺口：导读、核心发现、月度、同比和时长分开，表中比较条件可找到。
原件：D:\项目2\Grok\第一轮
核查依据：最终成果.xlsx；Grok1_sheet原生导出及窗口截图
核查方式：原件审读、现有独立核验复查及本轮定向检查
问题编号：Grok-1-E1
评测方补做：仅用于核验，不计作原AI完成</t>
      </text>
    </comment>
    <comment ref="E379" authorId="0" shapeId="0">
      <text>
        <t>评分项：E2 画面与交互；得分 1.5/3
实际工作与缺口：原生月度图按日期列出多项图例，坐标阅读不清；明细表仍可用，长备注存在截断。
原件：D:\项目2\Grok\第一轮
核查依据：最终成果.xlsx；Grok1_sheet原生导出及窗口截图
核查方式：原件审读、现有独立核验复查及本轮定向检查
问题编号：Grok-1-E2
评测方补做：仅用于核验，不计作原AI完成</t>
      </text>
    </comment>
    <comment ref="E380" authorId="0" shapeId="0">
      <text>
        <t>评分项：E3 文件一致与完成声明；得分 3.0/3
实际工作与缺口：主要说明与表值一致，没有确认成品缺失或错误完成状态。
原件：D:\项目2\Grok\第一轮
核查依据：最终成果.xlsx；Grok1_sheet原生导出及窗口截图
核查方式：原件审读、现有独立核验复查及本轮定向检查
问题编号：Grok-1-E3
评测方补做：仅用于核验，不计作原AI完成</t>
      </text>
    </comment>
    <comment ref="E381" authorId="0" shapeId="0">
      <text>
        <t>评分项：F1 原运行独立性；得分 3.0/3
实际工作与缺口：独立完成分析和保存，未发现人工持续纠偏。
原件：D:\项目2\Grok\第一轮
核查依据：evaluation_run_metrics；evaluation_action；autonomy_repairs正式记录
核查方式：原件审读、现有独立核验复查及本轮定向检查
问题编号：Grok-1-F1
评测方补做：仅用于核验，不计作原AI完成</t>
      </text>
    </comment>
    <comment ref="E382" authorId="0" shapeId="0">
      <text>
        <t>评分项：F2 交后修正负担；得分 2.25/3
实际工作与缺口：交付后仍需补做最终重建对象的检查及分类解释修订。
原件：D:\项目2\Grok\第一轮
核查依据：evaluation_run_metrics；evaluation_action；autonomy_repairs正式记录
核查方式：原件审读、现有独立核验复查及本轮定向检查
问题编号：Grok-1-F2
评测方补做：仅用于核验，不计作原AI完成</t>
      </text>
    </comment>
    <comment ref="E383" authorId="0" shapeId="0">
      <text>
        <t>评分项：F3 失败处理；得分 2.0/2
实际工作与缺口：工具错误得到处理，未确认无新信息的重复失败。
原件：D:\项目2\Grok\第一轮
核查依据：evaluation_run_metrics；evaluation_action；autonomy_repairs正式记录
核查方式：原件审读、现有独立核验复查及本轮定向检查
问题编号：Grok-1-F3
评测方补做：仅用于核验，不计作原AI完成</t>
      </text>
    </comment>
    <comment ref="E384" authorId="0" shapeId="0">
      <text>
        <t>评分项：F4 资源使用；得分 2.0/2
实际工作与缺口：路线集中，复用中间结果，没有按动作数量或订阅缺账单扣分。
原件：D:\项目2\Grok\第一轮
核查依据：evaluation_run_metrics；evaluation_action；autonomy_repairs正式记录
核查方式：原件审读、现有独立核验复查及本轮定向检查
问题编号：Grok-1-F4
评测方补做：仅用于核验，不计作原AI完成</t>
      </text>
    </comment>
    <comment ref="E385" authorId="0" shapeId="0">
      <text>
        <t>评分项：A1 粒度与语义；得分 3.0/4
实际工作与缺口：请求与事件区分清楚；供暖Q3把BBL地块称为楼宇，单位标签需修正。
原件：D:\项目2\Grok\第二轮
核查依据：分析说明.md；数据质量工作表
核查方式：原件审读、现有独立核验复查及本轮定向检查
问题编号：Grok-2-A1
评测方补做：仅用于核验，不计作原AI完成</t>
      </text>
    </comment>
    <comment ref="E386" authorId="0" shapeId="0">
      <text>
        <t>评分项：A2 数据质量判断；得分 3.0/4
实际工作与缺口：处理负时长与删失，但用未来关闭日期推断导出晚于创建窗口，时间异常判断不足。
原件：D:\项目2\Grok\第二轮
核查依据：分析说明.md；数据质量工作表
核查方式：原件审读、现有独立核验复查及本轮定向检查
问题编号：Grok-2-A2
评测方补做：仅用于核验，不计作原AI完成</t>
      </text>
    </comment>
    <comment ref="E387" authorId="0" shapeId="0">
      <text>
        <t>评分项：A3 问题可回答性；得分 3.0/3
实际工作与缺口：五个问题可由给定记录推进，未要求外部人口或绩效指标。
原件：D:\项目2\Grok\第二轮
核查依据：分析说明.md；数据质量工作表
核查方式：原件审读、现有独立核验复查及本轮定向检查
问题编号：Grok-2-A3
评测方补做：仅用于核验，不计作原AI完成</t>
      </text>
    </comment>
    <comment ref="E388" authorId="0" shapeId="0">
      <text>
        <t>评分项：A4 问题优先级；得分 4.0/4
实际工作与缺口：净增、UNKNOWN坑洞、供暖、关闭与分类切换由具体异常引出。
原件：D:\项目2\Grok\第二轮
核查依据：分析说明.md；数据质量工作表
核查方式：原件审读、现有独立核验复查及本轮定向检查
问题编号：Grok-2-A4
评测方补做：仅用于核验，不计作原AI完成</t>
      </text>
    </comment>
    <comment ref="E389" authorId="0" shapeId="0">
      <text>
        <t>评分项：B1 数字与口径；得分 6.0/6
实际工作与缺口：净增346695、16高峰日51948、供暖重复文案103200等核对成立。
原件：D:\项目2\Grok\第二轮
核查依据：分析说明.md；evaluation_numeric_check.json对应AI正式版本；maintenance_query_results.json
核查方式：原件审读、现有独立核验复查及本轮定向检查
问题编号：Grok-2-B1
评测方补做：仅用于核验，不计作原AI完成</t>
      </text>
    </comment>
    <comment ref="E390" authorId="0" shapeId="0">
      <text>
        <t>评分项：B2 可比性；得分 5.0/5
实际工作与缺口：同窗比较、成熟队列及剔除Top10 BBL提供可比对照。
原件：D:\项目2\Grok\第二轮
核查依据：分析说明.md；evaluation_numeric_check.json对应AI正式版本；maintenance_query_results.json
核查方式：原件审读、现有独立核验复查及本轮定向检查
问题编号：Grok-2-B2
评测方补做：仅用于核验，不计作原AI完成</t>
      </text>
    </comment>
    <comment ref="E391" authorId="0" shapeId="0">
      <text>
        <t>评分项：B3 来源链；得分 5.0/5
实际工作与缺口：单脚本生成中间表和工作簿，各发现列出对应工作表与CSV。
原件：D:\项目2\Grok\第二轮
核查依据：分析说明.md；evaluation_numeric_check.json对应AI正式版本；maintenance_query_results.json
核查方式：原件审读、现有独立核验复查及本轮定向检查
问题编号：Grok-2-B3
评测方补做：仅用于核验，不计作原AI完成</t>
      </text>
    </comment>
    <comment ref="E392" authorId="0" shapeId="0">
      <text>
        <t>评分项：B4 解释成立；得分 3.0/4
实际工作与缺口：机制大多标为未验证，但BBL楼宇解释与导出时点推断超过已知语义。
原件：D:\项目2\Grok\第二轮
核查依据：分析说明.md；evaluation_numeric_check.json对应AI正式版本；maintenance_query_results.json
核查方式：原件审读、现有独立核验复查及本轮定向检查
问题编号：Grok-2-B4
评测方补做：仅用于核验，不计作原AI完成</t>
      </text>
    </comment>
    <comment ref="E393" authorId="0" shapeId="0">
      <text>
        <t>评分项：C1 差异分解；得分 4.0/4
实际工作与缺口：互斥桶拆分全部净增，额外区分UNKNOWN坑洞与其他道路记录。
原件：D:\项目2\Grok\第二轮
核查依据：分析说明.md主要发现；原分析SQL与汇总
核查方式：原件审读、现有独立核验复查及本轮定向检查
问题编号：Grok-2-C1
评测方补做：仅用于核验，不计作原AI完成</t>
      </text>
    </comment>
    <comment ref="E394" authorId="0" shapeId="0">
      <text>
        <t>评分项：C2 下钻调查；得分 4.0/4
实际工作与缺口：追到峰日、坑洞渠道、duplicate说明、供暖BBL和分类描述。
原件：D:\项目2\Grok\第二轮
核查依据：分析说明.md主要发现；原分析SQL与汇总
核查方式：原件审读、现有独立核验复查及本轮定向检查
问题编号：Grok-2-C2
评测方补做：仅用于核验，不计作原AI完成</t>
      </text>
    </comment>
    <comment ref="E395" authorId="0" shapeId="0">
      <text>
        <t>评分项：C3 稳健性与替代解释；得分 5.0/5
实际工作与缺口：剔除雪与UNKNOWN坑洞、供暖Top10地块后重比，检验集中少数对象的解释。
原件：D:\项目2\Grok\第二轮
核查依据：分析说明.md主要发现；原分析SQL与汇总
核查方式：原件审读、现有独立核验复查及本轮定向检查
问题编号：Grok-2-C3
评测方补做：仅用于核验，不计作原AI完成</t>
      </text>
    </comment>
    <comment ref="E396" authorId="0" shapeId="0">
      <text>
        <t>评分项：C4 据证据修正；得分 4.0/4
实际工作与缺口：根据分类和关闭状态核查保留边界，未确认还存在应改未改的数值矛盾。
原件：D:\项目2\Grok\第二轮
核查依据：分析说明.md主要发现；原分析SQL与汇总
核查方式：原件审读、现有独立核验复查及本轮定向检查
问题编号：Grok-2-C4
评测方补做：仅用于核验，不计作原AI完成</t>
      </text>
    </comment>
    <comment ref="E397" authorId="0" shapeId="0">
      <text>
        <t>评分项：C5 范围与停止；得分 2.25/3
实际工作与缺口：五条主线基本收敛，未来日期推断仍应降级。
原件：D:\项目2\Grok\第二轮
核查依据：分析说明.md主要发现；原分析SQL与汇总
核查方式：原件审读、现有独立核验复查及本轮定向检查
问题编号：Grok-2-C5
评测方补做：仅用于核验，不计作原AI完成</t>
      </text>
    </comment>
    <comment ref="E398" authorId="0" shapeId="0">
      <text>
        <t>评分项：D1 阅读入口与步骤；得分 2.0/4
实际工作与缺口：说明仅列主要脚本与中间表位置，缺依赖、运行步骤和检查入口说明。
原件：D:\项目2\Grok\第二轮
核查依据：分析说明.md复现段；原生产脚本；strict_repro_20260922核验记录；维护核查记录
核查方式：原件审读、现有独立核验复查及本轮定向检查
问题编号：Grok-2-D1
评测方补做：仅用于核验，不计作原AI完成</t>
      </text>
    </comment>
    <comment ref="E399" authorId="0" shapeId="0">
      <text>
        <t>评分项：D2 过程可理解；得分 4.5/6
实际工作与缺口：主要SQL有口径注释，工作簿导读清楚；如何更新多处静态摘要未交代。
原件：D:\项目2\Grok\第二轮
核查依据：分析说明.md复现段；原生产脚本；strict_repro_20260922核验记录；维护核查记录
核查方式：原件审读、现有独立核验复查及本轮定向检查
问题编号：Grok-2-D2
评测方补做：仅用于核验，不计作原AI完成</t>
      </text>
    </comment>
    <comment ref="E400" authorId="0" shapeId="0">
      <text>
        <t>评分项：D3 结果可重做；得分 6.0/6
实际工作与缺口：原构建及qa脚本既有重建执行成功，主要汇总可从冻结输入重做。
原件：D:\项目2\Grok\第二轮
核查依据：分析说明.md复现段；原生产脚本；strict_repro_20260922核验记录；维护核查记录
核查方式：原件审读、现有独立核验复查及本轮定向检查
问题编号：Grok-2-D3
评测方补做：仅用于核验，不计作原AI完成</t>
      </text>
    </comment>
    <comment ref="E401" authorId="0" shapeId="0">
      <text>
        <t>评分项：D4 更新与错误定位；得分 3.0/6
实际工作与缺口：路径、日期及摘要常量分布于构建脚本和说明，更新影响范围缺明确指引。
原件：D:\项目2\Grok\第二轮
核查依据：分析说明.md复现段；原生产脚本；strict_repro_20260922核验记录；维护核查记录
核查方式：原件审读、现有独立核验复查及本轮定向检查
问题编号：Grok-2-D4
评测方补做：仅用于核验，不计作原AI完成</t>
      </text>
    </comment>
    <comment ref="E402" authorId="0" shapeId="0">
      <text>
        <t>评分项：D5 原AI的成品检查；得分 1.5/3
实际工作与缺口：qa重读总量和桶合计；说明文件存在断言带or True，未见最后成品完整显示检查。
原件：D:\项目2\Grok\第二轮
核查依据：分析说明.md复现段；原生产脚本；strict_repro_20260922核验记录；维护核查记录
核查方式：原件审读、现有独立核验复查及本轮定向检查
问题编号：Grok-2-D5
评测方补做：仅用于核验，不计作原AI完成</t>
      </text>
    </comment>
    <comment ref="E403" authorId="0" shapeId="0">
      <text>
        <t>评分项：E1 阅读与比较；得分 4.0/4
实际工作与缺口：先问题后证据，表和说明可定位，保留不同问题的比较范围。
原件：D:\项目2\Grok\第二轮
核查依据：最终成果.xlsx；Grok2_sheet原生导出及窗口截图
核查方式：原件审读、现有独立核验复查及本轮定向检查
问题编号：Grok-2-E1
评测方补做：仅用于核验，不计作原AI完成</t>
      </text>
    </comment>
    <comment ref="E404" authorId="0" shapeId="0">
      <text>
        <t>评分项：E2 画面与交互；得分 1.5/3
实际工作与缺口：原生月度图按日期显示多项图例、轴读数不清，需依靠下方表辨认。
原件：D:\项目2\Grok\第二轮
核查依据：最终成果.xlsx；Grok2_sheet原生导出及窗口截图
核查方式：原件审读、现有独立核验复查及本轮定向检查
问题编号：Grok-2-E2
评测方补做：仅用于核验，不计作原AI完成</t>
      </text>
    </comment>
    <comment ref="E405" authorId="0" shapeId="0">
      <text>
        <t>评分项：E3 文件一致与完成声明；得分 2.25/3
实际工作与缺口：主要数值一致，但未来日期解释及BBL标签同时进入成品，需同步修改。
原件：D:\项目2\Grok\第二轮
核查依据：最终成果.xlsx；Grok2_sheet原生导出及窗口截图
核查方式：原件审读、现有独立核验复查及本轮定向检查
问题编号：Grok-2-E3
评测方补做：仅用于核验，不计作原AI完成</t>
      </text>
    </comment>
    <comment ref="E406" authorId="0" shapeId="0">
      <text>
        <t>评分项：F1 原运行独立性；得分 3.0/3
实际工作与缺口：独立完成，记录未显示接管；Cursor未保存的计量字段继续留空。
原件：D:\项目2\Grok\第二轮
核查依据：evaluation_run_metrics；evaluation_action；autonomy_repairs正式记录
核查方式：原件审读、现有独立核验复查及本轮定向检查
问题编号：Grok-2-F1
评测方补做：仅用于核验，不计作原AI完成</t>
      </text>
    </comment>
    <comment ref="E407" authorId="0" shapeId="0">
      <text>
        <t>评分项：F2 交后修正负担；得分 2.25/3
实际工作与缺口：用户需修正地块标签、日期解释及验收中的无效存在性断言。
原件：D:\项目2\Grok\第二轮
核查依据：evaluation_run_metrics；evaluation_action；autonomy_repairs正式记录
核查方式：原件审读、现有独立核验复查及本轮定向检查
问题编号：Grok-2-F2
评测方补做：仅用于核验，不计作原AI完成</t>
      </text>
    </comment>
    <comment ref="E408" authorId="0" shapeId="0">
      <text>
        <t>评分项：F3 失败处理；得分 2.0/2
实际工作与缺口：已记录的错误均完成处理，没有确认重复失败回路。
原件：D:\项目2\Grok\第二轮
核查依据：evaluation_run_metrics；evaluation_action；autonomy_repairs正式记录
核查方式：原件审读、现有独立核验复查及本轮定向检查
问题编号：Grok-2-F3
评测方补做：仅用于核验，不计作原AI完成</t>
      </text>
    </comment>
    <comment ref="E409" authorId="0" shapeId="0">
      <text>
        <t>评分项：F4 资源使用；得分 2.0/2
实际工作与缺口：围绕五个问题复用汇总，未发现因无关任务造成的额外消耗。
原件：D:\项目2\Grok\第二轮
核查依据：evaluation_run_metrics；evaluation_action；autonomy_repairs正式记录
核查方式：原件审读、现有独立核验复查及本轮定向检查
问题编号：Grok-2-F4
评测方补做：仅用于核验，不计作原AI完成</t>
      </text>
    </comment>
    <comment ref="E410" authorId="0" shapeId="0">
      <text>
        <t>评分项：A1 粒度与语义；得分 4.0/4
实际工作与缺口：记录粒度和地址含义清楚，没有直接将单点请求数当真实事件数。
原件：D:\项目2\DeepSeek\第一轮
核查依据：分析说明.md；数据质量工作表
核查方式：原件审读、现有独立核验复查及本轮定向检查
问题编号：DeepSeek-1-A1
评测方补做：仅用于核验，不计作原AI完成</t>
      </text>
    </comment>
    <comment ref="E411" authorId="0" shapeId="0">
      <text>
        <t>评分项：A2 数据质量判断；得分 3.0/4
实际工作与缺口：检查缺失、负时长和近期删失；未来关闭日期及其时点解释仍不充分。
原件：D:\项目2\DeepSeek\第一轮
核查依据：分析说明.md；数据质量工作表
核查方式：原件审读、现有独立核验复查及本轮定向检查
问题编号：DeepSeek-1-A2
评测方补做：仅用于核验，不计作原AI完成</t>
      </text>
    </comment>
    <comment ref="E412" authorId="0" shapeId="0">
      <text>
        <t>评分项：A3 问题可回答性；得分 2.25/3
实际工作与缺口：结构分解问题成立，但机构全面未退化及天气机制判断超出检验。
原件：D:\项目2\DeepSeek\第一轮
核查依据：分析说明.md；数据质量工作表
核查方式：原件审读、现有独立核验复查及本轮定向检查
问题编号：DeepSeek-1-A3
评测方补做：仅用于核验，不计作原AI完成</t>
      </text>
    </comment>
    <comment ref="E413" authorId="0" shapeId="0">
      <text>
        <t>评分项：A4 问题优先级；得分 4.0/4
实际工作与缺口：从冬夏时长反差追到构成和单点异常，选题有数据依据。
原件：D:\项目2\DeepSeek\第一轮
核查依据：分析说明.md；数据质量工作表
核查方式：原件审读、现有独立核验复查及本轮定向检查
问题编号：DeepSeek-1-A4
评测方补做：仅用于核验，不计作原AI完成</t>
      </text>
    </comment>
    <comment ref="E414" authorId="0" shapeId="0">
      <text>
        <t>评分项：B1 数字与口径；得分 3.0/6
实际工作与缺口：供暖加街道噪音实际1000893条13.3%，被写成1533142条20.4%；异常地址低位189应为882。
原件：D:\项目2\DeepSeek\第一轮
核查依据：分析说明.md；evaluation_numeric_check.json对应AI正式版本；maintenance_query_results.json
核查方式：原件审读、现有独立核验复查及本轮定向检查
问题编号：DS1-CAT
评测方补做：仅用于核验，不计作原AI完成</t>
      </text>
    </comment>
    <comment ref="E415" authorId="0" shapeId="0">
      <text>
        <t>评分项：B2 可比性；得分 3.75/5
实际工作与缺口：固定机构和机构类别构成有价值，季节比较仍受窗口与已关闭样本选择影响。
原件：D:\项目2\DeepSeek\第一轮
核查依据：分析说明.md；evaluation_numeric_check.json对应AI正式版本；maintenance_query_results.json
核查方式：原件审读、现有独立核验复查及本轮定向检查
问题编号：DeepSeek-1-B2
评测方补做：仅用于核验，不计作原AI完成</t>
      </text>
    </comment>
    <comment ref="E416" authorId="0" shapeId="0">
      <text>
        <t>评分项：B3 来源链；得分 5.0/5
实际工作与缺口：生产链08、09、11、12及CSV可定位到统计口径，独立复算能追错。
原件：D:\项目2\DeepSeek\第一轮
核查依据：分析说明.md；evaluation_numeric_check.json对应AI正式版本；maintenance_query_results.json
核查方式：原件审读、现有独立核验复查及本轮定向检查
问题编号：DeepSeek-1-B3
评测方补做：仅用于核验，不计作原AI完成</t>
      </text>
    </comment>
    <comment ref="E417" authorId="0" shapeId="0">
      <text>
        <t>评分项：B4 解释成立；得分 2.0/4
实际工作与缺口：将构成调整推及所有机构未退化，并把天气与机构转移说得过强。
原件：D:\项目2\DeepSeek\第一轮
核查依据：分析说明.md；evaluation_numeric_check.json对应AI正式版本；maintenance_query_results.json
核查方式：原件审读、现有独立核验复查及本轮定向检查
问题编号：DS1-CAT
评测方补做：仅用于核验，不计作原AI完成</t>
      </text>
    </comment>
    <comment ref="E418" authorId="0" shapeId="0">
      <text>
        <t>评分项：C1 差异分解；得分 4.0/4
实际工作与缺口：对冬夏时长3.87倍继续作机构及细分构成分解。
原件：D:\项目2\DeepSeek\第一轮
核查依据：分析说明.md主要发现；原分析SQL与汇总
核查方式：原件审读、现有独立核验复查及本轮定向检查
问题编号：DeepSeek-1-C1
评测方补做：仅用于核验，不计作原AI完成</t>
      </text>
    </comment>
    <comment ref="E419" authorId="0" shapeId="0">
      <text>
        <t>评分项：C2 下钻调查；得分 4.0/4
实际工作与缺口：异常地址、HPD边界、街道描述和分类变动均有记录层核查。
原件：D:\项目2\DeepSeek\第一轮
核查依据：分析说明.md主要发现；原分析SQL与汇总
核查方式：原件审读、现有独立核验复查及本轮定向检查
问题编号：DeepSeek-1-C2
评测方补做：仅用于核验，不计作原AI完成</t>
      </text>
    </comment>
    <comment ref="E420" authorId="0" shapeId="0">
      <text>
        <t>评分项：C3 稳健性与替代解释；得分 5.0/5
实际工作与缺口：两种标准化将冬夏比降至约1.23和1.15，直接检验构成解释。
原件：D:\项目2\DeepSeek\第一轮
核查依据：分析说明.md主要发现；原分析SQL与汇总
核查方式：原件审读、现有独立核验复查及本轮定向检查
问题编号：DeepSeek-1-C3
评测方补做：仅用于核验，不计作原AI完成</t>
      </text>
    </comment>
    <comment ref="E421" authorId="0" shapeId="0">
      <text>
        <t>评分项：C4 据证据修正；得分 2.0/4
实际工作与缺口：已做复核但类别错配和低位计数仍进入最终主要发现，检查未落实到对应文字。
原件：D:\项目2\DeepSeek\第一轮
核查依据：分析说明.md主要发现；原分析SQL与汇总
核查方式：原件审读、现有独立核验复查及本轮定向检查
问题编号：DeepSeek-1-C4
评测方补做：仅用于核验，不计作原AI完成</t>
      </text>
    </comment>
    <comment ref="E422" authorId="0" shapeId="0">
      <text>
        <t>评分项：C5 范围与停止；得分 2.25/3
实际工作与缺口：有明确探索与生产链划分，仍保留证据不足的机构和天气解释。
原件：D:\项目2\DeepSeek\第一轮
核查依据：分析说明.md主要发现；原分析SQL与汇总
核查方式：原件审读、现有独立核验复查及本轮定向检查
问题编号：DeepSeek-1-C5
评测方补做：仅用于核验，不计作原AI完成</t>
      </text>
    </comment>
    <comment ref="E423" authorId="0" shapeId="0">
      <text>
        <t>评分项：D1 阅读入口与步骤；得分 4.0/4
实际工作与缺口：列依赖、13脚本用途，并单独说明必须执行的四步生产链。
原件：D:\项目2\DeepSeek\第一轮
核查依据：分析说明.md复现段；原生产脚本；strict_repro_20260922核验记录；维护核查记录
核查方式：原件审读、现有独立核验复查及本轮定向检查
问题编号：DeepSeek-1-D1
评测方补做：仅用于核验，不计作原AI完成</t>
      </text>
    </comment>
    <comment ref="E424" authorId="0" shapeId="0">
      <text>
        <t>评分项：D2 过程可理解；得分 4.5/6
实际工作与缺口：标准化和异常定义有说明，部分机制判断的形成仍须读探索输出推断。
原件：D:\项目2\DeepSeek\第一轮
核查依据：分析说明.md复现段；原生产脚本；strict_repro_20260922核验记录；维护核查记录
核查方式：原件审读、现有独立核验复查及本轮定向检查
问题编号：DeepSeek-1-D2
评测方补做：仅用于核验，不计作原AI完成</t>
      </text>
    </comment>
    <comment ref="E425" authorId="0" shapeId="0">
      <text>
        <t>评分项：D3 结果可重做；得分 6.0/6
实际工作与缺口：既有生产链从冻结输入执行完成，关键标准化值可复算；本轮重核类别合计。
原件：D:\项目2\DeepSeek\第一轮
核查依据：分析说明.md复现段；原生产脚本；strict_repro_20260922核验记录；维护核查记录
核查方式：原件审读、现有独立核验复查及本轮定向检查
问题编号：DeepSeek-1-D3
评测方补做：仅用于核验，不计作原AI完成</t>
      </text>
    </comment>
    <comment ref="E426" authorId="0" shapeId="0">
      <text>
        <t>评分项：D4 更新与错误定位；得分 3.0/6
实际工作与缺口：脚本与摘要字面值分散，89项校验未覆盖所有叙述，维护者需自行建立文字核对范围。
原件：D:\项目2\DeepSeek\第一轮
核查依据：分析说明.md复现段；原生产脚本；strict_repro_20260922核验记录；维护核查记录
核查方式：原件审读、现有独立核验复查及本轮定向检查
问题编号：DeepSeek-1-D4
评测方补做：仅用于核验，不计作原AI完成</t>
      </text>
    </comment>
    <comment ref="E427" authorId="0" shapeId="0">
      <text>
        <t>评分项：D5 原AI的成品检查；得分 1.5/3
实际工作与缺口：原运行有数值和结构检查，未查到真实Excel最终阅读面验收。
原件：D:\项目2\DeepSeek\第一轮
核查依据：分析说明.md复现段；原生产脚本；strict_repro_20260922核验记录；维护核查记录
核查方式：原件审读、现有独立核验复查及本轮定向检查
问题编号：DeepSeek-1-D5
评测方补做：仅用于核验，不计作原AI完成</t>
      </text>
    </comment>
    <comment ref="E428" authorId="0" shapeId="0">
      <text>
        <t>评分项：E1 阅读与比较；得分 3.0/4
实际工作与缺口：主题和回查位置齐备，但总览多处文字显示不完整，需转读说明。
原件：D:\项目2\DeepSeek\第一轮
核查依据：最终成果.xlsx；DeepSeek1_sheet原生导出及窗口截图
核查方式：原件审读、现有独立核验复查及本轮定向检查
问题编号：DeepSeek-1-E1
评测方补做：仅用于核验，不计作原AI完成</t>
      </text>
    </comment>
    <comment ref="E429" authorId="0" shapeId="0">
      <text>
        <t>评分项：E2 画面与交互；得分 0.75/3
实际工作与缺口：原生总览发现及证据列被相邻单元格截断，无法直接读完整句子。
原件：D:\项目2\DeepSeek\第一轮
核查依据：最终成果.xlsx；DeepSeek1_sheet原生导出及窗口截图
核查方式：原件审读、现有独立核验复查及本轮定向检查
问题编号：DeepSeek-1-E2
评测方补做：仅用于核验，不计作原AI完成</t>
      </text>
    </comment>
    <comment ref="E430" authorId="0" shapeId="0">
      <text>
        <t>评分项：E3 文件一致与完成声明；得分 1.5/3
实际工作与缺口：89项全部独立核对的声明与实际错配并存，部分检查复用了汇总。
原件：D:\项目2\DeepSeek\第一轮
核查依据：最终成果.xlsx；DeepSeek1_sheet原生导出及窗口截图
核查方式：原件审读、现有独立核验复查及本轮定向检查
问题编号：DS1-CAT
评测方补做：仅用于核验，不计作原AI完成</t>
      </text>
    </comment>
    <comment ref="E431" authorId="0" shapeId="0">
      <text>
        <t>评分项：F1 原运行独立性；得分 3.0/3
实际工作与缺口：独立交付，无他者收尾记录。
原件：D:\项目2\DeepSeek\第一轮
核查依据：evaluation_run_metrics；evaluation_action；autonomy_repairs正式记录
核查方式：原件审读、现有独立核验复查及本轮定向检查
问题编号：DeepSeek-1-F1
评测方补做：仅用于核验，不计作原AI完成</t>
      </text>
    </comment>
    <comment ref="E432" authorId="0" shapeId="0">
      <text>
        <t>评分项：F2 交后修正负担；得分 1.5/3
实际工作与缺口：类别合计、低位地址计数及过强解释均需人工修正后使用。
原件：D:\项目2\DeepSeek\第一轮
核查依据：evaluation_run_metrics；evaluation_action；autonomy_repairs正式记录
核查方式：原件审读、现有独立核验复查及本轮定向检查
问题编号：DS1-CAT
评测方补做：仅用于核验，不计作原AI完成</t>
      </text>
    </comment>
    <comment ref="E433" authorId="0" shapeId="0">
      <text>
        <t>评分项：F3 失败处理；得分 1.5/2
实际工作与缺口：同一DataFrame构造错误连续出现三次，之后才修复并完成。
原件：D:\项目2\DeepSeek\第一轮
核查依据：evaluation_run_metrics；evaluation_action；autonomy_repairs正式记录
核查方式：原件审读、现有独立核验复查及本轮定向检查
问题编号：DeepSeek-1-F3
评测方补做：仅用于核验，不计作原AI完成</t>
      </text>
    </comment>
    <comment ref="E434" authorId="0" shapeId="0">
      <text>
        <t>评分项：F4 资源使用；得分 2.0/2
实际工作与缺口：多数动作服务于标准化与异常核查；不因81个动作本身扣分。
原件：D:\项目2\DeepSeek\第一轮
核查依据：evaluation_run_metrics；evaluation_action；autonomy_repairs正式记录
核查方式：原件审读、现有独立核验复查及本轮定向检查
问题编号：DeepSeek-1-F4
评测方补做：仅用于核验，不计作原AI完成</t>
      </text>
    </comment>
    <comment ref="E435" authorId="0" shapeId="0">
      <text>
        <t>评分项：A1 粒度与语义；得分 4.0/4
实际工作与缺口：区分请求、规范化地址与真实事件，地址聚集解释限定在记录层。
原件：D:\项目2\DeepSeek\第二轮
核查依据：分析说明.md；数据质量工作表
核查方式：原件审读、现有独立核验复查及本轮定向检查
问题编号：DeepSeek-2-A1
评测方补做：仅用于核验，不计作原AI完成</t>
      </text>
    </comment>
    <comment ref="E436" authorId="0" shapeId="0">
      <text>
        <t>评分项：A2 数据质量判断；得分 3.0/4
实际工作与缺口：检查时间与状态异常，但最大创建时间写成02:22:25，实际01:50:33。
原件：D:\项目2\DeepSeek\第二轮
核查依据：分析说明.md；数据质量工作表
核查方式：原件审读、现有独立核验复查及本轮定向检查
问题编号：DeepSeek-2-A2
评测方补做：仅用于核验，不计作原AI完成</t>
      </text>
    </comment>
    <comment ref="E437" authorId="0" shapeId="0">
      <text>
        <t>评分项：A3 问题可回答性；得分 3.0/3
实际工作与缺口：以增量、单点影响、固定龄结案和积压提出可核查问题。
原件：D:\项目2\DeepSeek\第二轮
核查依据：分析说明.md；数据质量工作表
核查方式：原件审读、现有独立核验复查及本轮定向检查
问题编号：DeepSeek-2-A3
评测方补做：仅用于核验，不计作原AI完成</t>
      </text>
    </comment>
    <comment ref="E438" authorId="0" shapeId="0">
      <text>
        <t>评分项：A4 问题优先级；得分 4.0/4
实际工作与缺口：围绕异常地址对方向的影响继续追查，超出普通分类排名。
原件：D:\项目2\DeepSeek\第二轮
核查依据：分析说明.md；数据质量工作表
核查方式：原件审读、现有独立核验复查及本轮定向检查
问题编号：DeepSeek-2-A4
评测方补做：仅用于核验，不计作原AI完成</t>
      </text>
    </comment>
    <comment ref="E439" authorId="0" shapeId="0">
      <text>
        <t>评分项：B1 数字与口径；得分 4.5/6
实际工作与缺口：主要增量、地址171558及剔除后的方向成立，截止时点等局部数值需修正。
原件：D:\项目2\DeepSeek\第二轮
核查依据：分析说明.md；evaluation_numeric_check.json对应AI正式版本；maintenance_query_results.json
核查方式：原件审读、现有独立核验复查及本轮定向检查
问题编号：DeepSeek-2-B1
评测方补做：仅用于核验，不计作原AI完成</t>
      </text>
    </comment>
    <comment ref="E440" authorId="0" shapeId="0">
      <text>
        <t>评分项：B2 可比性；得分 5.0/5
实际工作与缺口：同窗同比、固定30天龄与同月时效对照考虑了观察机会。
原件：D:\项目2\DeepSeek\第二轮
核查依据：分析说明.md；evaluation_numeric_check.json对应AI正式版本；maintenance_query_results.json
核查方式：原件审读、现有独立核验复查及本轮定向检查
问题编号：DeepSeek-2-B2
评测方补做：仅用于核验，不计作原AI完成</t>
      </text>
    </comment>
    <comment ref="E441" authorId="0" shapeId="0">
      <text>
        <t>评分项：B3 来源链；得分 5.0/5
实际工作与缺口：三步脚本、23份CSV、工作簿回查表能连接主要结论。
原件：D:\项目2\DeepSeek\第二轮
核查依据：分析说明.md；evaluation_numeric_check.json对应AI正式版本；maintenance_query_results.json
核查方式：原件审读、现有独立核验复查及本轮定向检查
问题编号：DeepSeek-2-B3
评测方补做：仅用于核验，不计作原AI完成</t>
      </text>
    </comment>
    <comment ref="E442" authorId="0" shapeId="0">
      <text>
        <t>评分项：B4 解释成立；得分 3.0/4
实际工作与缺口：地址成因多数保留假设，天气与口径变化对增量的解释仍偏确定。
原件：D:\项目2\DeepSeek\第二轮
核查依据：分析说明.md；evaluation_numeric_check.json对应AI正式版本；maintenance_query_results.json
核查方式：原件审读、现有独立核验复查及本轮定向检查
问题编号：DeepSeek-2-B4
评测方补做：仅用于核验，不计作原AI完成</t>
      </text>
    </comment>
    <comment ref="E443" authorId="0" shapeId="0">
      <text>
        <t>评分项：C1 差异分解；得分 4.0/4
实际工作与缺口：类别、机构、区域贡献及剔除异常后的增量均有拆分。
原件：D:\项目2\DeepSeek\第二轮
核查依据：分析说明.md主要发现；原分析SQL与汇总
核查方式：原件审读、现有独立核验复查及本轮定向检查
问题编号：DeepSeek-2-C1
评测方补做：仅用于核验，不计作原AI完成</t>
      </text>
    </comment>
    <comment ref="E444" authorId="0" shapeId="0">
      <text>
        <t>评分项：C2 下钻调查；得分 4.0/4
实际工作与缺口：规范化地址、邮区、EDC关闭与DHS积压查到具体对象。
原件：D:\项目2\DeepSeek\第二轮
核查依据：分析说明.md主要发现；原分析SQL与汇总
核查方式：原件审读、现有独立核验复查及本轮定向检查
问题编号：DeepSeek-2-C2
评测方补做：仅用于核验，不计作原AI完成</t>
      </text>
    </comment>
    <comment ref="E445" authorId="0" shapeId="0">
      <text>
        <t>评分项：C3 稳健性与替代解释；得分 5.0/5
实际工作与缺口：有邮区剔除、住宅噪声方向反转、同龄30天比较，针对主要解释。
原件：D:\项目2\DeepSeek\第二轮
核查依据：分析说明.md主要发现；原分析SQL与汇总
核查方式：原件审读、现有独立核验复查及本轮定向检查
问题编号：DeepSeek-2-C3
评测方补做：仅用于核验，不计作原AI完成</t>
      </text>
    </comment>
    <comment ref="E446" authorId="0" shapeId="0">
      <text>
        <t>评分项：C4 据证据修正；得分 4.0/4
实际工作与缺口：单点剔除使方向改变时，变化同步写入分析和总览。
原件：D:\项目2\DeepSeek\第二轮
核查依据：分析说明.md主要发现；原分析SQL与汇总
核查方式：原件审读、现有独立核验复查及本轮定向检查
问题编号：DeepSeek-2-C4
评测方补做：仅用于核验，不计作原AI完成</t>
      </text>
    </comment>
    <comment ref="E447" authorId="0" shapeId="0">
      <text>
        <t>评分项：C5 范围与停止；得分 2.25/3
实际工作与缺口：调查有实质内容，但六条主线中的机制归因仍需进一步收紧。
原件：D:\项目2\DeepSeek\第二轮
核查依据：分析说明.md主要发现；原分析SQL与汇总
核查方式：原件审读、现有独立核验复查及本轮定向检查
问题编号：DeepSeek-2-C5
评测方补做：仅用于核验，不计作原AI完成</t>
      </text>
    </comment>
    <comment ref="E448" authorId="0" shapeId="0">
      <text>
        <t>评分项：D1 阅读入口与步骤；得分 4.0/4
实际工作与缺口：三脚本先后关系、依赖与CSV回查入口完整。
原件：D:\项目2\DeepSeek\第二轮
核查依据：分析说明.md复现段；原生产脚本；strict_repro_20260922核验记录；维护核查记录
核查方式：原件审读、现有独立核验复查及本轮定向检查
问题编号：DeepSeek-2-D1
评测方补做：仅用于核验，不计作原AI完成</t>
      </text>
    </comment>
    <comment ref="E449" authorId="0" shapeId="0">
      <text>
        <t>评分项：D2 过程可理解；得分 4.5/6
实际工作与缺口：主要处理选择可读，固定观察龄及规范化地址的维护影响解释仍较简略。
原件：D:\项目2\DeepSeek\第二轮
核查依据：分析说明.md复现段；原生产脚本；strict_repro_20260922核验记录；维护核查记录
核查方式：原件审读、现有独立核验复查及本轮定向检查
问题编号：DeepSeek-2-D2
评测方补做：仅用于核验，不计作原AI完成</t>
      </text>
    </comment>
    <comment ref="E450" authorId="0" shapeId="0">
      <text>
        <t>评分项：D3 结果可重做；得分 6.0/6
实际工作与缺口：既有三步重建数值与提交一致，本轮重新核对总量和同窗统计。
原件：D:\项目2\DeepSeek\第二轮
核查依据：分析说明.md复现段；原生产脚本；strict_repro_20260922核验记录；维护核查记录
核查方式：原件审读、现有独立核验复查及本轮定向检查
问题编号：DeepSeek-2-D3
评测方补做：仅用于核验，不计作原AI完成</t>
      </text>
    </comment>
    <comment ref="E451" authorId="0" shapeId="0">
      <text>
        <t>评分项：D4 更新与错误定位；得分 4.5/6
实际工作与缺口：维护可沿三步链推进，但截止时点及摘要仍有硬填，更新后需逐处核对。
原件：D:\项目2\DeepSeek\第二轮
核查依据：分析说明.md复现段；原生产脚本；strict_repro_20260922核验记录；维护核查记录
核查方式：原件审读、现有独立核验复查及本轮定向检查
问题编号：DeepSeek-2-D4
评测方补做：仅用于核验，不计作原AI完成</t>
      </text>
    </comment>
    <comment ref="E452" authorId="0" shapeId="0">
      <text>
        <t>评分项：D5 原AI的成品检查；得分 1.5/3
实际工作与缺口：原运行34项数值和结构检查未覆盖错误时点，未查到最终原生显示验收。
原件：D:\项目2\DeepSeek\第二轮
核查依据：分析说明.md复现段；原生产脚本；strict_repro_20260922核验记录；维护核查记录
核查方式：原件审读、现有独立核验复查及本轮定向检查
问题编号：DeepSeek-2-D5
评测方补做：仅用于核验，不计作原AI完成</t>
      </text>
    </comment>
    <comment ref="E453" authorId="0" shapeId="0">
      <text>
        <t>评分项：E1 阅读与比较；得分 3.0/4
实际工作与缺口：六条发现与专题对应，但总览窄标签和部分字段截断增加回查成本。
原件：D:\项目2\DeepSeek\第二轮
核查依据：最终成果.xlsx；DeepSeek2_sheet原生导出及窗口截图
核查方式：原件审读、现有独立核验复查及本轮定向检查
问题编号：DeepSeek-2-E1
评测方补做：仅用于核验，不计作原AI完成</t>
      </text>
    </comment>
    <comment ref="E454" authorId="0" shapeId="0">
      <text>
        <t>评分项：E2 画面与交互；得分 1.5/3
实际工作与缺口：原生总览日期、标签及发现短标题有截断；正文证据段大体可读。
原件：D:\项目2\DeepSeek\第二轮
核查依据：最终成果.xlsx；DeepSeek2_sheet原生导出及窗口截图
核查方式：原件审读、现有独立核验复查及本轮定向检查
问题编号：DeepSeek-2-E2
评测方补做：仅用于核验，不计作原AI完成</t>
      </text>
    </comment>
    <comment ref="E455" authorId="0" shapeId="0">
      <text>
        <t>评分项：E3 文件一致与完成声明；得分 2.25/3
实际工作与缺口：主要数值相符，错误截止时点同时进入表与说明，仍需同步修改。
原件：D:\项目2\DeepSeek\第二轮
核查依据：最终成果.xlsx；DeepSeek2_sheet原生导出及窗口截图
核查方式：原件审读、现有独立核验复查及本轮定向检查
问题编号：DeepSeek-2-E3
评测方补做：仅用于核验，不计作原AI完成</t>
      </text>
    </comment>
    <comment ref="E456" authorId="0" shapeId="0">
      <text>
        <t>评分项：F1 原运行独立性；得分 3.0/3
实际工作与缺口：原运行独立完成，没有人工接管。
原件：D:\项目2\DeepSeek\第二轮
核查依据：evaluation_run_metrics；evaluation_action；autonomy_repairs正式记录
核查方式：原件审读、现有独立核验复查及本轮定向检查
问题编号：DeepSeek-2-F1
评测方补做：仅用于核验，不计作原AI完成</t>
      </text>
    </comment>
    <comment ref="E457" authorId="0" shapeId="0">
      <text>
        <t>评分项：F2 交后修正负担；得分 2.25/3
实际工作与缺口：需修正时点、相关说明和总览显示，主要调查可保留。
原件：D:\项目2\DeepSeek\第二轮
核查依据：evaluation_run_metrics；evaluation_action；autonomy_repairs正式记录
核查方式：原件审读、现有独立核验复查及本轮定向检查
问题编号：DeepSeek-2-F2
评测方补做：仅用于核验，不计作原AI完成</t>
      </text>
    </comment>
    <comment ref="E458" authorId="0" shapeId="0">
      <text>
        <t>评分项：F3 失败处理；得分 2.0/2
实际工作与缺口：一次编辑不匹配后完成处理，无重复失败回路。
原件：D:\项目2\DeepSeek\第二轮
核查依据：evaluation_run_metrics；evaluation_action；autonomy_repairs正式记录
核查方式：原件审读、现有独立核验复查及本轮定向检查
问题编号：DeepSeek-2-F3
评测方补做：仅用于核验，不计作原AI完成</t>
      </text>
    </comment>
    <comment ref="E459" authorId="0" shapeId="0">
      <text>
        <t>评分项：F4 资源使用；得分 2.0/2
实际工作与缺口：复用汇总与三步生成链，不因较多调查动作扣分。
原件：D:\项目2\DeepSeek\第二轮
核查依据：evaluation_run_metrics；evaluation_action；autonomy_repairs正式记录
核查方式：原件审读、现有独立核验复查及本轮定向检查
问题编号：DeepSeek-2-F4
评测方补做：仅用于核验，不计作原AI完成</t>
      </text>
    </comment>
    <comment ref="E460" authorId="0" shapeId="0">
      <text>
        <t>评分项：A1 粒度与语义；得分 4.0/4
实际工作与缺口：按请求、创建时间和已关闭子集说明主要单位。
原件：D:\项目2\GLM\第一轮
核查依据：分析说明.md；数据质量工作表
核查方式：原件审读、现有独立核验复查及本轮定向检查
问题编号：GLM-1-A1
评测方补做：仅用于核验，不计作原AI完成</t>
      </text>
    </comment>
    <comment ref="E461" authorId="0" shapeId="0">
      <text>
        <t>评分项：A2 数据质量判断；得分 3.0/4
实际工作与缺口：检查1877条负时长和缺失，日期上界叙述仍将9月7日与实际5日混用。
原件：D:\项目2\GLM\第一轮
核查依据：分析说明.md；数据质量工作表
核查方式：原件审读、现有独立核验复查及本轮定向检查
问题编号：GLM-1-A2
评测方补做：仅用于核验，不计作原AI完成</t>
      </text>
    </comment>
    <comment ref="E462" authorId="0" shapeId="0">
      <text>
        <t>评分项：A3 问题可回答性；得分 2.25/3
实际工作与缺口：增长和道路异常可回答，DOHMH自动到期机制未取得依据。
原件：D:\项目2\GLM\第一轮
核查依据：分析说明.md；数据质量工作表
核查方式：原件审读、现有独立核验复查及本轮定向检查
问题编号：GLM-1-A3
评测方补做：仅用于核验，不计作原AI完成</t>
      </text>
    </comment>
    <comment ref="E463" authorId="0" shapeId="0">
      <text>
        <t>评分项：A4 问题优先级；得分 3.0/4
实际工作与缺口：主要选择类别和机构概览，方向收缩与优先级理由较少。
原件：D:\项目2\GLM\第一轮
核查依据：分析说明.md；数据质量工作表
核查方式：原件审读、现有独立核验复查及本轮定向检查
问题编号：GLM-1-A4
评测方补做：仅用于核验，不计作原AI完成</t>
      </text>
    </comment>
    <comment ref="E464" authorId="0" shapeId="0">
      <text>
        <t>评分项：B1 数字与口径；得分 4.5/6
实际工作与缺口：核心总量和街道28690、坑洞22790正确，日期及部分说明有误。
原件：D:\项目2\GLM\第一轮
核查依据：分析说明.md；evaluation_numeric_check.json对应AI正式版本；maintenance_query_results.json
核查方式：原件审读、现有独立核验复查及本轮定向检查
问题编号：GLM-1-B1
评测方补做：仅用于核验，不计作原AI完成</t>
      </text>
    </comment>
    <comment ref="E465" authorId="0" shapeId="0">
      <text>
        <t>评分项：B2 可比性；得分 3.75/5
实际工作与缺口：同比排除残缺月，但多数时长和季节比较未控制类别构成。
原件：D:\项目2\GLM\第一轮
核查依据：分析说明.md；evaluation_numeric_check.json对应AI正式版本；maintenance_query_results.json
核查方式：原件审读、现有独立核验复查及本轮定向检查
问题编号：GLM-1-B2
评测方补做：仅用于核验，不计作原AI完成</t>
      </text>
    </comment>
    <comment ref="E466" authorId="0" shapeId="0">
      <text>
        <t>评分项：B3 来源链；得分 5.0/5
实际工作与缺口：处理分析到16份CSV再到看板可跟踪，主要数字能回查。
原件：D:\项目2\GLM\第一轮
核查依据：分析说明.md；evaluation_numeric_check.json对应AI正式版本；maintenance_query_results.json
核查方式：原件审读、现有独立核验复查及本轮定向检查
问题编号：GLM-1-B3
评测方补做：仅用于核验，不计作原AI完成</t>
      </text>
    </comment>
    <comment ref="E467" authorId="0" shapeId="0">
      <text>
        <t>评分项：B4 解释成立；得分 2.0/4
实际工作与缺口：把60天结案解释为自动到期，超出关闭记录所能证明的机制。
原件：D:\项目2\GLM\第一轮
核查依据：分析说明.md；evaluation_numeric_check.json对应AI正式版本；maintenance_query_results.json
核查方式：原件审读、现有独立核验复查及本轮定向检查
问题编号：GLM-1-B4
评测方补做：仅用于核验，不计作原AI完成</t>
      </text>
    </comment>
    <comment ref="E468" authorId="0" shapeId="0">
      <text>
        <t>评分项：C1 差异分解；得分 3.0/4
实际工作与缺口：有类别同比及道路细分，未进一步解释整体增量的多因素构成。
原件：D:\项目2\GLM\第一轮
核查依据：分析说明.md主要发现；原分析SQL与汇总
核查方式：原件审读、现有独立核验复查及本轮定向检查
问题编号：GLM-1-C1
评测方补做：仅用于核验，不计作原AI完成</t>
      </text>
    </comment>
    <comment ref="E469" authorId="0" shapeId="0">
      <text>
        <t>评分项：C2 下钻调查；得分 3.0/4
实际工作与缺口：道路异常查到月份、Pothole和DOT机构。
原件：D:\项目2\GLM\第一轮
核查依据：分析说明.md主要发现；原分析SQL与汇总
核查方式：原件审读、现有独立核验复查及本轮定向检查
问题编号：GLM-1-C2
评测方补做：仅用于核验，不计作原AI完成</t>
      </text>
    </comment>
    <comment ref="E470" authorId="0" shapeId="0">
      <text>
        <t>评分项：C3 稳健性与替代解释；得分 1.25/5
实际工作与缺口：未见针对主要机制的剔除或固定构成等稳定性检查。
原件：D:\项目2\GLM\第一轮
核查依据：分析说明.md主要发现；原分析SQL与汇总
核查方式：原件审读、现有独立核验复查及本轮定向检查
问题编号：GLM-1-C3
评测方补做：仅用于核验，不计作原AI完成</t>
      </text>
    </comment>
    <comment ref="E471" authorId="0" shapeId="0">
      <text>
        <t>评分项：C4 据证据修正；得分 3.0/4
实际工作与缺口：曾修正表头和文件结构，仍未处理日期与机制解释的对应矛盾。
原件：D:\项目2\GLM\第一轮
核查依据：分析说明.md主要发现；原分析SQL与汇总
核查方式：原件审读、现有独立核验复查及本轮定向检查
问题编号：GLM-1-C4
评测方补做：仅用于核验，不计作原AI完成</t>
      </text>
    </comment>
    <comment ref="E472" authorId="0" shapeId="0">
      <text>
        <t>评分项：C5 范围与停止；得分 2.25/3
实际工作与缺口：路线短，但多个概览结论保留，弱机制未及时降级。
原件：D:\项目2\GLM\第一轮
核查依据：分析说明.md主要发现；原分析SQL与汇总
核查方式：原件审读、现有独立核验复查及本轮定向检查
问题编号：GLM-1-C5
评测方补做：仅用于核验，不计作原AI完成</t>
      </text>
    </comment>
    <comment ref="E473" authorId="0" shapeId="0">
      <text>
        <t>评分项：D1 阅读入口与步骤；得分 3.0/4
实际工作与缺口：两步脚本职责清楚，依赖配置与重做检查说明不足。
原件：D:\项目2\GLM\第一轮
核查依据：分析说明.md复现段；原生产脚本；strict_repro_20260922核验记录；维护核查记录
核查方式：原件审读、现有独立核验复查及本轮定向检查
问题编号：GLM-1-D1
评测方补做：仅用于核验，不计作原AI完成</t>
      </text>
    </comment>
    <comment ref="E474" authorId="0" shapeId="0">
      <text>
        <t>评分项：D2 过程可理解；得分 4.5/6
实际工作与缺口：窗口与有效时长有定义，核心判断形成过程较简略。
原件：D:\项目2\GLM\第一轮
核查依据：分析说明.md复现段；原生产脚本；strict_repro_20260922核验记录；维护核查记录
核查方式：原件审读、现有独立核验复查及本轮定向检查
问题编号：GLM-1-D2
评测方补做：仅用于核验，不计作原AI完成</t>
      </text>
    </comment>
    <comment ref="E475" authorId="0" shapeId="0">
      <text>
        <t>评分项：D3 结果可重做；得分 6.0/6
实际工作与缺口：既有两脚本重建执行成功，本轮11个月主窗口复核一致。
原件：D:\项目2\GLM\第一轮
核查依据：分析说明.md复现段；原生产脚本；strict_repro_20260922核验记录；维护核查记录
核查方式：原件审读、现有独立核验复查及本轮定向检查
问题编号：GLM-1-D3
评测方补做：仅用于核验，不计作原AI完成</t>
      </text>
    </comment>
    <comment ref="E476" authorId="0" shapeId="0">
      <text>
        <t>评分项：D4 更新与错误定位；得分 3.0/6
实际工作与缺口：更新日期、汇总和静态说明需自行查多处常量，缺影响范围说明。
原件：D:\项目2\GLM\第一轮
核查依据：分析说明.md复现段；原生产脚本；strict_repro_20260922核验记录；维护核查记录
核查方式：原件审读、现有独立核验复查及本轮定向检查
问题编号：GLM-1-D4
评测方补做：仅用于核验，不计作原AI完成</t>
      </text>
    </comment>
    <comment ref="E477" authorId="0" shapeId="0">
      <text>
        <t>评分项：D5 原AI的成品检查；得分 1.5/3
实际工作与缺口：原运行读取工作簿并修正局部结构，未查到最终窗口截图或完整导出查看。
原件：D:\项目2\GLM\第一轮
核查依据：分析说明.md复现段；原生产脚本；strict_repro_20260922核验记录；维护核查记录
核查方式：原件审读、现有独立核验复查及本轮定向检查
问题编号：GLM-1-D5
评测方补做：仅用于核验，不计作原AI完成</t>
      </text>
    </comment>
    <comment ref="E478" authorId="0" shapeId="0">
      <text>
        <t>评分项：E1 阅读与比较；得分 3.0/4
实际工作与缺口：总览及专题入口清楚，但多数表以概况排列，直接比较支持有限。
原件：D:\项目2\GLM\第一轮
核查依据：最终成果.xlsx；GLM1_sheet原生导出及窗口截图
核查方式：原件审读、现有独立核验复查及本轮定向检查
问题编号：GLM-1-E1
评测方补做：仅用于核验，不计作原AI完成</t>
      </text>
    </comment>
    <comment ref="E479" authorId="0" shapeId="0">
      <text>
        <t>评分项：E2 画面与交互；得分 1.5/3
实际工作与缺口：月度表长英文类别表头截断，读者难以区分噪声类别。
原件：D:\项目2\GLM\第一轮
核查依据：最终成果.xlsx；GLM1_sheet原生导出及窗口截图
核查方式：原件审读、现有独立核验复查及本轮定向检查
问题编号：GLM-1-E2
评测方补做：仅用于核验，不计作原AI完成</t>
      </text>
    </comment>
    <comment ref="E480" authorId="0" shapeId="0">
      <text>
        <t>评分项：E3 文件一致与完成声明；得分 2.25/3
实际工作与缺口：主要数据一致，覆盖日期和机构机制说明需修改。
原件：D:\项目2\GLM\第一轮
核查依据：最终成果.xlsx；GLM1_sheet原生导出及窗口截图
核查方式：原件审读、现有独立核验复查及本轮定向检查
问题编号：GLM-1-E3
评测方补做：仅用于核验，不计作原AI完成</t>
      </text>
    </comment>
    <comment ref="E481" authorId="0" shapeId="0">
      <text>
        <t>评分项：F1 原运行独立性；得分 3.0/3
实际工作与缺口：独立完成，没有续跑催促或接管记录。
原件：D:\项目2\GLM\第一轮
核查依据：evaluation_run_metrics；evaluation_action；autonomy_repairs正式记录
核查方式：原件审读、现有独立核验复查及本轮定向检查
问题编号：GLM-1-F1
评测方补做：仅用于核验，不计作原AI完成</t>
      </text>
    </comment>
    <comment ref="E482" authorId="0" shapeId="0">
      <text>
        <t>评分项：F2 交后修正负担；得分 2.25/3
实际工作与缺口：日期、机制及长表头需人工处理，核心计数可保留。
原件：D:\项目2\GLM\第一轮
核查依据：evaluation_run_metrics；evaluation_action；autonomy_repairs正式记录
核查方式：原件审读、现有独立核验复查及本轮定向检查
问题编号：GLM-1-F2
评测方补做：仅用于核验，不计作原AI完成</t>
      </text>
    </comment>
    <comment ref="E483" authorId="0" shapeId="0">
      <text>
        <t>评分项：F3 失败处理；得分 2.0/2
实际工作与缺口：遇到工具错误后换路完成，没有确认重复失败。
原件：D:\项目2\GLM\第一轮
核查依据：evaluation_run_metrics；evaluation_action；autonomy_repairs正式记录
核查方式：原件审读、现有独立核验复查及本轮定向检查
问题编号：GLM-1-F3
评测方补做：仅用于核验，不计作原AI完成</t>
      </text>
    </comment>
    <comment ref="E484" authorId="0" shapeId="0">
      <text>
        <t>评分项：F4 资源使用；得分 2.0/2
实际工作与缺口：用短生产链完成任务，未确认无收益的重算。
原件：D:\项目2\GLM\第一轮
核查依据：evaluation_run_metrics；evaluation_action；autonomy_repairs正式记录
核查方式：原件审读、现有独立核验复查及本轮定向检查
问题编号：GLM-1-F4
评测方补做：仅用于核验，不计作原AI完成</t>
      </text>
    </comment>
    <comment ref="E485" authorId="0" shapeId="0">
      <text>
        <t>评分项：A1 粒度与语义；得分 4.0/4
实际工作与缺口：请求数与现实事件有区分，已关闭子集547条负时长的口径成立。
原件：D:\项目2\GLM\第二轮
核查依据：分析说明.md；数据质量工作表
核查方式：原件审读、现有独立核验复查及本轮定向检查
问题编号：GLM-2-A1
评测方补做：仅用于核验，不计作原AI完成</t>
      </text>
    </comment>
    <comment ref="E486" authorId="0" shapeId="0">
      <text>
        <t>评分项：A2 数据质量判断；得分 3.0/4
实际工作与缺口：字段数43应为44；热点前缀额外包含663及其他街道、类别，处理范围不够精确。
原件：D:\项目2\GLM\第二轮
核查依据：分析说明.md；数据质量工作表
核查方式：原件审读、现有独立核验复查及本轮定向检查
问题编号：GLM-2-A2
评测方补做：仅用于核验，不计作原AI完成</t>
      </text>
    </comment>
    <comment ref="E487" authorId="0" shapeId="0">
      <text>
        <t>评分项：A3 问题可回答性；得分 2.25/3
实际工作与缺口：热点和固定30天结案可检验，处理表现稳定的表述仍超出单一结案比例。
原件：D:\项目2\GLM\第二轮
核查依据：分析说明.md；数据质量工作表
核查方式：原件审读、现有独立核验复查及本轮定向检查
问题编号：GLM-2-A3
评测方补做：仅用于核验，不计作原AI完成</t>
      </text>
    </comment>
    <comment ref="E488" authorId="0" shapeId="0">
      <text>
        <t>评分项：A4 问题优先级；得分 4.0/4
实际工作与缺口：从热点对月序列的影响、供暖和道路增量形成四条重点。
原件：D:\项目2\GLM\第二轮
核查依据：分析说明.md；数据质量工作表
核查方式：原件审读、现有独立核验复查及本轮定向检查
问题编号：GLM-2-A4
评测方补做：仅用于核验，不计作原AI完成</t>
      </text>
    </comment>
    <comment ref="E489" authorId="0" shapeId="0">
      <text>
        <t>评分项：B1 数字与口径；得分 4.5/6
实际工作与缺口：主要总量成立；186933含其他类别，作为住宅噪声分子及655/661地址数不准确。
原件：D:\项目2\GLM\第二轮
核查依据：分析说明.md；evaluation_numeric_check.json对应AI正式版本；maintenance_query_results.json
核查方式：原件审读、现有独立核验复查及本轮定向检查
问题编号：GLM-2-B1
评测方补做：仅用于核验，不计作原AI完成</t>
      </text>
    </comment>
    <comment ref="E490" authorId="0" shapeId="0">
      <text>
        <t>评分项：B2 可比性；得分 3.75/5
实际工作与缺口：30天固定龄改进可比性，但未排除负时长；跨季稳定解释也未控制类别构成。
原件：D:\项目2\GLM\第二轮
核查依据：分析说明.md；evaluation_numeric_check.json对应AI正式版本；maintenance_query_results.json
核查方式：原件审读、现有独立核验复查及本轮定向检查
问题编号：GLM-2-B2
评测方补做：仅用于核验，不计作原AI完成</t>
      </text>
    </comment>
    <comment ref="E491" authorId="0" shapeId="0">
      <text>
        <t>评分项：B3 来源链；得分 5.0/5
实际工作与缺口：make_aggregates的SQL、17份CSV和build_excel能够定位。
原件：D:\项目2\GLM\第二轮
核查依据：分析说明.md；evaluation_numeric_check.json对应AI正式版本；maintenance_query_results.json
核查方式：原件审读、现有独立核验复查及本轮定向检查
问题编号：GLM-2-B3
评测方补做：仅用于核验，不计作原AI完成</t>
      </text>
    </comment>
    <comment ref="E492" authorId="0" shapeId="0">
      <text>
        <t>评分项：B4 解释成立；得分 3.0/4
实际工作与缺口：多数原因标未核证，但正文仍把暴雪及道路描述结构不变写得确定。
原件：D:\项目2\GLM\第二轮
核查依据：分析说明.md；evaluation_numeric_check.json对应AI正式版本；maintenance_query_results.json
核查方式：原件审读、现有独立核验复查及本轮定向检查
问题编号：GLM-2-B4
评测方补做：仅用于核验，不计作原AI完成</t>
      </text>
    </comment>
    <comment ref="E493" authorId="0" shapeId="0">
      <text>
        <t>评分项：C1 差异分解；得分 4.0/4
实际工作与缺口：按类别、月份、机构与热点拆解增量及异常。
原件：D:\项目2\GLM\第二轮
核查依据：分析说明.md主要发现；原分析SQL与汇总
核查方式：原件审读、现有独立核验复查及本轮定向检查
问题编号：GLM-2-C1
评测方补做：仅用于核验，不计作原AI完成</t>
      </text>
    </comment>
    <comment ref="E494" authorId="0" shapeId="0">
      <text>
        <t>评分项：C2 下钻调查；得分 4.0/4
实际工作与缺口：地址群日度、小时、渠道和供暖季有进一步核查。
原件：D:\项目2\GLM\第二轮
核查依据：分析说明.md主要发现；原分析SQL与汇总
核查方式：原件审读、现有独立核验复查及本轮定向检查
问题编号：GLM-2-C2
评测方补做：仅用于核验，不计作原AI完成</t>
      </text>
    </comment>
    <comment ref="E495" authorId="0" shapeId="0">
      <text>
        <t>评分项：C3 稳健性与替代解释；得分 3.75/5
实际工作与缺口：做热点剔除与固定30天比较；尚缺地址定义敏感性及构成调整。
原件：D:\项目2\GLM\第二轮
核查依据：分析说明.md主要发现；原分析SQL与汇总
核查方式：原件审读、现有独立核验复查及本轮定向检查
问题编号：GLM-2-C3
评测方补做：仅用于核验，不计作原AI完成</t>
      </text>
    </comment>
    <comment ref="E496" authorId="0" shapeId="0">
      <text>
        <t>评分项：C4 据证据修正；得分 3.0/4
实际工作与缺口：修正了观察机会问题，但口径字典与实际热点SQL仍不一致。
原件：D:\项目2\GLM\第二轮
核查依据：分析说明.md主要发现；原分析SQL与汇总
核查方式：原件审读、现有独立核验复查及本轮定向检查
问题编号：GLM-2-C4
评测方补做：仅用于核验，不计作原AI完成</t>
      </text>
    </comment>
    <comment ref="E497" authorId="0" shapeId="0">
      <text>
        <t>评分项：C5 范围与停止；得分 3.0/3
实际工作与缺口：四条主线收敛，未扩建无关预测或外部人口比较。
原件：D:\项目2\GLM\第二轮
核查依据：分析说明.md主要发现；原分析SQL与汇总
核查方式：原件审读、现有独立核验复查及本轮定向检查
问题编号：GLM-2-C5
评测方补做：仅用于核验，不计作原AI完成</t>
      </text>
    </comment>
    <comment ref="E498" authorId="0" shapeId="0">
      <text>
        <t>评分项：D1 阅读入口与步骤；得分 2.0/4
实际工作与缺口：复现章节只介绍从CSV构建Excel，遗漏make_aggregates入口和依赖步骤。
原件：D:\项目2\GLM\第二轮
核查依据：分析说明.md复现段；原生产脚本；strict_repro_20260922核验记录；维护核查记录
核查方式：原件审读、现有独立核验复查及本轮定向检查
问题编号：GLM-2-D1
评测方补做：仅用于核验，不计作原AI完成</t>
      </text>
    </comment>
    <comment ref="E499" authorId="0" shapeId="0">
      <text>
        <t>评分项：D2 过程可理解；得分 4.5/6
实际工作与缺口：SQL和表头能解释大部分筛选，热点前缀与描述对象仍需读代码辨认。
原件：D:\项目2\GLM\第二轮
核查依据：分析说明.md复现段；原生产脚本；strict_repro_20260922核验记录；维护核查记录
核查方式：原件审读、现有独立核验复查及本轮定向检查
问题编号：GLM-2-D2
评测方补做：仅用于核验，不计作原AI完成</t>
      </text>
    </comment>
    <comment ref="E500" authorId="0" shapeId="0">
      <text>
        <t>评分项：D3 结果可重做；得分 6.0/6
实际工作与缺口：原始SQL和构建链存在；既有失败由未建output目录引起，正常配置可继续，独立查询核对主要量值。
原件：D:\项目2\GLM\第二轮
核查依据：分析说明.md复现段；原生产脚本；strict_repro_20260922核验记录；维护核查记录
核查方式：原件审读、现有独立核验复查及本轮定向检查
问题编号：GLM-2-D3
评测方补做：仅用于核验，不计作原AI完成</t>
      </text>
    </comment>
    <comment ref="E501" authorId="0" shapeId="0">
      <text>
        <t>评分项：D4 更新与错误定位；得分 3.0/6
实际工作与缺口：聚合入口未进入说明，更新者还要自行追踪前缀、静态摘要和各图表依赖。
原件：D:\项目2\GLM\第二轮
核查依据：分析说明.md复现段；原生产脚本；strict_repro_20260922核验记录；维护核查记录
核查方式：原件审读、现有独立核验复查及本轮定向检查
问题编号：GLM-2-D4
评测方补做：仅用于核验，不计作原AI完成</t>
      </text>
    </comment>
    <comment ref="E502" authorId="0" shapeId="0">
      <text>
        <t>评分项：D5 原AI的成品检查；得分 1.5/3
实际工作与缺口：原运行完成结构及数字回查，未取得最终阅读面完整验收证据。
原件：D:\项目2\GLM\第二轮
核查依据：分析说明.md复现段；原生产脚本；strict_repro_20260922核验记录；维护核查记录
核查方式：原件审读、现有独立核验复查及本轮定向检查
问题编号：GLM-2-D5
评测方补做：仅用于核验，不计作原AI完成</t>
      </text>
    </comment>
    <comment ref="E503" authorId="0" shapeId="0">
      <text>
        <t>评分项：E1 阅读与比较；得分 3.0/4
实际工作与缺口：总览四条问题与图表对应，原始计算入口缺失增加维护阅读成本。
原件：D:\项目2\GLM\第二轮
核查依据：最终成果.xlsx；GLM2_sheet原生导出及窗口截图
核查方式：原件审读、现有独立核验复查及本轮定向检查
问题编号：GLM-2-E1
评测方补做：仅用于核验，不计作原AI完成</t>
      </text>
    </comment>
    <comment ref="E504" authorId="0" shapeId="0">
      <text>
        <t>评分项：E2 画面与交互；得分 2.25/3
实际工作与缺口：总览可读，部分图表英文表头拥挤，但主要系列可用表格核对。
原件：D:\项目2\GLM\第二轮
核查依据：最终成果.xlsx；GLM2_sheet原生导出及窗口截图
核查方式：原件审读、现有独立核验复查及本轮定向检查
问题编号：GLM-2-E2
评测方补做：仅用于核验，不计作原AI完成</t>
      </text>
    </comment>
    <comment ref="E505" authorId="0" shapeId="0">
      <text>
        <t>评分项：E3 文件一致与完成声明；得分 2.25/3
实际工作与缺口：表文共有字段数和热点范围问题，需同步纠正；不重记547为错误。
原件：D:\项目2\GLM\第二轮
核查依据：最终成果.xlsx；GLM2_sheet原生导出及窗口截图
核查方式：原件审读、现有独立核验复查及本轮定向检查
问题编号：GLM-2-E3
评测方补做：仅用于核验，不计作原AI完成</t>
      </text>
    </comment>
    <comment ref="E506" authorId="0" shapeId="0">
      <text>
        <t>评分项：F1 原运行独立性；得分 3.0/3
实际工作与缺口：原运行独立完成，无他者收尾。
原件：D:\项目2\GLM\第二轮
核查依据：evaluation_run_metrics；evaluation_action；autonomy_repairs正式记录
核查方式：原件审读、现有独立核验复查及本轮定向检查
问题编号：GLM-2-F1
评测方补做：仅用于核验，不计作原AI完成</t>
      </text>
    </comment>
    <comment ref="E507" authorId="0" shapeId="0">
      <text>
        <t>评分项：F2 交后修正负担；得分 2.25/3
实际工作与缺口：需修正热点口径、字段说明和复现入口，主要调查结果仍可使用。
原件：D:\项目2\GLM\第二轮
核查依据：evaluation_run_metrics；evaluation_action；autonomy_repairs正式记录
核查方式：原件审读、现有独立核验复查及本轮定向检查
问题编号：GLM-2-F2
评测方补做：仅用于核验，不计作原AI完成</t>
      </text>
    </comment>
    <comment ref="E508" authorId="0" shapeId="0">
      <text>
        <t>评分项：F3 失败处理；得分 2.0/2
实际工作与缺口：个别失败后完成替代处理，无持续同类循环。
原件：D:\项目2\GLM\第二轮
核查依据：evaluation_run_metrics；evaluation_action；autonomy_repairs正式记录
核查方式：原件审读、现有独立核验复查及本轮定向检查
问题编号：GLM-2-F3
评测方补做：仅用于核验，不计作原AI完成</t>
      </text>
    </comment>
    <comment ref="E509" authorId="0" shapeId="0">
      <text>
        <t>评分项：F4 资源使用；得分 2.0/2
实际工作与缺口：复用17份汇总生成图表，未确认无关资源消耗。
原件：D:\项目2\GLM\第二轮
核查依据：evaluation_run_metrics；evaluation_action；autonomy_repairs正式记录
核查方式：原件审读、现有独立核验复查及本轮定向检查
问题编号：GLM-2-F4
评测方补做：仅用于核验，不计作原AI完成</t>
      </text>
    </comment>
    <comment ref="E510" authorId="0" shapeId="0">
      <text>
        <t>评分项：A1 粒度与语义；得分 3.0/4
实际工作与缺口：说明请求记录粒度，但将缺失closed_date等同未关闭工单，状态语义混用。
原件：D:\项目2\Qwen\第一轮
核查依据：分析说明.md；数据质量工作表
核查方式：原件审读、现有独立核验复查及本轮定向检查
问题编号：Qwen-1-A1
评测方补做：仅用于核验，不计作原AI完成</t>
      </text>
    </comment>
    <comment ref="E511" authorId="0" shapeId="0">
      <text>
        <t>评分项：A2 数据质量判断；得分 2.0/4
实际工作与缺口：检查负时长却按分钟识别，漏掉389条不足一分钟的逆序记录。
原件：D:\项目2\Qwen\第一轮
核查依据：分析说明.md；数据质量工作表
核查方式：原件审读、现有独立核验复查及本轮定向检查
问题编号：Qwen-1-A2
评测方补做：仅用于核验，不计作原AI完成</t>
      </text>
    </comment>
    <comment ref="E512" authorId="0" shapeId="0">
      <text>
        <t>评分项：A3 问题可回答性；得分 2.25/3
实际工作与缺口：类型变化可研究，严冬及受理派发解释缺少对应变量支持。
原件：D:\项目2\Qwen\第一轮
核查依据：分析说明.md；数据质量工作表
核查方式：原件审读、现有独立核验复查及本轮定向检查
问题编号：Qwen-1-A3
评测方补做：仅用于核验，不计作原AI完成</t>
      </text>
    </comment>
    <comment ref="E513" authorId="0" shapeId="0">
      <text>
        <t>评分项：A4 问题优先级；得分 3.0/4
实际工作与缺口：选择天气、处置、药物与直升机变化，但多个方向只有概览证据。
原件：D:\项目2\Qwen\第一轮
核查依据：分析说明.md；数据质量工作表
核查方式：原件审读、现有独立核验复查及本轮定向检查
问题编号：Qwen-1-A4
评测方补做：仅用于核验，不计作原AI完成</t>
      </text>
    </comment>
    <comment ref="E514" authorId="0" shapeId="0">
      <text>
        <t>评分项：B1 数字与口径；得分 4.5/6
实际工作与缺口：冬季和坑洞计数成立，负时长口径及药物结构稳定的主要判断有误。
原件：D:\项目2\Qwen\第一轮
核查依据：分析说明.md；evaluation_numeric_check.json对应AI正式版本；maintenance_query_results.json
核查方式：原件审读、现有独立核验复查及本轮定向检查
问题编号：Qwen-1-B1
评测方补做：仅用于核验，不计作原AI完成</t>
      </text>
    </comment>
    <comment ref="E515" authorId="0" shapeId="0">
      <text>
        <t>评分项：B2 可比性；得分 3.75/5
实际工作与缺口：同比用同月11个月，时长画像仍以全期已关闭子集为主。
原件：D:\项目2\Qwen\第一轮
核查依据：分析说明.md；evaluation_numeric_check.json对应AI正式版本；maintenance_query_results.json
核查方式：原件审读、现有独立核验复查及本轮定向检查
问题编号：Qwen-1-B2
评测方补做：仅用于核验，不计作原AI完成</t>
      </text>
    </comment>
    <comment ref="E516" authorId="0" shapeId="0">
      <text>
        <t>评分项：B3 来源链；得分 5.0/5
实际工作与缺口：analysis到CSV与build_excel两步链清楚，主要查询能定位。
原件：D:\项目2\Qwen\第一轮
核查依据：分析说明.md；evaluation_numeric_check.json对应AI正式版本；maintenance_query_results.json
核查方式：原件审读、现有独立核验复查及本轮定向检查
问题编号：Qwen-1-B3
评测方补做：仅用于核验，不计作原AI完成</t>
      </text>
    </comment>
    <comment ref="E517" authorId="0" shapeId="0">
      <text>
        <t>评分项：B4 解释成立；得分 2.0/4
实际工作与缺口：Drug Activity细分结构明显改变，不能以结构未变支持受理口径推断。
原件：D:\项目2\Qwen\第一轮
核查依据：分析说明.md；evaluation_numeric_check.json对应AI正式版本；maintenance_query_results.json
核查方式：原件审读、现有独立核验复查及本轮定向检查
问题编号：QW1-STRUCT
评测方补做：仅用于核验，不计作原AI完成</t>
      </text>
    </comment>
    <comment ref="E518" authorId="0" shapeId="0">
      <text>
        <t>评分项：C1 差异分解；得分 2.0/4
实际工作与缺口：有类型涨跌和区域构成，整体增量的贡献解释较少。
原件：D:\项目2\Qwen\第一轮
核查依据：分析说明.md主要发现；原分析SQL与汇总
核查方式：原件审读、现有独立核验复查及本轮定向检查
问题编号：Qwen-1-C1
评测方补做：仅用于核验，不计作原AI完成</t>
      </text>
    </comment>
    <comment ref="E519" authorId="0" shapeId="0">
      <text>
        <t>评分项：C2 下钻调查；得分 3.0/4
实际工作与缺口：查到药物描述和直升机下降月份，但未将查询中的结构变化写入结论。
原件：D:\项目2\Qwen\第一轮
核查依据：分析说明.md主要发现；原分析SQL与汇总
核查方式：原件审读、现有独立核验复查及本轮定向检查
问题编号：QW1-STRUCT
评测方补做：仅用于核验，不计作原AI完成</t>
      </text>
    </comment>
    <comment ref="E520" authorId="0" shapeId="0">
      <text>
        <t>评分项：C3 稳健性与替代解释；得分 1.25/5
实际工作与缺口：主要机制缺少匹配、剔除或固定构成检验。
原件：D:\项目2\Qwen\第一轮
核查依据：分析说明.md主要发现；原分析SQL与汇总
核查方式：原件审读、现有独立核验复查及本轮定向检查
问题编号：QW1-STRUCT
评测方补做：仅用于核验，不计作原AI完成</t>
      </text>
    </comment>
    <comment ref="E521" authorId="0" shapeId="0">
      <text>
        <t>评分项：C4 据证据修正；得分 1.0/4
实际工作与缺口：自己的描述查询已显示结构变化，成品仍写未变，关键矛盾未处理。
原件：D:\项目2\Qwen\第一轮
核查依据：分析说明.md主要发现；原分析SQL与汇总
核查方式：原件审读、现有独立核验复查及本轮定向检查
问题编号：QW1-STRUCT
评测方补做：仅用于核验，不计作原AI完成</t>
      </text>
    </comment>
    <comment ref="E522" authorId="0" shapeId="0">
      <text>
        <t>评分项：C5 范围与停止；得分 1.5/3
实际工作与缺口：保留未经证实的严冬及派发解释，停止前未完成必要核查。
原件：D:\项目2\Qwen\第一轮
核查依据：分析说明.md主要发现；原分析SQL与汇总
核查方式：原件审读、现有独立核验复查及本轮定向检查
问题编号：Qwen-1-C5
评测方补做：仅用于核验，不计作原AI完成</t>
      </text>
    </comment>
    <comment ref="E523" authorId="0" shapeId="0">
      <text>
        <t>评分项：D1 阅读入口与步骤；得分 3.0/4
实际工作与缺口：两脚本及依赖可找到，缺少完整预期输出与更新检查说明。
原件：D:\项目2\Qwen\第一轮
核查依据：分析说明.md复现段；原生产脚本；strict_repro_20260922核验记录；维护核查记录
核查方式：原件审读、现有独立核验复查及本轮定向检查
问题编号：Qwen-1-D1
评测方补做：仅用于核验，不计作原AI完成</t>
      </text>
    </comment>
    <comment ref="E524" authorId="0" shapeId="0">
      <text>
        <t>评分项：D2 过程可理解；得分 4.5/6
实际工作与缺口：多数窗口和分母可理解，描述结构判断与原查询之间断开。
原件：D:\项目2\Qwen\第一轮
核查依据：分析说明.md复现段；原生产脚本；strict_repro_20260922核验记录；维护核查记录
核查方式：原件审读、现有独立核验复查及本轮定向检查
问题编号：Qwen-1-D2
评测方补做：仅用于核验，不计作原AI完成</t>
      </text>
    </comment>
    <comment ref="E525" authorId="0" shapeId="0">
      <text>
        <t>评分项：D3 结果可重做；得分 6.0/6
实际工作与缺口：既有两步执行成功，差异主要为排序；本轮从原始数据重核同窗结构。
原件：D:\项目2\Qwen\第一轮
核查依据：分析说明.md复现段；原生产脚本；strict_repro_20260922核验记录；维护核查记录
核查方式：原件审读、现有独立核验复查及本轮定向检查
问题编号：Qwen-1-D3
评测方补做：仅用于核验，不计作原AI完成</t>
      </text>
    </comment>
    <comment ref="E526" authorId="0" shapeId="0">
      <text>
        <t>评分项：D4 更新与错误定位；得分 3.0/6
实际工作与缺口：时长筛选和静态发现分处分析与构建文件，更新影响范围未写明。
原件：D:\项目2\Qwen\第一轮
核查依据：分析说明.md复现段；原生产脚本；strict_repro_20260922核验记录；维护核查记录
核查方式：原件审读、现有独立核验复查及本轮定向检查
问题编号：Qwen-1-D4
评测方补做：仅用于核验，不计作原AI完成</t>
      </text>
    </comment>
    <comment ref="E527" authorId="0" shapeId="0">
      <text>
        <t>评分项：D5 原AI的成品检查；得分 1.5/3
实际工作与缺口：原运行做结构与汇总检查，漏掉已有描述结果与文字矛盾，未见原生视觉检查。
原件：D:\项目2\Qwen\第一轮
核查依据：分析说明.md复现段；原生产脚本；strict_repro_20260922核验记录；维护核查记录
核查方式：原件审读、现有独立核验复查及本轮定向检查
问题编号：Qwen-1-D5
评测方补做：仅用于核验，不计作原AI完成</t>
      </text>
    </comment>
    <comment ref="E528" authorId="0" shapeId="0">
      <text>
        <t>评分项：E1 阅读与比较；得分 3.0/4
实际工作与缺口：发现、月度和类型表可定位，说明与核心错误仍需人工对照。
原件：D:\项目2\Qwen\第一轮
核查依据：最终成果.xlsx；Qwen1_sheet原生导出及窗口截图
核查方式：原件审读、现有独立核验复查及本轮定向检查
问题编号：Qwen-1-E1
评测方补做：仅用于核验，不计作原AI完成</t>
      </text>
    </comment>
    <comment ref="E529" authorId="0" shapeId="0">
      <text>
        <t>评分项：E2 画面与交互；得分 1.5/3
实际工作与缺口：月度长英文表头截断，部分图表需依靠数据表补读。
原件：D:\项目2\Qwen\第一轮
核查依据：最终成果.xlsx；Qwen1_sheet原生导出及窗口截图
核查方式：原件审读、现有独立核验复查及本轮定向检查
问题编号：Qwen-1-E2
评测方补做：仅用于核验，不计作原AI完成</t>
      </text>
    </comment>
    <comment ref="E530" authorId="0" shapeId="0">
      <text>
        <t>评分项：E3 文件一致与完成声明；得分 2.25/3
实际工作与缺口：主要文件齐全，但分析说明的结构不变未反映自己的查询结果。
原件：D:\项目2\Qwen\第一轮
核查依据：最终成果.xlsx；Qwen1_sheet原生导出及窗口截图
核查方式：原件审读、现有独立核验复查及本轮定向检查
问题编号：QW1-STRUCT
评测方补做：仅用于核验，不计作原AI完成</t>
      </text>
    </comment>
    <comment ref="E531" authorId="0" shapeId="0">
      <text>
        <t>评分项：F1 原运行独立性；得分 3.0/3
实际工作与缺口：原运行独立交付，没有持续催促或他者接管。
原件：D:\项目2\Qwen\第一轮
核查依据：evaluation_run_metrics；evaluation_action；autonomy_repairs正式记录
核查方式：原件审读、现有独立核验复查及本轮定向检查
问题编号：Qwen-1-F1
评测方补做：仅用于核验，不计作原AI完成</t>
      </text>
    </comment>
    <comment ref="E532" authorId="0" shapeId="0">
      <text>
        <t>评分项：F2 交后修正负担；得分 1.5/3
实际工作与缺口：负时长和Drug Activity解释需人工修改后才能使用。
原件：D:\项目2\Qwen\第一轮
核查依据：evaluation_run_metrics；evaluation_action；autonomy_repairs正式记录
核查方式：原件审读、现有独立核验复查及本轮定向检查
问题编号：QW1-STRUCT
评测方补做：仅用于核验，不计作原AI完成</t>
      </text>
    </comment>
    <comment ref="E533" authorId="0" shapeId="0">
      <text>
        <t>评分项：F3 失败处理；得分 2.0/2
实际工作与缺口：已记录错误能收敛处理，未确认重复失败回路。
原件：D:\项目2\Qwen\第一轮
核查依据：evaluation_run_metrics；evaluation_action；autonomy_repairs正式记录
核查方式：原件审读、现有独立核验复查及本轮定向检查
问题编号：Qwen-1-F3
评测方补做：仅用于核验，不计作原AI完成</t>
      </text>
    </comment>
    <comment ref="E534" authorId="0" shapeId="0">
      <text>
        <t>评分项：F4 资源使用；得分 2.0/2
实际工作与缺口：两步生产链简洁，没有因脚本少或单价低额外加分。
原件：D:\项目2\Qwen\第一轮
核查依据：evaluation_run_metrics；evaluation_action；autonomy_repairs正式记录
核查方式：原件审读、现有独立核验复查及本轮定向检查
问题编号：Qwen-1-F4
评测方补做：仅用于核验，不计作原AI完成</t>
      </text>
    </comment>
    <comment ref="E535" authorId="0" shapeId="0">
      <text>
        <t>评分项：A1 粒度与语义；得分 4.0/4
实际工作与缺口：请求、时间及原始记录单位说明完整。
原件：D:\项目2\Qwen\第二轮
核查依据：分析说明.md；数据质量工作表
核查方式：原件审读、现有独立核验复查及本轮定向检查
问题编号：Qwen-2-A1
评测方补做：仅用于核验，不计作原AI完成</t>
      </text>
    </comment>
    <comment ref="E536" authorId="0" shapeId="0">
      <text>
        <t>评分项：A2 数据质量判断；得分 4.0/4
实际工作与缺口：检查全量44字段、唯一性、无效时长及近期删失。
原件：D:\项目2\Qwen\第二轮
核查依据：分析说明.md；数据质量工作表
核查方式：原件审读、现有独立核验复查及本轮定向检查
问题编号：Qwen-2-A2
评测方补做：仅用于核验，不计作原AI完成</t>
      </text>
    </comment>
    <comment ref="E537" authorId="0" shapeId="0">
      <text>
        <t>评分项：A3 问题可回答性；得分 2.25/3
实际工作与缺口：增量和季节问题可以检验，天气驱动与类别承接仍含未经验证解释。
原件：D:\项目2\Qwen\第二轮
核查依据：分析说明.md；数据质量工作表
核查方式：原件审读、现有独立核验复查及本轮定向检查
问题编号：Qwen-2-A3
评测方补做：仅用于核验，不计作原AI完成</t>
      </text>
    </comment>
    <comment ref="E538" authorId="0" shapeId="0">
      <text>
        <t>评分项：A4 问题优先级；得分 4.0/4
实际工作与缺口：围绕增量、冬季道路、时效、渠道和口径变化组织调查。
原件：D:\项目2\Qwen\第二轮
核查依据：分析说明.md；数据质量工作表
核查方式：原件审读、现有独立核验复查及本轮定向检查
问题编号：Qwen-2-A4
评测方补做：仅用于核验，不计作原AI完成</t>
      </text>
    </comment>
    <comment ref="E539" authorId="0" shapeId="0">
      <text>
        <t>评分项：B1 数字与口径；得分 4.5/6
实际工作与缺口：主要创建量正确，但时长对比所称变化混用了11个月和9个月窗口。
原件：D:\项目2\Qwen\第二轮
核查依据：分析说明.md；evaluation_numeric_check.json对应AI正式版本；maintenance_query_results.json
核查方式：原件审读、现有独立核验复查及本轮定向检查
问题编号：QW2-WINDOW
评测方补做：仅用于核验，不计作原AI完成</t>
      </text>
    </comment>
    <comment ref="E540" authorId="0" shapeId="0">
      <text>
        <t>评分项：B2 可比性；得分 1.25/5
实际工作与缺口：一侧因成熟度截至5月，另一侧保留至8月，仍解释同类时长变化。
原件：D:\项目2\Qwen\第二轮
核查依据：分析说明.md；evaluation_numeric_check.json对应AI正式版本；maintenance_query_results.json
核查方式：原件审读、现有独立核验复查及本轮定向检查
问题编号：QW2-WINDOW
评测方补做：仅用于核验，不计作原AI完成</t>
      </text>
    </comment>
    <comment ref="E541" authorId="0" shapeId="0">
      <text>
        <t>评分项：B3 来源链；得分 5.0/5
实际工作与缺口：三脚本、CSV及九页工作簿能追到计算来源。
原件：D:\项目2\Qwen\第二轮
核查依据：分析说明.md；evaluation_numeric_check.json对应AI正式版本；maintenance_query_results.json
核查方式：原件审读、现有独立核验复查及本轮定向检查
问题编号：Qwen-2-B3
评测方补做：仅用于核验，不计作原AI完成</t>
      </text>
    </comment>
    <comment ref="E542" authorId="0" shapeId="0">
      <text>
        <t>评分项：B4 解释成立；得分 2.0/4
实际工作与缺口：没有用相同窗口验证时长变化，部分新旧分类合并被写成确定关系。
原件：D:\项目2\Qwen\第二轮
核查依据：分析说明.md；evaluation_numeric_check.json对应AI正式版本；maintenance_query_results.json
核查方式：原件审读、现有独立核验复查及本轮定向检查
问题编号：QW2-WINDOW
评测方补做：仅用于核验，不计作原AI完成</t>
      </text>
    </comment>
    <comment ref="E543" authorId="0" shapeId="0">
      <text>
        <t>评分项：C1 差异分解；得分 4.0/4
实际工作与缺口：同比贡献拆分与排除天气敏感类的剩余增量均有计算。
原件：D:\项目2\Qwen\第二轮
核查依据：分析说明.md主要发现；原分析SQL与汇总
核查方式：原件审读、现有独立核验复查及本轮定向检查
问题编号：Qwen-2-C1
评测方补做：仅用于核验，不计作原AI完成</t>
      </text>
    </comment>
    <comment ref="E544" authorId="0" shapeId="0">
      <text>
        <t>评分项：C2 下钻调查；得分 4.0/4
实际工作与缺口：查道路描述、Drug Activity地区与描述、渠道和分类变化。
原件：D:\项目2\Qwen\第二轮
核查依据：分析说明.md主要发现；原分析SQL与汇总
核查方式：原件审读、现有独立核验复查及本轮定向检查
问题编号：Qwen-2-C2
评测方补做：仅用于核验，不计作原AI完成</t>
      </text>
    </comment>
    <comment ref="E545" authorId="0" shapeId="0">
      <text>
        <t>评分项：C3 稳健性与替代解释；得分 2.5/5
实际工作与缺口：加入若干剔除与成熟子集，主要时长比较仍未做两端同月匹配。
原件：D:\项目2\Qwen\第二轮
核查依据：分析说明.md主要发现；原分析SQL与汇总
核查方式：原件审读、现有独立核验复查及本轮定向检查
问题编号：QW2-WINDOW
评测方补做：仅用于核验，不计作原AI完成</t>
      </text>
    </comment>
    <comment ref="E546" authorId="0" shapeId="0">
      <text>
        <t>评分项：C4 据证据修正；得分 2.0/4
实际工作与缺口：发现删失后只截去一侧月份，修正未同时维护比较条件。
原件：D:\项目2\Qwen\第二轮
核查依据：分析说明.md主要发现；原分析SQL与汇总
核查方式：原件审读、现有独立核验复查及本轮定向检查
问题编号：QW2-WINDOW
评测方补做：仅用于核验，不计作原AI完成</t>
      </text>
    </comment>
    <comment ref="E547" authorId="0" shapeId="0">
      <text>
        <t>评分项：C5 范围与停止；得分 2.25/3
实际工作与缺口：有五条重点，但弱分类解释与错窗比较留在主要发现。
原件：D:\项目2\Qwen\第二轮
核查依据：分析说明.md主要发现；原分析SQL与汇总
核查方式：原件审读、现有独立核验复查及本轮定向检查
问题编号：Qwen-2-C5
评测方补做：仅用于核验，不计作原AI完成</t>
      </text>
    </comment>
    <comment ref="E548" authorId="0" shapeId="0">
      <text>
        <t>评分项：D1 阅读入口与步骤；得分 4.0/4
实际工作与缺口：三脚本顺序、依赖版本、CSV位置与工作表对应完整。
原件：D:\项目2\Qwen\第二轮
核查依据：分析说明.md复现段；原生产脚本；strict_repro_20260922核验记录；维护核查记录
核查方式：原件审读、现有独立核验复查及本轮定向检查
问题编号：Qwen-2-D1
评测方补做：仅用于核验，不计作原AI完成</t>
      </text>
    </comment>
    <comment ref="E549" authorId="0" shapeId="0">
      <text>
        <t>评分项：D2 过程可理解；得分 4.5/6
实际工作与缺口：主要代码职责可理解，但成熟队列与同比窗口的交叉影响未解释清楚。
原件：D:\项目2\Qwen\第二轮
核查依据：分析说明.md复现段；原生产脚本；strict_repro_20260922核验记录；维护核查记录
核查方式：原件审读、现有独立核验复查及本轮定向检查
问题编号：Qwen-2-D2
评测方补做：仅用于核验，不计作原AI完成</t>
      </text>
    </comment>
    <comment ref="E550" authorId="0" shapeId="0">
      <text>
        <t>评分项：D3 结果可重做；得分 6.0/6
实际工作与缺口：既有生产链运行并核对汇总，输出回原路径属于配置问题；原始计算可重做。
原件：D:\项目2\Qwen\第二轮
核查依据：分析说明.md复现段；原生产脚本；strict_repro_20260922核验记录；维护核查记录
核查方式：原件审读、现有独立核验复查及本轮定向检查
问题编号：Qwen-2-D3
评测方补做：仅用于核验，不计作原AI完成</t>
      </text>
    </comment>
    <comment ref="E551" authorId="0" shapeId="0">
      <text>
        <t>评分项：D4 更新与错误定位；得分 3.0/6
实际工作与缺口：多个窗口及文字常量分布在计算和构建文件，调整后需自行追踪全部摘要。
原件：D:\项目2\Qwen\第二轮
核查依据：分析说明.md复现段；原生产脚本；strict_repro_20260922核验记录；维护核查记录
核查方式：原件审读、现有独立核验复查及本轮定向检查
问题编号：Qwen-2-D4
评测方补做：仅用于核验，不计作原AI完成</t>
      </text>
    </comment>
    <comment ref="E552" authorId="0" shapeId="0">
      <text>
        <t>评分项：D5 原AI的成品检查；得分 1.5/3
实际工作与缺口：检查九表十五图结构和单元格，未见最终原生阅读面及同窗语义核查。
原件：D:\项目2\Qwen\第二轮
核查依据：分析说明.md复现段；原生产脚本；strict_repro_20260922核验记录；维护核查记录
核查方式：原件审读、现有独立核验复查及本轮定向检查
问题编号：Qwen-2-D5
评测方补做：仅用于核验，不计作原AI完成</t>
      </text>
    </comment>
    <comment ref="E553" authorId="0" shapeId="0">
      <text>
        <t>评分项：E1 阅读与比较；得分 3.0/4
实际工作与缺口：主要问题与专题可定位，但正确阅读时长比较需自行追查窗口。
原件：D:\项目2\Qwen\第二轮
核查依据：最终成果.xlsx；Qwen2_sheet原生导出及窗口截图
核查方式：原件审读、现有独立核验复查及本轮定向检查
问题编号：QW2-WINDOW
评测方补做：仅用于核验，不计作原AI完成</t>
      </text>
    </comment>
    <comment ref="E554" authorId="0" shapeId="0">
      <text>
        <t>评分项：E2 画面与交互；得分 1.5/3
实际工作与缺口：月度长列名截断，图例逐月列出，标题与轴阅读不佳。
原件：D:\项目2\Qwen\第二轮
核查依据：最终成果.xlsx；Qwen2_sheet原生导出及窗口截图
核查方式：原件审读、现有独立核验复查及本轮定向检查
问题编号：Qwen-2-E2
评测方补做：仅用于核验，不计作原AI完成</t>
      </text>
    </comment>
    <comment ref="E555" authorId="0" shapeId="0">
      <text>
        <t>评分项：E3 文件一致与完成声明；得分 2.25/3
实际工作与缺口：文件齐备，但错窗生成的变化和分类解释同时进入说明与表。
原件：D:\项目2\Qwen\第二轮
核查依据：最终成果.xlsx；Qwen2_sheet原生导出及窗口截图
核查方式：原件审读、现有独立核验复查及本轮定向检查
问题编号：QW2-WINDOW
评测方补做：仅用于核验，不计作原AI完成</t>
      </text>
    </comment>
    <comment ref="E556" authorId="0" shapeId="0">
      <text>
        <t>评分项：F1 原运行独立性；得分 3.0/3
实际工作与缺口：独立完成，两轮没有他者代做收尾。
原件：D:\项目2\Qwen\第二轮
核查依据：evaluation_run_metrics；evaluation_action；autonomy_repairs正式记录
核查方式：原件审读、现有独立核验复查及本轮定向检查
问题编号：Qwen-2-F1
评测方补做：仅用于核验，不计作原AI完成</t>
      </text>
    </comment>
    <comment ref="E557" authorId="0" shapeId="0">
      <text>
        <t>评分项：F2 交后修正负担；得分 0.75/3
实际工作与缺口：用户必须重做时长比较并同步解释，增加实质返工。
原件：D:\项目2\Qwen\第二轮
核查依据：evaluation_run_metrics；evaluation_action；autonomy_repairs正式记录
核查方式：原件审读、现有独立核验复查及本轮定向检查
问题编号：QW2-WINDOW
评测方补做：仅用于核验，不计作原AI完成</t>
      </text>
    </comment>
    <comment ref="E558" authorId="0" shapeId="0">
      <text>
        <t>评分项：F3 失败处理；得分 2.0/2
实际工作与缺口：虽有工具失败，后续完成处理；耗时长本身不作为失败处理扣分。
原件：D:\项目2\Qwen\第二轮
核查依据：evaluation_run_metrics；evaluation_action；autonomy_repairs正式记录
核查方式：原件审读、现有独立核验复查及本轮定向检查
问题编号：Qwen-2-F3
评测方补做：仅用于核验，不计作原AI完成</t>
      </text>
    </comment>
    <comment ref="E559" authorId="0" shapeId="0">
      <text>
        <t>评分项：F4 资源使用；得分 2.0/2
实际工作与缺口：已记录动作多服务于分析和图表，本次不因60.2分钟或14.33元单独扣F4。
原件：D:\项目2\Qwen\第二轮
核查依据：evaluation_run_metrics；evaluation_action；autonomy_repairs正式记录
核查方式：原件审读、现有独立核验复查及本轮定向检查
问题编号：Qwen-2-F4
评测方补做：仅用于核验，不计作原AI完成</t>
      </text>
    </comment>
    <comment ref="E560" authorId="0" shapeId="0">
      <text>
        <t>评分项：A1 粒度与语义；得分 1.0/4
实际工作与缺口：将地址当报告者或楼宇，把记录率当居民遇到问题概率。
原件：D:\项目2\Gemini\第一轮
核查依据：分析说明.md；数据质量工作表
核查方式：原件审读、现有独立核验复查及本轮定向检查
问题编号：GE1-ADDR
评测方补做：仅用于核验，不计作原AI完成</t>
      </text>
    </comment>
    <comment ref="E561" authorId="0" shapeId="0">
      <text>
        <t>评分项：A2 数据质量判断；得分 2.0/4
实际工作与缺口：检查总量、缺失与负时长，却把270483条缺地址归为一个高频地址。
原件：D:\项目2\Gemini\第一轮
核查依据：分析说明.md；数据质量工作表
核查方式：原件审读、现有独立核验复查及本轮定向检查
问题编号：GE1-ADDR
评测方补做：仅用于核验，不计作原AI完成</t>
      </text>
    </comment>
    <comment ref="E562" authorId="0" shapeId="0">
      <text>
        <t>评分项：A3 问题可回答性；得分 0.75/3
实际工作与缺口：人口不平等、房东动机与警务资源浪费缺少授权输入和识别依据。
原件：D:\项目2\Gemini\第一轮
核查依据：分析说明.md；数据质量工作表
核查方式：原件审读、现有独立核验复查及本轮定向检查
问题编号：Gemini-1-A3
评测方补做：仅用于核验，不计作原AI完成</t>
      </text>
    </comment>
    <comment ref="E563" authorId="0" shapeId="0">
      <text>
        <t>评分项：A4 问题优先级；得分 2.0/4
实际工作与缺口：虽找到异常地址与时段结构，重点被缺少依据的治理解释扩展。
原件：D:\项目2\Gemini\第一轮
核查依据：分析说明.md；数据质量工作表
核查方式：原件审读、现有独立核验复查及本轮定向检查
问题编号：Gemini-1-A4
评测方补做：仅用于核验，不计作原AI完成</t>
      </text>
    </comment>
    <comment ref="E564" authorId="0" shapeId="0">
      <text>
        <t>评分项：B1 数字与口径；得分 1.5/6
实际工作与缺口：高频地址应为150个553473条，万人率155.1应为1551.45，主要发现多处错误。
原件：D:\项目2\Gemini\第一轮
核查依据：分析说明.md；evaluation_numeric_check.json对应AI正式版本；maintenance_query_results.json
核查方式：原件审读、现有独立核验复查及本轮定向检查
问题编号：GE1-ADDR
评测方补做：仅用于核验，不计作原AI完成</t>
      </text>
    </comment>
    <comment ref="E565" authorId="0" shapeId="0">
      <text>
        <t>评分项：B2 可比性；得分 2.5/5
实际工作与缺口：排除部分无效时长，但曜日累计量当日均、人口基准与窗口没有可靠可比依据。
原件：D:\项目2\Gemini\第一轮
核查依据：分析说明.md；evaluation_numeric_check.json对应AI正式版本；maintenance_query_results.json
核查方式：原件审读、现有独立核验复查及本轮定向检查
问题编号：GE1-ADDR
评测方补做：仅用于核验，不计作原AI完成</t>
      </text>
    </comment>
    <comment ref="E566" authorId="0" shapeId="0">
      <text>
        <t>评分项：B3 来源链；得分 2.5/5
实际工作与缺口：部分聚合可回查，人口及主要政策因果缺少授权来源链。
原件：D:\项目2\Gemini\第一轮
核查依据：分析说明.md；evaluation_numeric_check.json对应AI正式版本；maintenance_query_results.json
核查方式：原件审读、现有独立核验复查及本轮定向检查
问题编号：Gemini-1-B3
评测方补做：仅用于核验，不计作原AI完成</t>
      </text>
    </comment>
    <comment ref="E567" authorId="0" shapeId="0">
      <text>
        <t>评分项：B4 解释成立；得分 0.0/4
实际工作与缺口：从地址、关键词和时长直接推导人群行为与执法效率，关键解释不成立。
原件：D:\项目2\Gemini\第一轮
核查依据：分析说明.md；evaluation_numeric_check.json对应AI正式版本；maintenance_query_results.json
核查方式：原件审读、现有独立核验复查及本轮定向检查
问题编号：GE1-ADDR
评测方补做：仅用于核验，不计作原AI完成</t>
      </text>
    </comment>
    <comment ref="E568" authorId="0" shapeId="0">
      <text>
        <t>评分项：C1 差异分解；得分 2.0/4
实际工作与缺口：做地址分层、机构和时间构成，但核心分母被空地址污染。
原件：D:\项目2\Gemini\第一轮
核查依据：分析说明.md主要发现；原分析SQL与汇总
核查方式：原件审读、现有独立核验复查及本轮定向检查
问题编号：GE1-ADDR
评测方补做：仅用于核验，不计作原AI完成</t>
      </text>
    </comment>
    <comment ref="E569" authorId="0" shapeId="0">
      <text>
        <t>评分项：C2 下钻调查；得分 2.0/4
实际工作与缺口：有地址和关闭文本细查，未正确区分对象及否定语境。
原件：D:\项目2\Gemini\第一轮
核查依据：分析说明.md主要发现；原分析SQL与汇总
核查方式：原件审读、现有独立核验复查及本轮定向检查
问题编号：Gemini-1-C2
评测方补做：仅用于核验，不计作原AI完成</t>
      </text>
    </comment>
    <comment ref="E570" authorId="0" shapeId="0">
      <text>
        <t>评分项：C3 稳健性与替代解释；得分 0.0/5
实际工作与缺口：未见支持核心治理解释的替代解释检验或稳定性对照。
原件：D:\项目2\Gemini\第一轮
核查依据：分析说明.md主要发现；原分析SQL与汇总
核查方式：原件审读、现有独立核验复查及本轮定向检查
问题编号：Gemini-1-C3
评测方补做：仅用于核验，不计作原AI完成</t>
      </text>
    </comment>
    <comment ref="E571" authorId="0" shapeId="0">
      <text>
        <t>评分项：C4 据证据修正；得分 1.0/4
实际工作与缺口：自检后仍保留多处表内正确值与叙述错值，无法支撑全部一致声明。
原件：D:\项目2\Gemini\第一轮
核查依据：分析说明.md主要发现；原分析SQL与汇总
核查方式：原件审读、现有独立核验复查及本轮定向检查
问题编号：Gemini-1-C4
评测方补做：仅用于核验，不计作原AI完成</t>
      </text>
    </comment>
    <comment ref="E572" authorId="0" shapeId="0">
      <text>
        <t>评分项：C5 范围与停止；得分 0.75/3
实际工作与缺口：多个缺少数据支持的政策建议保留在主要结论。
原件：D:\项目2\Gemini\第一轮
核查依据：分析说明.md主要发现；原分析SQL与汇总
核查方式：原件审读、现有独立核验复查及本轮定向检查
问题编号：Gemini-1-C5
评测方补做：仅用于核验，不计作原AI完成</t>
      </text>
    </comment>
    <comment ref="E573" authorId="0" shapeId="0">
      <text>
        <t>评分项：D1 阅读入口与步骤；得分 1.0/4
实际工作与缺口：说明主要是阅读指南，缺少明确可执行顺序和环境配置。
原件：D:\项目2\Gemini\第一轮
核查依据：分析说明.md复现段；原生产脚本；strict_repro_20260922核验记录；维护核查记录
核查方式：原件审读、现有独立核验复查及本轮定向检查
问题编号：Gemini-1-D1
评测方补做：仅用于核验，不计作原AI完成</t>
      </text>
    </comment>
    <comment ref="E574" authorId="0" shapeId="0">
      <text>
        <t>评分项：D2 过程可理解；得分 3.0/6
实际工作与缺口：有聚合与分母说明，但错误对象含义会使维护者继续沿用错误逻辑。
原件：D:\项目2\Gemini\第一轮
核查依据：分析说明.md复现段；原生产脚本；strict_repro_20260922核验记录；维护核查记录
核查方式：原件审读、现有独立核验复查及本轮定向检查
问题编号：Gemini-1-D2
评测方补做：仅用于核验，不计作原AI完成</t>
      </text>
    </comment>
    <comment ref="E575" authorId="0" shapeId="0">
      <text>
        <t>评分项：D3 结果可重做；得分 4.5/6
实际工作与缺口：既有聚合与分表脚本可执行，最后组装路径需配置；核心错误值可追到计算。
原件：D:\项目2\Gemini\第一轮
核查依据：分析说明.md复现段；原生产脚本；strict_repro_20260922核验记录；维护核查记录
核查方式：原件审读、现有独立核验复查及本轮定向检查
问题编号：Gemini-1-D3
评测方补做：仅用于核验，不计作原AI完成</t>
      </text>
    </comment>
    <comment ref="E576" authorId="0" shapeId="0">
      <text>
        <t>评分项：D4 更新与错误定位；得分 1.5/6
实际工作与缺口：类别、静态文字、人口常量分散，错误修订后影响范围未说明。
原件：D:\项目2\Gemini\第一轮
核查依据：分析说明.md复现段；原生产脚本；strict_repro_20260922核验记录；维护核查记录
核查方式：原件审读、现有独立核验复查及本轮定向检查
问题编号：Gemini-1-D4
评测方补做：仅用于核验，不计作原AI完成</t>
      </text>
    </comment>
    <comment ref="E577" authorId="0" shapeId="0">
      <text>
        <t>评分项：D5 原AI的成品检查；得分 0.75/3
实际工作与缺口：仅结构与合计检查，未核对主要主张语义及最终阅读面。
原件：D:\项目2\Gemini\第一轮
核查依据：分析说明.md复现段；原生产脚本；strict_repro_20260922核验记录；维护核查记录
核查方式：原件审读、现有独立核验复查及本轮定向检查
问题编号：Gemini-1-D5
评测方补做：仅用于核验，不计作原AI完成</t>
      </text>
    </comment>
    <comment ref="E578" authorId="0" shapeId="0">
      <text>
        <t>评分项：E1 阅读与比较；得分 2.0/4
实际工作与缺口：有四个发现和导航，文字密集且解释与证据混在一起。
原件：D:\项目2\Gemini\第一轮
核查依据：最终成果.xlsx；Gemini1_sheet原生导出及窗口截图
核查方式：原件审读、现有独立核验复查及本轮定向检查
问题编号：Gemini-1-E1
评测方补做：仅用于核验，不计作原AI完成</t>
      </text>
    </comment>
    <comment ref="E579" authorId="0" shapeId="0">
      <text>
        <t>评分项：E2 画面与交互；得分 1.5/3
实际工作与缺口：总览右侧KPI拥挤重叠，底部索引表文字截断。
原件：D:\项目2\Gemini\第一轮
核查依据：最终成果.xlsx；Gemini1_sheet原生导出及窗口截图
核查方式：原件审读、现有独立核验复查及本轮定向检查
问题编号：Gemini-1-E2
评测方补做：仅用于核验，不计作原AI完成</t>
      </text>
    </comment>
    <comment ref="E580" authorId="0" shapeId="0">
      <text>
        <t>评分项：E3 文件一致与完成声明；得分 0.75/3
实际工作与缺口：宣称100%精确映射，实际万人率标题与单元格不同且关键统计错误。
原件：D:\项目2\Gemini\第一轮
核查依据：最终成果.xlsx；Gemini1_sheet原生导出及窗口截图
核查方式：原件审读、现有独立核验复查及本轮定向检查
问题编号：GE1-ADDR
评测方补做：仅用于核验，不计作原AI完成</t>
      </text>
    </comment>
    <comment ref="E581" authorId="0" shapeId="0">
      <text>
        <t>评分项：F1 原运行独立性；得分 3.0/3
实际工作与缺口：独立生成必交文件，未发现他者收尾。
原件：D:\项目2\Gemini\第一轮
核查依据：evaluation_run_metrics；evaluation_action；autonomy_repairs正式记录
核查方式：原件审读、现有独立核验复查及本轮定向检查
问题编号：Gemini-1-F1
评测方补做：仅用于核验，不计作原AI完成</t>
      </text>
    </comment>
    <comment ref="E582" authorId="0" shapeId="0">
      <text>
        <t>评分项：F2 交后修正负担；得分 0.0/3
实际工作与缺口：多项核心统计、含义与建议需要用户重新修订，现成结论无法直接采用。
原件：D:\项目2\Gemini\第一轮
核查依据：evaluation_run_metrics；evaluation_action；autonomy_repairs正式记录
核查方式：原件审读、现有独立核验复查及本轮定向检查
问题编号：GE1-ADDR
评测方补做：仅用于核验，不计作原AI完成</t>
      </text>
    </comment>
    <comment ref="E583" authorId="0" shapeId="0">
      <text>
        <t>评分项：F3 失败处理；得分 1.5/2
实际工作与缺口：两次编码等运行问题后继续完成，处理过程仍有局部重复。
原件：D:\项目2\Gemini\第一轮
核查依据：evaluation_run_metrics；evaluation_action；autonomy_repairs正式记录
核查方式：原件审读、现有独立核验复查及本轮定向检查
问题编号：Gemini-1-F3
评测方补做：仅用于核验，不计作原AI完成</t>
      </text>
    </comment>
    <comment ref="E584" authorId="0" shapeId="0">
      <text>
        <t>评分项：F4 资源使用；得分 2.0/2
实际工作与缺口：没有确认脱离任务的额外消耗，不把缺失Token或订阅账单写为免费。
原件：D:\项目2\Gemini\第一轮
核查依据：evaluation_run_metrics；evaluation_action；autonomy_repairs正式记录
核查方式：原件审读、现有独立核验复查及本轮定向检查
问题编号：Gemini-1-F4
评测方补做：仅用于核验，不计作原AI完成</t>
      </text>
    </comment>
    <comment ref="E585" authorId="0" shapeId="0">
      <text>
        <t>评分项：A1 粒度与语义；得分 3.0/4
实际工作与缺口：请求与事件有所区分，但原始地址仍被称为建筑并推出建筑治理收益。
原件：D:\项目2\Gemini\第二轮
核查依据：分析说明.md；数据质量工作表
核查方式：原件审读、现有独立核验复查及本轮定向检查
问题编号：Gemini-2-A1
评测方补做：仅用于核验，不计作原AI完成</t>
      </text>
    </comment>
    <comment ref="E586" authorId="0" shapeId="0">
      <text>
        <t>评分项：A2 数据质量判断；得分 3.0/4
实际工作与缺口：检查完整月、状态和成熟子集；关键词否定语境未纳入质量检查。
原件：D:\项目2\Gemini\第二轮
核查依据：分析说明.md；数据质量工作表
核查方式：原件审读、现有独立核验复查及本轮定向检查
问题编号：GE2-ARREST
评测方补做：仅用于核验，不计作原AI完成</t>
      </text>
    </comment>
    <comment ref="E587" authorId="0" shapeId="0">
      <text>
        <t>评分项：A3 问题可回答性；得分 1.5/3
实际工作与缺口：增长、集中度可计算，因果链确证与警务判断超出数据支持。
原件：D:\项目2\Gemini\第二轮
核查依据：分析说明.md；数据质量工作表
核查方式：原件审读、现有独立核验复查及本轮定向检查
问题编号：Gemini-2-A3
评测方补做：仅用于核验，不计作原AI完成</t>
      </text>
    </comment>
    <comment ref="E588" authorId="0" shapeId="0">
      <text>
        <t>评分项：A4 问题优先级；得分 3.0/4
实际工作与缺口：从增长追到日期、类别和地址，若干重点仍由预设治理叙述驱动。
原件：D:\项目2\Gemini\第二轮
核查依据：分析说明.md；数据质量工作表
核查方式：原件审读、现有独立核验复查及本轮定向检查
问题编号：Gemini-2-A4
评测方补做：仅用于核验，不计作原AI完成</t>
      </text>
    </comment>
    <comment ref="E589" authorId="0" shapeId="0">
      <text>
        <t>评分项：B1 数字与口径；得分 3.0/6
实际工作与缺口：主要增量成立，但arrest关键词95943条中95784为否定，肯定仅159条。
原件：D:\项目2\Gemini\第二轮
核查依据：分析说明.md；evaluation_numeric_check.json对应AI正式版本；maintenance_query_results.json
核查方式：原件审读、现有独立核验复查及本轮定向检查
问题编号：GE2-ARREST
评测方补做：仅用于核验，不计作原AI完成</t>
      </text>
    </comment>
    <comment ref="E590" authorId="0" shapeId="0">
      <text>
        <t>评分项：B2 可比性；得分 3.75/5
实际工作与缺口：采用同月成熟区间，仍将记录构成和累计份额用于未经调整的人群比较。
原件：D:\项目2\Gemini\第二轮
核查依据：分析说明.md；evaluation_numeric_check.json对应AI正式版本；maintenance_query_results.json
核查方式：原件审读、现有独立核验复查及本轮定向检查
问题编号：Gemini-2-B2
评测方补做：仅用于核验，不计作原AI完成</t>
      </text>
    </comment>
    <comment ref="E591" authorId="0" shapeId="0">
      <text>
        <t>评分项：B3 来源链；得分 3.75/5
实际工作与缺口：增长和Pareto有脚本与表，天气、人口及字典重构没有相应授权证据。
原件：D:\项目2\Gemini\第二轮
核查依据：分析说明.md；evaluation_numeric_check.json对应AI正式版本；maintenance_query_results.json
核查方式：原件审读、现有独立核验复查及本轮定向检查
问题编号：Gemini-2-B3
评测方补做：仅用于核验，不计作原AI完成</t>
      </text>
    </comment>
    <comment ref="E592" authorId="0" shapeId="0">
      <text>
        <t>评分项：B4 解释成立；得分 0.0/4
实际工作与缺口：以时序相邻确认暴雪冻融因果，并将否定拘捕文本当肯定，核心解释不成立。
原件：D:\项目2\Gemini\第二轮
核查依据：分析说明.md；evaluation_numeric_check.json对应AI正式版本；maintenance_query_results.json
核查方式：原件审读、现有独立核验复查及本轮定向检查
问题编号：GE2-ARREST
评测方补做：仅用于核验，不计作原AI完成</t>
      </text>
    </comment>
    <comment ref="E593" authorId="0" shapeId="0">
      <text>
        <t>评分项：C1 差异分解；得分 4.0/4
实际工作与缺口：按渠道、类型、机构分解增长，合计核对成立。
原件：D:\项目2\Gemini\第二轮
核查依据：分析说明.md主要发现；原分析SQL与汇总
核查方式：原件审读、现有独立核验复查及本轮定向检查
问题编号：Gemini-2-C1
评测方补做：仅用于核验，不计作原AI完成</t>
      </text>
    </comment>
    <comment ref="E594" authorId="0" shapeId="0">
      <text>
        <t>评分项：C2 下钻调查；得分 3.0/4
实际工作与缺口：深入峰日、供暖集中地址和处置文本，但语义核查不足。
原件：D:\项目2\Gemini\第二轮
核查依据：分析说明.md主要发现；原分析SQL与汇总
核查方式：原件审读、现有独立核验复查及本轮定向检查
问题编号：GE2-ARREST
评测方补做：仅用于核验，不计作原AI完成</t>
      </text>
    </comment>
    <comment ref="E595" authorId="0" shapeId="0">
      <text>
        <t>评分项：C3 稳健性与替代解释；得分 2.5/5
实际工作与缺口：处理成熟队列并查看集中度，未排除渠道变化或其他机制解释。
原件：D:\项目2\Gemini\第二轮
核查依据：分析说明.md主要发现；原分析SQL与汇总
核查方式：原件审读、现有独立核验复查及本轮定向检查
问题编号：Gemini-2-C3
评测方补做：仅用于核验，不计作原AI完成</t>
      </text>
    </comment>
    <comment ref="E596" authorId="0" shapeId="0">
      <text>
        <t>评分项：C4 据证据修正；得分 1.0/4
实际工作与缺口：未处理否定语境与因果证据不足，核查声明未落实到主要结论。
原件：D:\项目2\Gemini\第二轮
核查依据：分析说明.md主要发现；原分析SQL与汇总
核查方式：原件审读、现有独立核验复查及本轮定向检查
问题编号：GE2-ARREST
评测方补做：仅用于核验，不计作原AI完成</t>
      </text>
    </comment>
    <comment ref="E597" authorId="0" shapeId="0">
      <text>
        <t>评分项：C5 范围与停止；得分 0.75/3
实际工作与缺口：继续发布治理可消除等比例投诉等弱建议，未在停止前降级。
原件：D:\项目2\Gemini\第二轮
核查依据：分析说明.md主要发现；原分析SQL与汇总
核查方式：原件审读、现有独立核验复查及本轮定向检查
问题编号：Gemini-2-C5
评测方补做：仅用于核验，不计作原AI完成</t>
      </text>
    </comment>
    <comment ref="E598" authorId="0" shapeId="0">
      <text>
        <t>评分项：D1 阅读入口与步骤；得分 3.0/4
实际工作与缺口：列脚本顺序和数据文件，环境与必要目录配置交代不完整。
原件：D:\项目2\Gemini\第二轮
核查依据：分析说明.md复现段；原生产脚本；strict_repro_20260922核验记录；维护核查记录
核查方式：原件审读、现有独立核验复查及本轮定向检查
问题编号：Gemini-2-D1
评测方补做：仅用于核验，不计作原AI完成</t>
      </text>
    </comment>
    <comment ref="E599" authorId="0" shapeId="0">
      <text>
        <t>评分项：D2 过程可理解；得分 3.0/6
实际工作与缺口：计算过程可查，业务推断与统计计算混写，维护者难以识别哪些解释需重证。
原件：D:\项目2\Gemini\第二轮
核查依据：分析说明.md复现段；原生产脚本；strict_repro_20260922核验记录；维护核查记录
核查方式：原件审读、现有独立核验复查及本轮定向检查
问题编号：Gemini-2-D2
评测方补做：仅用于核验，不计作原AI完成</t>
      </text>
    </comment>
    <comment ref="E600" authorId="0" shapeId="0">
      <text>
        <t>评分项：D3 结果可重做；得分 6.0/6
实际工作与缺口：本轮隔离执行原04脚本成功生成四份分解；主要汇总可从冻结输入重做。
原件：D:\项目2\Gemini\第二轮
核查依据：分析说明.md复现段；原生产脚本；strict_repro_20260922核验记录；维护核查记录
核查方式：原件审读、现有独立核验复查及本轮定向检查
问题编号：Gemini-2-D3
评测方补做：仅用于核验，不计作原AI完成</t>
      </text>
    </comment>
    <comment ref="E601" authorId="0" shapeId="0">
      <text>
        <t>评分项：D4 更新与错误定位；得分 1.5/6
实际工作与缺口：贡献分母346695和文本硬填，改窗口后须跨脚本自行更新，未说明传播范围。
原件：D:\项目2\Gemini\第二轮
核查依据：分析说明.md复现段；原生产脚本；strict_repro_20260922核验记录；维护核查记录
核查方式：原件审读、现有独立核验复查及本轮定向检查
问题编号：Gemini-2-D4
评测方补做：仅用于核验，不计作原AI完成</t>
      </text>
    </comment>
    <comment ref="E602" authorId="0" shapeId="0">
      <text>
        <t>评分项：D5 原AI的成品检查；得分 0.75/3
实际工作与缺口：原运行主要检查结构和表数，没有验证拘捕语义与原生成品阅读面。
原件：D:\项目2\Gemini\第二轮
核查依据：分析说明.md复现段；原生产脚本；strict_repro_20260922核验记录；维护核查记录
核查方式：原件审读、现有独立核验复查及本轮定向检查
问题编号：GE2-ARREST
评测方补做：仅用于核验，不计作原AI完成</t>
      </text>
    </comment>
    <comment ref="E603" authorId="0" shapeId="0">
      <text>
        <t>评分项：E1 阅读与比较；得分 3.0/4
实际工作与缺口：六项发现有表号和回查入口，依据与因果判断的区分不可靠。
原件：D:\项目2\Gemini\第二轮
核查依据：最终成果.xlsx；Gemini2_sheet原生导出及窗口截图
核查方式：原件审读、现有独立核验复查及本轮定向检查
问题编号：Gemini-2-E1
评测方补做：仅用于核验，不计作原AI完成</t>
      </text>
    </comment>
    <comment ref="E604" authorId="0" shapeId="0">
      <text>
        <t>评分项：E2 画面与交互；得分 2.25/3
实际工作与缺口：原生总览大体可读，信息较密，部分长表头需要更大阅读空间。
原件：D:\项目2\Gemini\第二轮
核查依据：最终成果.xlsx；Gemini2_sheet原生导出及窗口截图
核查方式：原件审读、现有独立核验复查及本轮定向检查
问题编号：Gemini-2-E2
评测方补做：仅用于核验，不计作原AI完成</t>
      </text>
    </comment>
    <comment ref="E605" authorId="0" shapeId="0">
      <text>
        <t>评分项：E3 文件一致与完成声明；得分 0.75/3
实际工作与缺口：隔离和数据边界声明与现有G2/G4裁定不一致，关键解释错误也进入表文。
原件：D:\项目2\Gemini\第二轮
核查依据：最终成果.xlsx；Gemini2_sheet原生导出及窗口截图
核查方式：原件审读、现有独立核验复查及本轮定向检查
问题编号：GE2-ARREST
评测方补做：仅用于核验，不计作原AI完成</t>
      </text>
    </comment>
    <comment ref="E606" authorId="0" shapeId="0">
      <text>
        <t>评分项：F1 原运行独立性；得分 3.0/3
实际工作与缺口：独立完成分析与文件生成；目录元数据访问另列行为问题，原运行成果保留评分。
原件：D:\项目2\Gemini\第二轮
核查依据：evaluation_run_metrics；evaluation_action；autonomy_repairs正式记录
核查方式：原件审读、现有独立核验复查及本轮定向检查
问题编号：Gemini-2-F1
评测方补做：仅用于核验，不计作原AI完成</t>
      </text>
    </comment>
    <comment ref="E607" authorId="0" shapeId="0">
      <text>
        <t>评分项：F2 交后修正负担；得分 0.0/3
实际工作与缺口：核心文本分类及因果、人口、建筑建议均需人工重做，不能直接采用。
原件：D:\项目2\Gemini\第二轮
核查依据：evaluation_run_metrics；evaluation_action；autonomy_repairs正式记录
核查方式：原件审读、现有独立核验复查及本轮定向检查
问题编号：GE2-ARREST
评测方补做：仅用于核验，不计作原AI完成</t>
      </text>
    </comment>
    <comment ref="E608" authorId="0" shapeId="0">
      <text>
        <t>评分项：F3 失败处理；得分 2.0/2
实际工作与缺口：原运行遇错后完成处理，未确认重复失败回路。
原件：D:\项目2\Gemini\第二轮
核查依据：evaluation_run_metrics；evaluation_action；autonomy_repairs正式记录
核查方式：原件审读、现有独立核验复查及本轮定向检查
问题编号：Gemini-2-F3
评测方补做：仅用于核验，不计作原AI完成</t>
      </text>
    </comment>
    <comment ref="E609" authorId="0" shapeId="0">
      <text>
        <t>评分项：F4 资源使用；得分 2.0/2
实际工作与缺口：未确认无关重算，低耗时不能补偿结论错误。
原件：D:\项目2\Gemini\第二轮
核查依据：evaluation_run_metrics；evaluation_action；autonomy_repairs正式记录
核查方式：原件审读、现有独立核验复查及本轮定向检查
问题编号：Gemini-2-F4
评测方补做：仅用于核验，不计作原AI完成</t>
      </text>
    </comment>
    <comment ref="E610" authorId="0" shapeId="0">
      <text>
        <t>评分项：A1 粒度与语义；得分 3.0/4
实际工作与缺口：按请求、唯一键、创建时间组织分析，但把地址+类型+日的聚合称为事件簇、冗余记录，事件含义缺少验证。
原件：D:\项目2\_实验系统\报告素材\人工维护重评_20260922\Claude归属核查\接管前文本
核查依据：Claude归属核查/接管前来源.json；原生动作索引.json；Grok说明修订.diff；汇总重做核对.json；原06脚本及预览
核查方式：Cursor原生快照归属核对、30表隔离重做及接管前预览审读
问题编号：Claude-1-A1
评测方补做：仅用于核验，不计作原AI完成</t>
      </text>
    </comment>
    <comment ref="E611" authorId="0" shapeId="0">
      <text>
        <t>评分项：A2 数据质量判断；得分 2.0/4
实际工作与缺口：检查缺失、负时长、删失、口径切换和集中地址；仅凭高频就全局剔除185791条，未证明这些记录无效。
原件：D:\项目2\_实验系统\报告素材\人工维护重评_20260922\Claude归属核查\接管前文本
核查依据：Claude归属核查/接管前来源.json；原生动作索引.json；Grok说明修订.diff；汇总重做核对.json；原06脚本及预览
核查方式：Cursor原生快照归属核对、30表隔离重做及接管前预览审读
问题编号：CL1-EXCLUSION
评测方补做：仅用于核验，不计作原AI完成</t>
      </text>
    </comment>
    <comment ref="E612" authorId="0" shapeId="0">
      <text>
        <t>评分项：A3 问题可回答性；得分 2.25/3
实际工作与缺口：增长、季节性、渠道与结案构成有数据基础；从记录簇推出冗余、从天气敏感类推出天气来源仍超出观察。
原件：D:\项目2\_实验系统\报告素材\人工维护重评_20260922\Claude归属核查\接管前文本
核查依据：Claude归属核查/接管前来源.json；原生动作索引.json；Grok说明修订.diff；汇总重做核对.json；原06脚本及预览
核查方式：Cursor原生快照归属核对、30表隔离重做及接管前预览审读
问题编号：Claude-1-A3
评测方补做：仅用于核验，不计作原AI完成</t>
      </text>
    </comment>
    <comment ref="E613" authorId="0" shapeId="0">
      <text>
        <t>评分项：A4 问题优先级；得分 4.0/4
实际工作与缺口：从广泛探索收缩到异常地址、增长、分类切换、时效和结案性质，方向均有具体聚合支持。
原件：D:\项目2\_实验系统\报告素材\人工维护重评_20260922\Claude归属核查\接管前文本
核查依据：Claude归属核查/接管前来源.json；原生动作索引.json；Grok说明修订.diff；汇总重做核对.json；原06脚本及预览
核查方式：Cursor原生快照归属核对、30表隔离重做及接管前预览审读
问题编号：Claude-1-A4
评测方补做：仅用于核验，不计作原AI完成</t>
      </text>
    </comment>
    <comment ref="E614" authorId="0" shapeId="0">
      <text>
        <t>评分项：B1 数字与口径；得分 4.5/6
实际工作与缺口：主要总量和贡献可复算；接管前说明的0分钟135189应为141007，UNKNOWN百分比7.85应为8.05，Grok才修正。
原件：D:\项目2\_实验系统\报告素材\人工维护重评_20260922\Claude归属核查\接管前文本
核查依据：Claude归属核查/接管前来源.json；原生动作索引.json；Grok说明修订.diff；汇总重做核对.json；原06脚本及预览
核查方式：Cursor原生快照归属核对、30表隔离重做及接管前预览审读
问题编号：Claude-1-B1
评测方补做：仅用于核验，不计作原AI完成</t>
      </text>
    </comment>
    <comment ref="E615" authorId="0" shapeId="0">
      <text>
        <t>评分项：B2 可比性；得分 3.75/5
实际工作与缺口：同比相差一天已用日均调整，时效排除近月；全局删除异常地址改变了全城比较对象，缺少保留全量的主对照。
原件：D:\项目2\_实验系统\报告素材\人工维护重评_20260922\Claude归属核查\接管前文本
核查依据：Claude归属核查/接管前来源.json；原生动作索引.json；Grok说明修订.diff；汇总重做核对.json；原06脚本及预览
核查方式：Cursor原生快照归属核对、30表隔离重做及接管前预览审读
问题编号：CL1-EXCLUSION
评测方补做：仅用于核验，不计作原AI完成</t>
      </text>
    </comment>
    <comment ref="E616" authorId="0" shapeId="0">
      <text>
        <t>评分项：B3 来源链；得分 5.0/5
实际工作与缺口：01—15正式脚本均在Claude阶段形成，与现存版本逐份一致；30张CSV、原生调用及说明快照可追查主要结果。
原件：D:\项目2\_实验系统\报告素材\人工维护重评_20260922\Claude归属核查\接管前文本
核查依据：Claude归属核查/接管前来源.json；原生动作索引.json；Grok说明修订.diff；汇总重做核对.json；原06脚本及预览
核查方式：Cursor原生快照归属核对、30表隔离重做及接管前预览审读
问题编号：Claude-1-B3
评测方补做：仅用于核验，不计作原AI完成</t>
      </text>
    </comment>
    <comment ref="E617" authorId="0" shapeId="0">
      <text>
        <t>评分项：B4 解释成立；得分 2.0/4
实际工作与缺口：高频聚集确实存在，但必须删除、事件冗余下界与天气来源的解释依据不足；解释强于字段所能支持的结论。
原件：D:\项目2\_实验系统\报告素材\人工维护重评_20260922\Claude归属核查\接管前文本
核查依据：Claude归属核查/接管前来源.json；原生动作索引.json；Grok说明修订.diff；汇总重做核对.json；原06脚本及预览
核查方式：Cursor原生快照归属核对、30表隔离重做及接管前预览审读
问题编号：CL1-EXCLUSION
评测方补做：仅用于核验，不计作原AI完成</t>
      </text>
    </comment>
    <comment ref="E618" authorId="0" shapeId="0">
      <text>
        <t>评分项：C1 差异分解；得分 4.0/4
实际工作与缺口：按类型、机构拆分净增量362541，并核对分项之和；按行政区和渠道继续分解。
原件：D:\项目2\_实验系统\报告素材\人工维护重评_20260922\Claude归属核查\接管前文本
核查依据：Claude归属核查/接管前来源.json；原生动作索引.json；Grok说明修订.diff；汇总重做核对.json；原06脚本及预览
核查方式：Cursor原生快照归属核对、30表隔离重做及接管前预览审读
问题编号：Claude-1-C1
评测方补做：仅用于核验，不计作原AI完成</t>
      </text>
    </comment>
    <comment ref="E619" authorId="0" shapeId="0">
      <text>
        <t>评分项：C2 下钻调查；得分 4.0/4
实际工作与缺口：查到异常地址的日期、描述、经纬度、BBL及空格变体，并按日核查分类切换。
原件：D:\项目2\_实验系统\报告素材\人工维护重评_20260922\Claude归属核查\接管前文本
核查依据：Claude归属核查/接管前来源.json；原生动作索引.json；Grok说明修订.diff；汇总重做核对.json；原06脚本及预览
核查方式：Cursor原生快照归属核对、30表隔离重做及接管前预览审读
问题编号：Claude-1-C2
评测方补做：仅用于核验，不计作原AI完成</t>
      </text>
    </comment>
    <comment ref="E620" authorId="0" shapeId="0">
      <text>
        <t>评分项：C3 稳健性与替代解释；得分 2.5/5
实际工作与缺口：比较异常剔除前后及200/250阈值、检查成熟队列；仍未验证异常记录无效或排除天气解释的替代机制。
原件：D:\项目2\_实验系统\报告素材\人工维护重评_20260922\Claude归属核查\接管前文本
核查依据：Claude归属核查/接管前来源.json；原生动作索引.json；Grok说明修订.diff；汇总重做核对.json；原06脚本及预览
核查方式：Cursor原生快照归属核对、30表隔离重做及接管前预览审读
问题编号：CL1-EXCLUSION
评测方补做：仅用于核验，不计作原AI完成</t>
      </text>
    </comment>
    <comment ref="E621" authorId="0" shapeId="0">
      <text>
        <t>评分项：C4 据证据修正；得分 3.0/4
实际工作与缺口：原生记录显示修复机构内连接漏项、图表数据区和季节表类别；说明数字及过强的删除判断仍留到接管。
原件：D:\项目2\_实验系统\报告素材\人工维护重评_20260922\Claude归属核查\接管前文本
核查依据：Claude归属核查/接管前来源.json；原生动作索引.json；Grok说明修订.diff；汇总重做核对.json；原06脚本及预览
核查方式：Cursor原生快照归属核对、30表隔离重做及接管前预览审读
问题编号：Claude-1-C4
评测方补做：仅用于核验，不计作原AI完成</t>
      </text>
    </comment>
    <comment ref="E622" authorId="0" shapeId="0">
      <text>
        <t>评分项：C5 范围与停止；得分 2.25/3
实际工作与缺口：最终收束六项发现，未扩建预测；事件簇冗余和天气归因没有在停止前充分降级。
原件：D:\项目2\_实验系统\报告素材\人工维护重评_20260922\Claude归属核查\接管前文本
核查依据：Claude归属核查/接管前来源.json；原生动作索引.json；Grok说明修订.diff；汇总重做核对.json；原06脚本及预览
核查方式：Cursor原生快照归属核对、30表隔离重做及接管前预览审读
问题编号：Claude-1-C5
评测方补做：仅用于核验，不计作原AI完成</t>
      </text>
    </comment>
    <comment ref="E623" authorId="0" shapeId="0">
      <text>
        <t>评分项：D1 阅读入口与步骤；得分 4.0/4
实际工作与缺口：接管前说明列环境、顺序、脚本职责、CSV与复核入口，维护者能定位主要执行步骤。
原件：D:\项目2\_实验系统\报告素材\人工维护重评_20260922\Claude归属核查\接管前文本
核查依据：Claude归属核查/接管前来源.json；原生动作索引.json；Grok说明修订.diff；汇总重做核对.json；原06脚本及预览
核查方式：Cursor原生快照归属核对、30表隔离重做及接管前预览审读
问题编号：Claude-1-D1
评测方补做：仅用于核验，不计作原AI完成</t>
      </text>
    </comment>
    <comment ref="E624" authorId="0" shapeId="0">
      <text>
        <t>评分项：D2 过程可理解；得分 4.5/6
实际工作与缺口：清洗、窗口和派生字段有说明与SQL；把筛选选择写成必须处理，维护者难以区分确定事实和分析假设。
原件：D:\项目2\_实验系统\报告素材\人工维护重评_20260922\Claude归属核查\接管前文本
核查依据：Claude归属核查/接管前来源.json；原生动作索引.json；Grok说明修订.diff；汇总重做核对.json；原06脚本及预览
核查方式：Cursor原生快照归属核对、30表隔离重做及接管前预览审读
问题编号：Claude-1-D2
评测方补做：仅用于核验，不计作原AI完成</t>
      </text>
    </comment>
    <comment ref="E625" authorId="0" shapeId="0">
      <text>
        <t>评分项：D3 结果可重做；得分 4.5/6
实际工作与缺口：隔离执行原06脚本产出30表，28表按行键核对一致；t14机构标签不确定，t18一项95048/14.96%与交付100794/15.87%不一致。
原件：D:\项目2\_实验系统\报告素材\人工维护重评_20260922\Claude归属核查\接管前文本
核查依据：Claude归属核查/接管前来源.json；原生动作索引.json；Grok说明修订.diff；汇总重做核对.json；原06脚本及预览
核查方式：Cursor原生快照归属核对、30表隔离重做及接管前预览审读
问题编号：CL1-REBUILD
评测方补做：仅用于核验，不计作原AI完成</t>
      </text>
    </comment>
    <comment ref="E626" authorId="0" shapeId="0">
      <text>
        <t>评分项：D4 更新与错误定位；得分 3.0/6
实际工作与缺口：06计算与07—11展示分离，能定位错误；展示与说明仍有静态数字，t18保存结果与生成SQL不一致的维护步骤未交代。
原件：D:\项目2\_实验系统\报告素材\人工维护重评_20260922\Claude归属核查\接管前文本
核查依据：Claude归属核查/接管前来源.json；原生动作索引.json；Grok说明修订.diff；汇总重做核对.json；原06脚本及预览
核查方式：Cursor原生快照归属核对、30表隔离重做及接管前预览审读
问题编号：CL1-REBUILD
评测方补做：仅用于核验，不计作原AI完成</t>
      </text>
    </comment>
    <comment ref="E627" authorId="0" shapeId="0">
      <text>
        <t>评分项：D5 原AI的成品检查；得分 2.25/3
实际工作与缺口：Claude实际打开Excel导出34页预览、读取页面并修正图表；最后改图后未完成全套重建复核，Grok执行最终重建。
原件：D:\项目2\_实验系统\报告素材\人工维护重评_20260922\Claude归属核查\接管前文本
核查依据：Claude归属核查/接管前来源.json；原生动作索引.json；Grok说明修订.diff；汇总重做核对.json；原06脚本及预览
核查方式：Cursor原生快照归属核对、30表隔离重做及接管前预览审读
问题编号：Claude-1-D5
评测方补做：仅用于核验，不计作原AI完成</t>
      </text>
    </comment>
    <comment ref="E628" authorId="0" shapeId="0">
      <text>
        <t>评分项：E1 阅读与比较；得分 3.0/4
实际工作与缺口：有封面、专题、索引和就地口径，能够回查主要结果；13页专题与长叙述增加阅读往返。
原件：D:\项目2\_实验系统\报告素材\人工维护重评_20260922\Claude归属核查\接管前文本
核查依据：Claude归属核查/接管前来源.json；原生动作索引.json；Grok说明修订.diff；汇总重做核对.json；原06脚本及预览
核查方式：Cursor原生快照归属核对、30表隔离重做及接管前预览审读
问题编号：Claude-1-E1
评测方补做：仅用于核验，不计作原AI完成</t>
      </text>
    </comment>
    <comment ref="E629" authorId="0" shapeId="0">
      <text>
        <t>评分项：E2 画面与交互；得分 1.5/3
实际工作与缺口：接管前预览首屏层次可读，但封面跨页，第三条发现标题与正文被分页拆开，横向输出仍有较多留白。
原件：D:\项目2\_实验系统\报告素材\人工维护重评_20260922\Claude归属核查\接管前文本
核查依据：Claude归属核查/接管前来源.json；原生动作索引.json；Grok说明修订.diff；汇总重做核对.json；原06脚本及预览
核查方式：Cursor原生快照归属核对、30表隔离重做及接管前预览审读
问题编号：Claude-1-E2
评测方补做：仅用于核验，不计作原AI完成</t>
      </text>
    </comment>
    <comment ref="E630" authorId="0" shapeId="0">
      <text>
        <t>评分项：E3 文件一致与完成声明；得分 1.5/3
实际工作与缺口：接管前Excel和说明已存在；说明数值未同步、最终脚本晚于成品。后由Grok改数字并重建，不把这部分核查记给Claude。
原件：D:\项目2\_实验系统\报告素材\人工维护重评_20260922\Claude归属核查\接管前文本
核查依据：Claude归属核查/接管前来源.json；原生动作索引.json；Grok说明修订.diff；汇总重做核对.json；原06脚本及预览
核查方式：Cursor原生快照归属核对、30表隔离重做及接管前预览审读
问题编号：Claude-1-E3
评测方补做：仅用于核验，不计作原AI完成</t>
      </text>
    </comment>
    <comment ref="E631" authorId="0" shapeId="0">
      <text>
        <t>评分项：F1 原运行独立性；得分 2.25/3
实际工作与缺口：主体调查、计算、Excel与说明均由Claude完成；额度中断后仍需要Grok做数字订正和最终交付检查。
原件：D:\项目2\_实验系统\报告素材\人工维护重评_20260922\Claude归属核查\接管前文本
核查依据：Claude归属核查/接管前来源.json；原生动作索引.json；Grok说明修订.diff；汇总重做核对.json；原06脚本及预览
核查方式：Cursor原生快照归属核对、30表隔离重做及接管前预览审读
问题编号：Claude-1-F1
评测方补做：仅用于核验，不计作原AI完成</t>
      </text>
    </comment>
    <comment ref="E632" authorId="0" shapeId="0">
      <text>
        <t>评分项：F2 交后修正负担；得分 0.75/3
实际工作与缺口：用户仍需重新判断全局剔除及事件簇解释，核对t18来源并修正文表；已发生接管和实质修正。
原件：D:\项目2\_实验系统\报告素材\人工维护重评_20260922\Claude归属核查\接管前文本
核查依据：Claude归属核查/接管前来源.json；原生动作索引.json；Grok说明修订.diff；汇总重做核对.json；原06脚本及预览
核查方式：Cursor原生快照归属核对、30表隔离重做及接管前预览审读
问题编号：CL1-EXCLUSION
评测方补做：仅用于核验，不计作原AI完成</t>
      </text>
    </comment>
    <comment ref="E633" authorId="0" shapeId="0">
      <text>
        <t>评分项：F3 失败处理；得分 1.0/2
实际工作与缺口：原运行修复SQL保留字、漏机构和图表问题；写文件工具曾连续截断、多次重试，处理并非始终有效。
原件：D:\项目2\_实验系统\报告素材\人工维护重评_20260922\Claude归属核查\接管前文本
核查依据：Claude归属核查/接管前来源.json；原生动作索引.json；Grok说明修订.diff；汇总重做核对.json；原06脚本及预览
核查方式：Cursor原生快照归属核对、30表隔离重做及接管前预览审读
问题编号：Claude-1-F3
评测方补做：仅用于核验，不计作原AI完成</t>
      </text>
    </comment>
    <comment ref="E634" authorId="0" shapeId="0">
      <text>
        <t>评分项：F4 资源使用；得分 1.5/2
实际工作与缺口：按汇总与展示分层复用成果，多次重算随核查修正发生；写文件重复失败造成额外消耗。153.57元另列比较，不按单价扣分。
原件：D:\项目2\_实验系统\报告素材\人工维护重评_20260922\Claude归属核查\接管前文本
核查依据：Claude归属核查/接管前来源.json；原生动作索引.json；Grok说明修订.diff；汇总重做核对.json；原06脚本及预览
核查方式：Cursor原生快照归属核对、30表隔离重做及接管前预览审读
问题编号：Claude-1-F4
评测方补做：仅用于核验，不计作原AI完成</t>
      </text>
    </comment>
  </commentList>
</comment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3</xdr:row>
      <xdr:rowOff>0</xdr:rowOff>
    </xdr:from>
    <xdr:to>
      <xdr:col>22</xdr:col>
      <xdr:colOff>689</xdr:colOff>
      <xdr:row>13</xdr:row>
      <xdr:rowOff>87086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02F538D-0D8C-3E3F-3486-740278FF0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23</xdr:col>
      <xdr:colOff>0</xdr:colOff>
      <xdr:row>3</xdr:row>
      <xdr:rowOff>0</xdr:rowOff>
    </xdr:from>
    <xdr:to>
      <xdr:col>30</xdr:col>
      <xdr:colOff>0</xdr:colOff>
      <xdr:row>13</xdr:row>
      <xdr:rowOff>87086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E0CF30B-FC7C-3805-0E2D-82DBD2F5B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15</xdr:row>
      <xdr:rowOff>0</xdr:rowOff>
    </xdr:from>
    <xdr:to>
      <xdr:col>22</xdr:col>
      <xdr:colOff>689</xdr:colOff>
      <xdr:row>25</xdr:row>
      <xdr:rowOff>65314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4D9BF4C1-6C23-5DAE-0F94-B87D00EBFE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23</xdr:col>
      <xdr:colOff>0</xdr:colOff>
      <xdr:row>15</xdr:row>
      <xdr:rowOff>0</xdr:rowOff>
    </xdr:from>
    <xdr:to>
      <xdr:col>30</xdr:col>
      <xdr:colOff>0</xdr:colOff>
      <xdr:row>25</xdr:row>
      <xdr:rowOff>65314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3CD1E44F-0D58-6A93-2F7E-00FC38A803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22274</xdr:rowOff>
    </xdr:from>
    <xdr:to>
      <xdr:col>8</xdr:col>
      <xdr:colOff>12309</xdr:colOff>
      <xdr:row>16</xdr:row>
      <xdr:rowOff>174674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DB16947-FD72-5B3E-1C99-FEA29E9BE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14068</xdr:colOff>
      <xdr:row>7</xdr:row>
      <xdr:rowOff>22274</xdr:rowOff>
    </xdr:from>
    <xdr:to>
      <xdr:col>16</xdr:col>
      <xdr:colOff>26377</xdr:colOff>
      <xdr:row>16</xdr:row>
      <xdr:rowOff>174674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B6F0FFD-1421-E646-EFE9-564F8C90E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34</xdr:row>
      <xdr:rowOff>65649</xdr:rowOff>
    </xdr:from>
    <xdr:to>
      <xdr:col>8</xdr:col>
      <xdr:colOff>12309</xdr:colOff>
      <xdr:row>40</xdr:row>
      <xdr:rowOff>79717</xdr:rowOff>
    </xdr:to>
    <xdr:graphicFrame macro="">
      <xdr:nvGraphicFramePr>
        <xdr:cNvPr id="6" name="chart_token_composition">
          <a:extLst>
            <a:ext uri="{FF2B5EF4-FFF2-40B4-BE49-F238E27FC236}">
              <a16:creationId xmlns:a16="http://schemas.microsoft.com/office/drawing/2014/main" id="{DCC62786-F9E7-274E-CB06-4732D94AA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14068</xdr:colOff>
      <xdr:row>34</xdr:row>
      <xdr:rowOff>65649</xdr:rowOff>
    </xdr:from>
    <xdr:to>
      <xdr:col>16</xdr:col>
      <xdr:colOff>26377</xdr:colOff>
      <xdr:row>40</xdr:row>
      <xdr:rowOff>79717</xdr:rowOff>
    </xdr:to>
    <xdr:graphicFrame macro="">
      <xdr:nvGraphicFramePr>
        <xdr:cNvPr id="7" name="chart_action_composition">
          <a:extLst>
            <a:ext uri="{FF2B5EF4-FFF2-40B4-BE49-F238E27FC236}">
              <a16:creationId xmlns:a16="http://schemas.microsoft.com/office/drawing/2014/main" id="{F9FC3578-C8FD-9F4B-6C08-72913AD5B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uns" displayName="tblRuns" ref="A1:R16" headerRowDxfId="118" dataDxfId="117" totalsRowDxfId="115" tableBorderDxfId="116">
  <autoFilter ref="A1:R16" xr:uid="{00000000-0009-0000-0100-000001000000}"/>
  <tableColumns count="18">
    <tableColumn id="1" xr3:uid="{00000000-0010-0000-0000-000001000000}" name="AI" dataDxfId="114"/>
    <tableColumn id="2" xr3:uid="{00000000-0010-0000-0000-000002000000}" name="轮次" dataDxfId="113"/>
    <tableColumn id="3" xr3:uid="{00000000-0010-0000-0000-000003000000}" name="运行状态" dataDxfId="112"/>
    <tableColumn id="4" xr3:uid="{00000000-0010-0000-0000-000004000000}" name="参与类别" dataDxfId="111"/>
    <tableColumn id="5" xr3:uid="{00000000-0010-0000-0000-000005000000}" name="运行工具" dataDxfId="110"/>
    <tableColumn id="6" xr3:uid="{00000000-0010-0000-0000-000006000000}" name="评分状态" dataDxfId="109"/>
    <tableColumn id="7" xr3:uid="{00000000-0010-0000-0000-000007000000}" name="API计价说明" dataDxfId="108"/>
    <tableColumn id="8" xr3:uid="{00000000-0010-0000-0000-000008000000}" name="原生用时（秒）" dataDxfId="107"/>
    <tableColumn id="9" xr3:uid="{00000000-0010-0000-0000-000009000000}" name="模型" dataDxfId="106"/>
    <tableColumn id="10" xr3:uid="{00000000-0010-0000-0000-00000A000000}" name="参与编号" dataDxfId="105"/>
    <tableColumn id="11" xr3:uid="{00000000-0010-0000-0000-00000B000000}" name="运行编号" dataDxfId="104"/>
    <tableColumn id="12" xr3:uid="{00000000-0010-0000-0000-00000C000000}" name="证据编号" dataDxfId="103"/>
    <tableColumn id="13" xr3:uid="{00000000-0010-0000-0000-00000D000000}" name="原生分钟" dataDxfId="102">
      <calculatedColumnFormula>IF(ISNUMBER(H2),H2/60,"")</calculatedColumnFormula>
    </tableColumn>
    <tableColumn id="14" xr3:uid="{00000000-0010-0000-0000-00000E000000}" name="现行 S/100" dataDxfId="101">
      <calculatedColumnFormula>IF(COUNTIFS(评分与用量!$A$2:$A$634,A2,评分与用量!$B$2:$B$634,B2,评分与用量!$C$2:$C$634,"S分项")=0,"",SUMIFS(评分与用量!$E$2:$E$634,评分与用量!$A$2:$A$634,A2,评分与用量!$B$2:$B$634,B2,评分与用量!$C$2:$C$634,"S分项"))</calculatedColumnFormula>
    </tableColumn>
    <tableColumn id="15" xr3:uid="{00000000-0010-0000-0000-00000F000000}" name="评分条款数" dataDxfId="100">
      <calculatedColumnFormula>IF(N2="","",COUNTIFS(评分与用量!$A$2:$A$634,A2,评分与用量!$B$2:$B$634,B2,评分与用量!$C$2:$C$634,"S分项"))</calculatedColumnFormula>
    </tableColumn>
    <tableColumn id="16" xr3:uid="{00000000-0010-0000-0000-000010000000}" name="总Token" dataDxfId="99">
      <calculatedColumnFormula>IF(COUNTIFS(评分与用量!$H:$H,J2,评分与用量!$C:$C,"Token用量",评分与用量!$D:$D,"&lt;&gt;推理Token（输出子集）")=4,SUMIFS(评分与用量!$E:$E,评分与用量!$H:$H,J2,评分与用量!$C:$C,"Token用量",评分与用量!$D:$D,"&lt;&gt;推理Token（输出子集）"),"")</calculatedColumnFormula>
    </tableColumn>
    <tableColumn id="17" xr3:uid="{00000000-0010-0000-0000-000011000000}" name="API费用低（元）" dataDxfId="98">
      <calculatedColumnFormula>IF(COUNTIFS(API计价!$L:$L,J2,API计价!$D:$D,"低")=4,SUMIFS(API计价!$J:$J,API计价!$L:$L,J2,API计价!$D:$D,"低"),"")</calculatedColumnFormula>
    </tableColumn>
    <tableColumn id="18" xr3:uid="{00000000-0010-0000-0000-000012000000}" name="API费用高（元）" dataDxfId="97">
      <calculatedColumnFormula>IF(COUNTIFS(API计价!$L:$L,J2,API计价!$D:$D,"高")=4,SUMIFS(API计价!$J:$J,API计价!$L:$L,J2,API计价!$D:$D,"高"),"")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73047C-6F87-4DE4-B854-F0AC08A9FBAA}" name="tblMetrics" displayName="tblMetrics" ref="A1:K634" totalsRowShown="0" headerRowDxfId="96" dataDxfId="95" tableBorderDxfId="94">
  <autoFilter ref="A1:K634" xr:uid="{B373047C-6F87-4DE4-B854-F0AC08A9FBAA}"/>
  <tableColumns count="11">
    <tableColumn id="1" xr3:uid="{2256A333-A1ED-4A5B-B3AF-3E01A5587C61}" name="AI" dataDxfId="93"/>
    <tableColumn id="2" xr3:uid="{395D60D3-7CB0-40F9-91F0-BD2A92A73D9C}" name="轮次" dataDxfId="92"/>
    <tableColumn id="3" xr3:uid="{BAEB60B9-D07C-48EE-A21E-FDEA876EA180}" name="指标类别" dataDxfId="91"/>
    <tableColumn id="4" xr3:uid="{D40883DD-EE19-4528-97BA-AD329FD0DF8F}" name="指标" dataDxfId="90"/>
    <tableColumn id="5" xr3:uid="{24E9CF7E-1E27-42D0-AC0A-D396BA2C2928}" name="数值" dataDxfId="89"/>
    <tableColumn id="6" xr3:uid="{52E8EEB2-5D10-4236-93FE-5D288CD11052}" name="单位" dataDxfId="88"/>
    <tableColumn id="7" xr3:uid="{F81B40A4-0786-4490-ACE9-3206BE33B3D8}" name="数据版本" dataDxfId="87"/>
    <tableColumn id="8" xr3:uid="{35A77829-3E5D-4DBA-BCAE-13B585F270D7}" name="参与编号" dataDxfId="86"/>
    <tableColumn id="9" xr3:uid="{AE13F5F3-3362-4BE1-8FA1-D37CE2811D7F}" name="运行编号" dataDxfId="85"/>
    <tableColumn id="10" xr3:uid="{EF5B8442-8AA0-41BC-B35B-A1BF28353063}" name="指标编号" dataDxfId="84"/>
    <tableColumn id="11" xr3:uid="{B8D565E4-3161-43E3-ABBD-35E175456B5F}" name="证据编号" dataDxfId="83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DDE41C-D60F-416A-A4B8-7948E7C0FB66}" name="tblPricing" displayName="tblPricing" ref="A1:N73" totalsRowShown="0" headerRowDxfId="82" dataDxfId="81" tableBorderDxfId="80">
  <autoFilter ref="A1:N73" xr:uid="{32DDE41C-D60F-416A-A4B8-7948E7C0FB66}"/>
  <tableColumns count="14">
    <tableColumn id="1" xr3:uid="{E2C8BC84-20FA-44FE-AEB9-03F5054F70E1}" name="AI" dataDxfId="79"/>
    <tableColumn id="2" xr3:uid="{87939DA9-BD04-48F6-8589-D807C8A3D5F7}" name="轮次" dataDxfId="78"/>
    <tableColumn id="3" xr3:uid="{9D0BBFEA-7BC5-4F81-A7C1-13163B384E24}" name="Token类型" dataDxfId="77"/>
    <tableColumn id="4" xr3:uid="{E38F9714-F028-44D0-9E63-47C540CDAAE2}" name="计价档" dataDxfId="76"/>
    <tableColumn id="5" xr3:uid="{04640C78-0F11-47DA-A3CA-B8C845CAA54F}" name="单价" dataDxfId="75"/>
    <tableColumn id="6" xr3:uid="{256EBA06-3880-4FE8-A6D6-017F542060AC}" name="单价单位" dataDxfId="74"/>
    <tableColumn id="7" xr3:uid="{0BF2EFC8-0066-4516-89FF-276549209423}" name="计费Token" dataDxfId="73"/>
    <tableColumn id="8" xr3:uid="{2E1C5838-5803-4F78-B568-5F914CF72B03}" name="人民币系数" dataDxfId="72"/>
    <tableColumn id="9" xr3:uid="{0652C0D3-2FBA-483F-92B9-A0C72BF6667B}" name="单价基数" dataDxfId="71"/>
    <tableColumn id="10" xr3:uid="{A1C208E3-1BE1-41D4-B8F3-E7782B1D01B7}" name="分项费用（元）" dataDxfId="70"/>
    <tableColumn id="11" xr3:uid="{84059F08-A6B7-47F1-98E9-5FCBEB257926}" name="数据版本" dataDxfId="69"/>
    <tableColumn id="12" xr3:uid="{75D557A9-C242-40B2-976C-5C802E6482E3}" name="参与编号" dataDxfId="68"/>
    <tableColumn id="13" xr3:uid="{D0E37D61-0483-4649-9875-25A2569C4E79}" name="运行编号" dataDxfId="67"/>
    <tableColumn id="14" xr3:uid="{D527015B-BCF2-48A0-A3CA-278DEE7BFFE7}" name="证据编号" dataDxfId="66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4C7B31-E6D3-4D33-BCA7-232137B05874}" name="tblActions" displayName="tblActions" ref="A1:T816" totalsRowShown="0" headerRowDxfId="65" dataDxfId="64" tableBorderDxfId="63">
  <autoFilter ref="A1:T816" xr:uid="{644C7B31-E6D3-4D33-BCA7-232137B05874}"/>
  <tableColumns count="20">
    <tableColumn id="1" xr3:uid="{2D563B6F-B312-48FB-9F4B-F42F48DD7D95}" name="AI" dataDxfId="62"/>
    <tableColumn id="2" xr3:uid="{6BD7AD39-C6C2-4689-A902-DF6FA7356FDF}" name="轮次" dataDxfId="61"/>
    <tableColumn id="3" xr3:uid="{FEB1AF46-48CD-49E1-BB83-DC69623A19E3}" name="动作序号" dataDxfId="60"/>
    <tableColumn id="4" xr3:uid="{E6EC7ACE-BB1E-4656-82C6-04118E226C23}" name="操作类型" dataDxfId="59"/>
    <tableColumn id="5" xr3:uid="{F59342BF-A789-4CAC-8206-4ADC3802947E}" name="动作目的" dataDxfId="58"/>
    <tableColumn id="6" xr3:uid="{2972D5D2-420B-41E0-8036-C1FEC549264A}" name="返回文本可见" dataDxfId="57"/>
    <tableColumn id="7" xr3:uid="{B36FFDF3-4FE8-4FDA-B543-4E9D2F062745}" name="执行成功标记" dataDxfId="56"/>
    <tableColumn id="8" xr3:uid="{A09E766D-268B-4F35-AE87-87AAA3260EF7}" name="返回摘录含错误字样" dataDxfId="55"/>
    <tableColumn id="9" xr3:uid="{1B66D892-426F-4947-AB6D-55865D2DE490}" name="结构化替换请求" dataDxfId="54"/>
    <tableColumn id="10" xr3:uid="{A083719D-69BA-47B8-B7F0-2B75BEED942C}" name="结构化替换确认" dataDxfId="53"/>
    <tableColumn id="11" xr3:uid="{6C3A1F9A-51FD-4E54-8DB9-3C1C4A3E5B12}" name="相邻同参数重读" dataDxfId="52"/>
    <tableColumn id="12" xr3:uid="{E364F1A8-BE49-43ED-91CF-F158CF2E0DB3}" name="动作评审" dataDxfId="51"/>
    <tableColumn id="13" xr3:uid="{33BCCB37-4002-4BE6-AD1A-C5D68126A856}" name="评审版本" dataDxfId="50"/>
    <tableColumn id="14" xr3:uid="{79AEB78A-9ED2-454B-A1D5-A53D05113F5D}" name="观测耗时（秒）" dataDxfId="49"/>
    <tableColumn id="15" xr3:uid="{7E22562B-4E05-405E-97AA-6E9AB479D7D1}" name="工具名称" dataDxfId="48"/>
    <tableColumn id="16" xr3:uid="{B9E402D6-BFF7-4574-8C5D-2679D71472F9}" name="参与编号" dataDxfId="47"/>
    <tableColumn id="17" xr3:uid="{8DB4D178-D04B-4550-BC70-E1442F2A168C}" name="运行编号" dataDxfId="46"/>
    <tableColumn id="18" xr3:uid="{78FEF728-53B5-4EBE-9357-91E80CD0FBA6}" name="行为编号" dataDxfId="45"/>
    <tableColumn id="19" xr3:uid="{1428D72E-195B-4275-B7D0-FDC495DC05E8}" name="证据编号" dataDxfId="44"/>
    <tableColumn id="20" xr3:uid="{1A1D0628-BC13-4284-97C9-66334EACC456}" name="执行阶段" dataDxfId="43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hecks" displayName="tblChecks" ref="A1:W295" headerRowDxfId="42" dataDxfId="41" totalsRowDxfId="39" tableBorderDxfId="40">
  <autoFilter ref="A1:W295" xr:uid="{00000000-0009-0000-0100-000005000000}"/>
  <tableColumns count="23">
    <tableColumn id="1" xr3:uid="{00000000-0010-0000-0400-000001000000}" name="AI" dataDxfId="38"/>
    <tableColumn id="2" xr3:uid="{00000000-0010-0000-0400-000002000000}" name="轮次" dataDxfId="37"/>
    <tableColumn id="3" xr3:uid="{00000000-0010-0000-0400-000003000000}" name="核验类型" dataDxfId="36"/>
    <tableColumn id="4" xr3:uid="{00000000-0010-0000-0400-000004000000}" name="核验项目" dataDxfId="35"/>
    <tableColumn id="5" xr3:uid="{00000000-0010-0000-0400-000005000000}" name="核验结论" dataDxfId="34"/>
    <tableColumn id="6" xr3:uid="{00000000-0010-0000-0400-000006000000}" name="原数值" dataDxfId="33"/>
    <tableColumn id="7" xr3:uid="{00000000-0010-0000-0400-000007000000}" name="对照数值" dataDxfId="32"/>
    <tableColumn id="8" xr3:uid="{00000000-0010-0000-0400-000008000000}" name="另一对照值" dataDxfId="31"/>
    <tableColumn id="9" xr3:uid="{00000000-0010-0000-0400-000009000000}" name="单位" dataDxfId="30"/>
    <tableColumn id="10" xr3:uid="{00000000-0010-0000-0400-00000A000000}" name="所列叙述有改动" dataDxfId="29"/>
    <tableColumn id="11" xr3:uid="{00000000-0010-0000-0400-00000B000000}" name="尝试修正所列问题" dataDxfId="28"/>
    <tableColumn id="12" xr3:uid="{00000000-0010-0000-0400-00000C000000}" name="所列问题已修好" dataDxfId="27"/>
    <tableColumn id="13" xr3:uid="{00000000-0010-0000-0400-00000D000000}" name="参与编号" dataDxfId="26"/>
    <tableColumn id="14" xr3:uid="{00000000-0010-0000-0400-00000E000000}" name="运行编号" dataDxfId="25"/>
    <tableColumn id="15" xr3:uid="{00000000-0010-0000-0400-00000F000000}" name="核验编号" dataDxfId="24"/>
    <tableColumn id="16" xr3:uid="{00000000-0010-0000-0400-000010000000}" name="证据编号" dataDxfId="23"/>
    <tableColumn id="17" xr3:uid="{00000000-0010-0000-0400-000011000000}" name="问题归属" dataDxfId="22"/>
    <tableColumn id="18" xr3:uid="{00000000-0010-0000-0400-000012000000}" name="原始文字值" dataDxfId="21"/>
    <tableColumn id="19" xr3:uid="{00000000-0010-0000-0400-000013000000}" name="对照文字值" dataDxfId="20"/>
    <tableColumn id="20" xr3:uid="{00000000-0010-0000-0400-000014000000}" name="数值口径" dataDxfId="19"/>
    <tableColumn id="21" xr3:uid="{00000000-0010-0000-0400-000015000000}" name="判断来源" dataDxfId="18"/>
    <tableColumn id="22" xr3:uid="{00000000-0010-0000-0400-000016000000}" name="问题类别" dataDxfId="17"/>
    <tableColumn id="23" xr3:uid="{00000000-0010-0000-0400-000017000000}" name="数值差（对照减原值）" dataDxfId="16">
      <calculatedColumnFormula>IF(COUNT(F2:G2)=2,G2-F2,"")</calculatedColumnFormula>
    </tableColumn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EF3CEDB-9DE8-4B62-A968-E9912E5D4DE5}" name="tblFields" displayName="tblFields" ref="A1:E87" totalsRowShown="0" headerRowDxfId="15" dataDxfId="14" tableBorderDxfId="13">
  <autoFilter ref="A1:E87" xr:uid="{1EF3CEDB-9DE8-4B62-A968-E9912E5D4DE5}"/>
  <tableColumns count="5">
    <tableColumn id="1" xr3:uid="{8201501F-3442-4124-91A6-9BF8C2607B59}" name="表名" dataDxfId="12"/>
    <tableColumn id="2" xr3:uid="{2020BBB4-5888-4CBF-88F0-C0B55CAFE33B}" name="字段" dataDxfId="11"/>
    <tableColumn id="3" xr3:uid="{875D2596-4995-4351-878E-F0F87053EBBF}" name="含义" dataDxfId="10"/>
    <tableColumn id="4" xr3:uid="{EEC854C6-1BF3-4FC7-99D7-B011A0510EBA}" name="允许值" dataDxfId="9"/>
    <tableColumn id="5" xr3:uid="{A86FD01E-5021-4E83-8A78-1071D1A644E4}" name="空值规则" dataDxfId="8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D6C4981-9716-4D42-AD8B-A8E3218A0CA6}" name="tblModelConditions" displayName="tblModelConditions" ref="H2:L10" totalsRowShown="0" headerRowDxfId="7" dataDxfId="6" tableBorderDxfId="5">
  <autoFilter ref="H2:L10" xr:uid="{0D6C4981-9716-4D42-AD8B-A8E3218A0CA6}"/>
  <tableColumns count="5">
    <tableColumn id="1" xr3:uid="{F3E124CC-33A7-45EB-BADC-DC6246D54A13}" name="AI" dataDxfId="4"/>
    <tableColumn id="2" xr3:uid="{249509E5-D940-4885-B37B-F2C05BBCE90D}" name="第一轮模型" dataDxfId="3"/>
    <tableColumn id="3" xr3:uid="{67574F1C-C7B0-438C-B40A-F9003A3A43CB}" name="第二轮模型" dataDxfId="2"/>
    <tableColumn id="4" xr3:uid="{C60A7198-20E0-413B-BC0C-300A6B26DF3A}" name="思考强度" dataDxfId="1"/>
    <tableColumn id="5" xr3:uid="{077E06E7-FD0A-4DFB-B525-2138E2D4C1F7}" name="Harness（执行环境）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6.xml.rels><?xml version='1.0' encoding='utf-8' standalone='yes'?>
<Relationships xmlns="http://schemas.openxmlformats.org/package/2006/relationships"><Relationship Id="rId1" Type="http://schemas.openxmlformats.org/officeDocument/2006/relationships/table" Target="../tables/table2.xml"/><Relationship Type="http://schemas.openxmlformats.org/officeDocument/2006/relationships/comments" Target="/xl/comments/scoreNotes.xml" Id="scoreNotes"/><Relationship Type="http://schemas.openxmlformats.org/officeDocument/2006/relationships/vmlDrawing" Target="/xl/drawings/scoreNotes.vml" Id="scoreNotes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43D8-D1AA-43B2-A5BC-0F67DDF23BAD}">
  <sheetPr>
    <tabColor rgb="FF333B4C"/>
    <pageSetUpPr fitToPage="1"/>
  </sheetPr>
  <dimension ref="A1:BH80"/>
  <sheetViews>
    <sheetView showGridLines="0" showRowColHeaders="0" zoomScale="70" zoomScaleNormal="70" workbookViewId="0">
      <selection activeCell="E31" sqref="E31"/>
    </sheetView>
  </sheetViews>
  <sheetFormatPr defaultColWidth="0" defaultRowHeight="13.8"/>
  <cols>
    <col min="1" max="1" width="8.88671875" style="1" customWidth="1"/>
    <col min="2" max="2" width="13.77734375" style="1" customWidth="1"/>
    <col min="3" max="4" width="8.33203125" style="1" customWidth="1"/>
    <col min="5" max="30" width="9.44140625" style="1" customWidth="1"/>
    <col min="31" max="16384" width="8.88671875" style="1" hidden="1"/>
  </cols>
  <sheetData>
    <row r="1" spans="1:60" ht="24" customHeight="1">
      <c r="A1" s="2" t="s">
        <v>3575</v>
      </c>
      <c r="B1" s="99" t="s">
        <v>3662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3"/>
      <c r="R1" s="97" t="s">
        <v>3602</v>
      </c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BA1" s="3"/>
      <c r="BB1" s="3"/>
      <c r="BC1" s="3"/>
      <c r="BD1" s="3"/>
      <c r="BE1" s="3"/>
      <c r="BF1" s="3"/>
      <c r="BG1" s="3"/>
      <c r="BH1" s="3"/>
    </row>
    <row r="2" spans="1:60" ht="16.95" customHeight="1">
      <c r="A2" s="2"/>
      <c r="B2" s="101" t="s">
        <v>3579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6"/>
      <c r="X2" s="17"/>
      <c r="Y2" s="17"/>
      <c r="Z2" s="17"/>
      <c r="AA2" s="17"/>
      <c r="AB2" s="17"/>
      <c r="AC2" s="17"/>
      <c r="AD2" s="17"/>
      <c r="BA2" s="3"/>
      <c r="BB2" s="3"/>
      <c r="BC2" s="3"/>
      <c r="BD2" s="3"/>
      <c r="BE2" s="3"/>
      <c r="BF2" s="3"/>
      <c r="BG2" s="3"/>
      <c r="BH2" s="3"/>
    </row>
    <row r="3" spans="1:60" ht="16.95" customHeight="1">
      <c r="A3" s="2"/>
      <c r="B3" s="6" t="s">
        <v>2</v>
      </c>
      <c r="C3" s="108" t="s">
        <v>35</v>
      </c>
      <c r="D3" s="109"/>
      <c r="E3" s="6" t="s">
        <v>3601</v>
      </c>
      <c r="F3" s="103" t="s">
        <v>3663</v>
      </c>
      <c r="G3" s="104"/>
      <c r="H3" s="104"/>
      <c r="I3" s="104"/>
      <c r="J3" s="104"/>
      <c r="K3" s="104"/>
      <c r="L3" s="104"/>
      <c r="M3" s="104"/>
      <c r="N3" s="104"/>
      <c r="O3" s="6"/>
      <c r="P3" s="6"/>
      <c r="Q3" s="6"/>
      <c r="R3" s="6"/>
      <c r="S3" s="6"/>
      <c r="T3" s="6"/>
      <c r="U3" s="6"/>
      <c r="V3" s="6"/>
      <c r="W3" s="16"/>
      <c r="X3" s="17"/>
      <c r="Y3" s="17"/>
      <c r="Z3" s="17"/>
      <c r="AA3" s="17"/>
      <c r="AB3" s="17"/>
      <c r="AC3" s="17"/>
      <c r="AD3" s="17"/>
      <c r="BA3" s="3"/>
      <c r="BB3" s="3"/>
      <c r="BC3" s="3"/>
      <c r="BD3" s="3"/>
      <c r="BE3" s="3"/>
      <c r="BF3" s="3"/>
      <c r="BG3" s="3"/>
      <c r="BH3" s="3"/>
    </row>
    <row r="4" spans="1:60" ht="16.95" customHeight="1">
      <c r="A4" s="2"/>
      <c r="B4" s="126" t="s">
        <v>3664</v>
      </c>
      <c r="C4" s="127"/>
      <c r="D4" s="127"/>
      <c r="E4" s="128" t="s">
        <v>3665</v>
      </c>
      <c r="F4" s="129"/>
      <c r="G4" s="129"/>
      <c r="H4" s="130" t="s">
        <v>3666</v>
      </c>
      <c r="I4" s="127"/>
      <c r="J4" s="127"/>
      <c r="K4" s="131" t="s">
        <v>30</v>
      </c>
      <c r="L4" s="129"/>
      <c r="M4" s="129"/>
      <c r="N4" s="132"/>
      <c r="O4" s="32"/>
      <c r="P4" s="33"/>
      <c r="Q4" s="34"/>
      <c r="R4" s="34"/>
      <c r="S4" s="34"/>
      <c r="T4" s="34"/>
      <c r="U4" s="34"/>
      <c r="V4" s="35"/>
      <c r="W4" s="16"/>
      <c r="X4" s="17"/>
      <c r="Y4" s="17"/>
      <c r="Z4" s="17"/>
      <c r="AA4" s="17"/>
      <c r="AB4" s="17"/>
      <c r="AC4" s="17"/>
      <c r="AD4" s="17"/>
      <c r="BA4" s="3"/>
      <c r="BB4" s="3"/>
      <c r="BC4" s="3"/>
      <c r="BD4" s="3"/>
      <c r="BE4" s="3"/>
      <c r="BF4" s="3"/>
      <c r="BG4" s="3"/>
      <c r="BH4" s="3"/>
    </row>
    <row r="5" spans="1:60" ht="16.95" customHeight="1">
      <c r="A5" s="2"/>
      <c r="B5" s="110">
        <f>COUNT(C9:C14)</f>
        <v>6</v>
      </c>
      <c r="C5" s="111"/>
      <c r="D5" s="111"/>
      <c r="E5" s="114">
        <f>AVERAGE(C9:C14)</f>
        <v>71.666666666666671</v>
      </c>
      <c r="F5" s="115"/>
      <c r="G5" s="115"/>
      <c r="H5" s="118">
        <f>AVERAGE(D9:D14)</f>
        <v>81.125</v>
      </c>
      <c r="I5" s="119"/>
      <c r="J5" s="119"/>
      <c r="K5" s="122">
        <f>MIN(E9:E13)</f>
        <v>9.5915833333333342</v>
      </c>
      <c r="L5" s="115"/>
      <c r="M5" s="115"/>
      <c r="N5" s="123"/>
      <c r="O5" s="18"/>
      <c r="P5" s="22"/>
      <c r="Q5" s="18"/>
      <c r="R5" s="18"/>
      <c r="S5" s="18"/>
      <c r="T5" s="18"/>
      <c r="U5" s="18"/>
      <c r="V5" s="23"/>
      <c r="W5" s="16"/>
      <c r="X5" s="17"/>
      <c r="Y5" s="17"/>
      <c r="Z5" s="17"/>
      <c r="AA5" s="17"/>
      <c r="AB5" s="17"/>
      <c r="AC5" s="17"/>
      <c r="AD5" s="17"/>
      <c r="BA5" s="3"/>
      <c r="BB5" s="3"/>
      <c r="BC5" s="3"/>
      <c r="BD5" s="3"/>
      <c r="BE5" s="3"/>
      <c r="BF5" s="3"/>
      <c r="BG5" s="3"/>
      <c r="BH5" s="3"/>
    </row>
    <row r="6" spans="1:60" ht="16.95" customHeight="1">
      <c r="A6" s="2"/>
      <c r="B6" s="112"/>
      <c r="C6" s="113"/>
      <c r="D6" s="113"/>
      <c r="E6" s="116"/>
      <c r="F6" s="117"/>
      <c r="G6" s="117"/>
      <c r="H6" s="120"/>
      <c r="I6" s="121"/>
      <c r="J6" s="121"/>
      <c r="K6" s="124"/>
      <c r="L6" s="117"/>
      <c r="M6" s="117"/>
      <c r="N6" s="125"/>
      <c r="O6" s="18"/>
      <c r="P6" s="22"/>
      <c r="Q6" s="18"/>
      <c r="R6" s="18"/>
      <c r="S6" s="18"/>
      <c r="T6" s="18"/>
      <c r="U6" s="18"/>
      <c r="V6" s="23"/>
      <c r="W6" s="16"/>
      <c r="X6" s="17"/>
      <c r="Y6" s="17"/>
      <c r="Z6" s="17"/>
      <c r="AA6" s="17"/>
      <c r="AB6" s="17"/>
      <c r="AC6" s="17"/>
      <c r="AD6" s="17"/>
      <c r="BA6" s="3"/>
      <c r="BB6" s="3"/>
      <c r="BC6" s="3"/>
      <c r="BD6" s="3"/>
      <c r="BE6" s="3"/>
      <c r="BF6" s="3"/>
      <c r="BG6" s="3"/>
      <c r="BH6" s="3"/>
    </row>
    <row r="7" spans="1:60" ht="16.95" customHeight="1">
      <c r="A7" s="2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22"/>
      <c r="Q7" s="18"/>
      <c r="R7" s="18"/>
      <c r="S7" s="18"/>
      <c r="T7" s="18"/>
      <c r="U7" s="18"/>
      <c r="V7" s="23"/>
      <c r="W7" s="16"/>
      <c r="X7" s="17"/>
      <c r="Y7" s="17"/>
      <c r="Z7" s="17"/>
      <c r="AA7" s="17"/>
      <c r="AB7" s="17"/>
      <c r="AC7" s="17"/>
      <c r="AD7" s="17"/>
      <c r="BA7" s="3"/>
      <c r="BB7" s="3"/>
      <c r="BC7" s="3"/>
      <c r="BD7" s="3"/>
      <c r="BE7" s="3"/>
      <c r="BF7" s="3"/>
      <c r="BG7" s="3"/>
      <c r="BH7" s="3"/>
    </row>
    <row r="8" spans="1:60" ht="19.05" customHeight="1">
      <c r="A8" s="2"/>
      <c r="B8" s="14" t="s">
        <v>0</v>
      </c>
      <c r="C8" s="14" t="s">
        <v>3667</v>
      </c>
      <c r="D8" s="14" t="s">
        <v>3668</v>
      </c>
      <c r="E8" s="14" t="s">
        <v>4</v>
      </c>
      <c r="F8" s="91" t="s">
        <v>3669</v>
      </c>
      <c r="G8" s="91"/>
      <c r="H8" s="14" t="s">
        <v>5</v>
      </c>
      <c r="I8" s="14" t="s">
        <v>31</v>
      </c>
      <c r="J8" s="91" t="s">
        <v>24</v>
      </c>
      <c r="K8" s="91"/>
      <c r="L8" s="91" t="s">
        <v>18</v>
      </c>
      <c r="M8" s="91"/>
      <c r="N8" s="14" t="s">
        <v>32</v>
      </c>
      <c r="O8" s="18"/>
      <c r="P8" s="22"/>
      <c r="Q8" s="18"/>
      <c r="R8" s="18"/>
      <c r="S8" s="18"/>
      <c r="T8" s="18"/>
      <c r="U8" s="18"/>
      <c r="V8" s="23"/>
      <c r="W8" s="16"/>
      <c r="X8" s="17"/>
      <c r="Y8" s="17"/>
      <c r="Z8" s="17"/>
      <c r="AA8" s="17"/>
      <c r="AB8" s="17"/>
      <c r="AC8" s="17"/>
      <c r="AD8" s="17"/>
      <c r="BA8" s="3"/>
      <c r="BB8" s="3"/>
      <c r="BC8" s="3"/>
      <c r="BD8" s="3"/>
      <c r="BE8" s="3"/>
      <c r="BF8" s="3"/>
      <c r="BG8" s="3"/>
      <c r="BH8" s="3"/>
    </row>
    <row r="9" spans="1:60" ht="19.05" customHeight="1">
      <c r="A9" s="2"/>
      <c r="B9" s="24" t="s">
        <v>1</v>
      </c>
      <c r="C9" s="15">
        <f>IF(COUNTIFS(评分与用量!$A$2:$A$634,B9,评分与用量!$B$2:$B$634,"第一轮",评分与用量!$C$2:$C$634,"S分项")=0,"",SUMIFS(评分与用量!$E$2:$E$634,评分与用量!$A$2:$A$634,B9,评分与用量!$B$2:$B$634,"第一轮",评分与用量!$C$2:$C$634,"S分项"))</f>
        <v>88</v>
      </c>
      <c r="D9" s="15">
        <f>IF(COUNTIFS(评分与用量!$A$2:$A$634,B9,评分与用量!$B$2:$B$634,"第二轮",评分与用量!$C$2:$C$634,"S分项")=0,"",SUMIFS(评分与用量!$E$2:$E$634,评分与用量!$A$2:$A$634,B9,评分与用量!$B$2:$B$634,"第二轮",评分与用量!$C$2:$C$634,"S分项"))</f>
        <v>98.5</v>
      </c>
      <c r="E9" s="25">
        <f>IF(SUMPRODUCT((运行记录!$A$2:$A$16=$B9)*(运行记录!$B$2:$B$16=$C$3)*ISNUMBER(运行记录!$M$2:$M$16))=0,"",SUMIFS(运行记录!$M$2:$M$16,运行记录!$A$2:$A$16,$B9,运行记录!$B$2:$B$16,$C$3))</f>
        <v>17.781400000000001</v>
      </c>
      <c r="F9" s="83" t="str">
        <f t="shared" ref="F9:F16" si="0">IF(OR(BC9="",BD9=""),"—",IF(ABS(BC9-BD9)&lt;0.005,TEXT(BC9,"0.00"),TEXT(BC9,"0.00")&amp;"–"&amp;TEXT(BD9,"0.00")))</f>
        <v>38.96</v>
      </c>
      <c r="G9" s="83"/>
      <c r="H9" s="26">
        <f>IF(COUNTIFS(行为记录!$A$2:$A$816,$B9,行为记录!$B$2:$B$816,$C$3,行为记录!$L$2:$L$816,"&lt;&gt;管理动作")=0,"",COUNTIFS(行为记录!$A$2:$A$816,$B9,行为记录!$B$2:$B$816,$C$3,行为记录!$L$2:$L$816,"确认无收益")/(COUNTIFS(行为记录!$A$2:$A$816,$B9,行为记录!$B$2:$B$816,$C$3,行为记录!$L$2:$L$816,"直接贡献交付")+COUNTIFS(行为记录!$A$2:$A$816,$B9,行为记录!$B$2:$B$816,$C$3,行为记录!$L$2:$L$816,"必要探索")+COUNTIFS(行为记录!$A$2:$A$816,$B9,行为记录!$B$2:$B$816,$C$3,行为记录!$L$2:$L$816,"确认无收益")))</f>
        <v>6.25E-2</v>
      </c>
      <c r="I9" s="67">
        <f>IF(COUNTIFS(评分与用量!$A$2:$A$623,$B9,评分与用量!$B$2:$B$623,$C$3,评分与用量!$C$2:$C$623,"人工负担证据",评分与用量!$D$2:$D$623,"首交后需处理任务数")=0,"",SUMIFS(评分与用量!$E$2:$E$623,评分与用量!$A$2:$A$623,$B9,评分与用量!$B$2:$B$623,$C$3,评分与用量!$C$2:$C$623,"人工负担证据",评分与用量!$D$2:$D$623,"首交后需处理任务数"))</f>
        <v>0</v>
      </c>
      <c r="J9" s="94">
        <f>IF(SUMPRODUCT((运行记录!$A$2:$A$16=$B9)*(运行记录!$B$2:$B$16=$C$3)*ISNUMBER(运行记录!$P$2:$P$16))=0,"",SUMIFS(运行记录!$P$2:$P$16,运行记录!$A$2:$A$16,$B9,运行记录!$B$2:$B$16,$C$3))</f>
        <v>3244918</v>
      </c>
      <c r="K9" s="95"/>
      <c r="L9" s="96" t="str">
        <f>IF(COUNTIFS(运行记录!$A$2:$A$16,$B9,运行记录!$B$2:$B$16,$C$3)=0,"未运行",INDEX(运行记录!$E$2:$E$16,SUMPRODUCT((运行记录!$A$2:$A$16=$B9)*(运行记录!$B$2:$B$16=$C$3)*(ROW(运行记录!$A$2:$A$16)-1))))</f>
        <v>Codex</v>
      </c>
      <c r="M9" s="96"/>
      <c r="N9" s="24" t="str">
        <f>IF(COUNTIFS(运行记录!$A$2:$A$16,$B9,运行记录!$B$2:$B$16,$C$3)=0,"未运行",INDEX(运行记录!$C$2:$C$16,SUMPRODUCT((运行记录!$A$2:$A$16=$B9)*(运行记录!$B$2:$B$16=$C$3)*(ROW(运行记录!$A$2:$A$16)-1))))</f>
        <v>已完成</v>
      </c>
      <c r="O9" s="18"/>
      <c r="P9" s="22"/>
      <c r="Q9" s="18"/>
      <c r="R9" s="18"/>
      <c r="S9" s="18"/>
      <c r="T9" s="18"/>
      <c r="U9" s="18"/>
      <c r="V9" s="23"/>
      <c r="W9" s="16"/>
      <c r="X9" s="17"/>
      <c r="Y9" s="17"/>
      <c r="Z9" s="17"/>
      <c r="AA9" s="17"/>
      <c r="AB9" s="17"/>
      <c r="AC9" s="17"/>
      <c r="AD9" s="17"/>
      <c r="BA9" s="3"/>
      <c r="BB9" s="3"/>
      <c r="BC9" s="4">
        <f>IF(SUMPRODUCT((运行记录!$A$2:$A$16=$B9)*(运行记录!$B$2:$B$16=$C$3)*ISNUMBER(运行记录!$Q$2:$Q$16))=0,"",SUMIFS(运行记录!$Q$2:$Q$16,运行记录!$A$2:$A$16,$B9,运行记录!$B$2:$B$16,$C$3))</f>
        <v>38.958407857600001</v>
      </c>
      <c r="BD9" s="4">
        <f>IF(SUMPRODUCT((运行记录!$A$2:$A$16=$B9)*(运行记录!$B$2:$B$16=$C$3)*ISNUMBER(运行记录!$R$2:$R$16))=0,"",SUMIFS(运行记录!$R$2:$R$16,运行记录!$A$2:$A$16,$B9,运行记录!$B$2:$B$16,$C$3))</f>
        <v>38.958407857600001</v>
      </c>
      <c r="BE9" s="4">
        <f t="shared" ref="BE9:BF16" si="1">C9</f>
        <v>88</v>
      </c>
      <c r="BF9" s="4">
        <f t="shared" si="1"/>
        <v>98.5</v>
      </c>
      <c r="BG9" s="4"/>
      <c r="BH9" s="4"/>
    </row>
    <row r="10" spans="1:60" ht="19.05" customHeight="1">
      <c r="A10" s="2"/>
      <c r="B10" s="24" t="s">
        <v>13</v>
      </c>
      <c r="C10" s="15">
        <f>IF(COUNTIFS(评分与用量!$A$2:$A$634,B10,评分与用量!$B$2:$B$634,"第一轮",评分与用量!$C$2:$C$634,"S分项")=0,"",SUMIFS(评分与用量!$E$2:$E$634,评分与用量!$A$2:$A$634,B10,评分与用量!$B$2:$B$634,"第一轮",评分与用量!$C$2:$C$634,"S分项"))</f>
        <v>84.5</v>
      </c>
      <c r="D10" s="15">
        <f>IF(COUNTIFS(评分与用量!$A$2:$A$634,B10,评分与用量!$B$2:$B$634,"第二轮",评分与用量!$C$2:$C$634,"S分项")=0,"",SUMIFS(评分与用量!$E$2:$E$634,评分与用量!$A$2:$A$634,B10,评分与用量!$B$2:$B$634,"第二轮",评分与用量!$C$2:$C$634,"S分项"))</f>
        <v>85.25</v>
      </c>
      <c r="E10" s="25">
        <f>IF(SUMPRODUCT((运行记录!$A$2:$A$16=$B10)*(运行记录!$B$2:$B$16=$C$3)*ISNUMBER(运行记录!$M$2:$M$16))=0,"",SUMIFS(运行记录!$M$2:$M$16,运行记录!$A$2:$A$16,$B10,运行记录!$B$2:$B$16,$C$3))</f>
        <v>11.707416666666667</v>
      </c>
      <c r="F10" s="83" t="str">
        <f t="shared" si="0"/>
        <v>9.86</v>
      </c>
      <c r="G10" s="83"/>
      <c r="H10" s="26">
        <f>IF(COUNTIFS(行为记录!$A$2:$A$816,$B10,行为记录!$B$2:$B$816,$C$3,行为记录!$L$2:$L$816,"&lt;&gt;管理动作")=0,"",COUNTIFS(行为记录!$A$2:$A$816,$B10,行为记录!$B$2:$B$816,$C$3,行为记录!$L$2:$L$816,"确认无收益")/(COUNTIFS(行为记录!$A$2:$A$816,$B10,行为记录!$B$2:$B$816,$C$3,行为记录!$L$2:$L$816,"直接贡献交付")+COUNTIFS(行为记录!$A$2:$A$816,$B10,行为记录!$B$2:$B$816,$C$3,行为记录!$L$2:$L$816,"必要探索")+COUNTIFS(行为记录!$A$2:$A$816,$B10,行为记录!$B$2:$B$816,$C$3,行为记录!$L$2:$L$816,"确认无收益")))</f>
        <v>0</v>
      </c>
      <c r="I10" s="67">
        <f>IF(COUNTIFS(评分与用量!$A$2:$A$623,$B10,评分与用量!$B$2:$B$623,$C$3,评分与用量!$C$2:$C$623,"人工负担证据",评分与用量!$D$2:$D$623,"首交后需处理任务数")=0,"",SUMIFS(评分与用量!$E$2:$E$623,评分与用量!$A$2:$A$623,$B10,评分与用量!$B$2:$B$623,$C$3,评分与用量!$C$2:$C$623,"人工负担证据",评分与用量!$D$2:$D$623,"首交后需处理任务数"))</f>
        <v>1</v>
      </c>
      <c r="J10" s="94">
        <f>IF(SUMPRODUCT((运行记录!$A$2:$A$16=$B10)*(运行记录!$B$2:$B$16=$C$3)*ISNUMBER(运行记录!$P$2:$P$16))=0,"",SUMIFS(运行记录!$P$2:$P$16,运行记录!$A$2:$A$16,$B10,运行记录!$B$2:$B$16,$C$3))</f>
        <v>1597244</v>
      </c>
      <c r="K10" s="95"/>
      <c r="L10" s="96" t="str">
        <f>IF(COUNTIFS(运行记录!$A$2:$A$16,$B10,运行记录!$B$2:$B$16,$C$3)=0,"未运行",INDEX(运行记录!$E$2:$E$16,SUMPRODUCT((运行记录!$A$2:$A$16=$B10)*(运行记录!$B$2:$B$16=$C$3)*(ROW(运行记录!$A$2:$A$16)-1))))</f>
        <v>Cursor</v>
      </c>
      <c r="M10" s="96"/>
      <c r="N10" s="24" t="str">
        <f>IF(COUNTIFS(运行记录!$A$2:$A$16,$B10,运行记录!$B$2:$B$16,$C$3)=0,"未运行",INDEX(运行记录!$C$2:$C$16,SUMPRODUCT((运行记录!$A$2:$A$16=$B10)*(运行记录!$B$2:$B$16=$C$3)*(ROW(运行记录!$A$2:$A$16)-1))))</f>
        <v>已完成</v>
      </c>
      <c r="O10" s="18"/>
      <c r="P10" s="22"/>
      <c r="Q10" s="18"/>
      <c r="R10" s="18"/>
      <c r="S10" s="18"/>
      <c r="T10" s="18"/>
      <c r="U10" s="18"/>
      <c r="V10" s="23"/>
      <c r="W10" s="16"/>
      <c r="X10" s="17"/>
      <c r="Y10" s="17"/>
      <c r="Z10" s="17"/>
      <c r="AA10" s="17"/>
      <c r="AB10" s="17"/>
      <c r="AC10" s="17"/>
      <c r="AD10" s="17"/>
      <c r="BA10" s="3"/>
      <c r="BB10" s="3"/>
      <c r="BC10" s="4">
        <f>IF(SUMPRODUCT((运行记录!$A$2:$A$16=$B10)*(运行记录!$B$2:$B$16=$C$3)*ISNUMBER(运行记录!$Q$2:$Q$16))=0,"",SUMIFS(运行记录!$Q$2:$Q$16,运行记录!$A$2:$A$16,$B10,运行记录!$B$2:$B$16,$C$3))</f>
        <v>9.8583229184000007</v>
      </c>
      <c r="BD10" s="4">
        <f>IF(SUMPRODUCT((运行记录!$A$2:$A$16=$B10)*(运行记录!$B$2:$B$16=$C$3)*ISNUMBER(运行记录!$R$2:$R$16))=0,"",SUMIFS(运行记录!$R$2:$R$16,运行记录!$A$2:$A$16,$B10,运行记录!$B$2:$B$16,$C$3))</f>
        <v>9.8583229184000007</v>
      </c>
      <c r="BE10" s="4">
        <f t="shared" si="1"/>
        <v>84.5</v>
      </c>
      <c r="BF10" s="4">
        <f t="shared" si="1"/>
        <v>85.25</v>
      </c>
      <c r="BG10" s="4"/>
      <c r="BH10" s="4"/>
    </row>
    <row r="11" spans="1:60" ht="19.05" customHeight="1">
      <c r="A11" s="2"/>
      <c r="B11" s="24" t="s">
        <v>14</v>
      </c>
      <c r="C11" s="15">
        <f>IF(COUNTIFS(评分与用量!$A$2:$A$634,B11,评分与用量!$B$2:$B$634,"第一轮",评分与用量!$C$2:$C$634,"S分项")=0,"",SUMIFS(评分与用量!$E$2:$E$634,评分与用量!$A$2:$A$634,B11,评分与用量!$B$2:$B$634,"第一轮",评分与用量!$C$2:$C$634,"S分项"))</f>
        <v>76.5</v>
      </c>
      <c r="D11" s="15">
        <f>IF(COUNTIFS(评分与用量!$A$2:$A$634,B11,评分与用量!$B$2:$B$634,"第二轮",评分与用量!$C$2:$C$634,"S分项")=0,"",SUMIFS(评分与用量!$E$2:$E$634,评分与用量!$A$2:$A$634,B11,评分与用量!$B$2:$B$634,"第二轮",评分与用量!$C$2:$C$634,"S分项"))</f>
        <v>87.25</v>
      </c>
      <c r="E11" s="25">
        <f>IF(SUMPRODUCT((运行记录!$A$2:$A$16=$B11)*(运行记录!$B$2:$B$16=$C$3)*ISNUMBER(运行记录!$M$2:$M$16))=0,"",SUMIFS(运行记录!$M$2:$M$16,运行记录!$A$2:$A$16,$B11,运行记录!$B$2:$B$16,$C$3))</f>
        <v>21.701233333333334</v>
      </c>
      <c r="F11" s="83" t="str">
        <f t="shared" si="0"/>
        <v>1.37–2.74</v>
      </c>
      <c r="G11" s="83"/>
      <c r="H11" s="26">
        <f>IF(COUNTIFS(行为记录!$A$2:$A$816,$B11,行为记录!$B$2:$B$816,$C$3,行为记录!$L$2:$L$816,"&lt;&gt;管理动作")=0,"",COUNTIFS(行为记录!$A$2:$A$816,$B11,行为记录!$B$2:$B$816,$C$3,行为记录!$L$2:$L$816,"确认无收益")/(COUNTIFS(行为记录!$A$2:$A$816,$B11,行为记录!$B$2:$B$816,$C$3,行为记录!$L$2:$L$816,"直接贡献交付")+COUNTIFS(行为记录!$A$2:$A$816,$B11,行为记录!$B$2:$B$816,$C$3,行为记录!$L$2:$L$816,"必要探索")+COUNTIFS(行为记录!$A$2:$A$816,$B11,行为记录!$B$2:$B$816,$C$3,行为记录!$L$2:$L$816,"确认无收益")))</f>
        <v>1.1363636363636364E-2</v>
      </c>
      <c r="I11" s="67">
        <f>IF(COUNTIFS(评分与用量!$A$2:$A$623,$B11,评分与用量!$B$2:$B$623,$C$3,评分与用量!$C$2:$C$623,"人工负担证据",评分与用量!$D$2:$D$623,"首交后需处理任务数")=0,"",SUMIFS(评分与用量!$E$2:$E$623,评分与用量!$A$2:$A$623,$B11,评分与用量!$B$2:$B$623,$C$3,评分与用量!$C$2:$C$623,"人工负担证据",评分与用量!$D$2:$D$623,"首交后需处理任务数"))</f>
        <v>1</v>
      </c>
      <c r="J11" s="94">
        <f>IF(SUMPRODUCT((运行记录!$A$2:$A$16=$B11)*(运行记录!$B$2:$B$16=$C$3)*ISNUMBER(运行记录!$P$2:$P$16))=0,"",SUMIFS(运行记录!$P$2:$P$16,运行记录!$A$2:$A$16,$B11,运行记录!$B$2:$B$16,$C$3))</f>
        <v>8980596</v>
      </c>
      <c r="K11" s="95"/>
      <c r="L11" s="96" t="str">
        <f>IF(COUNTIFS(运行记录!$A$2:$A$16,$B11,运行记录!$B$2:$B$16,$C$3)=0,"未运行",INDEX(运行记录!$E$2:$E$16,SUMPRODUCT((运行记录!$A$2:$A$16=$B11)*(运行记录!$B$2:$B$16=$C$3)*(ROW(运行记录!$A$2:$A$16)-1))))</f>
        <v>Claude Code</v>
      </c>
      <c r="M11" s="96"/>
      <c r="N11" s="24" t="str">
        <f>IF(COUNTIFS(运行记录!$A$2:$A$16,$B11,运行记录!$B$2:$B$16,$C$3)=0,"未运行",INDEX(运行记录!$C$2:$C$16,SUMPRODUCT((运行记录!$A$2:$A$16=$B11)*(运行记录!$B$2:$B$16=$C$3)*(ROW(运行记录!$A$2:$A$16)-1))))</f>
        <v>已完成</v>
      </c>
      <c r="O11" s="18"/>
      <c r="P11" s="22"/>
      <c r="Q11" s="18"/>
      <c r="R11" s="18"/>
      <c r="S11" s="18"/>
      <c r="T11" s="18"/>
      <c r="U11" s="18"/>
      <c r="V11" s="23"/>
      <c r="W11" s="16"/>
      <c r="X11" s="17"/>
      <c r="Y11" s="17"/>
      <c r="Z11" s="17"/>
      <c r="AA11" s="17"/>
      <c r="AB11" s="17"/>
      <c r="AC11" s="17"/>
      <c r="AD11" s="17"/>
      <c r="BA11" s="3"/>
      <c r="BB11" s="3"/>
      <c r="BC11" s="4">
        <f>IF(SUMPRODUCT((运行记录!$A$2:$A$16=$B11)*(运行记录!$B$2:$B$16=$C$3)*ISNUMBER(运行记录!$Q$2:$Q$16))=0,"",SUMIFS(运行记录!$Q$2:$Q$16,运行记录!$A$2:$A$16,$B11,运行记录!$B$2:$B$16,$C$3))</f>
        <v>1.3686114</v>
      </c>
      <c r="BD11" s="4">
        <f>IF(SUMPRODUCT((运行记录!$A$2:$A$16=$B11)*(运行记录!$B$2:$B$16=$C$3)*ISNUMBER(运行记录!$R$2:$R$16))=0,"",SUMIFS(运行记录!$R$2:$R$16,运行记录!$A$2:$A$16,$B11,运行记录!$B$2:$B$16,$C$3))</f>
        <v>2.7372228000000001</v>
      </c>
      <c r="BE11" s="4">
        <f t="shared" si="1"/>
        <v>76.5</v>
      </c>
      <c r="BF11" s="4">
        <f t="shared" si="1"/>
        <v>87.25</v>
      </c>
      <c r="BG11" s="4"/>
      <c r="BH11" s="4"/>
    </row>
    <row r="12" spans="1:60" ht="19.05" customHeight="1">
      <c r="A12" s="2"/>
      <c r="B12" s="24" t="s">
        <v>15</v>
      </c>
      <c r="C12" s="15">
        <f>IF(COUNTIFS(评分与用量!$A$2:$A$634,B12,评分与用量!$B$2:$B$634,"第一轮",评分与用量!$C$2:$C$634,"S分项")=0,"",SUMIFS(评分与用量!$E$2:$E$634,评分与用量!$A$2:$A$634,B12,评分与用量!$B$2:$B$634,"第一轮",评分与用量!$C$2:$C$634,"S分项"))</f>
        <v>74</v>
      </c>
      <c r="D12" s="15">
        <f>IF(COUNTIFS(评分与用量!$A$2:$A$634,B12,评分与用量!$B$2:$B$634,"第二轮",评分与用量!$C$2:$C$634,"S分项")=0,"",SUMIFS(评分与用量!$E$2:$E$634,评分与用量!$A$2:$A$634,B12,评分与用量!$B$2:$B$634,"第二轮",评分与用量!$C$2:$C$634,"S分项"))</f>
        <v>81</v>
      </c>
      <c r="E12" s="25">
        <f>IF(SUMPRODUCT((运行记录!$A$2:$A$16=$B12)*(运行记录!$B$2:$B$16=$C$3)*ISNUMBER(运行记录!$M$2:$M$16))=0,"",SUMIFS(运行记录!$M$2:$M$16,运行记录!$A$2:$A$16,$B12,运行记录!$B$2:$B$16,$C$3))</f>
        <v>9.5915833333333342</v>
      </c>
      <c r="F12" s="83" t="str">
        <f t="shared" si="0"/>
        <v>6.48</v>
      </c>
      <c r="G12" s="83"/>
      <c r="H12" s="26">
        <f>IF(COUNTIFS(行为记录!$A$2:$A$816,$B12,行为记录!$B$2:$B$816,$C$3,行为记录!$L$2:$L$816,"&lt;&gt;管理动作")=0,"",COUNTIFS(行为记录!$A$2:$A$816,$B12,行为记录!$B$2:$B$816,$C$3,行为记录!$L$2:$L$816,"确认无收益")/(COUNTIFS(行为记录!$A$2:$A$816,$B12,行为记录!$B$2:$B$816,$C$3,行为记录!$L$2:$L$816,"直接贡献交付")+COUNTIFS(行为记录!$A$2:$A$816,$B12,行为记录!$B$2:$B$816,$C$3,行为记录!$L$2:$L$816,"必要探索")+COUNTIFS(行为记录!$A$2:$A$816,$B12,行为记录!$B$2:$B$816,$C$3,行为记录!$L$2:$L$816,"确认无收益")))</f>
        <v>4.878048780487805E-2</v>
      </c>
      <c r="I12" s="67">
        <f>IF(COUNTIFS(评分与用量!$A$2:$A$623,$B12,评分与用量!$B$2:$B$623,$C$3,评分与用量!$C$2:$C$623,"人工负担证据",评分与用量!$D$2:$D$623,"首交后需处理任务数")=0,"",SUMIFS(评分与用量!$E$2:$E$623,评分与用量!$A$2:$A$623,$B12,评分与用量!$B$2:$B$623,$C$3,评分与用量!$C$2:$C$623,"人工负担证据",评分与用量!$D$2:$D$623,"首交后需处理任务数"))</f>
        <v>1</v>
      </c>
      <c r="J12" s="94">
        <f>IF(SUMPRODUCT((运行记录!$A$2:$A$16=$B12)*(运行记录!$B$2:$B$16=$C$3)*ISNUMBER(运行记录!$P$2:$P$16))=0,"",SUMIFS(运行记录!$P$2:$P$16,运行记录!$A$2:$A$16,$B12,运行记录!$B$2:$B$16,$C$3))</f>
        <v>2456581</v>
      </c>
      <c r="K12" s="95"/>
      <c r="L12" s="96" t="str">
        <f>IF(COUNTIFS(运行记录!$A$2:$A$16,$B12,运行记录!$B$2:$B$16,$C$3)=0,"未运行",INDEX(运行记录!$E$2:$E$16,SUMPRODUCT((运行记录!$A$2:$A$16=$B12)*(运行记录!$B$2:$B$16=$C$3)*(ROW(运行记录!$A$2:$A$16)-1))))</f>
        <v>Claude Code</v>
      </c>
      <c r="M12" s="96"/>
      <c r="N12" s="24" t="str">
        <f>IF(COUNTIFS(运行记录!$A$2:$A$16,$B12,运行记录!$B$2:$B$16,$C$3)=0,"未运行",INDEX(运行记录!$C$2:$C$16,SUMPRODUCT((运行记录!$A$2:$A$16=$B12)*(运行记录!$B$2:$B$16=$C$3)*(ROW(运行记录!$A$2:$A$16)-1))))</f>
        <v>已完成</v>
      </c>
      <c r="O12" s="18"/>
      <c r="P12" s="22"/>
      <c r="Q12" s="18"/>
      <c r="R12" s="18"/>
      <c r="S12" s="18"/>
      <c r="T12" s="18"/>
      <c r="U12" s="18"/>
      <c r="V12" s="23"/>
      <c r="W12" s="16"/>
      <c r="X12" s="17"/>
      <c r="Y12" s="17"/>
      <c r="Z12" s="17"/>
      <c r="AA12" s="17"/>
      <c r="AB12" s="17"/>
      <c r="AC12" s="17"/>
      <c r="AD12" s="17"/>
      <c r="BA12" s="3"/>
      <c r="BB12" s="3"/>
      <c r="BC12" s="4">
        <f>IF(SUMPRODUCT((运行记录!$A$2:$A$16=$B12)*(运行记录!$B$2:$B$16=$C$3)*ISNUMBER(运行记录!$Q$2:$Q$16))=0,"",SUMIFS(运行记录!$Q$2:$Q$16,运行记录!$A$2:$A$16,$B12,运行记录!$B$2:$B$16,$C$3))</f>
        <v>6.4802759999999999</v>
      </c>
      <c r="BD12" s="4">
        <f>IF(SUMPRODUCT((运行记录!$A$2:$A$16=$B12)*(运行记录!$B$2:$B$16=$C$3)*ISNUMBER(运行记录!$R$2:$R$16))=0,"",SUMIFS(运行记录!$R$2:$R$16,运行记录!$A$2:$A$16,$B12,运行记录!$B$2:$B$16,$C$3))</f>
        <v>6.4802759999999999</v>
      </c>
      <c r="BE12" s="4">
        <f t="shared" si="1"/>
        <v>74</v>
      </c>
      <c r="BF12" s="4">
        <f t="shared" si="1"/>
        <v>81</v>
      </c>
      <c r="BG12" s="4"/>
      <c r="BH12" s="4"/>
    </row>
    <row r="13" spans="1:60" ht="19.05" customHeight="1">
      <c r="A13" s="2"/>
      <c r="B13" s="24" t="s">
        <v>16</v>
      </c>
      <c r="C13" s="15">
        <f>IF(COUNTIFS(评分与用量!$A$2:$A$634,B13,评分与用量!$B$2:$B$634,"第一轮",评分与用量!$C$2:$C$634,"S分项")=0,"",SUMIFS(评分与用量!$E$2:$E$634,评分与用量!$A$2:$A$634,B13,评分与用量!$B$2:$B$634,"第一轮",评分与用量!$C$2:$C$634,"S分项"))</f>
        <v>67.5</v>
      </c>
      <c r="D13" s="15">
        <f>IF(COUNTIFS(评分与用量!$A$2:$A$634,B13,评分与用量!$B$2:$B$634,"第二轮",评分与用量!$C$2:$C$634,"S分项")=0,"",SUMIFS(评分与用量!$E$2:$E$634,评分与用量!$A$2:$A$634,B13,评分与用量!$B$2:$B$634,"第二轮",评分与用量!$C$2:$C$634,"S分项"))</f>
        <v>75.25</v>
      </c>
      <c r="E13" s="25">
        <f>IF(SUMPRODUCT((运行记录!$A$2:$A$16=$B13)*(运行记录!$B$2:$B$16=$C$3)*ISNUMBER(运行记录!$M$2:$M$16))=0,"",SUMIFS(运行记录!$M$2:$M$16,运行记录!$A$2:$A$16,$B13,运行记录!$B$2:$B$16,$C$3))</f>
        <v>60.205983333333329</v>
      </c>
      <c r="F13" s="83" t="str">
        <f t="shared" si="0"/>
        <v>14.33</v>
      </c>
      <c r="G13" s="83"/>
      <c r="H13" s="26">
        <f>IF(COUNTIFS(行为记录!$A$2:$A$816,$B13,行为记录!$B$2:$B$816,$C$3,行为记录!$L$2:$L$816,"&lt;&gt;管理动作")=0,"",COUNTIFS(行为记录!$A$2:$A$816,$B13,行为记录!$B$2:$B$816,$C$3,行为记录!$L$2:$L$816,"确认无收益")/(COUNTIFS(行为记录!$A$2:$A$816,$B13,行为记录!$B$2:$B$816,$C$3,行为记录!$L$2:$L$816,"直接贡献交付")+COUNTIFS(行为记录!$A$2:$A$816,$B13,行为记录!$B$2:$B$816,$C$3,行为记录!$L$2:$L$816,"必要探索")+COUNTIFS(行为记录!$A$2:$A$816,$B13,行为记录!$B$2:$B$816,$C$3,行为记录!$L$2:$L$816,"确认无收益")))</f>
        <v>0</v>
      </c>
      <c r="I13" s="67">
        <f>IF(COUNTIFS(评分与用量!$A$2:$A$623,$B13,评分与用量!$B$2:$B$623,$C$3,评分与用量!$C$2:$C$623,"人工负担证据",评分与用量!$D$2:$D$623,"首交后需处理任务数")=0,"",SUMIFS(评分与用量!$E$2:$E$623,评分与用量!$A$2:$A$623,$B13,评分与用量!$B$2:$B$623,$C$3,评分与用量!$C$2:$C$623,"人工负担证据",评分与用量!$D$2:$D$623,"首交后需处理任务数"))</f>
        <v>2</v>
      </c>
      <c r="J13" s="94">
        <f>IF(SUMPRODUCT((运行记录!$A$2:$A$16=$B13)*(运行记录!$B$2:$B$16=$C$3)*ISNUMBER(运行记录!$P$2:$P$16))=0,"",SUMIFS(运行记录!$P$2:$P$16,运行记录!$A$2:$A$16,$B13,运行记录!$B$2:$B$16,$C$3))</f>
        <v>8288450</v>
      </c>
      <c r="K13" s="95"/>
      <c r="L13" s="96" t="str">
        <f>IF(COUNTIFS(运行记录!$A$2:$A$16,$B13,运行记录!$B$2:$B$16,$C$3)=0,"未运行",INDEX(运行记录!$E$2:$E$16,SUMPRODUCT((运行记录!$A$2:$A$16=$B13)*(运行记录!$B$2:$B$16=$C$3)*(ROW(运行记录!$A$2:$A$16)-1))))</f>
        <v>Claude Code</v>
      </c>
      <c r="M13" s="96"/>
      <c r="N13" s="24" t="str">
        <f>IF(COUNTIFS(运行记录!$A$2:$A$16,$B13,运行记录!$B$2:$B$16,$C$3)=0,"未运行",INDEX(运行记录!$C$2:$C$16,SUMPRODUCT((运行记录!$A$2:$A$16=$B13)*(运行记录!$B$2:$B$16=$C$3)*(ROW(运行记录!$A$2:$A$16)-1))))</f>
        <v>已完成</v>
      </c>
      <c r="O13" s="18"/>
      <c r="P13" s="22"/>
      <c r="Q13" s="18"/>
      <c r="R13" s="18"/>
      <c r="S13" s="18"/>
      <c r="T13" s="18"/>
      <c r="U13" s="18"/>
      <c r="V13" s="23"/>
      <c r="W13" s="16"/>
      <c r="X13" s="17"/>
      <c r="Y13" s="17"/>
      <c r="Z13" s="17"/>
      <c r="AA13" s="17"/>
      <c r="AB13" s="17"/>
      <c r="AC13" s="17"/>
      <c r="AD13" s="17"/>
      <c r="BA13" s="3"/>
      <c r="BB13" s="3"/>
      <c r="BC13" s="4">
        <f>IF(SUMPRODUCT((运行记录!$A$2:$A$16=$B13)*(运行记录!$B$2:$B$16=$C$3)*ISNUMBER(运行记录!$Q$2:$Q$16))=0,"",SUMIFS(运行记录!$Q$2:$Q$16,运行记录!$A$2:$A$16,$B13,运行记录!$B$2:$B$16,$C$3))</f>
        <v>14.328685</v>
      </c>
      <c r="BD13" s="4">
        <f>IF(SUMPRODUCT((运行记录!$A$2:$A$16=$B13)*(运行记录!$B$2:$B$16=$C$3)*ISNUMBER(运行记录!$R$2:$R$16))=0,"",SUMIFS(运行记录!$R$2:$R$16,运行记录!$A$2:$A$16,$B13,运行记录!$B$2:$B$16,$C$3))</f>
        <v>14.328685</v>
      </c>
      <c r="BE13" s="4">
        <f t="shared" si="1"/>
        <v>67.5</v>
      </c>
      <c r="BF13" s="4">
        <f t="shared" si="1"/>
        <v>75.25</v>
      </c>
      <c r="BG13" s="4"/>
      <c r="BH13" s="4"/>
    </row>
    <row r="14" spans="1:60" ht="19.05" customHeight="1">
      <c r="A14" s="2"/>
      <c r="B14" s="24" t="s">
        <v>17</v>
      </c>
      <c r="C14" s="15">
        <f>IF(COUNTIFS(评分与用量!$A$2:$A$634,B14,评分与用量!$B$2:$B$634,"第一轮",评分与用量!$C$2:$C$634,"S分项")=0,"",SUMIFS(评分与用量!$E$2:$E$634,评分与用量!$A$2:$A$634,B14,评分与用量!$B$2:$B$634,"第一轮",评分与用量!$C$2:$C$634,"S分项"))</f>
        <v>39.5</v>
      </c>
      <c r="D14" s="15">
        <f>IF(COUNTIFS(评分与用量!$A$2:$A$634,B14,评分与用量!$B$2:$B$634,"第二轮",评分与用量!$C$2:$C$634,"S分项")=0,"",SUMIFS(评分与用量!$E$2:$E$634,评分与用量!$A$2:$A$634,B14,评分与用量!$B$2:$B$634,"第二轮",评分与用量!$C$2:$C$634,"S分项"))</f>
        <v>59.5</v>
      </c>
      <c r="E14" s="25">
        <f>IF(SUMPRODUCT((运行记录!$A$2:$A$16=$B14)*(运行记录!$B$2:$B$16=$C$3)*ISNUMBER(运行记录!$M$2:$M$16))=0,"",SUMIFS(运行记录!$M$2:$M$16,运行记录!$A$2:$A$16,$B14,运行记录!$B$2:$B$16,$C$3))</f>
        <v>6.0697350500000002</v>
      </c>
      <c r="F14" s="83" t="str">
        <f t="shared" si="0"/>
        <v>5.12</v>
      </c>
      <c r="G14" s="83"/>
      <c r="H14" s="26">
        <f>IF(COUNTIFS(行为记录!$A$2:$A$816,$B14,行为记录!$B$2:$B$816,$C$3,行为记录!$L$2:$L$816,"&lt;&gt;管理动作")=0,"",COUNTIFS(行为记录!$A$2:$A$816,$B14,行为记录!$B$2:$B$816,$C$3,行为记录!$L$2:$L$816,"确认无收益")/(COUNTIFS(行为记录!$A$2:$A$816,$B14,行为记录!$B$2:$B$816,$C$3,行为记录!$L$2:$L$816,"直接贡献交付")+COUNTIFS(行为记录!$A$2:$A$816,$B14,行为记录!$B$2:$B$816,$C$3,行为记录!$L$2:$L$816,"必要探索")+COUNTIFS(行为记录!$A$2:$A$816,$B14,行为记录!$B$2:$B$816,$C$3,行为记录!$L$2:$L$816,"确认无收益")))</f>
        <v>0</v>
      </c>
      <c r="I14" s="67">
        <f>IF(COUNTIFS(评分与用量!$A$2:$A$623,$B14,评分与用量!$B$2:$B$623,$C$3,评分与用量!$C$2:$C$623,"人工负担证据",评分与用量!$D$2:$D$623,"首交后需处理任务数")=0,"",SUMIFS(评分与用量!$E$2:$E$623,评分与用量!$A$2:$A$623,$B14,评分与用量!$B$2:$B$623,$C$3,评分与用量!$C$2:$C$623,"人工负担证据",评分与用量!$D$2:$D$623,"首交后需处理任务数"))</f>
        <v>5</v>
      </c>
      <c r="J14" s="94">
        <f>IF(SUMPRODUCT((运行记录!$A$2:$A$16=$B14)*(运行记录!$B$2:$B$16=$C$3)*ISNUMBER(运行记录!$P$2:$P$16))=0,"",SUMIFS(运行记录!$P$2:$P$16,运行记录!$A$2:$A$16,$B14,运行记录!$B$2:$B$16,$C$3))</f>
        <v>2502140</v>
      </c>
      <c r="K14" s="95"/>
      <c r="L14" s="96" t="str">
        <f>IF(COUNTIFS(运行记录!$A$2:$A$16,$B14,运行记录!$B$2:$B$16,$C$3)=0,"未运行",INDEX(运行记录!$E$2:$E$16,SUMPRODUCT((运行记录!$A$2:$A$16=$B14)*(运行记录!$B$2:$B$16=$C$3)*(ROW(运行记录!$A$2:$A$16)-1))))</f>
        <v>Antigravity</v>
      </c>
      <c r="M14" s="96"/>
      <c r="N14" s="24" t="str">
        <f>IF(COUNTIFS(运行记录!$A$2:$A$16,B14,运行记录!$B$2:$B$16,$C$3)=0,"未运行",INDEX(运行记录!$C$2:$C$16,MATCH(1,INDEX((运行记录!$A$2:$A$16=B14)*(运行记录!$B$2:$B$16=$C$3),0),0)))</f>
        <v>已完成</v>
      </c>
      <c r="O14" s="18"/>
      <c r="P14" s="22"/>
      <c r="Q14" s="18"/>
      <c r="R14" s="18"/>
      <c r="S14" s="18"/>
      <c r="T14" s="18"/>
      <c r="U14" s="18"/>
      <c r="V14" s="23"/>
      <c r="W14" s="16"/>
      <c r="X14" s="17"/>
      <c r="Y14" s="17"/>
      <c r="Z14" s="17"/>
      <c r="AA14" s="17"/>
      <c r="AB14" s="17"/>
      <c r="AC14" s="17"/>
      <c r="AD14" s="17"/>
      <c r="BA14" s="3"/>
      <c r="BB14" s="3"/>
      <c r="BC14" s="4">
        <f>IF(SUMPRODUCT((运行记录!$A$2:$A$16=$B14)*(运行记录!$B$2:$B$16=$C$3)*ISNUMBER(运行记录!$Q$2:$Q$16))=0,"",SUMIFS(运行记录!$Q$2:$Q$16,运行记录!$A$2:$A$16,$B14,运行记录!$B$2:$B$16,$C$3))</f>
        <v>5.1199395399900007</v>
      </c>
      <c r="BD14" s="4">
        <f>IF(SUMPRODUCT((运行记录!$A$2:$A$16=$B14)*(运行记录!$B$2:$B$16=$C$3)*ISNUMBER(运行记录!$R$2:$R$16))=0,"",SUMIFS(运行记录!$R$2:$R$16,运行记录!$A$2:$A$16,$B14,运行记录!$B$2:$B$16,$C$3))</f>
        <v>5.1199395399900007</v>
      </c>
      <c r="BE14" s="4">
        <f t="shared" si="1"/>
        <v>39.5</v>
      </c>
      <c r="BF14" s="4">
        <f t="shared" si="1"/>
        <v>59.5</v>
      </c>
      <c r="BG14" s="4"/>
      <c r="BH14" s="4"/>
    </row>
    <row r="15" spans="1:60" ht="19.05" customHeight="1">
      <c r="A15" s="2"/>
      <c r="B15" s="24" t="s">
        <v>20</v>
      </c>
      <c r="C15" s="15" t="str">
        <f>IF(COUNTIFS(评分与用量!$A$2:$A$634,B15,评分与用量!$B$2:$B$634,"第一轮",评分与用量!$C$2:$C$634,"S分项")=0,"",SUMIFS(评分与用量!$E$2:$E$634,评分与用量!$A$2:$A$634,B15,评分与用量!$B$2:$B$634,"第一轮",评分与用量!$C$2:$C$634,"S分项"))</f>
        <v/>
      </c>
      <c r="D15" s="15" t="str">
        <f>IF(COUNTIFS(评分与用量!$A$2:$A$634,B15,评分与用量!$B$2:$B$634,"第二轮",评分与用量!$C$2:$C$634,"S分项")=0,"",SUMIFS(评分与用量!$E$2:$E$634,评分与用量!$A$2:$A$634,B15,评分与用量!$B$2:$B$634,"第二轮",评分与用量!$C$2:$C$634,"S分项"))</f>
        <v/>
      </c>
      <c r="E15" s="25">
        <f>IF(SUMPRODUCT((运行记录!$A$2:$A$16=$B15)*(运行记录!$B$2:$B$16=$C$3)*ISNUMBER(运行记录!$M$2:$M$16))=0,"",SUMIFS(运行记录!$M$2:$M$16,运行记录!$A$2:$A$16,$B15,运行记录!$B$2:$B$16,$C$3))</f>
        <v>2.6456166666666667</v>
      </c>
      <c r="F15" s="83" t="str">
        <f t="shared" si="0"/>
        <v>1.48</v>
      </c>
      <c r="G15" s="83"/>
      <c r="H15" s="26">
        <f>IF(COUNTIFS(行为记录!$A$2:$A$816,$B15,行为记录!$B$2:$B$816,$C$3,行为记录!$L$2:$L$816,"&lt;&gt;管理动作")=0,"",COUNTIFS(行为记录!$A$2:$A$816,$B15,行为记录!$B$2:$B$816,$C$3,行为记录!$L$2:$L$816,"确认无收益")/(COUNTIFS(行为记录!$A$2:$A$816,$B15,行为记录!$B$2:$B$816,$C$3,行为记录!$L$2:$L$816,"直接贡献交付")+COUNTIFS(行为记录!$A$2:$A$816,$B15,行为记录!$B$2:$B$816,$C$3,行为记录!$L$2:$L$816,"必要探索")+COUNTIFS(行为记录!$A$2:$A$816,$B15,行为记录!$B$2:$B$816,$C$3,行为记录!$L$2:$L$816,"确认无收益")))</f>
        <v>0.9285714285714286</v>
      </c>
      <c r="I15" s="67">
        <f>IF(COUNTIFS(评分与用量!$A$2:$A$623,$B15,评分与用量!$B$2:$B$623,$C$3,评分与用量!$C$2:$C$623,"人工负担证据",评分与用量!$D$2:$D$623,"首交后需处理任务数")=0,"",SUMIFS(评分与用量!$E$2:$E$623,评分与用量!$A$2:$A$623,$B15,评分与用量!$B$2:$B$623,$C$3,评分与用量!$C$2:$C$623,"人工负担证据",评分与用量!$D$2:$D$623,"首交后需处理任务数"))</f>
        <v>0</v>
      </c>
      <c r="J15" s="94">
        <f>IF(SUMPRODUCT((运行记录!$A$2:$A$16=$B15)*(运行记录!$B$2:$B$16=$C$3)*ISNUMBER(运行记录!$P$2:$P$16))=0,"",SUMIFS(运行记录!$P$2:$P$16,运行记录!$A$2:$A$16,$B15,运行记录!$B$2:$B$16,$C$3))</f>
        <v>499485</v>
      </c>
      <c r="K15" s="95"/>
      <c r="L15" s="96" t="str">
        <f>IF(COUNTIFS(运行记录!$A$2:$A$16,$B15,运行记录!$B$2:$B$16,$C$3)=0,"未运行",INDEX(运行记录!$E$2:$E$16,SUMPRODUCT((运行记录!$A$2:$A$16=$B15)*(运行记录!$B$2:$B$16=$C$3)*(ROW(运行记录!$A$2:$A$16)-1))))</f>
        <v>Claude Code</v>
      </c>
      <c r="M15" s="96"/>
      <c r="N15" s="24" t="str">
        <f>IF(COUNTIFS(运行记录!$A$2:$A$16,$B15,运行记录!$B$2:$B$16,$C$3)=0,"未运行",INDEX(运行记录!$C$2:$C$16,SUMPRODUCT((运行记录!$A$2:$A$16=$B15)*(运行记录!$B$2:$B$16=$C$3)*(ROW(运行记录!$A$2:$A$16)-1))))</f>
        <v>失败</v>
      </c>
      <c r="O15" s="18"/>
      <c r="P15" s="22"/>
      <c r="Q15" s="18"/>
      <c r="R15" s="18"/>
      <c r="S15" s="18"/>
      <c r="T15" s="18"/>
      <c r="U15" s="18"/>
      <c r="V15" s="23"/>
      <c r="W15" s="16"/>
      <c r="X15" s="17"/>
      <c r="Y15" s="17"/>
      <c r="Z15" s="17"/>
      <c r="AA15" s="17"/>
      <c r="AB15" s="17"/>
      <c r="AC15" s="17"/>
      <c r="AD15" s="17"/>
      <c r="BA15" s="3"/>
      <c r="BB15" s="3"/>
      <c r="BC15" s="4">
        <f>IF(SUMPRODUCT((运行记录!$A$2:$A$16=$B15)*(运行记录!$B$2:$B$16=$C$3)*ISNUMBER(运行记录!$Q$2:$Q$16))=0,"",SUMIFS(运行记录!$Q$2:$Q$16,运行记录!$A$2:$A$16,$B15,运行记录!$B$2:$B$16,$C$3))</f>
        <v>1.4756520000000002</v>
      </c>
      <c r="BD15" s="4">
        <f>IF(SUMPRODUCT((运行记录!$A$2:$A$16=$B15)*(运行记录!$B$2:$B$16=$C$3)*ISNUMBER(运行记录!$R$2:$R$16))=0,"",SUMIFS(运行记录!$R$2:$R$16,运行记录!$A$2:$A$16,$B15,运行记录!$B$2:$B$16,$C$3))</f>
        <v>1.4756520000000002</v>
      </c>
      <c r="BE15" s="4" t="str">
        <f t="shared" si="1"/>
        <v/>
      </c>
      <c r="BF15" s="4" t="str">
        <f t="shared" si="1"/>
        <v/>
      </c>
      <c r="BG15" s="4"/>
      <c r="BH15" s="4"/>
    </row>
    <row r="16" spans="1:60" ht="19.05" customHeight="1">
      <c r="A16" s="2"/>
      <c r="B16" s="24" t="s">
        <v>21</v>
      </c>
      <c r="C16" s="15">
        <f>IF(COUNTIFS(评分与用量!$A$2:$A$634,B16,评分与用量!$B$2:$B$634,"第一轮",评分与用量!$C$2:$C$634,"S分项")=0,"",SUMIFS(评分与用量!$E$2:$E$634,评分与用量!$A$2:$A$634,B16,评分与用量!$B$2:$B$634,"第一轮",评分与用量!$C$2:$C$634,"S分项"))</f>
        <v>72</v>
      </c>
      <c r="D16" s="15" t="str">
        <f>IF(COUNTIFS(评分与用量!$A$2:$A$634,B16,评分与用量!$B$2:$B$634,"第二轮",评分与用量!$C$2:$C$634,"S分项")=0,"",SUMIFS(评分与用量!$E$2:$E$634,评分与用量!$A$2:$A$634,B16,评分与用量!$B$2:$B$634,"第二轮",评分与用量!$C$2:$C$634,"S分项"))</f>
        <v/>
      </c>
      <c r="E16" s="25" t="str">
        <f>IF(SUMPRODUCT((运行记录!$A$2:$A$16=$B16)*(运行记录!$B$2:$B$16=$C$3)*ISNUMBER(运行记录!$M$2:$M$16))=0,"",SUMIFS(运行记录!$M$2:$M$16,运行记录!$A$2:$A$16,$B16,运行记录!$B$2:$B$16,$C$3))</f>
        <v/>
      </c>
      <c r="F16" s="83" t="str">
        <f t="shared" si="0"/>
        <v>—</v>
      </c>
      <c r="G16" s="83"/>
      <c r="H16" s="26" t="str">
        <f>IF(COUNTIFS(行为记录!$A$2:$A$816,$B16,行为记录!$B$2:$B$816,$C$3,行为记录!$L$2:$L$816,"&lt;&gt;管理动作")=0,"",COUNTIFS(行为记录!$A$2:$A$816,$B16,行为记录!$B$2:$B$816,$C$3,行为记录!$L$2:$L$816,"确认无收益")/(COUNTIFS(行为记录!$A$2:$A$816,$B16,行为记录!$B$2:$B$816,$C$3,行为记录!$L$2:$L$816,"直接贡献交付")+COUNTIFS(行为记录!$A$2:$A$816,$B16,行为记录!$B$2:$B$816,$C$3,行为记录!$L$2:$L$816,"必要探索")+COUNTIFS(行为记录!$A$2:$A$816,$B16,行为记录!$B$2:$B$816,$C$3,行为记录!$L$2:$L$816,"确认无收益")))</f>
        <v/>
      </c>
      <c r="I16" s="67" t="str">
        <f>IF(COUNTIFS(评分与用量!$A$2:$A$623,$B16,评分与用量!$B$2:$B$623,$C$3,评分与用量!$C$2:$C$623,"人工负担证据",评分与用量!$D$2:$D$623,"首交后需处理任务数")=0,"",SUMIFS(评分与用量!$E$2:$E$623,评分与用量!$A$2:$A$623,$B16,评分与用量!$B$2:$B$623,$C$3,评分与用量!$C$2:$C$623,"人工负担证据",评分与用量!$D$2:$D$623,"首交后需处理任务数"))</f>
        <v/>
      </c>
      <c r="J16" s="94" t="str">
        <f>IF(SUMPRODUCT((运行记录!$A$2:$A$16=$B16)*(运行记录!$B$2:$B$16=$C$3)*ISNUMBER(运行记录!$P$2:$P$16))=0,"",SUMIFS(运行记录!$P$2:$P$16,运行记录!$A$2:$A$16,$B16,运行记录!$B$2:$B$16,$C$3))</f>
        <v/>
      </c>
      <c r="K16" s="95"/>
      <c r="L16" s="96" t="str">
        <f>IF(COUNTIFS(运行记录!$A$2:$A$16,$B16,运行记录!$B$2:$B$16,$C$3)=0,"未运行",INDEX(运行记录!$E$2:$E$16,SUMPRODUCT((运行记录!$A$2:$A$16=$B16)*(运行记录!$B$2:$B$16=$C$3)*(ROW(运行记录!$A$2:$A$16)-1))))</f>
        <v>未运行</v>
      </c>
      <c r="M16" s="96"/>
      <c r="N16" s="24" t="str">
        <f>IF(COUNTIFS(运行记录!$A$2:$A$16,$B16,运行记录!$B$2:$B$16,$C$3)=0,"未运行",INDEX(运行记录!$C$2:$C$16,SUMPRODUCT((运行记录!$A$2:$A$16=$B16)*(运行记录!$B$2:$B$16=$C$3)*(ROW(运行记录!$A$2:$A$16)-1))))</f>
        <v>未运行</v>
      </c>
      <c r="O16" s="18"/>
      <c r="P16" s="27"/>
      <c r="Q16" s="28"/>
      <c r="R16" s="28"/>
      <c r="S16" s="28"/>
      <c r="T16" s="28"/>
      <c r="U16" s="28"/>
      <c r="V16" s="29"/>
      <c r="W16" s="16"/>
      <c r="X16" s="17"/>
      <c r="Y16" s="17"/>
      <c r="Z16" s="17"/>
      <c r="AA16" s="17"/>
      <c r="AB16" s="17"/>
      <c r="AC16" s="17"/>
      <c r="AD16" s="17"/>
      <c r="BA16" s="3"/>
      <c r="BB16" s="3"/>
      <c r="BC16" s="4" t="str">
        <f>IF(SUMPRODUCT((运行记录!$A$2:$A$16=$B16)*(运行记录!$B$2:$B$16=$C$3)*ISNUMBER(运行记录!$Q$2:$Q$16))=0,"",SUMIFS(运行记录!$Q$2:$Q$16,运行记录!$A$2:$A$16,$B16,运行记录!$B$2:$B$16,$C$3))</f>
        <v/>
      </c>
      <c r="BD16" s="4" t="str">
        <f>IF(SUMPRODUCT((运行记录!$A$2:$A$16=$B16)*(运行记录!$B$2:$B$16=$C$3)*ISNUMBER(运行记录!$R$2:$R$16))=0,"",SUMIFS(运行记录!$R$2:$R$16,运行记录!$A$2:$A$16,$B16,运行记录!$B$2:$B$16,$C$3))</f>
        <v/>
      </c>
      <c r="BE16" s="4">
        <f t="shared" si="1"/>
        <v>72</v>
      </c>
      <c r="BF16" s="4" t="str">
        <f t="shared" si="1"/>
        <v/>
      </c>
      <c r="BG16" s="4"/>
      <c r="BH16" s="4"/>
    </row>
    <row r="17" spans="1:60" ht="16.95" customHeight="1">
      <c r="A17" s="2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6"/>
      <c r="X17" s="17"/>
      <c r="Y17" s="17"/>
      <c r="Z17" s="17"/>
      <c r="AA17" s="17"/>
      <c r="AB17" s="17"/>
      <c r="AC17" s="17"/>
      <c r="AD17" s="17"/>
      <c r="BA17" s="3"/>
      <c r="BB17" s="3"/>
      <c r="BC17" s="3"/>
      <c r="BD17" s="3"/>
      <c r="BE17" s="3"/>
      <c r="BF17" s="3"/>
      <c r="BG17" s="3"/>
      <c r="BH17" s="3"/>
    </row>
    <row r="18" spans="1:60" ht="34.049999999999997" customHeight="1">
      <c r="A18" s="2"/>
      <c r="B18" s="92" t="s">
        <v>3591</v>
      </c>
      <c r="C18" s="92"/>
      <c r="D18" s="92"/>
      <c r="E18" s="93" t="s">
        <v>3670</v>
      </c>
      <c r="F18" s="93"/>
      <c r="G18" s="93"/>
      <c r="H18" s="93"/>
      <c r="I18" s="93"/>
      <c r="J18" s="93"/>
      <c r="K18" s="93"/>
      <c r="L18" s="93"/>
      <c r="M18" s="93"/>
      <c r="N18" s="93"/>
      <c r="O18" s="18"/>
      <c r="P18" s="18"/>
      <c r="Q18" s="18"/>
      <c r="R18" s="18"/>
      <c r="S18" s="18"/>
      <c r="T18" s="18"/>
      <c r="U18" s="18"/>
      <c r="V18" s="18"/>
      <c r="W18" s="16"/>
      <c r="X18" s="17"/>
      <c r="Y18" s="17"/>
      <c r="Z18" s="17"/>
      <c r="AA18" s="17"/>
      <c r="AB18" s="17"/>
      <c r="AC18" s="17"/>
      <c r="AD18" s="17"/>
      <c r="BA18" s="3"/>
      <c r="BB18" s="3"/>
      <c r="BC18" s="3"/>
      <c r="BD18" s="3"/>
      <c r="BE18" s="3"/>
      <c r="BF18" s="3"/>
      <c r="BG18" s="3"/>
      <c r="BH18" s="3"/>
    </row>
    <row r="19" spans="1:60" ht="16.95" customHeight="1">
      <c r="A19" s="2"/>
      <c r="B19" s="105" t="s">
        <v>3671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7"/>
      <c r="O19" s="18"/>
      <c r="P19" s="19"/>
      <c r="Q19" s="20"/>
      <c r="R19" s="20"/>
      <c r="S19" s="20"/>
      <c r="T19" s="20"/>
      <c r="U19" s="20"/>
      <c r="V19" s="21"/>
      <c r="W19" s="16"/>
      <c r="X19" s="17"/>
      <c r="Y19" s="17"/>
      <c r="Z19" s="17"/>
      <c r="AA19" s="17"/>
      <c r="AB19" s="17"/>
      <c r="AC19" s="17"/>
      <c r="AD19" s="17"/>
      <c r="BA19" s="3"/>
      <c r="BB19" s="3"/>
      <c r="BC19" s="3"/>
      <c r="BD19" s="3"/>
      <c r="BE19" s="3"/>
      <c r="BF19" s="3"/>
      <c r="BG19" s="3"/>
      <c r="BH19" s="3"/>
    </row>
    <row r="20" spans="1:60" ht="19.05" customHeight="1">
      <c r="A20" s="2"/>
      <c r="B20" s="91" t="s">
        <v>0</v>
      </c>
      <c r="C20" s="91"/>
      <c r="D20" s="91" t="s">
        <v>3672</v>
      </c>
      <c r="E20" s="91"/>
      <c r="F20" s="91" t="s">
        <v>3673</v>
      </c>
      <c r="G20" s="91"/>
      <c r="H20" s="91" t="s">
        <v>3674</v>
      </c>
      <c r="I20" s="91"/>
      <c r="J20" s="91" t="s">
        <v>3675</v>
      </c>
      <c r="K20" s="91"/>
      <c r="L20" s="91" t="s">
        <v>3676</v>
      </c>
      <c r="M20" s="91"/>
      <c r="N20" s="14" t="s">
        <v>3677</v>
      </c>
      <c r="O20" s="18"/>
      <c r="P20" s="22"/>
      <c r="Q20" s="18"/>
      <c r="R20" s="18"/>
      <c r="S20" s="18"/>
      <c r="T20" s="18"/>
      <c r="U20" s="18"/>
      <c r="V20" s="23"/>
      <c r="W20" s="16"/>
      <c r="X20" s="17"/>
      <c r="Y20" s="17"/>
      <c r="Z20" s="17"/>
      <c r="AA20" s="17"/>
      <c r="AB20" s="17"/>
      <c r="AC20" s="17"/>
      <c r="AD20" s="17"/>
      <c r="BA20" s="3"/>
      <c r="BB20" s="3"/>
      <c r="BC20" s="3"/>
      <c r="BD20" s="3"/>
      <c r="BE20" s="3"/>
      <c r="BF20" s="3"/>
      <c r="BG20" s="3"/>
      <c r="BH20" s="3"/>
    </row>
    <row r="21" spans="1:60" ht="19.05" customHeight="1">
      <c r="A21" s="2"/>
      <c r="B21" s="96" t="str">
        <f t="shared" ref="B21:B26" si="2">B9</f>
        <v>GPT</v>
      </c>
      <c r="C21" s="98"/>
      <c r="D21" s="83">
        <f t="shared" ref="D21:D26" si="3">IF(C9="","",C9)</f>
        <v>88</v>
      </c>
      <c r="E21" s="83"/>
      <c r="F21" s="83">
        <f t="shared" ref="F21:F26" si="4">IF(D9="","",D9)</f>
        <v>98.5</v>
      </c>
      <c r="G21" s="83"/>
      <c r="H21" s="90" t="str">
        <f t="shared" ref="H21:H26" si="5">IF(OR(D21="",F21=""),"",IF(F21-D21=0,"0",IF(F21-D21&gt;0,"+","-")&amp;IF(MOD(ABS(F21-D21),1)=0,TEXT(ABS(F21-D21),"0"),TEXT(ABS(F21-D21),"0.##"))))</f>
        <v>+10.5</v>
      </c>
      <c r="I21" s="90"/>
      <c r="J21" s="83">
        <f>IF(COUNTIFS(运行记录!$A$2:$A$16,B21,运行记录!$B$2:$B$16,"第一轮",运行记录!$H$2:$H$16,"&gt;0")=0,"",ROUND(SUMIFS(运行记录!$M$2:$M$16,运行记录!$A$2:$A$16,B21,运行记录!$B$2:$B$16,"第一轮"),1))</f>
        <v>14.6</v>
      </c>
      <c r="K21" s="83"/>
      <c r="L21" s="83">
        <f>IF(COUNTIFS(运行记录!$A$2:$A$16,B21,运行记录!$B$2:$B$16,"第二轮",运行记录!$H$2:$H$16,"&gt;0")=0,"",ROUND(SUMIFS(运行记录!$M$2:$M$16,运行记录!$A$2:$A$16,B21,运行记录!$B$2:$B$16,"第二轮"),1))</f>
        <v>17.8</v>
      </c>
      <c r="M21" s="83"/>
      <c r="N21" s="71">
        <f t="shared" ref="N21:N26" si="6">IF(OR(J21="",L21=""),"",L21-J21)</f>
        <v>3.2000000000000011</v>
      </c>
      <c r="O21" s="18"/>
      <c r="P21" s="22"/>
      <c r="Q21" s="18"/>
      <c r="R21" s="18"/>
      <c r="S21" s="18"/>
      <c r="T21" s="18"/>
      <c r="U21" s="18"/>
      <c r="V21" s="23"/>
      <c r="W21" s="16"/>
      <c r="X21" s="17"/>
      <c r="Y21" s="17"/>
      <c r="Z21" s="17"/>
      <c r="AA21" s="17"/>
      <c r="AB21" s="17"/>
      <c r="AC21" s="17"/>
      <c r="AD21" s="17"/>
      <c r="BA21" s="3"/>
      <c r="BB21" s="3"/>
      <c r="BC21" s="3"/>
      <c r="BD21" s="3"/>
      <c r="BE21" s="3"/>
      <c r="BF21" s="3"/>
      <c r="BG21" s="3"/>
      <c r="BH21" s="3"/>
    </row>
    <row r="22" spans="1:60" ht="19.05" customHeight="1">
      <c r="A22" s="2"/>
      <c r="B22" s="98" t="str">
        <f t="shared" si="2"/>
        <v>Grok</v>
      </c>
      <c r="C22" s="98"/>
      <c r="D22" s="83">
        <f t="shared" si="3"/>
        <v>84.5</v>
      </c>
      <c r="E22" s="83"/>
      <c r="F22" s="83">
        <f t="shared" si="4"/>
        <v>85.25</v>
      </c>
      <c r="G22" s="83"/>
      <c r="H22" s="90" t="str">
        <f t="shared" si="5"/>
        <v>+0.75</v>
      </c>
      <c r="I22" s="90"/>
      <c r="J22" s="83">
        <f>IF(COUNTIFS(运行记录!$A$2:$A$16,B22,运行记录!$B$2:$B$16,"第一轮",运行记录!$H$2:$H$16,"&gt;0")=0,"",ROUND(SUMIFS(运行记录!$M$2:$M$16,运行记录!$A$2:$A$16,B22,运行记录!$B$2:$B$16,"第一轮"),1))</f>
        <v>10.1</v>
      </c>
      <c r="K22" s="83"/>
      <c r="L22" s="83">
        <f>IF(COUNTIFS(运行记录!$A$2:$A$16,B22,运行记录!$B$2:$B$16,"第二轮",运行记录!$H$2:$H$16,"&gt;0")=0,"",ROUND(SUMIFS(运行记录!$M$2:$M$16,运行记录!$A$2:$A$16,B22,运行记录!$B$2:$B$16,"第二轮"),1))</f>
        <v>11.7</v>
      </c>
      <c r="M22" s="83"/>
      <c r="N22" s="71">
        <f t="shared" si="6"/>
        <v>1.5999999999999996</v>
      </c>
      <c r="O22" s="18"/>
      <c r="P22" s="22"/>
      <c r="Q22" s="18"/>
      <c r="R22" s="18"/>
      <c r="S22" s="18"/>
      <c r="T22" s="18"/>
      <c r="U22" s="18"/>
      <c r="V22" s="23"/>
      <c r="W22" s="16"/>
      <c r="X22" s="17"/>
      <c r="Y22" s="17"/>
      <c r="Z22" s="17"/>
      <c r="AA22" s="17"/>
      <c r="AB22" s="17"/>
      <c r="AC22" s="17"/>
      <c r="AD22" s="17"/>
      <c r="BA22" s="3"/>
      <c r="BB22" s="3"/>
      <c r="BC22" s="3"/>
      <c r="BD22" s="3"/>
      <c r="BE22" s="3"/>
      <c r="BF22" s="3"/>
      <c r="BG22" s="3"/>
      <c r="BH22" s="3"/>
    </row>
    <row r="23" spans="1:60" ht="19.05" customHeight="1">
      <c r="A23" s="2"/>
      <c r="B23" s="98" t="str">
        <f t="shared" si="2"/>
        <v>DeepSeek</v>
      </c>
      <c r="C23" s="98"/>
      <c r="D23" s="83">
        <f t="shared" si="3"/>
        <v>76.5</v>
      </c>
      <c r="E23" s="83"/>
      <c r="F23" s="83">
        <f t="shared" si="4"/>
        <v>87.25</v>
      </c>
      <c r="G23" s="83"/>
      <c r="H23" s="90" t="str">
        <f t="shared" si="5"/>
        <v>+10.75</v>
      </c>
      <c r="I23" s="90"/>
      <c r="J23" s="83">
        <f>IF(COUNTIFS(运行记录!$A$2:$A$16,B23,运行记录!$B$2:$B$16,"第一轮",运行记录!$H$2:$H$16,"&gt;0")=0,"",ROUND(SUMIFS(运行记录!$M$2:$M$16,运行记录!$A$2:$A$16,B23,运行记录!$B$2:$B$16,"第一轮"),1))</f>
        <v>32.4</v>
      </c>
      <c r="K23" s="83"/>
      <c r="L23" s="83">
        <f>IF(COUNTIFS(运行记录!$A$2:$A$16,B23,运行记录!$B$2:$B$16,"第二轮",运行记录!$H$2:$H$16,"&gt;0")=0,"",ROUND(SUMIFS(运行记录!$M$2:$M$16,运行记录!$A$2:$A$16,B23,运行记录!$B$2:$B$16,"第二轮"),1))</f>
        <v>21.7</v>
      </c>
      <c r="M23" s="83"/>
      <c r="N23" s="71">
        <f t="shared" si="6"/>
        <v>-10.7</v>
      </c>
      <c r="O23" s="18"/>
      <c r="P23" s="22"/>
      <c r="Q23" s="18"/>
      <c r="R23" s="18"/>
      <c r="S23" s="18"/>
      <c r="T23" s="18"/>
      <c r="U23" s="18"/>
      <c r="V23" s="23"/>
      <c r="W23" s="16"/>
      <c r="X23" s="17"/>
      <c r="Y23" s="17"/>
      <c r="Z23" s="17"/>
      <c r="AA23" s="17"/>
      <c r="AB23" s="17"/>
      <c r="AC23" s="17"/>
      <c r="AD23" s="17"/>
      <c r="BA23" s="3"/>
      <c r="BB23" s="3"/>
      <c r="BC23" s="3"/>
      <c r="BD23" s="3"/>
      <c r="BE23" s="3"/>
      <c r="BF23" s="3"/>
      <c r="BG23" s="3"/>
      <c r="BH23" s="3"/>
    </row>
    <row r="24" spans="1:60" ht="19.05" customHeight="1">
      <c r="A24" s="2"/>
      <c r="B24" s="98" t="str">
        <f t="shared" si="2"/>
        <v>GLM</v>
      </c>
      <c r="C24" s="98"/>
      <c r="D24" s="83">
        <f t="shared" si="3"/>
        <v>74</v>
      </c>
      <c r="E24" s="83"/>
      <c r="F24" s="83">
        <f t="shared" si="4"/>
        <v>81</v>
      </c>
      <c r="G24" s="83"/>
      <c r="H24" s="90" t="str">
        <f t="shared" si="5"/>
        <v>+7</v>
      </c>
      <c r="I24" s="90"/>
      <c r="J24" s="83">
        <f>IF(COUNTIFS(运行记录!$A$2:$A$16,B24,运行记录!$B$2:$B$16,"第一轮",运行记录!$H$2:$H$16,"&gt;0")=0,"",ROUND(SUMIFS(运行记录!$M$2:$M$16,运行记录!$A$2:$A$16,B24,运行记录!$B$2:$B$16,"第一轮"),1))</f>
        <v>5.5</v>
      </c>
      <c r="K24" s="83"/>
      <c r="L24" s="83">
        <f>IF(COUNTIFS(运行记录!$A$2:$A$16,B24,运行记录!$B$2:$B$16,"第二轮",运行记录!$H$2:$H$16,"&gt;0")=0,"",ROUND(SUMIFS(运行记录!$M$2:$M$16,运行记录!$A$2:$A$16,B24,运行记录!$B$2:$B$16,"第二轮"),1))</f>
        <v>9.6</v>
      </c>
      <c r="M24" s="83"/>
      <c r="N24" s="71">
        <f t="shared" si="6"/>
        <v>4.0999999999999996</v>
      </c>
      <c r="O24" s="18"/>
      <c r="P24" s="22"/>
      <c r="Q24" s="18"/>
      <c r="R24" s="18"/>
      <c r="S24" s="18"/>
      <c r="T24" s="18"/>
      <c r="U24" s="18"/>
      <c r="V24" s="23"/>
      <c r="W24" s="16"/>
      <c r="X24" s="17"/>
      <c r="Y24" s="17"/>
      <c r="Z24" s="17"/>
      <c r="AA24" s="17"/>
      <c r="AB24" s="17"/>
      <c r="AC24" s="17"/>
      <c r="AD24" s="17"/>
      <c r="BA24" s="3"/>
      <c r="BB24" s="3"/>
      <c r="BC24" s="3"/>
      <c r="BD24" s="3"/>
      <c r="BE24" s="3"/>
      <c r="BF24" s="3"/>
      <c r="BG24" s="3"/>
      <c r="BH24" s="3"/>
    </row>
    <row r="25" spans="1:60" ht="19.05" customHeight="1">
      <c r="A25" s="2"/>
      <c r="B25" s="98" t="str">
        <f t="shared" si="2"/>
        <v>Qwen</v>
      </c>
      <c r="C25" s="98"/>
      <c r="D25" s="83">
        <f t="shared" si="3"/>
        <v>67.5</v>
      </c>
      <c r="E25" s="83"/>
      <c r="F25" s="83">
        <f t="shared" si="4"/>
        <v>75.25</v>
      </c>
      <c r="G25" s="83"/>
      <c r="H25" s="90" t="str">
        <f t="shared" si="5"/>
        <v>+7.75</v>
      </c>
      <c r="I25" s="90"/>
      <c r="J25" s="83">
        <f>IF(COUNTIFS(运行记录!$A$2:$A$16,B25,运行记录!$B$2:$B$16,"第一轮",运行记录!$H$2:$H$16,"&gt;0")=0,"",ROUND(SUMIFS(运行记录!$M$2:$M$16,运行记录!$A$2:$A$16,B25,运行记录!$B$2:$B$16,"第一轮"),1))</f>
        <v>14.3</v>
      </c>
      <c r="K25" s="83"/>
      <c r="L25" s="83">
        <f>IF(COUNTIFS(运行记录!$A$2:$A$16,B25,运行记录!$B$2:$B$16,"第二轮",运行记录!$H$2:$H$16,"&gt;0")=0,"",ROUND(SUMIFS(运行记录!$M$2:$M$16,运行记录!$A$2:$A$16,B25,运行记录!$B$2:$B$16,"第二轮"),1))</f>
        <v>60.2</v>
      </c>
      <c r="M25" s="83"/>
      <c r="N25" s="71">
        <f t="shared" si="6"/>
        <v>45.900000000000006</v>
      </c>
      <c r="O25" s="18"/>
      <c r="P25" s="22"/>
      <c r="Q25" s="18"/>
      <c r="R25" s="18"/>
      <c r="S25" s="18"/>
      <c r="T25" s="18"/>
      <c r="U25" s="18"/>
      <c r="V25" s="23"/>
      <c r="W25" s="16"/>
      <c r="X25" s="17"/>
      <c r="Y25" s="17"/>
      <c r="Z25" s="17"/>
      <c r="AA25" s="17"/>
      <c r="AB25" s="17"/>
      <c r="AC25" s="17"/>
      <c r="AD25" s="17"/>
      <c r="BA25" s="3"/>
      <c r="BB25" s="3"/>
      <c r="BC25" s="3"/>
      <c r="BD25" s="3"/>
      <c r="BE25" s="3"/>
      <c r="BF25" s="3"/>
      <c r="BG25" s="3"/>
      <c r="BH25" s="3"/>
    </row>
    <row r="26" spans="1:60" ht="19.05" customHeight="1">
      <c r="A26" s="2"/>
      <c r="B26" s="98" t="str">
        <f t="shared" si="2"/>
        <v>Gemini</v>
      </c>
      <c r="C26" s="98"/>
      <c r="D26" s="83">
        <f t="shared" si="3"/>
        <v>39.5</v>
      </c>
      <c r="E26" s="83"/>
      <c r="F26" s="83">
        <f t="shared" si="4"/>
        <v>59.5</v>
      </c>
      <c r="G26" s="83"/>
      <c r="H26" s="90" t="str">
        <f t="shared" si="5"/>
        <v>+20</v>
      </c>
      <c r="I26" s="90"/>
      <c r="J26" s="83">
        <f>IF(COUNTIFS(运行记录!$A$2:$A$16,B26,运行记录!$B$2:$B$16,"第一轮",运行记录!$H$2:$H$16,"&gt;0")=0,"",ROUND(SUMIFS(运行记录!$M$2:$M$16,运行记录!$A$2:$A$16,B26,运行记录!$B$2:$B$16,"第一轮"),1))</f>
        <v>15.3</v>
      </c>
      <c r="K26" s="83"/>
      <c r="L26" s="83">
        <f>IF(COUNTIFS(运行记录!$A$2:$A$16,B26,运行记录!$B$2:$B$16,"第二轮",运行记录!$H$2:$H$16,"&gt;0")=0,"",ROUND(SUMIFS(运行记录!$M$2:$M$16,运行记录!$A$2:$A$16,B26,运行记录!$B$2:$B$16,"第二轮"),1))</f>
        <v>6.1</v>
      </c>
      <c r="M26" s="83"/>
      <c r="N26" s="71">
        <f t="shared" si="6"/>
        <v>-9.2000000000000011</v>
      </c>
      <c r="O26" s="18"/>
      <c r="P26" s="27"/>
      <c r="Q26" s="28"/>
      <c r="R26" s="28"/>
      <c r="S26" s="28"/>
      <c r="T26" s="28"/>
      <c r="U26" s="28"/>
      <c r="V26" s="29"/>
      <c r="W26" s="16"/>
      <c r="X26" s="17"/>
      <c r="Y26" s="17"/>
      <c r="Z26" s="17"/>
      <c r="AA26" s="17"/>
      <c r="AB26" s="17"/>
      <c r="AC26" s="17"/>
      <c r="AD26" s="17"/>
      <c r="BA26" s="3"/>
      <c r="BB26" s="3"/>
      <c r="BC26" s="3"/>
      <c r="BD26" s="3"/>
      <c r="BE26" s="3"/>
      <c r="BF26" s="3"/>
      <c r="BG26" s="3"/>
      <c r="BH26" s="3"/>
    </row>
    <row r="27" spans="1:60" ht="16.95" customHeight="1">
      <c r="A27" s="2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6"/>
      <c r="X27" s="17"/>
      <c r="Y27" s="17"/>
      <c r="Z27" s="17"/>
      <c r="AA27" s="17"/>
      <c r="AB27" s="17"/>
      <c r="AC27" s="17"/>
      <c r="AD27" s="17"/>
      <c r="BA27" s="3"/>
      <c r="BB27" s="3"/>
      <c r="BC27" s="3"/>
      <c r="BD27" s="3"/>
      <c r="BE27" s="3"/>
      <c r="BF27" s="3"/>
      <c r="BG27" s="3"/>
      <c r="BH27" s="3"/>
    </row>
    <row r="28" spans="1:60" ht="19.95" customHeight="1">
      <c r="A28" s="5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30"/>
      <c r="P28" s="86" t="s">
        <v>3591</v>
      </c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3"/>
    </row>
    <row r="29" spans="1:60" ht="22.95" customHeight="1">
      <c r="A29" s="5"/>
      <c r="B29" s="7" t="s">
        <v>3678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31"/>
      <c r="P29" s="84" t="s">
        <v>3592</v>
      </c>
      <c r="Q29" s="84"/>
      <c r="R29" s="84"/>
      <c r="S29" s="85" t="s">
        <v>3679</v>
      </c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3"/>
    </row>
    <row r="30" spans="1:60" ht="19.05" customHeight="1">
      <c r="A30" s="5"/>
      <c r="B30" s="8" t="s">
        <v>3680</v>
      </c>
      <c r="C30" s="8"/>
      <c r="D30" s="8"/>
      <c r="E30" s="9" t="s">
        <v>3581</v>
      </c>
      <c r="F30" s="9"/>
      <c r="G30" s="9" t="s">
        <v>3582</v>
      </c>
      <c r="H30" s="9"/>
      <c r="I30" s="9" t="s">
        <v>3583</v>
      </c>
      <c r="J30" s="9"/>
      <c r="K30" s="9" t="s">
        <v>3584</v>
      </c>
      <c r="L30" s="9"/>
      <c r="M30" s="9" t="s">
        <v>3654</v>
      </c>
      <c r="N30" s="9"/>
      <c r="O30" s="31"/>
      <c r="P30" s="84"/>
      <c r="Q30" s="84"/>
      <c r="R30" s="84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3"/>
    </row>
    <row r="31" spans="1:60" ht="19.05" customHeight="1">
      <c r="A31" s="5"/>
      <c r="B31" s="36" t="s">
        <v>3681</v>
      </c>
      <c r="C31" s="36"/>
      <c r="D31" s="36"/>
      <c r="E31" s="37">
        <v>15</v>
      </c>
      <c r="F31" s="37"/>
      <c r="G31" s="66">
        <f>(SUMIFS(评分与用量!$E$2:$E$634,评分与用量!$A$2:$A$634,"GPT",评分与用量!$B$2:$B$634,"第一轮",评分与用量!$C$2:$C$634,"S分项",评分与用量!$J$2:$J$634,"A*")+SUMIFS(评分与用量!$E$2:$E$634,评分与用量!$A$2:$A$634,"Grok",评分与用量!$B$2:$B$634,"第一轮",评分与用量!$C$2:$C$634,"S分项",评分与用量!$J$2:$J$634,"A*")+SUMIFS(评分与用量!$E$2:$E$634,评分与用量!$A$2:$A$634,"DeepSeek",评分与用量!$B$2:$B$634,"第一轮",评分与用量!$C$2:$C$634,"S分项",评分与用量!$J$2:$J$634,"A*")+SUMIFS(评分与用量!$E$2:$E$634,评分与用量!$A$2:$A$634,"GLM",评分与用量!$B$2:$B$634,"第一轮",评分与用量!$C$2:$C$634,"S分项",评分与用量!$J$2:$J$634,"A*")+SUMIFS(评分与用量!$E$2:$E$634,评分与用量!$A$2:$A$634,"Qwen",评分与用量!$B$2:$B$634,"第一轮",评分与用量!$C$2:$C$634,"S分项",评分与用量!$J$2:$J$634,"A*")+SUMIFS(评分与用量!$E$2:$E$634,评分与用量!$A$2:$A$634,"Gemini",评分与用量!$B$2:$B$634,"第一轮",评分与用量!$C$2:$C$634,"S分项",评分与用量!$J$2:$J$634,"A*"))/6</f>
        <v>11.75</v>
      </c>
      <c r="H31" s="37"/>
      <c r="I31" s="66">
        <f>(SUMIFS(评分与用量!$E$2:$E$634,评分与用量!$A$2:$A$634,"GPT",评分与用量!$B$2:$B$634,"第二轮",评分与用量!$C$2:$C$634,"S分项",评分与用量!$J$2:$J$634,"A*")+SUMIFS(评分与用量!$E$2:$E$634,评分与用量!$A$2:$A$634,"Grok",评分与用量!$B$2:$B$634,"第二轮",评分与用量!$C$2:$C$634,"S分项",评分与用量!$J$2:$J$634,"A*")+SUMIFS(评分与用量!$E$2:$E$634,评分与用量!$A$2:$A$634,"DeepSeek",评分与用量!$B$2:$B$634,"第二轮",评分与用量!$C$2:$C$634,"S分项",评分与用量!$J$2:$J$634,"A*")+SUMIFS(评分与用量!$E$2:$E$634,评分与用量!$A$2:$A$634,"GLM",评分与用量!$B$2:$B$634,"第二轮",评分与用量!$C$2:$C$634,"S分项",评分与用量!$J$2:$J$634,"A*")+SUMIFS(评分与用量!$E$2:$E$634,评分与用量!$A$2:$A$634,"Qwen",评分与用量!$B$2:$B$634,"第二轮",评分与用量!$C$2:$C$634,"S分项",评分与用量!$J$2:$J$634,"A*")+SUMIFS(评分与用量!$E$2:$E$634,评分与用量!$A$2:$A$634,"Gemini",评分与用量!$B$2:$B$634,"第二轮",评分与用量!$C$2:$C$634,"S分项",评分与用量!$J$2:$J$634,"A*"))/6</f>
        <v>13.333333333333334</v>
      </c>
      <c r="J31" s="37"/>
      <c r="K31" s="37">
        <f t="shared" ref="K31:K36" si="7">I31-G31</f>
        <v>1.5833333333333339</v>
      </c>
      <c r="L31" s="37"/>
      <c r="M31" s="38">
        <f t="shared" ref="M31:M36" si="8">IFERROR(K31/$K$37,"")</f>
        <v>0.16740088105726875</v>
      </c>
      <c r="N31" s="37"/>
      <c r="O31" s="31"/>
      <c r="P31" s="84" t="s">
        <v>3593</v>
      </c>
      <c r="Q31" s="84"/>
      <c r="R31" s="84"/>
      <c r="S31" s="85" t="s">
        <v>3682</v>
      </c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3"/>
    </row>
    <row r="32" spans="1:60" ht="19.05" customHeight="1">
      <c r="A32" s="5"/>
      <c r="B32" s="36" t="s">
        <v>3585</v>
      </c>
      <c r="C32" s="36"/>
      <c r="D32" s="36"/>
      <c r="E32" s="37">
        <v>20</v>
      </c>
      <c r="F32" s="37"/>
      <c r="G32" s="66">
        <f>(SUMIFS(评分与用量!$E$2:$E$634,评分与用量!$A$2:$A$634,"GPT",评分与用量!$B$2:$B$634,"第一轮",评分与用量!$C$2:$C$634,"S分项",评分与用量!$J$2:$J$634,"B*")+SUMIFS(评分与用量!$E$2:$E$634,评分与用量!$A$2:$A$634,"Grok",评分与用量!$B$2:$B$634,"第一轮",评分与用量!$C$2:$C$634,"S分项",评分与用量!$J$2:$J$634,"B*")+SUMIFS(评分与用量!$E$2:$E$634,评分与用量!$A$2:$A$634,"DeepSeek",评分与用量!$B$2:$B$634,"第一轮",评分与用量!$C$2:$C$634,"S分项",评分与用量!$J$2:$J$634,"B*")+SUMIFS(评分与用量!$E$2:$E$634,评分与用量!$A$2:$A$634,"GLM",评分与用量!$B$2:$B$634,"第一轮",评分与用量!$C$2:$C$634,"S分项",评分与用量!$J$2:$J$634,"B*")+SUMIFS(评分与用量!$E$2:$E$634,评分与用量!$A$2:$A$634,"Qwen",评分与用量!$B$2:$B$634,"第一轮",评分与用量!$C$2:$C$634,"S分项",评分与用量!$J$2:$J$634,"B*")+SUMIFS(评分与用量!$E$2:$E$634,评分与用量!$A$2:$A$634,"Gemini",评分与用量!$B$2:$B$634,"第一轮",评分与用量!$C$2:$C$634,"S分项",评分与用量!$J$2:$J$634,"B*"))/6</f>
        <v>14.958333333333334</v>
      </c>
      <c r="H32" s="37"/>
      <c r="I32" s="66">
        <f>(SUMIFS(评分与用量!$E$2:$E$634,评分与用量!$A$2:$A$634,"GPT",评分与用量!$B$2:$B$634,"第二轮",评分与用量!$C$2:$C$634,"S分项",评分与用量!$J$2:$J$634,"B*")+SUMIFS(评分与用量!$E$2:$E$634,评分与用量!$A$2:$A$634,"Grok",评分与用量!$B$2:$B$634,"第二轮",评分与用量!$C$2:$C$634,"S分项",评分与用量!$J$2:$J$634,"B*")+SUMIFS(评分与用量!$E$2:$E$634,评分与用量!$A$2:$A$634,"DeepSeek",评分与用量!$B$2:$B$634,"第二轮",评分与用量!$C$2:$C$634,"S分项",评分与用量!$J$2:$J$634,"B*")+SUMIFS(评分与用量!$E$2:$E$634,评分与用量!$A$2:$A$634,"GLM",评分与用量!$B$2:$B$634,"第二轮",评分与用量!$C$2:$C$634,"S分项",评分与用量!$J$2:$J$634,"B*")+SUMIFS(评分与用量!$E$2:$E$634,评分与用量!$A$2:$A$634,"Qwen",评分与用量!$B$2:$B$634,"第二轮",评分与用量!$C$2:$C$634,"S分项",评分与用量!$J$2:$J$634,"B*")+SUMIFS(评分与用量!$E$2:$E$634,评分与用量!$A$2:$A$634,"Gemini",评分与用量!$B$2:$B$634,"第二轮",评分与用量!$C$2:$C$634,"S分项",评分与用量!$J$2:$J$634,"B*"))/6</f>
        <v>16</v>
      </c>
      <c r="J32" s="37"/>
      <c r="K32" s="37">
        <f t="shared" si="7"/>
        <v>1.0416666666666661</v>
      </c>
      <c r="L32" s="37"/>
      <c r="M32" s="38">
        <f t="shared" si="8"/>
        <v>0.11013215859030828</v>
      </c>
      <c r="N32" s="37"/>
      <c r="O32" s="31"/>
      <c r="P32" s="84"/>
      <c r="Q32" s="84"/>
      <c r="R32" s="84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3"/>
    </row>
    <row r="33" spans="1:31" ht="19.05" customHeight="1">
      <c r="A33" s="3"/>
      <c r="B33" s="36" t="s">
        <v>3683</v>
      </c>
      <c r="C33" s="36"/>
      <c r="D33" s="36"/>
      <c r="E33" s="37">
        <v>20</v>
      </c>
      <c r="F33" s="37"/>
      <c r="G33" s="66">
        <f>(SUMIFS(评分与用量!$E$2:$E$634,评分与用量!$A$2:$A$634,"GPT",评分与用量!$B$2:$B$634,"第一轮",评分与用量!$C$2:$C$634,"S分项",评分与用量!$J$2:$J$634,"C*")+SUMIFS(评分与用量!$E$2:$E$634,评分与用量!$A$2:$A$634,"Grok",评分与用量!$B$2:$B$634,"第一轮",评分与用量!$C$2:$C$634,"S分项",评分与用量!$J$2:$J$634,"C*")+SUMIFS(评分与用量!$E$2:$E$634,评分与用量!$A$2:$A$634,"DeepSeek",评分与用量!$B$2:$B$634,"第一轮",评分与用量!$C$2:$C$634,"S分项",评分与用量!$J$2:$J$634,"C*")+SUMIFS(评分与用量!$E$2:$E$634,评分与用量!$A$2:$A$634,"GLM",评分与用量!$B$2:$B$634,"第一轮",评分与用量!$C$2:$C$634,"S分项",评分与用量!$J$2:$J$634,"C*")+SUMIFS(评分与用量!$E$2:$E$634,评分与用量!$A$2:$A$634,"Qwen",评分与用量!$B$2:$B$634,"第一轮",评分与用量!$C$2:$C$634,"S分项",评分与用量!$J$2:$J$634,"C*")+SUMIFS(评分与用量!$E$2:$E$634,评分与用量!$A$2:$A$634,"Gemini",评分与用量!$B$2:$B$634,"第一轮",评分与用量!$C$2:$C$634,"S分项",评分与用量!$J$2:$J$634,"C*"))/6</f>
        <v>12.375</v>
      </c>
      <c r="H33" s="37"/>
      <c r="I33" s="66">
        <f>(SUMIFS(评分与用量!$E$2:$E$634,评分与用量!$A$2:$A$634,"GPT",评分与用量!$B$2:$B$634,"第二轮",评分与用量!$C$2:$C$634,"S分项",评分与用量!$J$2:$J$634,"C*")+SUMIFS(评分与用量!$E$2:$E$634,评分与用量!$A$2:$A$634,"Grok",评分与用量!$B$2:$B$634,"第二轮",评分与用量!$C$2:$C$634,"S分项",评分与用量!$J$2:$J$634,"C*")+SUMIFS(评分与用量!$E$2:$E$634,评分与用量!$A$2:$A$634,"DeepSeek",评分与用量!$B$2:$B$634,"第二轮",评分与用量!$C$2:$C$634,"S分项",评分与用量!$J$2:$J$634,"C*")+SUMIFS(评分与用量!$E$2:$E$634,评分与用量!$A$2:$A$634,"GLM",评分与用量!$B$2:$B$634,"第二轮",评分与用量!$C$2:$C$634,"S分项",评分与用量!$J$2:$J$634,"C*")+SUMIFS(评分与用量!$E$2:$E$634,评分与用量!$A$2:$A$634,"Qwen",评分与用量!$B$2:$B$634,"第二轮",评分与用量!$C$2:$C$634,"S分项",评分与用量!$J$2:$J$634,"C*")+SUMIFS(评分与用量!$E$2:$E$634,评分与用量!$A$2:$A$634,"Gemini",评分与用量!$B$2:$B$634,"第二轮",评分与用量!$C$2:$C$634,"S分项",评分与用量!$J$2:$J$634,"C*"))/6</f>
        <v>17.041666666666668</v>
      </c>
      <c r="J33" s="37"/>
      <c r="K33" s="37">
        <f t="shared" si="7"/>
        <v>4.6666666666666679</v>
      </c>
      <c r="L33" s="37"/>
      <c r="M33" s="38">
        <f t="shared" si="8"/>
        <v>0.4933920704845815</v>
      </c>
      <c r="N33" s="37"/>
      <c r="O33" s="31"/>
      <c r="P33" s="84" t="s">
        <v>3684</v>
      </c>
      <c r="Q33" s="84"/>
      <c r="R33" s="84"/>
      <c r="S33" s="85" t="s">
        <v>3685</v>
      </c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3"/>
    </row>
    <row r="34" spans="1:31" ht="19.05" customHeight="1">
      <c r="A34" s="3"/>
      <c r="B34" s="36" t="s">
        <v>3686</v>
      </c>
      <c r="C34" s="36"/>
      <c r="D34" s="36"/>
      <c r="E34" s="37">
        <v>25</v>
      </c>
      <c r="F34" s="37"/>
      <c r="G34" s="66">
        <f>(SUMIFS(评分与用量!$E$2:$E$634,评分与用量!$A$2:$A$634,"GPT",评分与用量!$B$2:$B$634,"第一轮",评分与用量!$C$2:$C$634,"S分项",评分与用量!$J$2:$J$634,"D*")+SUMIFS(评分与用量!$E$2:$E$634,评分与用量!$A$2:$A$634,"Grok",评分与用量!$B$2:$B$634,"第一轮",评分与用量!$C$2:$C$634,"S分项",评分与用量!$J$2:$J$634,"D*")+SUMIFS(评分与用量!$E$2:$E$634,评分与用量!$A$2:$A$634,"DeepSeek",评分与用量!$B$2:$B$634,"第一轮",评分与用量!$C$2:$C$634,"S分项",评分与用量!$J$2:$J$634,"D*")+SUMIFS(评分与用量!$E$2:$E$634,评分与用量!$A$2:$A$634,"GLM",评分与用量!$B$2:$B$634,"第一轮",评分与用量!$C$2:$C$634,"S分项",评分与用量!$J$2:$J$634,"D*")+SUMIFS(评分与用量!$E$2:$E$634,评分与用量!$A$2:$A$634,"Qwen",评分与用量!$B$2:$B$634,"第一轮",评分与用量!$C$2:$C$634,"S分项",评分与用量!$J$2:$J$634,"D*")+SUMIFS(评分与用量!$E$2:$E$634,评分与用量!$A$2:$A$634,"Gemini",评分与用量!$B$2:$B$634,"第一轮",评分与用量!$C$2:$C$634,"S分项",评分与用量!$J$2:$J$634,"D*"))/6</f>
        <v>17.083333333333332</v>
      </c>
      <c r="H34" s="37"/>
      <c r="I34" s="66">
        <f>(SUMIFS(评分与用量!$E$2:$E$634,评分与用量!$A$2:$A$634,"GPT",评分与用量!$B$2:$B$634,"第二轮",评分与用量!$C$2:$C$634,"S分项",评分与用量!$J$2:$J$634,"D*")+SUMIFS(评分与用量!$E$2:$E$634,评分与用量!$A$2:$A$634,"Grok",评分与用量!$B$2:$B$634,"第二轮",评分与用量!$C$2:$C$634,"S分项",评分与用量!$J$2:$J$634,"D*")+SUMIFS(评分与用量!$E$2:$E$634,评分与用量!$A$2:$A$634,"DeepSeek",评分与用量!$B$2:$B$634,"第二轮",评分与用量!$C$2:$C$634,"S分项",评分与用量!$J$2:$J$634,"D*")+SUMIFS(评分与用量!$E$2:$E$634,评分与用量!$A$2:$A$634,"GLM",评分与用量!$B$2:$B$634,"第二轮",评分与用量!$C$2:$C$634,"S分项",评分与用量!$J$2:$J$634,"D*")+SUMIFS(评分与用量!$E$2:$E$634,评分与用量!$A$2:$A$634,"Qwen",评分与用量!$B$2:$B$634,"第二轮",评分与用量!$C$2:$C$634,"S分项",评分与用量!$J$2:$J$634,"D*")+SUMIFS(评分与用量!$E$2:$E$634,评分与用量!$A$2:$A$634,"Gemini",评分与用量!$B$2:$B$634,"第二轮",评分与用量!$C$2:$C$634,"S分项",评分与用量!$J$2:$J$634,"D*"))/6</f>
        <v>18.541666666666668</v>
      </c>
      <c r="J34" s="37"/>
      <c r="K34" s="37">
        <f t="shared" si="7"/>
        <v>1.4583333333333357</v>
      </c>
      <c r="L34" s="37"/>
      <c r="M34" s="38">
        <f t="shared" si="8"/>
        <v>0.15418502202643192</v>
      </c>
      <c r="N34" s="37"/>
      <c r="O34" s="31"/>
      <c r="P34" s="84"/>
      <c r="Q34" s="84"/>
      <c r="R34" s="84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3"/>
    </row>
    <row r="35" spans="1:31" ht="19.05" customHeight="1">
      <c r="A35" s="3"/>
      <c r="B35" s="36" t="s">
        <v>3687</v>
      </c>
      <c r="C35" s="36"/>
      <c r="D35" s="36"/>
      <c r="E35" s="37">
        <v>10</v>
      </c>
      <c r="F35" s="37"/>
      <c r="G35" s="66">
        <f>(SUMIFS(评分与用量!$E$2:$E$634,评分与用量!$A$2:$A$634,"GPT",评分与用量!$B$2:$B$634,"第一轮",评分与用量!$C$2:$C$634,"S分项",评分与用量!$J$2:$J$634,"E*")+SUMIFS(评分与用量!$E$2:$E$634,评分与用量!$A$2:$A$634,"Grok",评分与用量!$B$2:$B$634,"第一轮",评分与用量!$C$2:$C$634,"S分项",评分与用量!$J$2:$J$634,"E*")+SUMIFS(评分与用量!$E$2:$E$634,评分与用量!$A$2:$A$634,"DeepSeek",评分与用量!$B$2:$B$634,"第一轮",评分与用量!$C$2:$C$634,"S分项",评分与用量!$J$2:$J$634,"E*")+SUMIFS(评分与用量!$E$2:$E$634,评分与用量!$A$2:$A$634,"GLM",评分与用量!$B$2:$B$634,"第一轮",评分与用量!$C$2:$C$634,"S分项",评分与用量!$J$2:$J$634,"E*")+SUMIFS(评分与用量!$E$2:$E$634,评分与用量!$A$2:$A$634,"Qwen",评分与用量!$B$2:$B$634,"第一轮",评分与用量!$C$2:$C$634,"S分项",评分与用量!$J$2:$J$634,"E*")+SUMIFS(评分与用量!$E$2:$E$634,评分与用量!$A$2:$A$634,"Gemini",评分与用量!$B$2:$B$634,"第一轮",评分与用量!$C$2:$C$634,"S分项",评分与用量!$J$2:$J$634,"E*"))/6</f>
        <v>6.916666666666667</v>
      </c>
      <c r="H35" s="37"/>
      <c r="I35" s="66">
        <f>(SUMIFS(评分与用量!$E$2:$E$634,评分与用量!$A$2:$A$634,"GPT",评分与用量!$B$2:$B$634,"第二轮",评分与用量!$C$2:$C$634,"S分项",评分与用量!$J$2:$J$634,"E*")+SUMIFS(评分与用量!$E$2:$E$634,评分与用量!$A$2:$A$634,"Grok",评分与用量!$B$2:$B$634,"第二轮",评分与用量!$C$2:$C$634,"S分项",评分与用量!$J$2:$J$634,"E*")+SUMIFS(评分与用量!$E$2:$E$634,评分与用量!$A$2:$A$634,"DeepSeek",评分与用量!$B$2:$B$634,"第二轮",评分与用量!$C$2:$C$634,"S分项",评分与用量!$J$2:$J$634,"E*")+SUMIFS(评分与用量!$E$2:$E$634,评分与用量!$A$2:$A$634,"GLM",评分与用量!$B$2:$B$634,"第二轮",评分与用量!$C$2:$C$634,"S分项",评分与用量!$J$2:$J$634,"E*")+SUMIFS(评分与用量!$E$2:$E$634,评分与用量!$A$2:$A$634,"Qwen",评分与用量!$B$2:$B$634,"第二轮",评分与用量!$C$2:$C$634,"S分项",评分与用量!$J$2:$J$634,"E*")+SUMIFS(评分与用量!$E$2:$E$634,评分与用量!$A$2:$A$634,"Gemini",评分与用量!$B$2:$B$634,"第二轮",评分与用量!$C$2:$C$634,"S分项",评分与用量!$J$2:$J$634,"E*"))/6</f>
        <v>7.458333333333333</v>
      </c>
      <c r="J35" s="37"/>
      <c r="K35" s="37">
        <f t="shared" si="7"/>
        <v>0.54166666666666607</v>
      </c>
      <c r="L35" s="37"/>
      <c r="M35" s="38">
        <f t="shared" si="8"/>
        <v>5.7268722466960277E-2</v>
      </c>
      <c r="N35" s="37"/>
      <c r="O35" s="31"/>
      <c r="P35" s="88" t="s">
        <v>3688</v>
      </c>
      <c r="Q35" s="88"/>
      <c r="R35" s="88"/>
      <c r="S35" s="89" t="s">
        <v>3689</v>
      </c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3"/>
    </row>
    <row r="36" spans="1:31" ht="19.05" customHeight="1">
      <c r="A36" s="3"/>
      <c r="B36" s="10" t="s">
        <v>3690</v>
      </c>
      <c r="C36" s="10"/>
      <c r="D36" s="10"/>
      <c r="E36" s="11">
        <v>10</v>
      </c>
      <c r="F36" s="11"/>
      <c r="G36" s="11">
        <f>(SUMIFS(评分与用量!$E$2:$E$634,评分与用量!$A$2:$A$634,"GPT",评分与用量!$B$2:$B$634,"第一轮",评分与用量!$C$2:$C$634,"S分项",评分与用量!$J$2:$J$634,"F*")+SUMIFS(评分与用量!$E$2:$E$634,评分与用量!$A$2:$A$634,"Grok",评分与用量!$B$2:$B$634,"第一轮",评分与用量!$C$2:$C$634,"S分项",评分与用量!$J$2:$J$634,"F*")+SUMIFS(评分与用量!$E$2:$E$634,评分与用量!$A$2:$A$634,"DeepSeek",评分与用量!$B$2:$B$634,"第一轮",评分与用量!$C$2:$C$634,"S分项",评分与用量!$J$2:$J$634,"F*")+SUMIFS(评分与用量!$E$2:$E$634,评分与用量!$A$2:$A$634,"GLM",评分与用量!$B$2:$B$634,"第一轮",评分与用量!$C$2:$C$634,"S分项",评分与用量!$J$2:$J$634,"F*")+SUMIFS(评分与用量!$E$2:$E$634,评分与用量!$A$2:$A$634,"Qwen",评分与用量!$B$2:$B$634,"第一轮",评分与用量!$C$2:$C$634,"S分项",评分与用量!$J$2:$J$634,"F*")+SUMIFS(评分与用量!$E$2:$E$634,评分与用量!$A$2:$A$634,"Gemini",评分与用量!$B$2:$B$634,"第一轮",评分与用量!$C$2:$C$634,"S分项",评分与用量!$J$2:$J$634,"F*"))/6</f>
        <v>8.5833333333333339</v>
      </c>
      <c r="H36" s="11"/>
      <c r="I36" s="11">
        <f>(SUMIFS(评分与用量!$E$2:$E$634,评分与用量!$A$2:$A$634,"GPT",评分与用量!$B$2:$B$634,"第二轮",评分与用量!$C$2:$C$634,"S分项",评分与用量!$J$2:$J$634,"F*")+SUMIFS(评分与用量!$E$2:$E$634,评分与用量!$A$2:$A$634,"Grok",评分与用量!$B$2:$B$634,"第二轮",评分与用量!$C$2:$C$634,"S分项",评分与用量!$J$2:$J$634,"F*")+SUMIFS(评分与用量!$E$2:$E$634,评分与用量!$A$2:$A$634,"DeepSeek",评分与用量!$B$2:$B$634,"第二轮",评分与用量!$C$2:$C$634,"S分项",评分与用量!$J$2:$J$634,"F*")+SUMIFS(评分与用量!$E$2:$E$634,评分与用量!$A$2:$A$634,"GLM",评分与用量!$B$2:$B$634,"第二轮",评分与用量!$C$2:$C$634,"S分项",评分与用量!$J$2:$J$634,"F*")+SUMIFS(评分与用量!$E$2:$E$634,评分与用量!$A$2:$A$634,"Qwen",评分与用量!$B$2:$B$634,"第二轮",评分与用量!$C$2:$C$634,"S分项",评分与用量!$J$2:$J$634,"F*")+SUMIFS(评分与用量!$E$2:$E$634,评分与用量!$A$2:$A$634,"Gemini",评分与用量!$B$2:$B$634,"第二轮",评分与用量!$C$2:$C$634,"S分项",评分与用量!$J$2:$J$634,"F*"))/6</f>
        <v>8.75</v>
      </c>
      <c r="J36" s="11"/>
      <c r="K36" s="11">
        <f t="shared" si="7"/>
        <v>0.16666666666666607</v>
      </c>
      <c r="L36" s="11"/>
      <c r="M36" s="12">
        <f t="shared" si="8"/>
        <v>1.7621145374449271E-2</v>
      </c>
      <c r="N36" s="11"/>
      <c r="O36" s="31"/>
      <c r="P36" s="88"/>
      <c r="Q36" s="88"/>
      <c r="R36" s="88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3"/>
    </row>
    <row r="37" spans="1:31" ht="19.05" customHeight="1">
      <c r="A37" s="3"/>
      <c r="B37" s="140" t="s">
        <v>3691</v>
      </c>
      <c r="C37" s="141"/>
      <c r="D37" s="142"/>
      <c r="E37" s="140">
        <v>100</v>
      </c>
      <c r="F37" s="142"/>
      <c r="G37" s="143">
        <f>SUM(G31:G36)</f>
        <v>71.666666666666671</v>
      </c>
      <c r="H37" s="134"/>
      <c r="I37" s="143">
        <f>SUM(I31:I36)</f>
        <v>81.125</v>
      </c>
      <c r="J37" s="134"/>
      <c r="K37" s="143">
        <f>SUM(K31:K36)</f>
        <v>9.4583333333333357</v>
      </c>
      <c r="L37" s="134"/>
      <c r="M37" s="133">
        <f>SUM(M31:M36)</f>
        <v>1</v>
      </c>
      <c r="N37" s="134"/>
      <c r="O37"/>
      <c r="P37" s="88"/>
      <c r="Q37" s="88"/>
      <c r="R37" s="88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3"/>
    </row>
    <row r="38" spans="1:31" ht="19.05" customHeight="1">
      <c r="A38" s="3"/>
      <c r="B38" s="135"/>
      <c r="C38" s="136"/>
      <c r="D38" s="137"/>
      <c r="E38" s="135"/>
      <c r="F38" s="137"/>
      <c r="G38" s="138"/>
      <c r="H38" s="139"/>
      <c r="I38" s="138"/>
      <c r="J38" s="139"/>
      <c r="K38" s="138"/>
      <c r="L38" s="139"/>
      <c r="M38" s="138"/>
      <c r="N38" s="139"/>
      <c r="O38"/>
      <c r="P38" s="88"/>
      <c r="Q38" s="88"/>
      <c r="R38" s="88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3"/>
    </row>
    <row r="39" spans="1:31" ht="19.95" customHeight="1">
      <c r="A39" s="3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 s="3"/>
      <c r="X39" s="3"/>
      <c r="Y39" s="3"/>
      <c r="Z39" s="3"/>
      <c r="AA39" s="3"/>
      <c r="AB39" s="3"/>
      <c r="AC39" s="3"/>
      <c r="AD39" s="3"/>
      <c r="AE39" s="3"/>
    </row>
    <row r="40" spans="1:31" ht="19.95" customHeight="1">
      <c r="A40" s="3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 s="3"/>
      <c r="X40" s="3"/>
      <c r="Y40" s="3"/>
      <c r="Z40" s="3"/>
      <c r="AA40" s="3"/>
      <c r="AB40" s="3"/>
      <c r="AC40" s="3"/>
      <c r="AD40" s="3"/>
      <c r="AE40" s="3"/>
    </row>
    <row r="41" spans="1:31" ht="19.95" customHeight="1">
      <c r="A41" s="3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 s="3"/>
      <c r="X41" s="3"/>
      <c r="Y41" s="3"/>
      <c r="Z41" s="3"/>
      <c r="AA41" s="3"/>
      <c r="AB41" s="3"/>
      <c r="AC41" s="3"/>
      <c r="AD41" s="3"/>
      <c r="AE41" s="3"/>
    </row>
    <row r="42" spans="1:31" ht="19.95" customHeight="1">
      <c r="A42" s="3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 s="3"/>
      <c r="X42" s="3"/>
      <c r="Y42" s="3"/>
      <c r="Z42" s="3"/>
      <c r="AA42" s="3"/>
      <c r="AB42" s="3"/>
      <c r="AC42" s="3"/>
      <c r="AD42" s="3"/>
      <c r="AE42" s="3"/>
    </row>
    <row r="43" spans="1:31" ht="19.95" customHeight="1">
      <c r="A43" s="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 s="3"/>
      <c r="X43" s="3"/>
      <c r="Y43" s="3"/>
      <c r="Z43" s="3"/>
      <c r="AA43" s="3"/>
      <c r="AB43" s="3"/>
      <c r="AC43" s="3"/>
      <c r="AD43" s="3"/>
      <c r="AE43" s="3"/>
    </row>
    <row r="44" spans="1:31" ht="19.95" customHeight="1">
      <c r="A44" s="3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 s="3"/>
      <c r="X44" s="3"/>
      <c r="Y44" s="3"/>
      <c r="Z44" s="3"/>
      <c r="AA44" s="3"/>
      <c r="AB44" s="3"/>
      <c r="AC44" s="3"/>
      <c r="AD44" s="3"/>
      <c r="AE44" s="3"/>
    </row>
    <row r="45" spans="1:31" ht="19.95" customHeight="1">
      <c r="A45" s="3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 s="3"/>
      <c r="X45" s="3"/>
      <c r="Y45" s="3"/>
      <c r="Z45" s="3"/>
      <c r="AA45" s="3"/>
      <c r="AB45" s="3"/>
      <c r="AC45" s="3"/>
      <c r="AD45" s="3"/>
      <c r="AE45" s="3"/>
    </row>
    <row r="46" spans="1:31" ht="19.95" customHeight="1">
      <c r="A46" s="3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 s="3"/>
      <c r="X46" s="3"/>
      <c r="Y46" s="3"/>
      <c r="Z46" s="3"/>
      <c r="AA46" s="3"/>
      <c r="AB46" s="3"/>
      <c r="AC46" s="3"/>
      <c r="AD46" s="3"/>
      <c r="AE46" s="3"/>
    </row>
    <row r="47" spans="1:31" ht="30" customHeight="1">
      <c r="A47" s="3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 s="3"/>
      <c r="X47" s="3"/>
      <c r="Y47" s="3"/>
      <c r="Z47" s="3"/>
      <c r="AA47" s="3"/>
      <c r="AB47" s="3"/>
      <c r="AC47" s="3"/>
      <c r="AD47" s="3"/>
      <c r="AE47" s="3"/>
    </row>
    <row r="48" spans="1:31" ht="30" customHeight="1">
      <c r="A48" s="3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 s="3"/>
      <c r="X48" s="3"/>
      <c r="Y48" s="3"/>
      <c r="Z48" s="3"/>
      <c r="AA48" s="3"/>
      <c r="AB48" s="3"/>
      <c r="AC48" s="3"/>
      <c r="AD48" s="3"/>
      <c r="AE48" s="3"/>
    </row>
    <row r="49" spans="1:31" ht="30" customHeight="1">
      <c r="A49" s="3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 s="3"/>
      <c r="X49" s="3"/>
      <c r="Y49" s="3"/>
      <c r="Z49" s="3"/>
      <c r="AA49" s="3"/>
      <c r="AB49" s="3"/>
      <c r="AC49" s="3"/>
      <c r="AD49" s="3"/>
      <c r="AE49" s="3"/>
    </row>
    <row r="50" spans="1:31" ht="30" customHeight="1">
      <c r="A50" s="3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 s="3"/>
      <c r="X50" s="3"/>
      <c r="Y50" s="3"/>
      <c r="Z50" s="3"/>
      <c r="AA50" s="3"/>
      <c r="AB50" s="3"/>
      <c r="AC50" s="3"/>
      <c r="AD50" s="3"/>
      <c r="AE50" s="3"/>
    </row>
    <row r="51" spans="1:31" ht="16.0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ht="16.0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ht="16.0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ht="16.0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ht="16.0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ht="16.0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ht="16.0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ht="16.0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ht="16.0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ht="16.0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ht="16.0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ht="16.0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ht="16.0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ht="16.0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ht="16.0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ht="16.0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ht="16.0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ht="16.0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ht="16.0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ht="16.0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ht="16.0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ht="16.0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ht="16.0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ht="16.0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ht="16.0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ht="16.0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ht="16.0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ht="16.0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ht="16.0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ht="16.0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</sheetData>
  <mergeCells count="106">
    <mergeCell ref="M37:N37"/>
    <mergeCell ref="B38:D38"/>
    <mergeCell ref="E38:F38"/>
    <mergeCell ref="G38:H38"/>
    <mergeCell ref="I38:J38"/>
    <mergeCell ref="K38:L38"/>
    <mergeCell ref="M38:N38"/>
    <mergeCell ref="B37:D37"/>
    <mergeCell ref="E37:F37"/>
    <mergeCell ref="G37:H37"/>
    <mergeCell ref="I37:J37"/>
    <mergeCell ref="K37:L37"/>
    <mergeCell ref="R1:AD1"/>
    <mergeCell ref="B26:C26"/>
    <mergeCell ref="B21:C21"/>
    <mergeCell ref="B22:C22"/>
    <mergeCell ref="B23:C23"/>
    <mergeCell ref="B24:C24"/>
    <mergeCell ref="B25:C25"/>
    <mergeCell ref="B1:P1"/>
    <mergeCell ref="B2:V2"/>
    <mergeCell ref="F3:N3"/>
    <mergeCell ref="B19:N19"/>
    <mergeCell ref="C3:D3"/>
    <mergeCell ref="B5:D6"/>
    <mergeCell ref="E5:G6"/>
    <mergeCell ref="H5:J6"/>
    <mergeCell ref="K5:N6"/>
    <mergeCell ref="B4:D4"/>
    <mergeCell ref="E4:G4"/>
    <mergeCell ref="H4:J4"/>
    <mergeCell ref="K4:N4"/>
    <mergeCell ref="L8:M8"/>
    <mergeCell ref="F8:G8"/>
    <mergeCell ref="J8:K8"/>
    <mergeCell ref="F11:G11"/>
    <mergeCell ref="J11:K11"/>
    <mergeCell ref="L11:M11"/>
    <mergeCell ref="F9:G9"/>
    <mergeCell ref="J9:K9"/>
    <mergeCell ref="L9:M9"/>
    <mergeCell ref="F10:G10"/>
    <mergeCell ref="J10:K10"/>
    <mergeCell ref="L10:M10"/>
    <mergeCell ref="F12:G12"/>
    <mergeCell ref="J12:K12"/>
    <mergeCell ref="L12:M12"/>
    <mergeCell ref="F16:G16"/>
    <mergeCell ref="J16:K16"/>
    <mergeCell ref="L16:M16"/>
    <mergeCell ref="L20:M20"/>
    <mergeCell ref="F13:G13"/>
    <mergeCell ref="J13:K13"/>
    <mergeCell ref="L13:M13"/>
    <mergeCell ref="F14:G14"/>
    <mergeCell ref="J14:K14"/>
    <mergeCell ref="L14:M14"/>
    <mergeCell ref="F15:G15"/>
    <mergeCell ref="J15:K15"/>
    <mergeCell ref="L15:M15"/>
    <mergeCell ref="F22:G22"/>
    <mergeCell ref="H22:I22"/>
    <mergeCell ref="B20:C20"/>
    <mergeCell ref="D20:E20"/>
    <mergeCell ref="F20:G20"/>
    <mergeCell ref="B18:D18"/>
    <mergeCell ref="E18:N18"/>
    <mergeCell ref="H20:I20"/>
    <mergeCell ref="J20:K20"/>
    <mergeCell ref="J22:K22"/>
    <mergeCell ref="L22:M22"/>
    <mergeCell ref="P35:R38"/>
    <mergeCell ref="S35:AD38"/>
    <mergeCell ref="D21:E21"/>
    <mergeCell ref="F21:G21"/>
    <mergeCell ref="H21:I21"/>
    <mergeCell ref="J21:K21"/>
    <mergeCell ref="L21:M21"/>
    <mergeCell ref="D26:E26"/>
    <mergeCell ref="F26:G26"/>
    <mergeCell ref="H26:I26"/>
    <mergeCell ref="J26:K26"/>
    <mergeCell ref="D23:E23"/>
    <mergeCell ref="F23:G23"/>
    <mergeCell ref="H23:I23"/>
    <mergeCell ref="J23:K23"/>
    <mergeCell ref="D24:E24"/>
    <mergeCell ref="F24:G24"/>
    <mergeCell ref="H24:I24"/>
    <mergeCell ref="J24:K24"/>
    <mergeCell ref="D25:E25"/>
    <mergeCell ref="F25:G25"/>
    <mergeCell ref="H25:I25"/>
    <mergeCell ref="J25:K25"/>
    <mergeCell ref="D22:E22"/>
    <mergeCell ref="L23:M23"/>
    <mergeCell ref="P33:R34"/>
    <mergeCell ref="S33:AD34"/>
    <mergeCell ref="L24:M24"/>
    <mergeCell ref="P28:AD28"/>
    <mergeCell ref="P29:R30"/>
    <mergeCell ref="S29:AD30"/>
    <mergeCell ref="P31:R32"/>
    <mergeCell ref="S31:AD32"/>
    <mergeCell ref="L26:M26"/>
    <mergeCell ref="L25:M25"/>
  </mergeCells>
  <phoneticPr fontId="1" type="noConversion"/>
  <dataValidations count="1">
    <dataValidation type="list" allowBlank="1" showInputMessage="1" showErrorMessage="1" sqref="C3" xr:uid="{1FA2EA1D-1513-4445-935A-A71841DCCBEA}">
      <formula1>"第一轮,第二轮"</formula1>
    </dataValidation>
  </dataValidations>
  <printOptions horizontalCentered="1"/>
  <pageMargins left="0.25" right="0.25" top="0.25" bottom="0.25" header="0.3" footer="0.3"/>
  <pageSetup paperSize="8" scale="7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49AF0-EB33-4213-9614-811F9438963F}">
  <sheetPr>
    <tabColor rgb="FF333B4C"/>
    <pageSetUpPr fitToPage="1"/>
  </sheetPr>
  <dimension ref="A1:M25"/>
  <sheetViews>
    <sheetView showGridLines="0" showRowColHeaders="0" tabSelected="1" zoomScale="95" zoomScaleNormal="95" workbookViewId="0">
      <selection activeCell="B2" sqref="B2"/>
    </sheetView>
  </sheetViews>
  <sheetFormatPr defaultRowHeight="14.4"/>
  <cols>
    <col min="1" max="1" width="6.77734375" customWidth="1"/>
    <col min="2" max="2" width="24.77734375" customWidth="1"/>
    <col min="3" max="3" width="7.77734375" customWidth="1"/>
    <col min="4" max="5" width="9.77734375" customWidth="1"/>
    <col min="6" max="6" width="8.77734375" customWidth="1"/>
    <col min="7" max="7" width="3.77734375" customWidth="1"/>
    <col min="8" max="8" width="6.77734375" customWidth="1"/>
    <col min="9" max="9" width="24.77734375" customWidth="1"/>
    <col min="10" max="10" width="7.77734375" customWidth="1"/>
    <col min="11" max="12" width="9.77734375" customWidth="1"/>
    <col min="13" max="13" width="8.77734375" customWidth="1"/>
  </cols>
  <sheetData>
    <row r="1" spans="1:13" ht="22.95" customHeight="1">
      <c r="A1" s="146" t="str">
        <f>$B$2&amp;"  |  评分细项 · 评分标准"</f>
        <v>GPT  |  评分细项 · 评分标准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</row>
    <row r="2" spans="1:13" ht="19.95" customHeight="1">
      <c r="A2" s="72" t="s">
        <v>0</v>
      </c>
      <c r="B2" s="73" t="s">
        <v>4744</v>
      </c>
      <c r="C2" s="72" t="s">
        <v>3692</v>
      </c>
      <c r="D2" s="72"/>
      <c r="E2" s="72"/>
      <c r="F2" s="72"/>
      <c r="G2" s="72"/>
      <c r="H2" s="72"/>
      <c r="I2" s="72"/>
      <c r="J2" s="72"/>
      <c r="K2" s="72"/>
      <c r="L2" s="72"/>
      <c r="M2" s="72"/>
    </row>
    <row r="3" spans="1:13" ht="19.95" customHeight="1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</row>
    <row r="4" spans="1:13" ht="22.05" customHeight="1">
      <c r="A4" s="74" t="s">
        <v>3603</v>
      </c>
      <c r="B4" s="74" t="s">
        <v>3604</v>
      </c>
      <c r="C4" s="75" t="s">
        <v>3581</v>
      </c>
      <c r="D4" s="75" t="s">
        <v>19</v>
      </c>
      <c r="E4" s="75" t="s">
        <v>3</v>
      </c>
      <c r="F4" s="75" t="s">
        <v>3648</v>
      </c>
      <c r="G4" s="47"/>
      <c r="H4" s="74" t="s">
        <v>3603</v>
      </c>
      <c r="I4" s="74" t="s">
        <v>3604</v>
      </c>
      <c r="J4" s="75" t="s">
        <v>3581</v>
      </c>
      <c r="K4" s="75" t="s">
        <v>19</v>
      </c>
      <c r="L4" s="75" t="s">
        <v>3</v>
      </c>
      <c r="M4" s="75" t="s">
        <v>3648</v>
      </c>
    </row>
    <row r="5" spans="1:13" ht="22.05" customHeight="1">
      <c r="A5" s="147" t="s">
        <v>3693</v>
      </c>
      <c r="B5" s="147"/>
      <c r="C5" s="147"/>
      <c r="D5" s="147"/>
      <c r="E5" s="147"/>
      <c r="F5" s="147"/>
      <c r="G5" s="47"/>
      <c r="H5" s="147" t="s">
        <v>4752</v>
      </c>
      <c r="I5" s="147"/>
      <c r="J5" s="147"/>
      <c r="K5" s="147"/>
      <c r="L5" s="147"/>
      <c r="M5" s="147"/>
    </row>
    <row r="6" spans="1:13" ht="22.05" customHeight="1">
      <c r="A6" s="76" t="s">
        <v>3605</v>
      </c>
      <c r="B6" s="76" t="s">
        <v>3694</v>
      </c>
      <c r="C6" s="77">
        <v>4</v>
      </c>
      <c r="D6" s="77">
        <f>IF(COUNTIFS(评分与用量!$A$2:$A$634,$B$2,评分与用量!$B$2:$B$634,"第一轮",评分与用量!$C$2:$C$634,"S分项",评分与用量!$J$2:$J$634,"A1")=0,"",SUMIFS(评分与用量!$E$2:$E$634,评分与用量!$A$2:$A$634,$B$2,评分与用量!$B$2:$B$634,"第一轮",评分与用量!$C$2:$C$634,"S分项",评分与用量!$J$2:$J$634,"A1"))</f>
        <v>4</v>
      </c>
      <c r="E6" s="77">
        <f>IF(COUNTIFS(评分与用量!$A$2:$A$634,$B$2,评分与用量!$B$2:$B$634,"第二轮",评分与用量!$C$2:$C$634,"S分项",评分与用量!$J$2:$J$634,"A1")=0,"",SUMIFS(评分与用量!$E$2:$E$634,评分与用量!$A$2:$A$634,$B$2,评分与用量!$B$2:$B$634,"第二轮",评分与用量!$C$2:$C$634,"S分项",评分与用量!$J$2:$J$634,"A1"))</f>
        <v>4</v>
      </c>
      <c r="F6" s="78" t="str">
        <f>IF(OR(D6="",E6=""),"",IF(E6-D6=0,"0",IF(E6-D6&gt;0,"+","-")&amp;IF(MOD(ABS(E6-D6),1)=0,TEXT(ABS(E6-D6),"0"),TEXT(ABS(E6-D6),"0.##"))))</f>
        <v>0</v>
      </c>
      <c r="G6" s="47"/>
      <c r="H6" s="76" t="s">
        <v>3619</v>
      </c>
      <c r="I6" s="76" t="s">
        <v>3695</v>
      </c>
      <c r="J6" s="77">
        <v>4</v>
      </c>
      <c r="K6" s="77">
        <f>IF(COUNTIFS(评分与用量!$A$2:$A$634,$B$2,评分与用量!$B$2:$B$634,"第一轮",评分与用量!$C$2:$C$634,"S分项",评分与用量!$J$2:$J$634,"D1")=0,"",SUMIFS(评分与用量!$E$2:$E$634,评分与用量!$A$2:$A$634,$B$2,评分与用量!$B$2:$B$634,"第一轮",评分与用量!$C$2:$C$634,"S分项",评分与用量!$J$2:$J$634,"D1"))</f>
        <v>4</v>
      </c>
      <c r="L6" s="77">
        <f>IF(COUNTIFS(评分与用量!$A$2:$A$634,$B$2,评分与用量!$B$2:$B$634,"第二轮",评分与用量!$C$2:$C$634,"S分项",评分与用量!$J$2:$J$634,"D1")=0,"",SUMIFS(评分与用量!$E$2:$E$634,评分与用量!$A$2:$A$634,$B$2,评分与用量!$B$2:$B$634,"第二轮",评分与用量!$C$2:$C$634,"S分项",评分与用量!$J$2:$J$634,"D1"))</f>
        <v>4</v>
      </c>
      <c r="M6" s="78" t="str">
        <f>IF(OR(K6="",L6=""),"",IF(L6-K6=0,"0",IF(L6-K6&gt;0,"+","-")&amp;IF(MOD(ABS(L6-K6),1)=0,TEXT(ABS(L6-K6),"0"),TEXT(ABS(L6-K6),"0.##"))))</f>
        <v>0</v>
      </c>
    </row>
    <row r="7" spans="1:13" ht="22.05" customHeight="1">
      <c r="A7" s="76" t="s">
        <v>3606</v>
      </c>
      <c r="B7" s="76" t="s">
        <v>3696</v>
      </c>
      <c r="C7" s="77">
        <v>4</v>
      </c>
      <c r="D7" s="77">
        <f>IF(COUNTIFS(评分与用量!$A$2:$A$634,$B$2,评分与用量!$B$2:$B$634,"第一轮",评分与用量!$C$2:$C$634,"S分项",评分与用量!$J$2:$J$634,"A2")=0,"",SUMIFS(评分与用量!$E$2:$E$634,评分与用量!$A$2:$A$634,$B$2,评分与用量!$B$2:$B$634,"第一轮",评分与用量!$C$2:$C$634,"S分项",评分与用量!$J$2:$J$634,"A2"))</f>
        <v>4</v>
      </c>
      <c r="E7" s="77">
        <f>IF(COUNTIFS(评分与用量!$A$2:$A$634,$B$2,评分与用量!$B$2:$B$634,"第二轮",评分与用量!$C$2:$C$634,"S分项",评分与用量!$J$2:$J$634,"A2")=0,"",SUMIFS(评分与用量!$E$2:$E$634,评分与用量!$A$2:$A$634,$B$2,评分与用量!$B$2:$B$634,"第二轮",评分与用量!$C$2:$C$634,"S分项",评分与用量!$J$2:$J$634,"A2"))</f>
        <v>4</v>
      </c>
      <c r="F7" s="78" t="str">
        <f>IF(OR(D7="",E7=""),"",IF(E7-D7=0,"0",IF(E7-D7&gt;0,"+","-")&amp;IF(MOD(ABS(E7-D7),1)=0,TEXT(ABS(E7-D7),"0"),TEXT(ABS(E7-D7),"0.##"))))</f>
        <v>0</v>
      </c>
      <c r="G7" s="47"/>
      <c r="H7" s="76" t="s">
        <v>3620</v>
      </c>
      <c r="I7" s="76" t="s">
        <v>3697</v>
      </c>
      <c r="J7" s="77">
        <v>6</v>
      </c>
      <c r="K7" s="77">
        <f>IF(COUNTIFS(评分与用量!$A$2:$A$634,$B$2,评分与用量!$B$2:$B$634,"第一轮",评分与用量!$C$2:$C$634,"S分项",评分与用量!$J$2:$J$634,"D2")=0,"",SUMIFS(评分与用量!$E$2:$E$634,评分与用量!$A$2:$A$634,$B$2,评分与用量!$B$2:$B$634,"第一轮",评分与用量!$C$2:$C$634,"S分项",评分与用量!$J$2:$J$634,"D2"))</f>
        <v>4.5</v>
      </c>
      <c r="L7" s="77">
        <f>IF(COUNTIFS(评分与用量!$A$2:$A$634,$B$2,评分与用量!$B$2:$B$634,"第二轮",评分与用量!$C$2:$C$634,"S分项",评分与用量!$J$2:$J$634,"D2")=0,"",SUMIFS(评分与用量!$E$2:$E$634,评分与用量!$A$2:$A$634,$B$2,评分与用量!$B$2:$B$634,"第二轮",评分与用量!$C$2:$C$634,"S分项",评分与用量!$J$2:$J$634,"D2"))</f>
        <v>6</v>
      </c>
      <c r="M7" s="78" t="str">
        <f>IF(OR(K7="",L7=""),"",IF(L7-K7=0,"0",IF(L7-K7&gt;0,"+","-")&amp;IF(MOD(ABS(L7-K7),1)=0,TEXT(ABS(L7-K7),"0"),TEXT(ABS(L7-K7),"0.##"))))</f>
        <v>+1.5</v>
      </c>
    </row>
    <row r="8" spans="1:13" ht="22.05" customHeight="1">
      <c r="A8" s="76" t="s">
        <v>3607</v>
      </c>
      <c r="B8" s="76" t="s">
        <v>3698</v>
      </c>
      <c r="C8" s="77">
        <v>3</v>
      </c>
      <c r="D8" s="77">
        <f>IF(COUNTIFS(评分与用量!$A$2:$A$634,$B$2,评分与用量!$B$2:$B$634,"第一轮",评分与用量!$C$2:$C$634,"S分项",评分与用量!$J$2:$J$634,"A3")=0,"",SUMIFS(评分与用量!$E$2:$E$634,评分与用量!$A$2:$A$634,$B$2,评分与用量!$B$2:$B$634,"第一轮",评分与用量!$C$2:$C$634,"S分项",评分与用量!$J$2:$J$634,"A3"))</f>
        <v>3</v>
      </c>
      <c r="E8" s="77">
        <f>IF(COUNTIFS(评分与用量!$A$2:$A$634,$B$2,评分与用量!$B$2:$B$634,"第二轮",评分与用量!$C$2:$C$634,"S分项",评分与用量!$J$2:$J$634,"A3")=0,"",SUMIFS(评分与用量!$E$2:$E$634,评分与用量!$A$2:$A$634,$B$2,评分与用量!$B$2:$B$634,"第二轮",评分与用量!$C$2:$C$634,"S分项",评分与用量!$J$2:$J$634,"A3"))</f>
        <v>3</v>
      </c>
      <c r="F8" s="78" t="str">
        <f>IF(OR(D8="",E8=""),"",IF(E8-D8=0,"0",IF(E8-D8&gt;0,"+","-")&amp;IF(MOD(ABS(E8-D8),1)=0,TEXT(ABS(E8-D8),"0"),TEXT(ABS(E8-D8),"0.##"))))</f>
        <v>0</v>
      </c>
      <c r="G8" s="47"/>
      <c r="H8" s="76" t="s">
        <v>3621</v>
      </c>
      <c r="I8" s="76" t="s">
        <v>3699</v>
      </c>
      <c r="J8" s="77">
        <v>6</v>
      </c>
      <c r="K8" s="77">
        <f>IF(COUNTIFS(评分与用量!$A$2:$A$634,$B$2,评分与用量!$B$2:$B$634,"第一轮",评分与用量!$C$2:$C$634,"S分项",评分与用量!$J$2:$J$634,"D3")=0,"",SUMIFS(评分与用量!$E$2:$E$634,评分与用量!$A$2:$A$634,$B$2,评分与用量!$B$2:$B$634,"第一轮",评分与用量!$C$2:$C$634,"S分项",评分与用量!$J$2:$J$634,"D3"))</f>
        <v>6</v>
      </c>
      <c r="L8" s="77">
        <f>IF(COUNTIFS(评分与用量!$A$2:$A$634,$B$2,评分与用量!$B$2:$B$634,"第二轮",评分与用量!$C$2:$C$634,"S分项",评分与用量!$J$2:$J$634,"D3")=0,"",SUMIFS(评分与用量!$E$2:$E$634,评分与用量!$A$2:$A$634,$B$2,评分与用量!$B$2:$B$634,"第二轮",评分与用量!$C$2:$C$634,"S分项",评分与用量!$J$2:$J$634,"D3"))</f>
        <v>6</v>
      </c>
      <c r="M8" s="78" t="str">
        <f>IF(OR(K8="",L8=""),"",IF(L8-K8=0,"0",IF(L8-K8&gt;0,"+","-")&amp;IF(MOD(ABS(L8-K8),1)=0,TEXT(ABS(L8-K8),"0"),TEXT(ABS(L8-K8),"0.##"))))</f>
        <v>0</v>
      </c>
    </row>
    <row r="9" spans="1:13" ht="22.05" customHeight="1">
      <c r="A9" s="76" t="s">
        <v>3608</v>
      </c>
      <c r="B9" s="76" t="s">
        <v>3700</v>
      </c>
      <c r="C9" s="77">
        <v>4</v>
      </c>
      <c r="D9" s="77">
        <f>IF(COUNTIFS(评分与用量!$A$2:$A$634,$B$2,评分与用量!$B$2:$B$634,"第一轮",评分与用量!$C$2:$C$634,"S分项",评分与用量!$J$2:$J$634,"A4")=0,"",SUMIFS(评分与用量!$E$2:$E$634,评分与用量!$A$2:$A$634,$B$2,评分与用量!$B$2:$B$634,"第一轮",评分与用量!$C$2:$C$634,"S分项",评分与用量!$J$2:$J$634,"A4"))</f>
        <v>3</v>
      </c>
      <c r="E9" s="77">
        <f>IF(COUNTIFS(评分与用量!$A$2:$A$634,$B$2,评分与用量!$B$2:$B$634,"第二轮",评分与用量!$C$2:$C$634,"S分项",评分与用量!$J$2:$J$634,"A4")=0,"",SUMIFS(评分与用量!$E$2:$E$634,评分与用量!$A$2:$A$634,$B$2,评分与用量!$B$2:$B$634,"第二轮",评分与用量!$C$2:$C$634,"S分项",评分与用量!$J$2:$J$634,"A4"))</f>
        <v>4</v>
      </c>
      <c r="F9" s="78" t="str">
        <f>IF(OR(D9="",E9=""),"",IF(E9-D9=0,"0",IF(E9-D9&gt;0,"+","-")&amp;IF(MOD(ABS(E9-D9),1)=0,TEXT(ABS(E9-D9),"0"),TEXT(ABS(E9-D9),"0.##"))))</f>
        <v>+1</v>
      </c>
      <c r="G9" s="47"/>
      <c r="H9" s="76" t="s">
        <v>3622</v>
      </c>
      <c r="I9" s="76" t="s">
        <v>3701</v>
      </c>
      <c r="J9" s="77">
        <v>6</v>
      </c>
      <c r="K9" s="77">
        <f>IF(COUNTIFS(评分与用量!$A$2:$A$634,$B$2,评分与用量!$B$2:$B$634,"第一轮",评分与用量!$C$2:$C$634,"S分项",评分与用量!$J$2:$J$634,"D4")=0,"",SUMIFS(评分与用量!$E$2:$E$634,评分与用量!$A$2:$A$634,$B$2,评分与用量!$B$2:$B$634,"第一轮",评分与用量!$C$2:$C$634,"S分项",评分与用量!$J$2:$J$634,"D4"))</f>
        <v>3</v>
      </c>
      <c r="L9" s="77">
        <f>IF(COUNTIFS(评分与用量!$A$2:$A$634,$B$2,评分与用量!$B$2:$B$634,"第二轮",评分与用量!$C$2:$C$634,"S分项",评分与用量!$J$2:$J$634,"D4")=0,"",SUMIFS(评分与用量!$E$2:$E$634,评分与用量!$A$2:$A$634,$B$2,评分与用量!$B$2:$B$634,"第二轮",评分与用量!$C$2:$C$634,"S分项",评分与用量!$J$2:$J$634,"D4"))</f>
        <v>4.5</v>
      </c>
      <c r="M9" s="78" t="str">
        <f>IF(OR(K9="",L9=""),"",IF(L9-K9=0,"0",IF(L9-K9&gt;0,"+","-")&amp;IF(MOD(ABS(L9-K9),1)=0,TEXT(ABS(L9-K9),"0"),TEXT(ABS(L9-K9),"0.##"))))</f>
        <v>+1.5</v>
      </c>
    </row>
    <row r="10" spans="1:13" ht="22.05" customHeight="1">
      <c r="A10" s="147" t="s">
        <v>3702</v>
      </c>
      <c r="B10" s="147"/>
      <c r="C10" s="147"/>
      <c r="D10" s="147"/>
      <c r="E10" s="147"/>
      <c r="F10" s="147"/>
      <c r="G10" s="47"/>
      <c r="H10" s="76" t="s">
        <v>3703</v>
      </c>
      <c r="I10" s="76" t="s">
        <v>3704</v>
      </c>
      <c r="J10" s="77">
        <v>3</v>
      </c>
      <c r="K10" s="77">
        <f>IF(COUNTIFS(评分与用量!$A$2:$A$634,$B$2,评分与用量!$B$2:$B$634,"第一轮",评分与用量!$C$2:$C$634,"S分项",评分与用量!$J$2:$J$634,"D5")=0,"",SUMIFS(评分与用量!$E$2:$E$634,评分与用量!$A$2:$A$634,$B$2,评分与用量!$B$2:$B$634,"第一轮",评分与用量!$C$2:$C$634,"S分项",评分与用量!$J$2:$J$634,"D5"))</f>
        <v>2.25</v>
      </c>
      <c r="L10" s="77">
        <f>IF(COUNTIFS(评分与用量!$A$2:$A$634,$B$2,评分与用量!$B$2:$B$634,"第二轮",评分与用量!$C$2:$C$634,"S分项",评分与用量!$J$2:$J$634,"D5")=0,"",SUMIFS(评分与用量!$E$2:$E$634,评分与用量!$A$2:$A$634,$B$2,评分与用量!$B$2:$B$634,"第二轮",评分与用量!$C$2:$C$634,"S分项",评分与用量!$J$2:$J$634,"D5"))</f>
        <v>3</v>
      </c>
      <c r="M10" s="78" t="str">
        <f>IF(OR(K10="",L10=""),"",IF(L10-K10=0,"0",IF(L10-K10&gt;0,"+","-")&amp;IF(MOD(ABS(L10-K10),1)=0,TEXT(ABS(L10-K10),"0"),TEXT(ABS(L10-K10),"0.##"))))</f>
        <v>+0.75</v>
      </c>
    </row>
    <row r="11" spans="1:13" ht="22.05" customHeight="1">
      <c r="A11" s="76" t="s">
        <v>3609</v>
      </c>
      <c r="B11" s="76" t="s">
        <v>3610</v>
      </c>
      <c r="C11" s="77">
        <v>6</v>
      </c>
      <c r="D11" s="77">
        <f>IF(COUNTIFS(评分与用量!$A$2:$A$634,$B$2,评分与用量!$B$2:$B$634,"第一轮",评分与用量!$C$2:$C$634,"S分项",评分与用量!$J$2:$J$634,"B1")=0,"",SUMIFS(评分与用量!$E$2:$E$634,评分与用量!$A$2:$A$634,$B$2,评分与用量!$B$2:$B$634,"第一轮",评分与用量!$C$2:$C$634,"S分项",评分与用量!$J$2:$J$634,"B1"))</f>
        <v>6</v>
      </c>
      <c r="E11" s="77">
        <f>IF(COUNTIFS(评分与用量!$A$2:$A$634,$B$2,评分与用量!$B$2:$B$634,"第二轮",评分与用量!$C$2:$C$634,"S分项",评分与用量!$J$2:$J$634,"B1")=0,"",SUMIFS(评分与用量!$E$2:$E$634,评分与用量!$A$2:$A$634,$B$2,评分与用量!$B$2:$B$634,"第二轮",评分与用量!$C$2:$C$634,"S分项",评分与用量!$J$2:$J$634,"B1"))</f>
        <v>6</v>
      </c>
      <c r="F11" s="78" t="str">
        <f>IF(OR(D11="",E11=""),"",IF(E11-D11=0,"0",IF(E11-D11&gt;0,"+","-")&amp;IF(MOD(ABS(E11-D11),1)=0,TEXT(ABS(E11-D11),"0"),TEXT(ABS(E11-D11),"0.##"))))</f>
        <v>0</v>
      </c>
      <c r="G11" s="47"/>
      <c r="H11" s="147" t="s">
        <v>4753</v>
      </c>
      <c r="I11" s="147"/>
      <c r="J11" s="147"/>
      <c r="K11" s="147"/>
      <c r="L11" s="147"/>
      <c r="M11" s="147"/>
    </row>
    <row r="12" spans="1:13" ht="22.05" customHeight="1">
      <c r="A12" s="76" t="s">
        <v>3611</v>
      </c>
      <c r="B12" s="76" t="s">
        <v>3705</v>
      </c>
      <c r="C12" s="77">
        <v>5</v>
      </c>
      <c r="D12" s="77">
        <f>IF(COUNTIFS(评分与用量!$A$2:$A$634,$B$2,评分与用量!$B$2:$B$634,"第一轮",评分与用量!$C$2:$C$634,"S分项",评分与用量!$J$2:$J$634,"B2")=0,"",SUMIFS(评分与用量!$E$2:$E$634,评分与用量!$A$2:$A$634,$B$2,评分与用量!$B$2:$B$634,"第一轮",评分与用量!$C$2:$C$634,"S分项",评分与用量!$J$2:$J$634,"B2"))</f>
        <v>5</v>
      </c>
      <c r="E12" s="77">
        <f>IF(COUNTIFS(评分与用量!$A$2:$A$634,$B$2,评分与用量!$B$2:$B$634,"第二轮",评分与用量!$C$2:$C$634,"S分项",评分与用量!$J$2:$J$634,"B2")=0,"",SUMIFS(评分与用量!$E$2:$E$634,评分与用量!$A$2:$A$634,$B$2,评分与用量!$B$2:$B$634,"第二轮",评分与用量!$C$2:$C$634,"S分项",评分与用量!$J$2:$J$634,"B2"))</f>
        <v>5</v>
      </c>
      <c r="F12" s="78" t="str">
        <f>IF(OR(D12="",E12=""),"",IF(E12-D12=0,"0",IF(E12-D12&gt;0,"+","-")&amp;IF(MOD(ABS(E12-D12),1)=0,TEXT(ABS(E12-D12),"0"),TEXT(ABS(E12-D12),"0.##"))))</f>
        <v>0</v>
      </c>
      <c r="G12" s="47"/>
      <c r="H12" s="76" t="s">
        <v>3623</v>
      </c>
      <c r="I12" s="76" t="s">
        <v>3706</v>
      </c>
      <c r="J12" s="77">
        <v>4</v>
      </c>
      <c r="K12" s="77">
        <f>IF(COUNTIFS(评分与用量!$A$2:$A$634,$B$2,评分与用量!$B$2:$B$634,"第一轮",评分与用量!$C$2:$C$634,"S分项",评分与用量!$J$2:$J$634,"E1")=0,"",SUMIFS(评分与用量!$E$2:$E$634,评分与用量!$A$2:$A$634,$B$2,评分与用量!$B$2:$B$634,"第一轮",评分与用量!$C$2:$C$634,"S分项",评分与用量!$J$2:$J$634,"E1"))</f>
        <v>4</v>
      </c>
      <c r="L12" s="77">
        <f>IF(COUNTIFS(评分与用量!$A$2:$A$634,$B$2,评分与用量!$B$2:$B$634,"第二轮",评分与用量!$C$2:$C$634,"S分项",评分与用量!$J$2:$J$634,"E1")=0,"",SUMIFS(评分与用量!$E$2:$E$634,评分与用量!$A$2:$A$634,$B$2,评分与用量!$B$2:$B$634,"第二轮",评分与用量!$C$2:$C$634,"S分项",评分与用量!$J$2:$J$634,"E1"))</f>
        <v>4</v>
      </c>
      <c r="M12" s="78" t="str">
        <f>IF(OR(K12="",L12=""),"",IF(L12-K12=0,"0",IF(L12-K12&gt;0,"+","-")&amp;IF(MOD(ABS(L12-K12),1)=0,TEXT(ABS(L12-K12),"0"),TEXT(ABS(L12-K12),"0.##"))))</f>
        <v>0</v>
      </c>
    </row>
    <row r="13" spans="1:13" ht="22.05" customHeight="1">
      <c r="A13" s="76" t="s">
        <v>3612</v>
      </c>
      <c r="B13" s="76" t="s">
        <v>3707</v>
      </c>
      <c r="C13" s="77">
        <v>5</v>
      </c>
      <c r="D13" s="77">
        <f>IF(COUNTIFS(评分与用量!$A$2:$A$634,$B$2,评分与用量!$B$2:$B$634,"第一轮",评分与用量!$C$2:$C$634,"S分项",评分与用量!$J$2:$J$634,"B3")=0,"",SUMIFS(评分与用量!$E$2:$E$634,评分与用量!$A$2:$A$634,$B$2,评分与用量!$B$2:$B$634,"第一轮",评分与用量!$C$2:$C$634,"S分项",评分与用量!$J$2:$J$634,"B3"))</f>
        <v>5</v>
      </c>
      <c r="E13" s="77">
        <f>IF(COUNTIFS(评分与用量!$A$2:$A$634,$B$2,评分与用量!$B$2:$B$634,"第二轮",评分与用量!$C$2:$C$634,"S分项",评分与用量!$J$2:$J$634,"B3")=0,"",SUMIFS(评分与用量!$E$2:$E$634,评分与用量!$A$2:$A$634,$B$2,评分与用量!$B$2:$B$634,"第二轮",评分与用量!$C$2:$C$634,"S分项",评分与用量!$J$2:$J$634,"B3"))</f>
        <v>5</v>
      </c>
      <c r="F13" s="78" t="str">
        <f>IF(OR(D13="",E13=""),"",IF(E13-D13=0,"0",IF(E13-D13&gt;0,"+","-")&amp;IF(MOD(ABS(E13-D13),1)=0,TEXT(ABS(E13-D13),"0"),TEXT(ABS(E13-D13),"0.##"))))</f>
        <v>0</v>
      </c>
      <c r="G13" s="47"/>
      <c r="H13" s="76" t="s">
        <v>3624</v>
      </c>
      <c r="I13" s="76" t="s">
        <v>3708</v>
      </c>
      <c r="J13" s="77">
        <v>3</v>
      </c>
      <c r="K13" s="77">
        <f>IF(COUNTIFS(评分与用量!$A$2:$A$634,$B$2,评分与用量!$B$2:$B$634,"第一轮",评分与用量!$C$2:$C$634,"S分项",评分与用量!$J$2:$J$634,"E2")=0,"",SUMIFS(评分与用量!$E$2:$E$634,评分与用量!$A$2:$A$634,$B$2,评分与用量!$B$2:$B$634,"第一轮",评分与用量!$C$2:$C$634,"S分项",评分与用量!$J$2:$J$634,"E2"))</f>
        <v>3</v>
      </c>
      <c r="L13" s="77">
        <f>IF(COUNTIFS(评分与用量!$A$2:$A$634,$B$2,评分与用量!$B$2:$B$634,"第二轮",评分与用量!$C$2:$C$634,"S分项",评分与用量!$J$2:$J$634,"E2")=0,"",SUMIFS(评分与用量!$E$2:$E$634,评分与用量!$A$2:$A$634,$B$2,评分与用量!$B$2:$B$634,"第二轮",评分与用量!$C$2:$C$634,"S分项",评分与用量!$J$2:$J$634,"E2"))</f>
        <v>3</v>
      </c>
      <c r="M13" s="78" t="str">
        <f>IF(OR(K13="",L13=""),"",IF(L13-K13=0,"0",IF(L13-K13&gt;0,"+","-")&amp;IF(MOD(ABS(L13-K13),1)=0,TEXT(ABS(L13-K13),"0"),TEXT(ABS(L13-K13),"0.##"))))</f>
        <v>0</v>
      </c>
    </row>
    <row r="14" spans="1:13" ht="22.05" customHeight="1">
      <c r="A14" s="76" t="s">
        <v>3613</v>
      </c>
      <c r="B14" s="76" t="s">
        <v>3709</v>
      </c>
      <c r="C14" s="77">
        <v>4</v>
      </c>
      <c r="D14" s="77">
        <f>IF(COUNTIFS(评分与用量!$A$2:$A$634,$B$2,评分与用量!$B$2:$B$634,"第一轮",评分与用量!$C$2:$C$634,"S分项",评分与用量!$J$2:$J$634,"B4")=0,"",SUMIFS(评分与用量!$E$2:$E$634,评分与用量!$A$2:$A$634,$B$2,评分与用量!$B$2:$B$634,"第一轮",评分与用量!$C$2:$C$634,"S分项",评分与用量!$J$2:$J$634,"B4"))</f>
        <v>4</v>
      </c>
      <c r="E14" s="77">
        <f>IF(COUNTIFS(评分与用量!$A$2:$A$634,$B$2,评分与用量!$B$2:$B$634,"第二轮",评分与用量!$C$2:$C$634,"S分项",评分与用量!$J$2:$J$634,"B4")=0,"",SUMIFS(评分与用量!$E$2:$E$634,评分与用量!$A$2:$A$634,$B$2,评分与用量!$B$2:$B$634,"第二轮",评分与用量!$C$2:$C$634,"S分项",评分与用量!$J$2:$J$634,"B4"))</f>
        <v>4</v>
      </c>
      <c r="F14" s="78" t="str">
        <f>IF(OR(D14="",E14=""),"",IF(E14-D14=0,"0",IF(E14-D14&gt;0,"+","-")&amp;IF(MOD(ABS(E14-D14),1)=0,TEXT(ABS(E14-D14),"0"),TEXT(ABS(E14-D14),"0.##"))))</f>
        <v>0</v>
      </c>
      <c r="G14" s="47"/>
      <c r="H14" s="76" t="s">
        <v>3625</v>
      </c>
      <c r="I14" s="76" t="s">
        <v>3710</v>
      </c>
      <c r="J14" s="77">
        <v>3</v>
      </c>
      <c r="K14" s="77">
        <f>IF(COUNTIFS(评分与用量!$A$2:$A$634,$B$2,评分与用量!$B$2:$B$634,"第一轮",评分与用量!$C$2:$C$634,"S分项",评分与用量!$J$2:$J$634,"E3")=0,"",SUMIFS(评分与用量!$E$2:$E$634,评分与用量!$A$2:$A$634,$B$2,评分与用量!$B$2:$B$634,"第一轮",评分与用量!$C$2:$C$634,"S分项",评分与用量!$J$2:$J$634,"E3"))</f>
        <v>3</v>
      </c>
      <c r="L14" s="77">
        <f>IF(COUNTIFS(评分与用量!$A$2:$A$634,$B$2,评分与用量!$B$2:$B$634,"第二轮",评分与用量!$C$2:$C$634,"S分项",评分与用量!$J$2:$J$634,"E3")=0,"",SUMIFS(评分与用量!$E$2:$E$634,评分与用量!$A$2:$A$634,$B$2,评分与用量!$B$2:$B$634,"第二轮",评分与用量!$C$2:$C$634,"S分项",评分与用量!$J$2:$J$634,"E3"))</f>
        <v>3</v>
      </c>
      <c r="M14" s="78" t="str">
        <f>IF(OR(K14="",L14=""),"",IF(L14-K14=0,"0",IF(L14-K14&gt;0,"+","-")&amp;IF(MOD(ABS(L14-K14),1)=0,TEXT(ABS(L14-K14),"0"),TEXT(ABS(L14-K14),"0.##"))))</f>
        <v>0</v>
      </c>
    </row>
    <row r="15" spans="1:13" ht="22.05" customHeight="1">
      <c r="A15" s="147" t="s">
        <v>3711</v>
      </c>
      <c r="B15" s="147"/>
      <c r="C15" s="147"/>
      <c r="D15" s="147"/>
      <c r="E15" s="147"/>
      <c r="F15" s="147"/>
      <c r="G15" s="47"/>
      <c r="H15" s="147" t="s">
        <v>4754</v>
      </c>
      <c r="I15" s="147"/>
      <c r="J15" s="147"/>
      <c r="K15" s="147"/>
      <c r="L15" s="147"/>
      <c r="M15" s="147"/>
    </row>
    <row r="16" spans="1:13" ht="22.05" customHeight="1">
      <c r="A16" s="76" t="s">
        <v>3614</v>
      </c>
      <c r="B16" s="76" t="s">
        <v>3712</v>
      </c>
      <c r="C16" s="77">
        <v>4</v>
      </c>
      <c r="D16" s="77">
        <f>IF(COUNTIFS(评分与用量!$A$2:$A$634,$B$2,评分与用量!$B$2:$B$634,"第一轮",评分与用量!$C$2:$C$634,"S分项",评分与用量!$J$2:$J$634,"C1")=0,"",SUMIFS(评分与用量!$E$2:$E$634,评分与用量!$A$2:$A$634,$B$2,评分与用量!$B$2:$B$634,"第一轮",评分与用量!$C$2:$C$634,"S分项",评分与用量!$J$2:$J$634,"C1"))</f>
        <v>4</v>
      </c>
      <c r="E16" s="77">
        <f>IF(COUNTIFS(评分与用量!$A$2:$A$634,$B$2,评分与用量!$B$2:$B$634,"第二轮",评分与用量!$C$2:$C$634,"S分项",评分与用量!$J$2:$J$634,"C1")=0,"",SUMIFS(评分与用量!$E$2:$E$634,评分与用量!$A$2:$A$634,$B$2,评分与用量!$B$2:$B$634,"第二轮",评分与用量!$C$2:$C$634,"S分项",评分与用量!$J$2:$J$634,"C1"))</f>
        <v>4</v>
      </c>
      <c r="F16" s="78" t="str">
        <f>IF(OR(D16="",E16=""),"",IF(E16-D16=0,"0",IF(E16-D16&gt;0,"+","-")&amp;IF(MOD(ABS(E16-D16),1)=0,TEXT(ABS(E16-D16),"0"),TEXT(ABS(E16-D16),"0.##"))))</f>
        <v>0</v>
      </c>
      <c r="G16" s="47"/>
      <c r="H16" s="76" t="s">
        <v>3713</v>
      </c>
      <c r="I16" s="76" t="s">
        <v>3714</v>
      </c>
      <c r="J16" s="77">
        <v>3</v>
      </c>
      <c r="K16" s="77">
        <f>IF(COUNTIFS(评分与用量!$A$2:$A$634,$B$2,评分与用量!$B$2:$B$634,"第一轮",评分与用量!$C$2:$C$634,"S分项",评分与用量!$J$2:$J$634,"F1")=0,"",SUMIFS(评分与用量!$E$2:$E$634,评分与用量!$A$2:$A$634,$B$2,评分与用量!$B$2:$B$634,"第一轮",评分与用量!$C$2:$C$634,"S分项",评分与用量!$J$2:$J$634,"F1"))</f>
        <v>3</v>
      </c>
      <c r="L16" s="77">
        <f>IF(COUNTIFS(评分与用量!$A$2:$A$634,$B$2,评分与用量!$B$2:$B$634,"第二轮",评分与用量!$C$2:$C$634,"S分项",评分与用量!$J$2:$J$634,"F1")=0,"",SUMIFS(评分与用量!$E$2:$E$634,评分与用量!$A$2:$A$634,$B$2,评分与用量!$B$2:$B$634,"第二轮",评分与用量!$C$2:$C$634,"S分项",评分与用量!$J$2:$J$634,"F1"))</f>
        <v>3</v>
      </c>
      <c r="M16" s="78" t="str">
        <f>IF(OR(K16="",L16=""),"",IF(L16-K16=0,"0",IF(L16-K16&gt;0,"+","-")&amp;IF(MOD(ABS(L16-K16),1)=0,TEXT(ABS(L16-K16),"0"),TEXT(ABS(L16-K16),"0.##"))))</f>
        <v>0</v>
      </c>
    </row>
    <row r="17" spans="1:13" ht="22.05" customHeight="1">
      <c r="A17" s="76" t="s">
        <v>3615</v>
      </c>
      <c r="B17" s="76" t="s">
        <v>3715</v>
      </c>
      <c r="C17" s="77">
        <v>4</v>
      </c>
      <c r="D17" s="77">
        <f>IF(COUNTIFS(评分与用量!$A$2:$A$634,$B$2,评分与用量!$B$2:$B$634,"第一轮",评分与用量!$C$2:$C$634,"S分项",评分与用量!$J$2:$J$634,"C2")=0,"",SUMIFS(评分与用量!$E$2:$E$634,评分与用量!$A$2:$A$634,$B$2,评分与用量!$B$2:$B$634,"第一轮",评分与用量!$C$2:$C$634,"S分项",评分与用量!$J$2:$J$634,"C2"))</f>
        <v>2</v>
      </c>
      <c r="E17" s="77">
        <f>IF(COUNTIFS(评分与用量!$A$2:$A$634,$B$2,评分与用量!$B$2:$B$634,"第二轮",评分与用量!$C$2:$C$634,"S分项",评分与用量!$J$2:$J$634,"C2")=0,"",SUMIFS(评分与用量!$E$2:$E$634,评分与用量!$A$2:$A$634,$B$2,评分与用量!$B$2:$B$634,"第二轮",评分与用量!$C$2:$C$634,"S分项",评分与用量!$J$2:$J$634,"C2"))</f>
        <v>4</v>
      </c>
      <c r="F17" s="78" t="str">
        <f>IF(OR(D17="",E17=""),"",IF(E17-D17=0,"0",IF(E17-D17&gt;0,"+","-")&amp;IF(MOD(ABS(E17-D17),1)=0,TEXT(ABS(E17-D17),"0"),TEXT(ABS(E17-D17),"0.##"))))</f>
        <v>+2</v>
      </c>
      <c r="G17" s="47"/>
      <c r="H17" s="76" t="s">
        <v>3716</v>
      </c>
      <c r="I17" s="76" t="s">
        <v>3717</v>
      </c>
      <c r="J17" s="77">
        <v>3</v>
      </c>
      <c r="K17" s="77">
        <f>IF(COUNTIFS(评分与用量!$A$2:$A$634,$B$2,评分与用量!$B$2:$B$634,"第一轮",评分与用量!$C$2:$C$634,"S分项",评分与用量!$J$2:$J$634,"F2")=0,"",SUMIFS(评分与用量!$E$2:$E$634,评分与用量!$A$2:$A$634,$B$2,评分与用量!$B$2:$B$634,"第一轮",评分与用量!$C$2:$C$634,"S分项",评分与用量!$J$2:$J$634,"F2"))</f>
        <v>3</v>
      </c>
      <c r="L17" s="77">
        <f>IF(COUNTIFS(评分与用量!$A$2:$A$634,$B$2,评分与用量!$B$2:$B$634,"第二轮",评分与用量!$C$2:$C$634,"S分项",评分与用量!$J$2:$J$634,"F2")=0,"",SUMIFS(评分与用量!$E$2:$E$634,评分与用量!$A$2:$A$634,$B$2,评分与用量!$B$2:$B$634,"第二轮",评分与用量!$C$2:$C$634,"S分项",评分与用量!$J$2:$J$634,"F2"))</f>
        <v>3</v>
      </c>
      <c r="M17" s="78" t="str">
        <f>IF(OR(K17="",L17=""),"",IF(L17-K17=0,"0",IF(L17-K17&gt;0,"+","-")&amp;IF(MOD(ABS(L17-K17),1)=0,TEXT(ABS(L17-K17),"0"),TEXT(ABS(L17-K17),"0.##"))))</f>
        <v>0</v>
      </c>
    </row>
    <row r="18" spans="1:13" ht="22.05" customHeight="1">
      <c r="A18" s="76" t="s">
        <v>3616</v>
      </c>
      <c r="B18" s="76" t="s">
        <v>3718</v>
      </c>
      <c r="C18" s="77">
        <v>5</v>
      </c>
      <c r="D18" s="77">
        <f>IF(COUNTIFS(评分与用量!$A$2:$A$634,$B$2,评分与用量!$B$2:$B$634,"第一轮",评分与用量!$C$2:$C$634,"S分项",评分与用量!$J$2:$J$634,"C3")=0,"",SUMIFS(评分与用量!$E$2:$E$634,评分与用量!$A$2:$A$634,$B$2,评分与用量!$B$2:$B$634,"第一轮",评分与用量!$C$2:$C$634,"S分项",评分与用量!$J$2:$J$634,"C3"))</f>
        <v>1.25</v>
      </c>
      <c r="E18" s="77">
        <f>IF(COUNTIFS(评分与用量!$A$2:$A$634,$B$2,评分与用量!$B$2:$B$634,"第二轮",评分与用量!$C$2:$C$634,"S分项",评分与用量!$J$2:$J$634,"C3")=0,"",SUMIFS(评分与用量!$E$2:$E$634,评分与用量!$A$2:$A$634,$B$2,评分与用量!$B$2:$B$634,"第二轮",评分与用量!$C$2:$C$634,"S分项",评分与用量!$J$2:$J$634,"C3"))</f>
        <v>5</v>
      </c>
      <c r="F18" s="78" t="str">
        <f>IF(OR(D18="",E18=""),"",IF(E18-D18=0,"0",IF(E18-D18&gt;0,"+","-")&amp;IF(MOD(ABS(E18-D18),1)=0,TEXT(ABS(E18-D18),"0"),TEXT(ABS(E18-D18),"0.##"))))</f>
        <v>+3.75</v>
      </c>
      <c r="G18" s="47"/>
      <c r="H18" s="76" t="s">
        <v>3719</v>
      </c>
      <c r="I18" s="76" t="s">
        <v>3720</v>
      </c>
      <c r="J18" s="77">
        <v>2</v>
      </c>
      <c r="K18" s="77">
        <f>IF(COUNTIFS(评分与用量!$A$2:$A$634,$B$2,评分与用量!$B$2:$B$634,"第一轮",评分与用量!$C$2:$C$634,"S分项",评分与用量!$J$2:$J$634,"F3")=0,"",SUMIFS(评分与用量!$E$2:$E$634,评分与用量!$A$2:$A$634,$B$2,评分与用量!$B$2:$B$634,"第一轮",评分与用量!$C$2:$C$634,"S分项",评分与用量!$J$2:$J$634,"F3"))</f>
        <v>2</v>
      </c>
      <c r="L18" s="77">
        <f>IF(COUNTIFS(评分与用量!$A$2:$A$634,$B$2,评分与用量!$B$2:$B$634,"第二轮",评分与用量!$C$2:$C$634,"S分项",评分与用量!$J$2:$J$634,"F3")=0,"",SUMIFS(评分与用量!$E$2:$E$634,评分与用量!$A$2:$A$634,$B$2,评分与用量!$B$2:$B$634,"第二轮",评分与用量!$C$2:$C$634,"S分项",评分与用量!$J$2:$J$634,"F3"))</f>
        <v>2</v>
      </c>
      <c r="M18" s="78" t="str">
        <f>IF(OR(K18="",L18=""),"",IF(L18-K18=0,"0",IF(L18-K18&gt;0,"+","-")&amp;IF(MOD(ABS(L18-K18),1)=0,TEXT(ABS(L18-K18),"0"),TEXT(ABS(L18-K18),"0.##"))))</f>
        <v>0</v>
      </c>
    </row>
    <row r="19" spans="1:13" ht="22.05" customHeight="1">
      <c r="A19" s="76" t="s">
        <v>3617</v>
      </c>
      <c r="B19" s="76" t="s">
        <v>3721</v>
      </c>
      <c r="C19" s="77">
        <v>4</v>
      </c>
      <c r="D19" s="77">
        <f>IF(COUNTIFS(评分与用量!$A$2:$A$634,$B$2,评分与用量!$B$2:$B$634,"第一轮",评分与用量!$C$2:$C$634,"S分项",评分与用量!$J$2:$J$634,"C4")=0,"",SUMIFS(评分与用量!$E$2:$E$634,评分与用量!$A$2:$A$634,$B$2,评分与用量!$B$2:$B$634,"第一轮",评分与用量!$C$2:$C$634,"S分项",评分与用量!$J$2:$J$634,"C4"))</f>
        <v>4</v>
      </c>
      <c r="E19" s="77">
        <f>IF(COUNTIFS(评分与用量!$A$2:$A$634,$B$2,评分与用量!$B$2:$B$634,"第二轮",评分与用量!$C$2:$C$634,"S分项",评分与用量!$J$2:$J$634,"C4")=0,"",SUMIFS(评分与用量!$E$2:$E$634,评分与用量!$A$2:$A$634,$B$2,评分与用量!$B$2:$B$634,"第二轮",评分与用量!$C$2:$C$634,"S分项",评分与用量!$J$2:$J$634,"C4"))</f>
        <v>4</v>
      </c>
      <c r="F19" s="78" t="str">
        <f>IF(OR(D19="",E19=""),"",IF(E19-D19=0,"0",IF(E19-D19&gt;0,"+","-")&amp;IF(MOD(ABS(E19-D19),1)=0,TEXT(ABS(E19-D19),"0"),TEXT(ABS(E19-D19),"0.##"))))</f>
        <v>0</v>
      </c>
      <c r="G19" s="47"/>
      <c r="H19" s="76" t="s">
        <v>3722</v>
      </c>
      <c r="I19" s="76" t="s">
        <v>3723</v>
      </c>
      <c r="J19" s="77">
        <v>2</v>
      </c>
      <c r="K19" s="77">
        <f>IF(COUNTIFS(评分与用量!$A$2:$A$634,$B$2,评分与用量!$B$2:$B$634,"第一轮",评分与用量!$C$2:$C$634,"S分项",评分与用量!$J$2:$J$634,"F4")=0,"",SUMIFS(评分与用量!$E$2:$E$634,评分与用量!$A$2:$A$634,$B$2,评分与用量!$B$2:$B$634,"第一轮",评分与用量!$C$2:$C$634,"S分项",评分与用量!$J$2:$J$634,"F4"))</f>
        <v>2</v>
      </c>
      <c r="L19" s="77">
        <f>IF(COUNTIFS(评分与用量!$A$2:$A$634,$B$2,评分与用量!$B$2:$B$634,"第二轮",评分与用量!$C$2:$C$634,"S分项",评分与用量!$J$2:$J$634,"F4")=0,"",SUMIFS(评分与用量!$E$2:$E$634,评分与用量!$A$2:$A$634,$B$2,评分与用量!$B$2:$B$634,"第二轮",评分与用量!$C$2:$C$634,"S分项",评分与用量!$J$2:$J$634,"F4"))</f>
        <v>2</v>
      </c>
      <c r="M19" s="78" t="str">
        <f>IF(OR(K19="",L19=""),"",IF(L19-K19=0,"0",IF(L19-K19&gt;0,"+","-")&amp;IF(MOD(ABS(L19-K19),1)=0,TEXT(ABS(L19-K19),"0"),TEXT(ABS(L19-K19),"0.##"))))</f>
        <v>0</v>
      </c>
    </row>
    <row r="20" spans="1:13" ht="22.05" customHeight="1">
      <c r="A20" s="76" t="s">
        <v>3618</v>
      </c>
      <c r="B20" s="76" t="s">
        <v>3724</v>
      </c>
      <c r="C20" s="77">
        <v>3</v>
      </c>
      <c r="D20" s="77">
        <f>IF(COUNTIFS(评分与用量!$A$2:$A$634,$B$2,评分与用量!$B$2:$B$634,"第一轮",评分与用量!$C$2:$C$634,"S分项",评分与用量!$J$2:$J$634,"C5")=0,"",SUMIFS(评分与用量!$E$2:$E$634,评分与用量!$A$2:$A$634,$B$2,评分与用量!$B$2:$B$634,"第一轮",评分与用量!$C$2:$C$634,"S分项",评分与用量!$J$2:$J$634,"C5"))</f>
        <v>3</v>
      </c>
      <c r="E20" s="77">
        <f>IF(COUNTIFS(评分与用量!$A$2:$A$634,$B$2,评分与用量!$B$2:$B$634,"第二轮",评分与用量!$C$2:$C$634,"S分项",评分与用量!$J$2:$J$634,"C5")=0,"",SUMIFS(评分与用量!$E$2:$E$634,评分与用量!$A$2:$A$634,$B$2,评分与用量!$B$2:$B$634,"第二轮",评分与用量!$C$2:$C$634,"S分项",评分与用量!$J$2:$J$634,"C5"))</f>
        <v>3</v>
      </c>
      <c r="F20" s="78" t="str">
        <f>IF(OR(D20="",E20=""),"",IF(E20-D20=0,"0",IF(E20-D20&gt;0,"+","-")&amp;IF(MOD(ABS(E20-D20),1)=0,TEXT(ABS(E20-D20),"0"),TEXT(ABS(E20-D20),"0.##"))))</f>
        <v>0</v>
      </c>
      <c r="G20" s="47"/>
      <c r="H20" s="51"/>
      <c r="I20" s="49"/>
      <c r="J20" s="52"/>
      <c r="K20" s="50"/>
      <c r="L20" s="50"/>
      <c r="M20" s="53"/>
    </row>
    <row r="21" spans="1:13" ht="22.05" customHeight="1">
      <c r="A21" s="47"/>
      <c r="B21" s="47"/>
      <c r="C21" s="48"/>
      <c r="D21" s="48"/>
      <c r="E21" s="48"/>
      <c r="F21" s="48"/>
      <c r="G21" s="47"/>
      <c r="H21" s="47"/>
      <c r="I21" s="47"/>
      <c r="J21" s="48"/>
      <c r="K21" s="48"/>
      <c r="L21" s="48"/>
      <c r="M21" s="48"/>
    </row>
    <row r="22" spans="1:13" ht="22.05" customHeight="1">
      <c r="A22" s="144" t="s">
        <v>3725</v>
      </c>
      <c r="B22" s="144"/>
      <c r="C22" s="80">
        <v>100</v>
      </c>
      <c r="D22" s="80">
        <f>IF(COUNTIFS(评分与用量!$A$2:$A$634,$B$2,评分与用量!$B$2:$B$634,"第一轮",评分与用量!$C$2:$C$634,"S分项")=0,"",SUMIFS(评分与用量!$E$2:$E$634,评分与用量!$A$2:$A$634,$B$2,评分与用量!$B$2:$B$634,"第一轮",评分与用量!$C$2:$C$634,"S分项"))</f>
        <v>88</v>
      </c>
      <c r="E22" s="80">
        <f>IF(COUNTIFS(评分与用量!$A$2:$A$634,$B$2,评分与用量!$B$2:$B$634,"第二轮",评分与用量!$C$2:$C$634,"S分项")=0,"",SUMIFS(评分与用量!$E$2:$E$634,评分与用量!$A$2:$A$634,$B$2,评分与用量!$B$2:$B$634,"第二轮",评分与用量!$C$2:$C$634,"S分项"))</f>
        <v>98.5</v>
      </c>
      <c r="F22" s="81" t="str">
        <f>IF(OR(D22="",E22=""),"",IF(E22-D22=0,"0",IF(E22-D22&gt;0,"+","-")&amp;IF(MOD(ABS(E22-D22),1)=0,TEXT(ABS(E22-D22),"0"),TEXT(ABS(E22-D22),"0.##"))))</f>
        <v>+10.5</v>
      </c>
      <c r="G22" s="47"/>
      <c r="H22" s="144" t="s">
        <v>3726</v>
      </c>
      <c r="I22" s="144"/>
      <c r="J22" s="80">
        <v>25</v>
      </c>
      <c r="K22" s="80">
        <f>IF(COUNTIFS(评分与用量!$A$2:$A$634,$B$2,评分与用量!$B$2:$B$634,"第一轮",评分与用量!$C$2:$C$634,"S分项")=0,"",COUNTIFS(评分与用量!$A$2:$A$634,$B$2,评分与用量!$B$2:$B$634,"第一轮",评分与用量!$C$2:$C$634,"S分项"))</f>
        <v>25</v>
      </c>
      <c r="L22" s="80">
        <f>IF(COUNTIFS(评分与用量!$A$2:$A$634,$B$2,评分与用量!$B$2:$B$634,"第二轮",评分与用量!$C$2:$C$634,"S分项")=0,"",COUNTIFS(评分与用量!$A$2:$A$634,$B$2,评分与用量!$B$2:$B$634,"第二轮",评分与用量!$C$2:$C$634,"S分项"))</f>
        <v>25</v>
      </c>
      <c r="M22" s="81" t="str">
        <f>IF(OR(K22="",L22=""),"",IF(L22-K22=0,"0",IF(L22-K22&gt;0,"+","-")&amp;IF(MOD(ABS(L22-K22),1)=0,TEXT(ABS(L22-K22),"0"),TEXT(ABS(L22-K22),"0.##"))))</f>
        <v>0</v>
      </c>
    </row>
    <row r="23" spans="1:13" ht="19.9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</row>
    <row r="24" spans="1:13" ht="19.95" customHeight="1">
      <c r="A24" s="93" t="s">
        <v>3727</v>
      </c>
      <c r="B24" s="93"/>
      <c r="C24" s="93"/>
      <c r="D24" s="93"/>
      <c r="E24" s="93"/>
      <c r="F24" s="93"/>
      <c r="G24" s="145"/>
      <c r="H24" s="93"/>
      <c r="I24" s="93"/>
      <c r="J24" s="93"/>
      <c r="K24" s="93"/>
      <c r="L24" s="93"/>
      <c r="M24" s="93"/>
    </row>
    <row r="25" spans="1:13" ht="19.95" customHeight="1">
      <c r="A25" s="145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</row>
  </sheetData>
  <mergeCells count="10">
    <mergeCell ref="A22:B22"/>
    <mergeCell ref="H22:I22"/>
    <mergeCell ref="A24:M25"/>
    <mergeCell ref="A1:M1"/>
    <mergeCell ref="A5:F5"/>
    <mergeCell ref="A10:F10"/>
    <mergeCell ref="A15:F15"/>
    <mergeCell ref="H5:M5"/>
    <mergeCell ref="H11:M11"/>
    <mergeCell ref="H15:M15"/>
  </mergeCells>
  <phoneticPr fontId="1" type="noConversion"/>
  <dataValidations count="1">
    <dataValidation type="list" showErrorMessage="1" errorTitle="请选择列表中的 AI" error="请使用下拉列表选择 AI。" sqref="B2" xr:uid="{00000000-0002-0000-0100-000000000000}">
      <formula1>"GPT,Grok,DeepSeek,GLM,Qwen,Gemini,Claude,Kimi"</formula1>
    </dataValidation>
  </dataValidations>
  <pageMargins left="0.7" right="0.7" top="0.75" bottom="0.75" header="0.3" footer="0.3"/>
  <pageSetup paperSize="9" scale="6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96606-1BAD-4C1E-A825-DF0C07B7D721}">
  <sheetPr>
    <tabColor rgb="FF333B4C"/>
    <pageSetUpPr fitToPage="1"/>
  </sheetPr>
  <dimension ref="A1:AL80"/>
  <sheetViews>
    <sheetView showGridLines="0" showRowColHeaders="0" zoomScale="65" zoomScaleNormal="65" workbookViewId="0">
      <selection activeCell="S37" sqref="S37"/>
    </sheetView>
  </sheetViews>
  <sheetFormatPr defaultColWidth="0" defaultRowHeight="13.8"/>
  <cols>
    <col min="1" max="1" width="8.88671875" style="1" customWidth="1"/>
    <col min="2" max="22" width="12.33203125" style="1" customWidth="1"/>
    <col min="23" max="23" width="8.88671875" style="1" customWidth="1"/>
    <col min="24" max="16384" width="8.88671875" style="1" hidden="1"/>
  </cols>
  <sheetData>
    <row r="1" spans="1:38" ht="22.95" customHeight="1">
      <c r="A1" s="2"/>
      <c r="B1" s="99" t="s">
        <v>3728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3"/>
      <c r="R1" s="182" t="s">
        <v>3580</v>
      </c>
      <c r="S1" s="183"/>
      <c r="T1" s="183"/>
      <c r="U1" s="183"/>
      <c r="V1" s="149"/>
      <c r="W1" s="2"/>
      <c r="X1" s="3"/>
      <c r="Y1" s="3"/>
      <c r="Z1" s="3"/>
      <c r="AA1" s="3"/>
      <c r="AB1" s="3"/>
      <c r="AC1" s="3"/>
      <c r="AD1" s="3"/>
      <c r="AE1" s="3"/>
    </row>
    <row r="2" spans="1:38" ht="16.95" customHeight="1">
      <c r="A2" s="2"/>
      <c r="B2" s="101" t="s">
        <v>3579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2"/>
      <c r="X2" s="3"/>
      <c r="Y2" s="3"/>
      <c r="Z2" s="3"/>
      <c r="AA2" s="4">
        <f>IF(COUNTIFS(评分与用量!$A$2:$A$634,$C$3,评分与用量!$B$2:$B$634,$G$3,评分与用量!$C$2:$C$634,"S分项")=0,"",SUMIFS(评分与用量!$E$2:$E$634,评分与用量!$A$2:$A$634,$C$3,评分与用量!$B$2:$B$634,$G$3,评分与用量!$C$2:$C$634,"S分项"))</f>
        <v>98.5</v>
      </c>
      <c r="AB2" s="4">
        <f>IF(COUNTIFS(评分与用量!$A$2:$A$634,$C$3,评分与用量!$B$2:$B$634,IF($G$3="第一轮","第二轮","第一轮"),评分与用量!$C$2:$C$634,"S分项")=0,"",SUMIFS(评分与用量!$E$2:$E$634,评分与用量!$A$2:$A$634,$C$3,评分与用量!$B$2:$B$634,IF($G$3="第一轮","第二轮","第一轮"),评分与用量!$C$2:$C$634,"S分项"))</f>
        <v>88</v>
      </c>
      <c r="AC2" s="3"/>
      <c r="AD2" s="3"/>
      <c r="AE2" s="3"/>
    </row>
    <row r="3" spans="1:38" ht="19.95" customHeight="1">
      <c r="A3" s="2"/>
      <c r="B3" s="6" t="s">
        <v>0</v>
      </c>
      <c r="C3" s="108" t="s">
        <v>4744</v>
      </c>
      <c r="D3" s="109"/>
      <c r="E3" s="6" t="s">
        <v>3601</v>
      </c>
      <c r="F3" s="6" t="s">
        <v>2</v>
      </c>
      <c r="G3" s="108" t="s">
        <v>35</v>
      </c>
      <c r="H3" s="109"/>
      <c r="I3" s="6" t="s">
        <v>3601</v>
      </c>
      <c r="J3" s="103" t="str">
        <f>IF(COUNTIFS(运行记录!$A$2:$A$16,$C$3,运行记录!$B$2:$B$16,$G$3)=0,"未运行",INDEX(运行记录!$E$2:$E$16,SUMPRODUCT((运行记录!$A$2:$A$16=$C$3)*(运行记录!$B$2:$B$16=$G$3)*(ROW(运行记录!$A$2:$A$16)-1))))&amp;" · "&amp;IF(COUNTIFS(运行记录!$A$2:$A$16,$C$3,运行记录!$B$2:$B$16,$G$3)=0,"未运行",INDEX(运行记录!$C$2:$C$16,SUMPRODUCT((运行记录!$A$2:$A$16=$C$3)*(运行记录!$B$2:$B$16=$G$3)*(ROW(运行记录!$A$2:$A$16)-1))))</f>
        <v>Codex · 已完成</v>
      </c>
      <c r="K3" s="104"/>
      <c r="L3" s="104"/>
      <c r="M3" s="104"/>
      <c r="N3" s="104"/>
      <c r="O3" s="104"/>
      <c r="P3" s="104"/>
      <c r="Q3" s="6"/>
      <c r="R3" s="6"/>
      <c r="S3" s="6"/>
      <c r="T3" s="6"/>
      <c r="U3" s="6"/>
      <c r="V3" s="6"/>
      <c r="W3" s="2"/>
      <c r="X3" s="3"/>
      <c r="Y3" s="3"/>
      <c r="Z3" s="3"/>
      <c r="AA3" s="4">
        <f>IF(SUMPRODUCT((运行记录!$A$2:$A$16=$C$3)*(运行记录!$B$2:$B$16=$G$3)*ISNUMBER(运行记录!$Q$2:$Q$16))=0,"",SUMIFS(运行记录!$Q$2:$Q$16,运行记录!$A$2:$A$16,$C$3,运行记录!$B$2:$B$16,$G$3))</f>
        <v>38.958407857600001</v>
      </c>
      <c r="AB3" s="4">
        <f>IF(SUMPRODUCT((运行记录!$A$2:$A$16=$C$3)*(运行记录!$B$2:$B$16=$G$3)*ISNUMBER(运行记录!$R$2:$R$16))=0,"",SUMIFS(运行记录!$R$2:$R$16,运行记录!$A$2:$A$16,$C$3,运行记录!$B$2:$B$16,$G$3))</f>
        <v>38.958407857600001</v>
      </c>
      <c r="AC3" s="3"/>
      <c r="AD3" s="3"/>
      <c r="AE3" s="3"/>
    </row>
    <row r="4" spans="1:38" ht="19.95" customHeight="1">
      <c r="A4" s="2"/>
      <c r="B4" s="126" t="s">
        <v>3729</v>
      </c>
      <c r="C4" s="127"/>
      <c r="D4" s="127"/>
      <c r="E4" s="128" t="s">
        <v>3730</v>
      </c>
      <c r="F4" s="129"/>
      <c r="G4" s="129"/>
      <c r="H4" s="130" t="s">
        <v>29</v>
      </c>
      <c r="I4" s="127"/>
      <c r="J4" s="127"/>
      <c r="K4" s="131" t="s">
        <v>3669</v>
      </c>
      <c r="L4" s="129"/>
      <c r="M4" s="129"/>
      <c r="N4" s="126" t="s">
        <v>24</v>
      </c>
      <c r="O4" s="127"/>
      <c r="P4" s="127"/>
      <c r="Q4" s="128" t="s">
        <v>5</v>
      </c>
      <c r="R4" s="129"/>
      <c r="S4" s="129"/>
      <c r="T4" s="130" t="s">
        <v>25</v>
      </c>
      <c r="U4" s="127"/>
      <c r="V4" s="167"/>
      <c r="W4" s="2"/>
      <c r="X4" s="3"/>
      <c r="Y4" s="3"/>
      <c r="Z4" s="3"/>
      <c r="AA4" s="3"/>
      <c r="AB4" s="3"/>
      <c r="AC4" s="3"/>
      <c r="AD4" s="3"/>
      <c r="AE4" s="3"/>
    </row>
    <row r="5" spans="1:38" ht="19.95" customHeight="1">
      <c r="A5" s="2"/>
      <c r="B5" s="168">
        <f>IF(AA2="","—",AA2)</f>
        <v>98.5</v>
      </c>
      <c r="C5" s="111"/>
      <c r="D5" s="111"/>
      <c r="E5" s="169">
        <f>IF(AB2="","—",AB2)</f>
        <v>88</v>
      </c>
      <c r="F5" s="170"/>
      <c r="G5" s="170"/>
      <c r="H5" s="173">
        <f>IF(SUMPRODUCT((运行记录!$A$2:$A$16=$C$3)*(运行记录!$B$2:$B$16=$G$3)*ISNUMBER(运行记录!$M$2:$M$16))=0,"—",SUMIFS(运行记录!$M$2:$M$16,运行记录!$A$2:$A$16,$C$3,运行记录!$B$2:$B$16,$G$3))</f>
        <v>17.781400000000001</v>
      </c>
      <c r="I5" s="111"/>
      <c r="J5" s="111"/>
      <c r="K5" s="175" t="str">
        <f>IF(OR(AA3="",AB3=""),"—",IF(ABS(AA3-AB3)&lt;0.005,TEXT(AA3,"0.00"),TEXT(AA3,"0.00")&amp;"–"&amp;TEXT(AB3,"0.00")))</f>
        <v>38.96</v>
      </c>
      <c r="L5" s="170"/>
      <c r="M5" s="170"/>
      <c r="N5" s="177">
        <f>IF(SUMPRODUCT((运行记录!$A$2:$A$16=$C$3)*(运行记录!$B$2:$B$16=$G$3)*ISNUMBER(运行记录!$P$2:$P$16))=0,"",SUMIFS(运行记录!$P$2:$P$16,运行记录!$A$2:$A$16,$C$3,运行记录!$B$2:$B$16,$G$3))</f>
        <v>3244918</v>
      </c>
      <c r="O5" s="111"/>
      <c r="P5" s="111"/>
      <c r="Q5" s="178">
        <f>IF(COUNTIFS(行为记录!$A$2:$A$816,$C$3,行为记录!$B$2:$B$816,$G$3,行为记录!$L$2:$L$816,"&lt;&gt;管理动作")=0,"",COUNTIFS(行为记录!$A$2:$A$816,$C$3,行为记录!$B$2:$B$816,$G$3,行为记录!$L$2:$L$816,"确认无收益")/(COUNTIFS(行为记录!$A$2:$A$816,$C$3,行为记录!$B$2:$B$816,$G$3,行为记录!$L$2:$L$816,"直接贡献交付")+COUNTIFS(行为记录!$A$2:$A$816,$C$3,行为记录!$B$2:$B$816,$G$3,行为记录!$L$2:$L$816,"必要探索")+COUNTIFS(行为记录!$A$2:$A$816,$C$3,行为记录!$B$2:$B$816,$G$3,行为记录!$L$2:$L$816,"确认无收益")))</f>
        <v>6.25E-2</v>
      </c>
      <c r="R5" s="170"/>
      <c r="S5" s="170"/>
      <c r="T5" s="179">
        <f>IF(COUNTIFS(评分与用量!$A$2:$A$623,$C$3,评分与用量!$B$2:$B$623,$G$3,评分与用量!$C$2:$C$623,"人工负担证据",评分与用量!$D$2:$D$623,"首交后需处理任务数")=0,"",SUMIFS(评分与用量!$E$2:$E$623,评分与用量!$A$2:$A$623,$C$3,评分与用量!$B$2:$B$623,$G$3,评分与用量!$C$2:$C$623,"人工负担证据",评分与用量!$D$2:$D$623,"首交后需处理任务数"))</f>
        <v>0</v>
      </c>
      <c r="U5" s="111"/>
      <c r="V5" s="180"/>
      <c r="W5" s="2"/>
      <c r="X5" s="3"/>
      <c r="Y5" s="3"/>
      <c r="Z5" s="3"/>
      <c r="AA5" s="3"/>
      <c r="AB5" s="3"/>
      <c r="AC5" s="3"/>
      <c r="AD5" s="3"/>
      <c r="AE5" s="3"/>
    </row>
    <row r="6" spans="1:38" ht="19.95" customHeight="1">
      <c r="A6" s="2"/>
      <c r="B6" s="112"/>
      <c r="C6" s="113"/>
      <c r="D6" s="113"/>
      <c r="E6" s="171"/>
      <c r="F6" s="172"/>
      <c r="G6" s="172"/>
      <c r="H6" s="174"/>
      <c r="I6" s="113"/>
      <c r="J6" s="113"/>
      <c r="K6" s="176"/>
      <c r="L6" s="172"/>
      <c r="M6" s="172"/>
      <c r="N6" s="112"/>
      <c r="O6" s="113"/>
      <c r="P6" s="113"/>
      <c r="Q6" s="171"/>
      <c r="R6" s="172"/>
      <c r="S6" s="172"/>
      <c r="T6" s="174"/>
      <c r="U6" s="113"/>
      <c r="V6" s="181"/>
      <c r="W6" s="2"/>
      <c r="X6" s="3"/>
      <c r="Y6" s="3"/>
      <c r="Z6" s="3"/>
      <c r="AA6" s="3"/>
      <c r="AB6" s="3"/>
      <c r="AC6" s="3"/>
      <c r="AD6" s="3"/>
      <c r="AE6" s="3"/>
    </row>
    <row r="7" spans="1:38" ht="16.95" customHeight="1">
      <c r="A7" s="2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2"/>
      <c r="X7" s="3"/>
      <c r="Y7" s="3"/>
      <c r="Z7" s="3"/>
      <c r="AA7" s="3" t="s">
        <v>3681</v>
      </c>
      <c r="AB7" s="68">
        <f>IF(COUNTIFS(评分与用量!$A$2:$A$634,$C$3,评分与用量!$B$2:$B$634,"第一轮",评分与用量!$C$2:$C$634,"S分项",评分与用量!$J$2:$J$634,"A*")=0,NA(),SUMIFS(评分与用量!$E$2:$E$634,评分与用量!$A$2:$A$634,$C$3,评分与用量!$B$2:$B$634,"第一轮",评分与用量!$C$2:$C$634,"S分项",评分与用量!$J$2:$J$634,"A*")/15)</f>
        <v>0.93333333333333335</v>
      </c>
      <c r="AC7" s="3"/>
      <c r="AD7" s="3" t="s">
        <v>3681</v>
      </c>
      <c r="AE7" s="68">
        <f>IF(COUNTIFS(评分与用量!$A$2:$A$634,$C$3,评分与用量!$B$2:$B$634,"第二轮",评分与用量!$C$2:$C$634,"S分项",评分与用量!$J$2:$J$634,"A*")=0,NA(),SUMIFS(评分与用量!$E$2:$E$634,评分与用量!$A$2:$A$634,$C$3,评分与用量!$B$2:$B$634,"第二轮",评分与用量!$C$2:$C$634,"S分项",评分与用量!$J$2:$J$634,"A*")/15)</f>
        <v>1</v>
      </c>
    </row>
    <row r="8" spans="1:38" ht="16.05" customHeight="1">
      <c r="A8" s="2"/>
      <c r="B8" s="19"/>
      <c r="C8" s="20"/>
      <c r="D8" s="20"/>
      <c r="E8" s="20"/>
      <c r="F8" s="20"/>
      <c r="G8" s="20"/>
      <c r="H8" s="21"/>
      <c r="I8" s="18"/>
      <c r="J8" s="19"/>
      <c r="K8" s="20"/>
      <c r="L8" s="20"/>
      <c r="M8" s="20"/>
      <c r="N8" s="20"/>
      <c r="O8" s="20"/>
      <c r="P8" s="21"/>
      <c r="Q8" s="18"/>
      <c r="R8" s="159" t="s">
        <v>3731</v>
      </c>
      <c r="S8" s="159"/>
      <c r="T8" s="159"/>
      <c r="U8" s="159"/>
      <c r="V8" s="159"/>
      <c r="W8" s="2"/>
      <c r="X8" s="3"/>
      <c r="Y8" s="3"/>
      <c r="Z8" s="3"/>
      <c r="AA8" s="3" t="s">
        <v>3585</v>
      </c>
      <c r="AB8" s="68">
        <f>IF(COUNTIFS(评分与用量!$A$2:$A$634,$C$3,评分与用量!$B$2:$B$634,"第一轮",评分与用量!$C$2:$C$634,"S分项",评分与用量!$J$2:$J$634,"B*")=0,NA(),SUMIFS(评分与用量!$E$2:$E$634,评分与用量!$A$2:$A$634,$C$3,评分与用量!$B$2:$B$634,"第一轮",评分与用量!$C$2:$C$634,"S分项",评分与用量!$J$2:$J$634,"B*")/20)</f>
        <v>1</v>
      </c>
      <c r="AC8" s="3"/>
      <c r="AD8" s="3" t="s">
        <v>3585</v>
      </c>
      <c r="AE8" s="68">
        <f>IF(COUNTIFS(评分与用量!$A$2:$A$634,$C$3,评分与用量!$B$2:$B$634,"第二轮",评分与用量!$C$2:$C$634,"S分项",评分与用量!$J$2:$J$634,"B*")=0,NA(),SUMIFS(评分与用量!$E$2:$E$634,评分与用量!$A$2:$A$634,$C$3,评分与用量!$B$2:$B$634,"第二轮",评分与用量!$C$2:$C$634,"S分项",评分与用量!$J$2:$J$634,"B*")/20)</f>
        <v>1</v>
      </c>
      <c r="AH8" s="159" t="s">
        <v>26</v>
      </c>
      <c r="AI8" s="159"/>
      <c r="AJ8" s="159"/>
      <c r="AK8" s="159"/>
      <c r="AL8" s="159"/>
    </row>
    <row r="9" spans="1:38" ht="16.05" customHeight="1">
      <c r="A9" s="2"/>
      <c r="B9" s="22"/>
      <c r="C9" s="18"/>
      <c r="D9" s="18"/>
      <c r="E9" s="18"/>
      <c r="F9" s="18"/>
      <c r="G9" s="18"/>
      <c r="H9" s="23"/>
      <c r="I9" s="18"/>
      <c r="J9" s="22"/>
      <c r="K9" s="18"/>
      <c r="L9" s="18"/>
      <c r="M9" s="18"/>
      <c r="N9" s="18"/>
      <c r="O9" s="18"/>
      <c r="P9" s="23"/>
      <c r="Q9" s="18"/>
      <c r="R9" s="196" t="s">
        <v>3732</v>
      </c>
      <c r="S9" s="196"/>
      <c r="T9" s="196" t="s">
        <v>3594</v>
      </c>
      <c r="U9" s="196"/>
      <c r="V9" s="196"/>
      <c r="W9" s="2"/>
      <c r="X9" s="3"/>
      <c r="Y9" s="3"/>
      <c r="Z9" s="3"/>
      <c r="AA9" s="3" t="s">
        <v>3683</v>
      </c>
      <c r="AB9" s="68">
        <f>IF(COUNTIFS(评分与用量!$A$2:$A$634,$C$3,评分与用量!$B$2:$B$634,"第一轮",评分与用量!$C$2:$C$634,"S分项",评分与用量!$J$2:$J$634,"C*")=0,NA(),SUMIFS(评分与用量!$E$2:$E$634,评分与用量!$A$2:$A$634,$C$3,评分与用量!$B$2:$B$634,"第一轮",评分与用量!$C$2:$C$634,"S分项",评分与用量!$J$2:$J$634,"C*")/20)</f>
        <v>0.71250000000000002</v>
      </c>
      <c r="AC9" s="3"/>
      <c r="AD9" s="3" t="s">
        <v>3683</v>
      </c>
      <c r="AE9" s="68">
        <f>IF(COUNTIFS(评分与用量!$A$2:$A$634,$C$3,评分与用量!$B$2:$B$634,"第二轮",评分与用量!$C$2:$C$634,"S分项",评分与用量!$J$2:$J$634,"C*")=0,NA(),SUMIFS(评分与用量!$E$2:$E$634,评分与用量!$A$2:$A$634,$C$3,评分与用量!$B$2:$B$634,"第二轮",评分与用量!$C$2:$C$634,"S分项",评分与用量!$J$2:$J$634,"C*")/20)</f>
        <v>1</v>
      </c>
      <c r="AH9" s="155" t="s">
        <v>6</v>
      </c>
      <c r="AI9" s="155"/>
      <c r="AJ9" s="155"/>
      <c r="AK9" s="161">
        <f>IF(COUNTIFS(评分与用量!$A$2:$A$623,$C$3,评分与用量!$B$2:$B$623,$G$3,评分与用量!$C$2:$C$623,"Token用量",评分与用量!$D$2:$D$623,"未缓存输入Token")=0,"",SUMIFS(评分与用量!$E$2:$E$623,评分与用量!$A$2:$A$623,$C$3,评分与用量!$B$2:$B$623,$G$3,评分与用量!$C$2:$C$623,"Token用量",评分与用量!$D$2:$D$623,"未缓存输入Token"))</f>
        <v>142815</v>
      </c>
      <c r="AL9" s="162"/>
    </row>
    <row r="10" spans="1:38" ht="16.05" customHeight="1">
      <c r="A10" s="2"/>
      <c r="B10" s="22"/>
      <c r="C10" s="18"/>
      <c r="D10" s="18"/>
      <c r="E10" s="18"/>
      <c r="F10" s="18"/>
      <c r="G10" s="18"/>
      <c r="H10" s="23"/>
      <c r="I10" s="18"/>
      <c r="J10" s="22"/>
      <c r="K10" s="18"/>
      <c r="L10" s="18"/>
      <c r="M10" s="18"/>
      <c r="N10" s="18"/>
      <c r="O10" s="18"/>
      <c r="P10" s="23"/>
      <c r="Q10" s="18"/>
      <c r="R10" s="196" t="s">
        <v>5</v>
      </c>
      <c r="S10" s="196"/>
      <c r="T10" s="196" t="s">
        <v>3595</v>
      </c>
      <c r="U10" s="196"/>
      <c r="V10" s="196"/>
      <c r="W10" s="2"/>
      <c r="X10" s="3"/>
      <c r="Y10" s="3"/>
      <c r="Z10" s="3"/>
      <c r="AA10" s="3" t="s">
        <v>3686</v>
      </c>
      <c r="AB10" s="68">
        <f>IF(COUNTIFS(评分与用量!$A$2:$A$634,$C$3,评分与用量!$B$2:$B$634,"第一轮",评分与用量!$C$2:$C$634,"S分项",评分与用量!$J$2:$J$634,"D*")=0,NA(),SUMIFS(评分与用量!$E$2:$E$634,评分与用量!$A$2:$A$634,$C$3,评分与用量!$B$2:$B$634,"第一轮",评分与用量!$C$2:$C$634,"S分项",评分与用量!$J$2:$J$634,"D*")/25)</f>
        <v>0.79</v>
      </c>
      <c r="AC10" s="3"/>
      <c r="AD10" s="3" t="s">
        <v>3686</v>
      </c>
      <c r="AE10" s="68">
        <f>IF(COUNTIFS(评分与用量!$A$2:$A$634,$C$3,评分与用量!$B$2:$B$634,"第二轮",评分与用量!$C$2:$C$634,"S分项",评分与用量!$J$2:$J$634,"D*")=0,NA(),SUMIFS(评分与用量!$E$2:$E$634,评分与用量!$A$2:$A$634,$C$3,评分与用量!$B$2:$B$634,"第二轮",评分与用量!$C$2:$C$634,"S分项",评分与用量!$J$2:$J$634,"D*")/25)</f>
        <v>0.94</v>
      </c>
      <c r="AH10" s="155" t="s">
        <v>7</v>
      </c>
      <c r="AI10" s="155"/>
      <c r="AJ10" s="155"/>
      <c r="AK10" s="163">
        <f>IF(COUNTIFS(评分与用量!$A$2:$A$623,$C$3,评分与用量!$B$2:$B$623,$G$3,评分与用量!$C$2:$C$623,"Token用量",评分与用量!$D$2:$D$623,"缓存读取Token")=0,"",SUMIFS(评分与用量!$E$2:$E$623,评分与用量!$A$2:$A$623,$C$3,评分与用量!$B$2:$B$623,$G$3,评分与用量!$C$2:$C$623,"Token用量",评分与用量!$D$2:$D$623,"缓存读取Token"))</f>
        <v>3076992</v>
      </c>
      <c r="AL10" s="162"/>
    </row>
    <row r="11" spans="1:38" ht="16.05" customHeight="1">
      <c r="A11" s="2"/>
      <c r="B11" s="22"/>
      <c r="C11" s="18"/>
      <c r="D11" s="18"/>
      <c r="E11" s="18"/>
      <c r="F11" s="18"/>
      <c r="G11" s="18"/>
      <c r="H11" s="23"/>
      <c r="I11" s="18"/>
      <c r="J11" s="22"/>
      <c r="K11" s="18"/>
      <c r="L11" s="18"/>
      <c r="M11" s="18"/>
      <c r="N11" s="18"/>
      <c r="O11" s="18"/>
      <c r="P11" s="23"/>
      <c r="Q11" s="18"/>
      <c r="R11" s="196" t="s">
        <v>3596</v>
      </c>
      <c r="S11" s="196"/>
      <c r="T11" s="196" t="s">
        <v>3597</v>
      </c>
      <c r="U11" s="196"/>
      <c r="V11" s="196"/>
      <c r="W11" s="2"/>
      <c r="X11" s="3"/>
      <c r="Y11" s="3"/>
      <c r="Z11" s="3"/>
      <c r="AA11" s="3" t="s">
        <v>3687</v>
      </c>
      <c r="AB11" s="68">
        <f>IF(COUNTIFS(评分与用量!$A$2:$A$634,$C$3,评分与用量!$B$2:$B$634,"第一轮",评分与用量!$C$2:$C$634,"S分项",评分与用量!$J$2:$J$634,"E*")=0,NA(),SUMIFS(评分与用量!$E$2:$E$634,评分与用量!$A$2:$A$634,$C$3,评分与用量!$B$2:$B$634,"第一轮",评分与用量!$C$2:$C$634,"S分项",评分与用量!$J$2:$J$634,"E*")/10)</f>
        <v>1</v>
      </c>
      <c r="AC11" s="3"/>
      <c r="AD11" s="3" t="s">
        <v>3687</v>
      </c>
      <c r="AE11" s="68">
        <f>IF(COUNTIFS(评分与用量!$A$2:$A$634,$C$3,评分与用量!$B$2:$B$634,"第二轮",评分与用量!$C$2:$C$634,"S分项",评分与用量!$J$2:$J$634,"E*")=0,NA(),SUMIFS(评分与用量!$E$2:$E$634,评分与用量!$A$2:$A$634,$C$3,评分与用量!$B$2:$B$634,"第二轮",评分与用量!$C$2:$C$634,"S分项",评分与用量!$J$2:$J$634,"E*")/10)</f>
        <v>1</v>
      </c>
      <c r="AH11" s="155" t="s">
        <v>8</v>
      </c>
      <c r="AI11" s="155"/>
      <c r="AJ11" s="155"/>
      <c r="AK11" s="164">
        <f>IF(COUNTIFS(评分与用量!$A$2:$A$623,$C$3,评分与用量!$B$2:$B$623,$G$3,评分与用量!$C$2:$C$623,"Token用量",评分与用量!$D$2:$D$623,"缓存写入Token")=0,"",SUMIFS(评分与用量!$E$2:$E$623,评分与用量!$A$2:$A$623,$C$3,评分与用量!$B$2:$B$623,$G$3,评分与用量!$C$2:$C$623,"Token用量",评分与用量!$D$2:$D$623,"缓存写入Token"))</f>
        <v>0</v>
      </c>
      <c r="AL11" s="162"/>
    </row>
    <row r="12" spans="1:38" ht="16.05" customHeight="1">
      <c r="A12" s="2"/>
      <c r="B12" s="22"/>
      <c r="C12" s="18"/>
      <c r="D12" s="18"/>
      <c r="E12" s="18"/>
      <c r="F12" s="18"/>
      <c r="G12" s="18"/>
      <c r="H12" s="23"/>
      <c r="I12" s="18"/>
      <c r="J12" s="22"/>
      <c r="K12" s="18"/>
      <c r="L12" s="18"/>
      <c r="M12" s="18"/>
      <c r="N12" s="18"/>
      <c r="O12" s="18"/>
      <c r="P12" s="23"/>
      <c r="Q12" s="18"/>
      <c r="R12" s="196" t="s">
        <v>3598</v>
      </c>
      <c r="S12" s="196"/>
      <c r="T12" s="196" t="s">
        <v>3599</v>
      </c>
      <c r="U12" s="196"/>
      <c r="V12" s="196"/>
      <c r="W12" s="2"/>
      <c r="X12" s="3"/>
      <c r="Y12" s="3"/>
      <c r="Z12" s="3"/>
      <c r="AA12" s="3" t="s">
        <v>3690</v>
      </c>
      <c r="AB12" s="3">
        <f>IF(COUNTIFS(评分与用量!$A$2:$A$634,$C$3,评分与用量!$B$2:$B$634,"第一轮",评分与用量!$C$2:$C$634,"S分项",评分与用量!$J$2:$J$634,"F*")=0,NA(),SUMIFS(评分与用量!$E$2:$E$634,评分与用量!$A$2:$A$634,$C$3,评分与用量!$B$2:$B$634,"第一轮",评分与用量!$C$2:$C$634,"S分项",评分与用量!$J$2:$J$634,"F*")/10)</f>
        <v>1</v>
      </c>
      <c r="AC12" s="3"/>
      <c r="AD12" s="3" t="s">
        <v>3690</v>
      </c>
      <c r="AE12" s="3">
        <f>IF(COUNTIFS(评分与用量!$A$2:$A$634,$C$3,评分与用量!$B$2:$B$634,"第二轮",评分与用量!$C$2:$C$634,"S分项",评分与用量!$J$2:$J$634,"F*")=0,NA(),SUMIFS(评分与用量!$E$2:$E$634,评分与用量!$A$2:$A$634,$C$3,评分与用量!$B$2:$B$634,"第二轮",评分与用量!$C$2:$C$634,"S分项",评分与用量!$J$2:$J$634,"F*")/10)</f>
        <v>1</v>
      </c>
      <c r="AH12" s="155" t="s">
        <v>9</v>
      </c>
      <c r="AI12" s="155"/>
      <c r="AJ12" s="155"/>
      <c r="AK12" s="165">
        <f>IF(COUNTIFS(评分与用量!$A$2:$A$623,$C$3,评分与用量!$B$2:$B$623,$G$3,评分与用量!$C$2:$C$623,"Token用量",评分与用量!$D$2:$D$623,"输出Token")=0,"",SUMIFS(评分与用量!$E$2:$E$623,评分与用量!$A$2:$A$623,$C$3,评分与用量!$B$2:$B$623,$G$3,评分与用量!$C$2:$C$623,"Token用量",评分与用量!$D$2:$D$623,"输出Token"))</f>
        <v>25111</v>
      </c>
      <c r="AL12" s="162"/>
    </row>
    <row r="13" spans="1:38" ht="16.05" customHeight="1">
      <c r="A13" s="2"/>
      <c r="B13" s="22"/>
      <c r="C13" s="18"/>
      <c r="D13" s="18"/>
      <c r="E13" s="18"/>
      <c r="F13" s="18"/>
      <c r="G13" s="18"/>
      <c r="H13" s="23"/>
      <c r="I13" s="18"/>
      <c r="J13" s="22"/>
      <c r="K13" s="18"/>
      <c r="L13" s="18"/>
      <c r="M13" s="18"/>
      <c r="N13" s="18"/>
      <c r="O13" s="18"/>
      <c r="P13" s="23"/>
      <c r="Q13" s="18"/>
      <c r="W13" s="2"/>
      <c r="X13" s="3"/>
      <c r="Y13" s="3"/>
      <c r="Z13" s="3"/>
      <c r="AA13" s="3"/>
      <c r="AB13" s="3"/>
      <c r="AC13" s="3"/>
      <c r="AD13" s="3"/>
      <c r="AE13" s="3"/>
      <c r="AH13" s="18"/>
      <c r="AI13" s="18"/>
      <c r="AJ13" s="18"/>
      <c r="AK13" s="39"/>
      <c r="AL13" s="39"/>
    </row>
    <row r="14" spans="1:38" ht="18" customHeight="1">
      <c r="A14" s="2"/>
      <c r="B14" s="22"/>
      <c r="C14" s="18"/>
      <c r="D14" s="18"/>
      <c r="E14" s="18"/>
      <c r="F14" s="18"/>
      <c r="G14" s="18"/>
      <c r="H14" s="23"/>
      <c r="I14" s="18"/>
      <c r="J14" s="22"/>
      <c r="K14" s="18"/>
      <c r="L14" s="18"/>
      <c r="M14" s="18"/>
      <c r="N14" s="18"/>
      <c r="O14" s="18"/>
      <c r="P14" s="23"/>
      <c r="Q14" s="18"/>
      <c r="R14" s="197" t="s">
        <v>3658</v>
      </c>
      <c r="S14" s="198"/>
      <c r="T14" s="198"/>
      <c r="U14" s="198"/>
      <c r="V14" s="198"/>
      <c r="W14" s="2"/>
      <c r="X14" s="3"/>
      <c r="Y14" s="3"/>
      <c r="Z14" s="3"/>
      <c r="AA14" s="3"/>
      <c r="AB14" s="3"/>
      <c r="AC14" s="3"/>
      <c r="AD14" s="3"/>
      <c r="AE14" s="3"/>
      <c r="AH14" s="159" t="s">
        <v>27</v>
      </c>
      <c r="AI14" s="159"/>
      <c r="AJ14" s="159"/>
      <c r="AK14" s="159"/>
      <c r="AL14" s="159"/>
    </row>
    <row r="15" spans="1:38" ht="16.05" customHeight="1">
      <c r="A15" s="2"/>
      <c r="B15" s="22"/>
      <c r="C15" s="18"/>
      <c r="D15" s="18"/>
      <c r="E15" s="18"/>
      <c r="F15" s="18"/>
      <c r="G15" s="18"/>
      <c r="H15" s="23"/>
      <c r="I15" s="18"/>
      <c r="J15" s="22"/>
      <c r="K15" s="18"/>
      <c r="L15" s="18"/>
      <c r="M15" s="18"/>
      <c r="N15" s="18"/>
      <c r="O15" s="18"/>
      <c r="P15" s="23"/>
      <c r="Q15" s="18"/>
      <c r="R15" s="189" t="str">
        <f>IF(C3="Claude",IF(G3="第一轮","仅第一轮混合成品中可归属Claude的工作评分；接续工作不倒填。","未运行，评分留空。"),IF(C3="Kimi","未形成完整交付，评分留空。","六系统配对评分。"))</f>
        <v>六系统配对评分。</v>
      </c>
      <c r="S15" s="189"/>
      <c r="T15" s="189"/>
      <c r="U15" s="189"/>
      <c r="V15" s="189"/>
      <c r="W15" s="2"/>
      <c r="X15" s="3"/>
      <c r="Y15" s="3"/>
      <c r="Z15" s="3"/>
      <c r="AA15" s="3"/>
      <c r="AB15" s="3"/>
      <c r="AC15" s="3"/>
      <c r="AD15" s="3"/>
      <c r="AE15" s="3"/>
      <c r="AH15" s="155" t="s">
        <v>23</v>
      </c>
      <c r="AI15" s="155"/>
      <c r="AJ15" s="155"/>
      <c r="AK15" s="166">
        <f>IF(COUNTIFS(行为记录!$A$2:$A$816,$C$3,行为记录!$B$2:$B$816,$G$3)=0,"",COUNTIFS(行为记录!$A$2:$A$816,$C$3,行为记录!$B$2:$B$816,$G$3,行为记录!$L$2:$L$816,"直接贡献交付"))</f>
        <v>20</v>
      </c>
      <c r="AL15" s="157"/>
    </row>
    <row r="16" spans="1:38" ht="16.05" customHeight="1">
      <c r="A16" s="2"/>
      <c r="B16" s="22"/>
      <c r="C16" s="18"/>
      <c r="D16" s="18"/>
      <c r="E16" s="18"/>
      <c r="F16" s="18"/>
      <c r="G16" s="18"/>
      <c r="H16" s="23"/>
      <c r="I16" s="18"/>
      <c r="J16" s="22"/>
      <c r="K16" s="18"/>
      <c r="L16" s="18"/>
      <c r="M16" s="18"/>
      <c r="N16" s="18"/>
      <c r="O16" s="18"/>
      <c r="P16" s="23"/>
      <c r="Q16" s="18"/>
      <c r="R16" s="189"/>
      <c r="S16" s="189"/>
      <c r="T16" s="189"/>
      <c r="U16" s="189"/>
      <c r="V16" s="189"/>
      <c r="W16" s="2"/>
      <c r="X16" s="3"/>
      <c r="Y16" s="3"/>
      <c r="Z16" s="3"/>
      <c r="AA16" s="3"/>
      <c r="AB16" s="3"/>
      <c r="AC16" s="3"/>
      <c r="AD16" s="3"/>
      <c r="AE16" s="3"/>
      <c r="AH16" s="155" t="s">
        <v>10</v>
      </c>
      <c r="AI16" s="155"/>
      <c r="AJ16" s="155"/>
      <c r="AK16" s="160">
        <f>IF(COUNTIFS(行为记录!$A$2:$A$816,$C$3,行为记录!$B$2:$B$816,$G$3)=0,"",COUNTIFS(行为记录!$A$2:$A$816,$C$3,行为记录!$B$2:$B$816,$G$3,行为记录!$L$2:$L$816,"必要探索"))</f>
        <v>10</v>
      </c>
      <c r="AL16" s="157"/>
    </row>
    <row r="17" spans="1:38" ht="16.05" customHeight="1">
      <c r="A17" s="2"/>
      <c r="B17" s="22"/>
      <c r="C17" s="18"/>
      <c r="D17" s="18"/>
      <c r="E17" s="18"/>
      <c r="F17" s="18"/>
      <c r="G17" s="18"/>
      <c r="H17" s="23"/>
      <c r="I17" s="18"/>
      <c r="J17" s="22"/>
      <c r="K17" s="18"/>
      <c r="L17" s="18"/>
      <c r="M17" s="18"/>
      <c r="N17" s="18"/>
      <c r="O17" s="18"/>
      <c r="P17" s="23"/>
      <c r="Q17" s="18"/>
      <c r="R17" s="189" t="s">
        <v>4746</v>
      </c>
      <c r="S17" s="189"/>
      <c r="T17" s="189"/>
      <c r="U17" s="189"/>
      <c r="V17" s="189"/>
      <c r="W17" s="2"/>
      <c r="X17" s="3"/>
      <c r="Y17" s="3"/>
      <c r="Z17" s="3"/>
      <c r="AA17" s="3"/>
      <c r="AB17" s="3"/>
      <c r="AC17" s="3"/>
      <c r="AD17" s="3"/>
      <c r="AE17" s="3"/>
      <c r="AH17" s="155" t="s">
        <v>11</v>
      </c>
      <c r="AI17" s="155"/>
      <c r="AJ17" s="155"/>
      <c r="AK17" s="156">
        <f>IF(COUNTIFS(行为记录!$A$2:$A$816,$C$3,行为记录!$B$2:$B$816,$G$3)=0,"",COUNTIFS(行为记录!$A$2:$A$816,$C$3,行为记录!$B$2:$B$816,$G$3,行为记录!$L$2:$L$816,"管理动作"))</f>
        <v>4</v>
      </c>
      <c r="AL17" s="157"/>
    </row>
    <row r="18" spans="1:38" ht="16.05" customHeight="1">
      <c r="A18" s="2"/>
      <c r="B18" s="93" t="str">
        <f>IF(COUNT($AB$7:$AB$11)=0,"暂无分项记录","最低分项得分率  ·  "&amp;INDEX($AA$7:$AA$11,MATCH(MIN($AB$7:$AB$11),$AB$7:$AB$11,0))&amp;"  "&amp;TEXT(MIN($AB$7:$AB$11),"0%"))</f>
        <v>最低分项得分率  ·  调查深度与判断  71%</v>
      </c>
      <c r="C18" s="190"/>
      <c r="D18" s="190"/>
      <c r="E18" s="190"/>
      <c r="F18" s="190"/>
      <c r="G18" s="190"/>
      <c r="H18" s="190"/>
      <c r="I18" s="6"/>
      <c r="J18" s="93" t="str">
        <f>IF(COUNT($AE$7:$AE$11)=0,"暂无分项记录","最低分项得分率  ·  "&amp;INDEX($AD$7:$AD$11,MATCH(MIN($AE$7:$AE$11),$AE$7:$AE$11,0))&amp;"  "&amp;TEXT(MIN($AE$7:$AE$11),"0%"))</f>
        <v>最低分项得分率  ·  人工复现与维护  94%</v>
      </c>
      <c r="K18" s="190"/>
      <c r="L18" s="190"/>
      <c r="M18" s="190"/>
      <c r="N18" s="190"/>
      <c r="O18" s="190"/>
      <c r="P18" s="190"/>
      <c r="Q18" s="18"/>
      <c r="R18" s="189"/>
      <c r="S18" s="189"/>
      <c r="T18" s="189"/>
      <c r="U18" s="189"/>
      <c r="V18" s="189"/>
      <c r="W18" s="2"/>
      <c r="X18" s="3"/>
      <c r="Y18" s="3"/>
      <c r="Z18" s="3"/>
      <c r="AA18" s="3"/>
      <c r="AB18" s="3"/>
      <c r="AC18" s="3"/>
      <c r="AD18" s="3"/>
      <c r="AE18" s="3"/>
      <c r="AH18" s="155" t="s">
        <v>12</v>
      </c>
      <c r="AI18" s="155"/>
      <c r="AJ18" s="155"/>
      <c r="AK18" s="158">
        <f>IF(COUNTIFS(行为记录!$A$2:$A$816,$C$3,行为记录!$B$2:$B$816,$G$3)=0,"",COUNTIFS(行为记录!$A$2:$A$816,$C$3,行为记录!$B$2:$B$816,$G$3,行为记录!$L$2:$L$816,"确认无收益"))</f>
        <v>2</v>
      </c>
      <c r="AL18" s="157"/>
    </row>
    <row r="19" spans="1:38" ht="16.95" customHeight="1">
      <c r="A19" s="2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9"/>
      <c r="S19" s="189"/>
      <c r="T19" s="189"/>
      <c r="U19" s="189"/>
      <c r="V19" s="189"/>
      <c r="W19" s="2"/>
      <c r="X19" s="3"/>
      <c r="Y19" s="3"/>
      <c r="Z19" s="3"/>
      <c r="AA19" s="3"/>
      <c r="AB19" s="3"/>
      <c r="AC19" s="3"/>
      <c r="AD19" s="3"/>
      <c r="AE19" s="3"/>
    </row>
    <row r="20" spans="1:38" ht="16.95" customHeight="1">
      <c r="A20" s="2"/>
      <c r="B20" s="194" t="s">
        <v>28</v>
      </c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8"/>
      <c r="R20" s="18"/>
      <c r="S20" s="18"/>
      <c r="T20" s="18"/>
      <c r="U20" s="18"/>
      <c r="V20" s="18"/>
      <c r="W20" s="2"/>
      <c r="X20" s="3"/>
      <c r="Y20" s="3"/>
      <c r="Z20" s="3"/>
      <c r="AA20" s="3"/>
      <c r="AB20" s="3"/>
      <c r="AC20" s="3"/>
      <c r="AD20" s="3"/>
      <c r="AE20" s="3"/>
    </row>
    <row r="21" spans="1:38" ht="22.05" customHeight="1">
      <c r="A21" s="2"/>
      <c r="B21" s="195" t="s">
        <v>22</v>
      </c>
      <c r="C21" s="195"/>
      <c r="D21" s="195" t="s">
        <v>19</v>
      </c>
      <c r="E21" s="195"/>
      <c r="F21" s="195"/>
      <c r="G21" s="195"/>
      <c r="H21" s="195"/>
      <c r="I21" s="195" t="s">
        <v>3</v>
      </c>
      <c r="J21" s="195"/>
      <c r="K21" s="195"/>
      <c r="L21" s="195"/>
      <c r="M21" s="195" t="s">
        <v>33</v>
      </c>
      <c r="N21" s="195"/>
      <c r="O21" s="195"/>
      <c r="P21" s="195"/>
      <c r="Q21" s="18"/>
      <c r="R21" s="18"/>
      <c r="S21" s="18"/>
      <c r="T21" s="18"/>
      <c r="U21" s="18"/>
      <c r="V21" s="18"/>
      <c r="W21" s="2"/>
      <c r="X21" s="3"/>
      <c r="Y21" s="3"/>
      <c r="Z21" s="3"/>
      <c r="AA21" s="3"/>
      <c r="AB21" s="3"/>
      <c r="AC21" s="3"/>
      <c r="AD21" s="3"/>
      <c r="AE21" s="3"/>
    </row>
    <row r="22" spans="1:38" ht="22.05" customHeight="1">
      <c r="A22" s="2"/>
      <c r="B22" s="98" t="s">
        <v>3725</v>
      </c>
      <c r="C22" s="98"/>
      <c r="D22" s="191" t="str">
        <f>IF((IF(COUNTIFS(评分与用量!$A$2:$A$634,$C$3,评分与用量!$B$2:$B$634,"第一轮",评分与用量!$C$2:$C$634,"S分项")=0,"",SUMIFS(评分与用量!$E$2:$E$634,评分与用量!$A$2:$A$634,$C$3,评分与用量!$B$2:$B$634,"第一轮",评分与用量!$C$2:$C$634,"S分项")))="","",IF(MOD(ABS((IF(COUNTIFS(评分与用量!$A$2:$A$634,$C$3,评分与用量!$B$2:$B$634,"第一轮",评分与用量!$C$2:$C$634,"S分项")=0,"",SUMIFS(评分与用量!$E$2:$E$634,评分与用量!$A$2:$A$634,$C$3,评分与用量!$B$2:$B$634,"第一轮",评分与用量!$C$2:$C$634,"S分项")))),1)=0,TEXT((IF(COUNTIFS(评分与用量!$A$2:$A$634,$C$3,评分与用量!$B$2:$B$634,"第一轮",评分与用量!$C$2:$C$634,"S分项")=0,"",SUMIFS(评分与用量!$E$2:$E$634,评分与用量!$A$2:$A$634,$C$3,评分与用量!$B$2:$B$634,"第一轮",评分与用量!$C$2:$C$634,"S分项"))),"0"),TEXT((IF(COUNTIFS(评分与用量!$A$2:$A$634,$C$3,评分与用量!$B$2:$B$634,"第一轮",评分与用量!$C$2:$C$634,"S分项")=0,"",SUMIFS(评分与用量!$E$2:$E$634,评分与用量!$A$2:$A$634,$C$3,评分与用量!$B$2:$B$634,"第一轮",评分与用量!$C$2:$C$634,"S分项"))),"0.##")))</f>
        <v>88</v>
      </c>
      <c r="E22" s="192"/>
      <c r="F22" s="192"/>
      <c r="G22" s="192"/>
      <c r="H22" s="192"/>
      <c r="I22" s="191" t="str">
        <f>IF((IF(COUNTIFS(评分与用量!$A$2:$A$634,$C$3,评分与用量!$B$2:$B$634,"第二轮",评分与用量!$C$2:$C$634,"S分项")=0,"",SUMIFS(评分与用量!$E$2:$E$634,评分与用量!$A$2:$A$634,$C$3,评分与用量!$B$2:$B$634,"第二轮",评分与用量!$C$2:$C$634,"S分项")))="","",IF(MOD(ABS((IF(COUNTIFS(评分与用量!$A$2:$A$634,$C$3,评分与用量!$B$2:$B$634,"第二轮",评分与用量!$C$2:$C$634,"S分项")=0,"",SUMIFS(评分与用量!$E$2:$E$634,评分与用量!$A$2:$A$634,$C$3,评分与用量!$B$2:$B$634,"第二轮",评分与用量!$C$2:$C$634,"S分项")))),1)=0,TEXT((IF(COUNTIFS(评分与用量!$A$2:$A$634,$C$3,评分与用量!$B$2:$B$634,"第二轮",评分与用量!$C$2:$C$634,"S分项")=0,"",SUMIFS(评分与用量!$E$2:$E$634,评分与用量!$A$2:$A$634,$C$3,评分与用量!$B$2:$B$634,"第二轮",评分与用量!$C$2:$C$634,"S分项"))),"0"),TEXT((IF(COUNTIFS(评分与用量!$A$2:$A$634,$C$3,评分与用量!$B$2:$B$634,"第二轮",评分与用量!$C$2:$C$634,"S分项")=0,"",SUMIFS(评分与用量!$E$2:$E$634,评分与用量!$A$2:$A$634,$C$3,评分与用量!$B$2:$B$634,"第二轮",评分与用量!$C$2:$C$634,"S分项"))),"0.##")))</f>
        <v>98.5</v>
      </c>
      <c r="J22" s="192"/>
      <c r="K22" s="192"/>
      <c r="L22" s="192"/>
      <c r="M22" s="191" t="str">
        <f>IF(OR(D22="",I22=""),"",IF(VALUE(I22)-VALUE(D22)=0,"0",IF(VALUE(I22)-VALUE(D22)&gt;0,"+","-")&amp;IF(MOD(ABS(VALUE(I22)-VALUE(D22)),1)=0,TEXT(ABS(VALUE(I22)-VALUE(D22)),"0"),TEXT(ABS(VALUE(I22)-VALUE(D22)),"0.##"))))</f>
        <v>+10.5</v>
      </c>
      <c r="N22" s="192"/>
      <c r="O22" s="192"/>
      <c r="P22" s="192"/>
      <c r="Q22" s="18"/>
      <c r="R22" s="18"/>
      <c r="S22" s="18"/>
      <c r="T22" s="18"/>
      <c r="U22" s="18"/>
      <c r="V22" s="18"/>
      <c r="W22" s="2"/>
      <c r="X22" s="3"/>
      <c r="Y22" s="3"/>
      <c r="Z22" s="3"/>
      <c r="AA22" s="3"/>
      <c r="AB22" s="3"/>
      <c r="AC22" s="3"/>
      <c r="AD22" s="3"/>
      <c r="AE22" s="3"/>
    </row>
    <row r="23" spans="1:38" ht="22.05" customHeight="1">
      <c r="A23" s="2"/>
      <c r="B23" s="98" t="s">
        <v>3733</v>
      </c>
      <c r="C23" s="98"/>
      <c r="D23" s="191">
        <f>IF(COUNTIFS(评分与用量!$A$2:$A$634,$C$3,评分与用量!$B$2:$B$634,"第一轮",评分与用量!$C$2:$C$634,"S分项")=0,"",COUNTIFS(评分与用量!$A$2:$A$634,$C$3,评分与用量!$B$2:$B$634,"第一轮",评分与用量!$C$2:$C$634,"S分项"))</f>
        <v>25</v>
      </c>
      <c r="E23" s="192"/>
      <c r="F23" s="192"/>
      <c r="G23" s="192"/>
      <c r="H23" s="192"/>
      <c r="I23" s="191">
        <f>IF(COUNTIFS(评分与用量!$A$2:$A$634,$C$3,评分与用量!$B$2:$B$634,"第二轮",评分与用量!$C$2:$C$634,"S分项")=0,"",COUNTIFS(评分与用量!$A$2:$A$634,$C$3,评分与用量!$B$2:$B$634,"第二轮",评分与用量!$C$2:$C$634,"S分项"))</f>
        <v>25</v>
      </c>
      <c r="J23" s="192"/>
      <c r="K23" s="192"/>
      <c r="L23" s="192"/>
      <c r="M23" s="191">
        <f>IF(OR(D23="",I23=""),"",I23-D23)</f>
        <v>0</v>
      </c>
      <c r="N23" s="192"/>
      <c r="O23" s="192"/>
      <c r="P23" s="192"/>
      <c r="Q23" s="18"/>
      <c r="R23" s="18"/>
      <c r="S23" s="18"/>
      <c r="T23" s="18"/>
      <c r="U23" s="18"/>
      <c r="V23" s="18"/>
      <c r="W23" s="2"/>
      <c r="X23" s="3"/>
      <c r="Y23" s="3"/>
      <c r="Z23" s="3"/>
      <c r="AA23" s="3"/>
      <c r="AB23" s="3"/>
      <c r="AC23" s="3"/>
      <c r="AD23" s="3"/>
      <c r="AE23" s="3"/>
    </row>
    <row r="24" spans="1:38" ht="22.05" customHeight="1">
      <c r="A24" s="2"/>
      <c r="B24" s="98" t="s">
        <v>29</v>
      </c>
      <c r="C24" s="98"/>
      <c r="D24" s="193">
        <f>IF(SUMPRODUCT((运行记录!$A$2:$A$16=$C$3)*(运行记录!$B$2:$B$16="第一轮")*ISNUMBER(运行记录!$M$2:$M$16))=0,"",SUMIFS(运行记录!$M$2:$M$16,运行记录!$A$2:$A$16,$C$3,运行记录!$B$2:$B$16,"第一轮"))</f>
        <v>14.6128</v>
      </c>
      <c r="E24" s="192"/>
      <c r="F24" s="192"/>
      <c r="G24" s="192"/>
      <c r="H24" s="192"/>
      <c r="I24" s="193">
        <f>IF(SUMPRODUCT((运行记录!$A$2:$A$16=$C$3)*(运行记录!$B$2:$B$16="第二轮")*ISNUMBER(运行记录!$M$2:$M$16))=0,"",SUMIFS(运行记录!$M$2:$M$16,运行记录!$A$2:$A$16,$C$3,运行记录!$B$2:$B$16,"第二轮"))</f>
        <v>17.781400000000001</v>
      </c>
      <c r="J24" s="192"/>
      <c r="K24" s="192"/>
      <c r="L24" s="192"/>
      <c r="M24" s="193">
        <f>IF(OR(D24="",I24=""),"—",I24-D24)</f>
        <v>3.1686000000000014</v>
      </c>
      <c r="N24" s="192"/>
      <c r="O24" s="192"/>
      <c r="P24" s="192"/>
      <c r="Q24" s="18"/>
      <c r="R24" s="18"/>
      <c r="S24" s="18"/>
      <c r="T24" s="18"/>
      <c r="U24" s="18"/>
      <c r="V24" s="18"/>
      <c r="W24" s="2"/>
      <c r="X24" s="3"/>
      <c r="Y24" s="3"/>
      <c r="Z24" s="3"/>
      <c r="AA24" s="3"/>
      <c r="AB24" s="3"/>
      <c r="AC24" s="3"/>
      <c r="AD24" s="3"/>
      <c r="AE24" s="3"/>
    </row>
    <row r="25" spans="1:38" ht="16.95" customHeight="1">
      <c r="A25" s="2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2"/>
      <c r="X25" s="3"/>
      <c r="Y25" s="3"/>
      <c r="Z25" s="3"/>
      <c r="AA25" s="3"/>
      <c r="AB25" s="3"/>
      <c r="AC25" s="3"/>
      <c r="AD25" s="3"/>
      <c r="AE25" s="3"/>
    </row>
    <row r="26" spans="1:38" ht="30" customHeight="1">
      <c r="A26" s="2"/>
      <c r="B26" s="92" t="s">
        <v>3591</v>
      </c>
      <c r="C26" s="92"/>
      <c r="D26" s="92"/>
      <c r="E26" s="190" t="s">
        <v>4745</v>
      </c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2"/>
      <c r="X26" s="3"/>
      <c r="Y26" s="3"/>
      <c r="Z26" s="3"/>
      <c r="AA26" s="3"/>
      <c r="AB26" s="3"/>
      <c r="AC26" s="3"/>
      <c r="AD26" s="3"/>
      <c r="AE26" s="3"/>
    </row>
    <row r="27" spans="1:38" ht="7.95" customHeight="1">
      <c r="A27" s="2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 s="2"/>
      <c r="X27" s="3"/>
      <c r="Y27" s="3"/>
      <c r="Z27" s="3"/>
      <c r="AA27" s="3"/>
      <c r="AB27" s="3"/>
      <c r="AC27" s="3"/>
      <c r="AD27" s="3"/>
      <c r="AE27" s="3"/>
    </row>
    <row r="28" spans="1:38" ht="7.95" customHeight="1">
      <c r="A28" s="5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5"/>
      <c r="X28" s="3"/>
      <c r="Y28" s="3"/>
      <c r="Z28" s="3"/>
      <c r="AA28" s="3"/>
      <c r="AB28" s="3"/>
      <c r="AC28" s="3"/>
      <c r="AD28" s="3"/>
      <c r="AE28" s="3"/>
    </row>
    <row r="29" spans="1:38" ht="22.05" customHeight="1">
      <c r="A29" s="5"/>
      <c r="B29" s="150" t="str">
        <f>IF(COUNT(AK9:AK12)=0,"Token 构成  ·  无记录","Token 构成  ·  "&amp;TEXT(SUM(AK9:AK12),"#,##0"))</f>
        <v>Token 构成  ·  3,244,918</v>
      </c>
      <c r="C29" s="150"/>
      <c r="D29" s="150"/>
      <c r="E29" s="150"/>
      <c r="F29" s="150"/>
      <c r="G29" s="150"/>
      <c r="H29" s="150"/>
      <c r="I29" s="17"/>
      <c r="J29" s="150" t="str">
        <f>IF(COUNT(AK15:AK18)=0,"动作构成  ·  无记录","动作构成  ·  "&amp;TEXT(SUM(AK15:AK18),"0")&amp;" 次")</f>
        <v>动作构成  ·  36 次</v>
      </c>
      <c r="K29" s="150"/>
      <c r="L29" s="150"/>
      <c r="M29" s="150"/>
      <c r="N29" s="150"/>
      <c r="O29" s="150"/>
      <c r="P29" s="184"/>
      <c r="Q29" s="42"/>
      <c r="R29" s="149" t="s">
        <v>3659</v>
      </c>
      <c r="S29" s="150"/>
      <c r="T29" s="150"/>
      <c r="U29" s="150"/>
      <c r="V29" s="150"/>
      <c r="W29" s="5"/>
      <c r="X29" s="3"/>
      <c r="Y29" s="3"/>
      <c r="Z29" s="3"/>
      <c r="AA29" s="3"/>
      <c r="AB29" s="3"/>
      <c r="AC29" s="3"/>
      <c r="AD29" s="3"/>
      <c r="AE29" s="3"/>
    </row>
    <row r="30" spans="1:38" ht="22.05" customHeight="1">
      <c r="A30" s="5"/>
      <c r="B30" s="148" t="s">
        <v>6</v>
      </c>
      <c r="C30" s="148"/>
      <c r="D30" s="148"/>
      <c r="E30" s="40">
        <f>IF(COUNT($AK$9:$AK$12)=0,"",IFERROR(AK9/SUM($AK$9:$AK$12),0))</f>
        <v>4.4011897989409902E-2</v>
      </c>
      <c r="F30" s="187">
        <f>IF(ISNUMBER(AK9),AK9,"")</f>
        <v>142815</v>
      </c>
      <c r="G30" s="152"/>
      <c r="H30" s="152"/>
      <c r="I30" s="17"/>
      <c r="J30" s="148" t="s">
        <v>23</v>
      </c>
      <c r="K30" s="148"/>
      <c r="L30" s="148"/>
      <c r="M30" s="41">
        <f>IF(COUNT($AK$15:$AK$18)=0,"",IFERROR(AK15/SUM($AK$15:$AK$18),0))</f>
        <v>0.55555555555555558</v>
      </c>
      <c r="N30" s="188">
        <f>IF(ISNUMBER(AK15),AK15,"")</f>
        <v>20</v>
      </c>
      <c r="O30" s="152"/>
      <c r="P30" s="152"/>
      <c r="Q30" s="42"/>
      <c r="R30" s="85" t="s">
        <v>3576</v>
      </c>
      <c r="S30" s="85"/>
      <c r="T30" s="85"/>
      <c r="U30" s="154">
        <f>IF(COUNT(AK9:AK12)=0,"",IFERROR(AK10/SUM(AK9:AK12),0))</f>
        <v>0.94824953974183634</v>
      </c>
      <c r="V30" s="154"/>
      <c r="W30" s="5"/>
      <c r="X30" s="3"/>
      <c r="Y30" s="3"/>
      <c r="Z30" s="3"/>
      <c r="AA30" s="3"/>
      <c r="AB30" s="3"/>
      <c r="AC30" s="3"/>
      <c r="AD30" s="3"/>
      <c r="AE30" s="3"/>
    </row>
    <row r="31" spans="1:38" ht="22.05" customHeight="1">
      <c r="A31" s="5"/>
      <c r="B31" s="148" t="s">
        <v>7</v>
      </c>
      <c r="C31" s="148"/>
      <c r="D31" s="148"/>
      <c r="E31" s="41">
        <f>IF(COUNT($AK$9:$AK$12)=0,"",IFERROR(AK10/SUM($AK$9:$AK$12),0))</f>
        <v>0.94824953974183634</v>
      </c>
      <c r="F31" s="188">
        <f>IF(ISNUMBER(AK10),AK10,"")</f>
        <v>3076992</v>
      </c>
      <c r="G31" s="152"/>
      <c r="H31" s="152"/>
      <c r="I31" s="17"/>
      <c r="J31" s="148" t="s">
        <v>10</v>
      </c>
      <c r="K31" s="148"/>
      <c r="L31" s="148"/>
      <c r="M31" s="43">
        <f>IF(COUNT($AK$15:$AK$18)=0,"",IFERROR(AK16/SUM($AK$15:$AK$18),0))</f>
        <v>0.27777777777777779</v>
      </c>
      <c r="N31" s="153">
        <f>IF(ISNUMBER(AK16),AK16,"")</f>
        <v>10</v>
      </c>
      <c r="O31" s="152"/>
      <c r="P31" s="152"/>
      <c r="Q31" s="42"/>
      <c r="R31" s="85" t="s">
        <v>3577</v>
      </c>
      <c r="S31" s="85"/>
      <c r="T31" s="85"/>
      <c r="U31" s="154">
        <f>IF(COUNT(AK15:AK18)=0,"",IFERROR(SUM(AK15:AK16)/SUM(AK15:AK18),0))</f>
        <v>0.83333333333333337</v>
      </c>
      <c r="V31" s="154"/>
      <c r="W31" s="5"/>
      <c r="X31" s="3"/>
      <c r="Y31" s="3"/>
      <c r="Z31" s="3"/>
      <c r="AA31" s="3"/>
      <c r="AB31" s="3"/>
      <c r="AC31" s="3"/>
      <c r="AD31" s="3"/>
      <c r="AE31" s="3"/>
    </row>
    <row r="32" spans="1:38" ht="22.05" customHeight="1">
      <c r="A32" s="5"/>
      <c r="B32" s="148" t="s">
        <v>8</v>
      </c>
      <c r="C32" s="148"/>
      <c r="D32" s="148"/>
      <c r="E32" s="44">
        <f>IF(COUNT($AK$9:$AK$12)=0,"",IFERROR(AK11/SUM($AK$9:$AK$12),0))</f>
        <v>0</v>
      </c>
      <c r="F32" s="186">
        <f>IF(ISNUMBER(AK11),AK11,"")</f>
        <v>0</v>
      </c>
      <c r="G32" s="152"/>
      <c r="H32" s="152"/>
      <c r="I32" s="17"/>
      <c r="J32" s="148" t="s">
        <v>11</v>
      </c>
      <c r="K32" s="148"/>
      <c r="L32" s="148"/>
      <c r="M32" s="45">
        <f>IF(COUNT($AK$15:$AK$18)=0,"",IFERROR(AK17/SUM($AK$15:$AK$18),0))</f>
        <v>0.1111111111111111</v>
      </c>
      <c r="N32" s="151">
        <f>IF(ISNUMBER(AK17),AK17,"")</f>
        <v>4</v>
      </c>
      <c r="O32" s="152"/>
      <c r="P32" s="152"/>
      <c r="Q32" s="42"/>
      <c r="R32" s="85" t="s">
        <v>3578</v>
      </c>
      <c r="S32" s="85"/>
      <c r="T32" s="85"/>
      <c r="U32" s="154">
        <f>IF(COUNT(AK15:AK18)=0,"",IFERROR(AK18/SUM(AK15:AK18),0))</f>
        <v>5.5555555555555552E-2</v>
      </c>
      <c r="V32" s="154"/>
      <c r="W32" s="5"/>
      <c r="X32" s="3"/>
      <c r="Y32" s="3"/>
      <c r="Z32" s="3"/>
      <c r="AA32" s="3"/>
      <c r="AB32" s="3"/>
      <c r="AC32" s="3"/>
      <c r="AD32" s="3"/>
      <c r="AE32" s="3"/>
    </row>
    <row r="33" spans="1:31" ht="22.05" customHeight="1">
      <c r="A33" s="3"/>
      <c r="B33" s="148" t="s">
        <v>9</v>
      </c>
      <c r="C33" s="148"/>
      <c r="D33" s="148"/>
      <c r="E33" s="46">
        <f>IF(COUNT($AK$9:$AK$12)=0,"",IFERROR(AK12/SUM($AK$9:$AK$12),0))</f>
        <v>7.7385622687537866E-3</v>
      </c>
      <c r="F33" s="185">
        <f>IF(ISNUMBER(AK12),AK12,"")</f>
        <v>25111</v>
      </c>
      <c r="G33" s="152"/>
      <c r="H33" s="152"/>
      <c r="I33" s="17"/>
      <c r="J33" s="148" t="s">
        <v>12</v>
      </c>
      <c r="K33" s="148"/>
      <c r="L33" s="148"/>
      <c r="M33" s="44">
        <f>IF(COUNT($AK$15:$AK$18)=0,"",IFERROR(AK18/SUM($AK$15:$AK$18),0))</f>
        <v>5.5555555555555552E-2</v>
      </c>
      <c r="N33" s="186">
        <f>IF(ISNUMBER(AK18),AK18,"")</f>
        <v>2</v>
      </c>
      <c r="O33" s="152"/>
      <c r="P33" s="152"/>
      <c r="Q33" s="42"/>
      <c r="R33" s="85" t="s">
        <v>3600</v>
      </c>
      <c r="S33" s="85"/>
      <c r="T33" s="85"/>
      <c r="U33" s="85"/>
      <c r="V33" s="85"/>
      <c r="W33" s="3"/>
      <c r="X33" s="3"/>
      <c r="Y33" s="3"/>
      <c r="Z33" s="3"/>
      <c r="AA33" s="3"/>
      <c r="AB33" s="3"/>
      <c r="AC33" s="3"/>
      <c r="AD33" s="3"/>
      <c r="AE33" s="3"/>
    </row>
    <row r="34" spans="1:31" ht="16.95" customHeight="1">
      <c r="A34" s="3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42"/>
      <c r="R34" s="17"/>
      <c r="S34" s="17"/>
      <c r="T34" s="17"/>
      <c r="U34" s="17"/>
      <c r="V34" s="17"/>
      <c r="W34" s="3"/>
      <c r="X34" s="3"/>
      <c r="Y34" s="3"/>
      <c r="Z34" s="3"/>
      <c r="AA34" s="3"/>
      <c r="AB34" s="3"/>
      <c r="AC34" s="3"/>
      <c r="AD34" s="3"/>
      <c r="AE34" s="3"/>
    </row>
    <row r="35" spans="1:31" ht="16.95" customHeight="1">
      <c r="A35" s="3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42"/>
      <c r="R35" s="17"/>
      <c r="S35" s="17"/>
      <c r="T35" s="17"/>
      <c r="U35" s="17"/>
      <c r="V35" s="17"/>
      <c r="W35" s="3"/>
      <c r="X35" s="3"/>
      <c r="Y35" s="3"/>
      <c r="Z35" s="3"/>
      <c r="AA35" s="3"/>
      <c r="AB35" s="3"/>
      <c r="AC35" s="3"/>
      <c r="AD35" s="3"/>
      <c r="AE35" s="3"/>
    </row>
    <row r="36" spans="1:31" ht="16.95" customHeight="1">
      <c r="A36" s="3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42"/>
      <c r="R36" s="17"/>
      <c r="S36" s="17"/>
      <c r="T36" s="17"/>
      <c r="U36" s="17"/>
      <c r="V36" s="17"/>
      <c r="W36" s="3"/>
      <c r="X36" s="3"/>
      <c r="Y36" s="3"/>
      <c r="Z36" s="3"/>
      <c r="AA36" s="3"/>
      <c r="AB36" s="3"/>
      <c r="AC36" s="3"/>
      <c r="AD36" s="3"/>
      <c r="AE36" s="3"/>
    </row>
    <row r="37" spans="1:31" ht="16.95" customHeight="1">
      <c r="A37" s="3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3"/>
      <c r="X37" s="3"/>
      <c r="Y37" s="3"/>
      <c r="Z37" s="3"/>
      <c r="AA37" s="3"/>
      <c r="AB37" s="3"/>
      <c r="AC37" s="3"/>
      <c r="AD37" s="3"/>
      <c r="AE37" s="3"/>
    </row>
    <row r="38" spans="1:31" ht="16.95" customHeight="1">
      <c r="A38" s="3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3"/>
      <c r="X38" s="3"/>
      <c r="Y38" s="3"/>
      <c r="Z38" s="3"/>
      <c r="AA38" s="3"/>
      <c r="AB38" s="3"/>
      <c r="AC38" s="3"/>
      <c r="AD38" s="3"/>
      <c r="AE38" s="3"/>
    </row>
    <row r="39" spans="1:31" ht="16.95" customHeight="1">
      <c r="A39" s="3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3"/>
      <c r="X39" s="3"/>
      <c r="Y39" s="3"/>
      <c r="Z39" s="3"/>
      <c r="AA39" s="3"/>
      <c r="AB39" s="3"/>
      <c r="AC39" s="3"/>
      <c r="AD39" s="3"/>
      <c r="AE39" s="3"/>
    </row>
    <row r="40" spans="1:31" ht="16.95" customHeight="1">
      <c r="A40" s="3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3"/>
      <c r="X40" s="3"/>
      <c r="Y40" s="3"/>
      <c r="Z40" s="3"/>
      <c r="AA40" s="3"/>
      <c r="AB40" s="3"/>
      <c r="AC40" s="3"/>
      <c r="AD40" s="3"/>
      <c r="AE40" s="3"/>
    </row>
    <row r="41" spans="1:31" ht="16.95" customHeight="1">
      <c r="A41" s="3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3"/>
      <c r="X41" s="3"/>
      <c r="Y41" s="3"/>
      <c r="Z41" s="3"/>
      <c r="AA41" s="3"/>
      <c r="AB41" s="3"/>
      <c r="AC41" s="3"/>
      <c r="AD41" s="3"/>
      <c r="AE41" s="3"/>
    </row>
    <row r="42" spans="1:31" ht="16.0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16.0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ht="16.0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16.0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ht="16.0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ht="16.0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ht="16.0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ht="16.0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ht="16.0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ht="16.0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ht="16.0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ht="16.0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ht="16.0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ht="16.0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ht="16.0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ht="16.0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ht="16.0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ht="16.0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ht="16.0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ht="16.0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ht="16.0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ht="16.0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ht="16.0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ht="16.0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ht="16.0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ht="16.0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ht="16.0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ht="16.0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ht="16.0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ht="16.0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ht="16.0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ht="16.0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ht="16.0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ht="16.0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ht="16.0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ht="16.0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ht="16.0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ht="16.0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ht="16.0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</sheetData>
  <mergeCells count="97">
    <mergeCell ref="R17:V19"/>
    <mergeCell ref="B26:D26"/>
    <mergeCell ref="E26:V26"/>
    <mergeCell ref="R9:S9"/>
    <mergeCell ref="T9:V9"/>
    <mergeCell ref="R10:S10"/>
    <mergeCell ref="T10:V10"/>
    <mergeCell ref="R11:S11"/>
    <mergeCell ref="T11:V11"/>
    <mergeCell ref="R12:S12"/>
    <mergeCell ref="T12:V12"/>
    <mergeCell ref="B22:C22"/>
    <mergeCell ref="B23:C23"/>
    <mergeCell ref="D23:H23"/>
    <mergeCell ref="I23:L23"/>
    <mergeCell ref="R14:V14"/>
    <mergeCell ref="R15:V16"/>
    <mergeCell ref="B18:H18"/>
    <mergeCell ref="J18:P18"/>
    <mergeCell ref="M23:P23"/>
    <mergeCell ref="D24:H24"/>
    <mergeCell ref="I24:L24"/>
    <mergeCell ref="M24:P24"/>
    <mergeCell ref="B20:P20"/>
    <mergeCell ref="D21:H21"/>
    <mergeCell ref="I21:L21"/>
    <mergeCell ref="M21:P21"/>
    <mergeCell ref="D22:H22"/>
    <mergeCell ref="I22:L22"/>
    <mergeCell ref="M22:P22"/>
    <mergeCell ref="B24:C24"/>
    <mergeCell ref="B21:C21"/>
    <mergeCell ref="R33:V33"/>
    <mergeCell ref="B29:H29"/>
    <mergeCell ref="J29:P29"/>
    <mergeCell ref="B33:D33"/>
    <mergeCell ref="J33:L33"/>
    <mergeCell ref="F33:H33"/>
    <mergeCell ref="N33:P33"/>
    <mergeCell ref="B30:D30"/>
    <mergeCell ref="J30:L30"/>
    <mergeCell ref="F30:H30"/>
    <mergeCell ref="N30:P30"/>
    <mergeCell ref="B31:D31"/>
    <mergeCell ref="J31:L31"/>
    <mergeCell ref="F32:H32"/>
    <mergeCell ref="F31:H31"/>
    <mergeCell ref="B32:D32"/>
    <mergeCell ref="Q4:S4"/>
    <mergeCell ref="C3:D3"/>
    <mergeCell ref="G3:H3"/>
    <mergeCell ref="B1:P1"/>
    <mergeCell ref="R1:V1"/>
    <mergeCell ref="B2:V2"/>
    <mergeCell ref="J3:P3"/>
    <mergeCell ref="AH14:AL14"/>
    <mergeCell ref="AH15:AJ15"/>
    <mergeCell ref="AK15:AL15"/>
    <mergeCell ref="T4:V4"/>
    <mergeCell ref="B5:D6"/>
    <mergeCell ref="E5:G6"/>
    <mergeCell ref="H5:J6"/>
    <mergeCell ref="K5:M6"/>
    <mergeCell ref="N5:P6"/>
    <mergeCell ref="Q5:S6"/>
    <mergeCell ref="T5:V6"/>
    <mergeCell ref="B4:D4"/>
    <mergeCell ref="E4:G4"/>
    <mergeCell ref="H4:J4"/>
    <mergeCell ref="K4:M4"/>
    <mergeCell ref="N4:P4"/>
    <mergeCell ref="AH17:AJ17"/>
    <mergeCell ref="AK17:AL17"/>
    <mergeCell ref="AH18:AJ18"/>
    <mergeCell ref="AK18:AL18"/>
    <mergeCell ref="R8:V8"/>
    <mergeCell ref="AH16:AJ16"/>
    <mergeCell ref="AK16:AL16"/>
    <mergeCell ref="AH8:AL8"/>
    <mergeCell ref="AH9:AJ9"/>
    <mergeCell ref="AK9:AL9"/>
    <mergeCell ref="AH10:AJ10"/>
    <mergeCell ref="AK10:AL10"/>
    <mergeCell ref="AH11:AJ11"/>
    <mergeCell ref="AK11:AL11"/>
    <mergeCell ref="AH12:AJ12"/>
    <mergeCell ref="AK12:AL12"/>
    <mergeCell ref="J32:L32"/>
    <mergeCell ref="R29:V29"/>
    <mergeCell ref="N32:P32"/>
    <mergeCell ref="N31:P31"/>
    <mergeCell ref="R30:T30"/>
    <mergeCell ref="U30:V30"/>
    <mergeCell ref="R31:T31"/>
    <mergeCell ref="U31:V31"/>
    <mergeCell ref="R32:T32"/>
    <mergeCell ref="U32:V32"/>
  </mergeCells>
  <phoneticPr fontId="1" type="noConversion"/>
  <dataValidations count="2">
    <dataValidation type="list" allowBlank="1" showInputMessage="1" showErrorMessage="1" sqref="C3" xr:uid="{D720B1E2-1D64-47F2-8408-47DF17185435}">
      <formula1>"GPT,Grok,DeepSeek,GLM,Qwen,Gemini,Kimi,Claude"</formula1>
    </dataValidation>
    <dataValidation type="list" allowBlank="1" showInputMessage="1" showErrorMessage="1" sqref="G3" xr:uid="{40B529E7-502B-4447-9D47-809C0A937232}">
      <formula1>"第一轮,第二轮"</formula1>
    </dataValidation>
  </dataValidations>
  <hyperlinks>
    <hyperlink ref="R1" location="'评测总览'!B2" tooltip="查看全部 AI" display="返回评测总览  ›" xr:uid="{2F874858-5DE3-4748-A49E-B9A3D08F966C}"/>
  </hyperlinks>
  <printOptions horizontalCentered="1"/>
  <pageMargins left="0.25" right="0.25" top="0.25" bottom="0.25" header="0.3" footer="0.3"/>
  <pageSetup paperSize="8" scale="7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2D452-4C42-4F5A-9033-DA8BC052602B}">
  <sheetPr>
    <pageSetUpPr fitToPage="1"/>
  </sheetPr>
  <dimension ref="A1:H17"/>
  <sheetViews>
    <sheetView showGridLines="0" showRowColHeaders="0" zoomScale="90" zoomScaleNormal="90" workbookViewId="0">
      <selection activeCell="B3" sqref="B3"/>
    </sheetView>
  </sheetViews>
  <sheetFormatPr defaultRowHeight="14.4"/>
  <cols>
    <col min="1" max="1" width="24.77734375" customWidth="1"/>
    <col min="2" max="7" width="13.77734375" customWidth="1"/>
    <col min="8" max="8" width="24.77734375" customWidth="1"/>
  </cols>
  <sheetData>
    <row r="1" spans="1:8" ht="22.95" customHeight="1">
      <c r="A1" s="146" t="s">
        <v>4747</v>
      </c>
      <c r="B1" s="146"/>
      <c r="C1" s="146"/>
      <c r="D1" s="146"/>
      <c r="E1" s="146"/>
      <c r="F1" s="146"/>
      <c r="G1" s="146"/>
      <c r="H1" s="146"/>
    </row>
    <row r="3" spans="1:8" ht="22.05" customHeight="1">
      <c r="A3" s="72" t="s">
        <v>4748</v>
      </c>
      <c r="B3" s="73" t="s">
        <v>3</v>
      </c>
      <c r="E3" s="72" t="s">
        <v>4749</v>
      </c>
      <c r="F3" s="73" t="s">
        <v>4750</v>
      </c>
    </row>
    <row r="5" spans="1:8" ht="36" customHeight="1">
      <c r="A5" s="74" t="s">
        <v>0</v>
      </c>
      <c r="B5" s="75" t="s">
        <v>3734</v>
      </c>
      <c r="C5" s="75" t="s">
        <v>3735</v>
      </c>
      <c r="D5" s="75" t="s">
        <v>3736</v>
      </c>
      <c r="E5" s="75" t="s">
        <v>3737</v>
      </c>
      <c r="F5" s="75" t="s">
        <v>3738</v>
      </c>
      <c r="G5" s="75" t="s">
        <v>3739</v>
      </c>
      <c r="H5" s="75" t="s">
        <v>3740</v>
      </c>
    </row>
    <row r="6" spans="1:8" ht="22.05" customHeight="1">
      <c r="A6" s="76" t="s">
        <v>1</v>
      </c>
      <c r="B6" s="77">
        <f>IF((IF($B$3="第一轮",IF(COUNTIFS(评分与用量!$A$2:$A$634,$A6,评分与用量!$B$2:$B$634,"第一轮",评分与用量!$C$2:$C$634,"S分项",评分与用量!$J$2:$J$634,"A*")=0,"",SUMIFS(评分与用量!$E$2:$E$634,评分与用量!$A$2:$A$634,$A6,评分与用量!$B$2:$B$634,"第一轮",评分与用量!$C$2:$C$634,"S分项",评分与用量!$J$2:$J$634,"A*")),IF($B$3="第二轮",IF(COUNTIFS(评分与用量!$A$2:$A$634,$A6,评分与用量!$B$2:$B$634,"第二轮",评分与用量!$C$2:$C$634,"S分项",评分与用量!$J$2:$J$634,"A*")=0,"",SUMIFS(评分与用量!$E$2:$E$634,评分与用量!$A$2:$A$634,$A6,评分与用量!$B$2:$B$634,"第二轮",评分与用量!$C$2:$C$634,"S分项",评分与用量!$J$2:$J$634,"A*")),IF(OR(IF(COUNTIFS(评分与用量!$A$2:$A$634,$A6,评分与用量!$B$2:$B$634,"第一轮",评分与用量!$C$2:$C$634,"S分项",评分与用量!$J$2:$J$634,"A*")=0,"",SUMIFS(评分与用量!$E$2:$E$634,评分与用量!$A$2:$A$634,$A6,评分与用量!$B$2:$B$634,"第一轮",评分与用量!$C$2:$C$634,"S分项",评分与用量!$J$2:$J$634,"A*"))="",IF(COUNTIFS(评分与用量!$A$2:$A$634,$A6,评分与用量!$B$2:$B$634,"第二轮",评分与用量!$C$2:$C$634,"S分项",评分与用量!$J$2:$J$634,"A*")=0,"",SUMIFS(评分与用量!$E$2:$E$634,评分与用量!$A$2:$A$634,$A6,评分与用量!$B$2:$B$634,"第二轮",评分与用量!$C$2:$C$634,"S分项",评分与用量!$J$2:$J$634,"A*"))=""),"",(IF(COUNTIFS(评分与用量!$A$2:$A$634,$A6,评分与用量!$B$2:$B$634,"第二轮",评分与用量!$C$2:$C$634,"S分项",评分与用量!$J$2:$J$634,"A*")=0,"",SUMIFS(评分与用量!$E$2:$E$634,评分与用量!$A$2:$A$634,$A6,评分与用量!$B$2:$B$634,"第二轮",评分与用量!$C$2:$C$634,"S分项",评分与用量!$J$2:$J$634,"A*")))-(IF(COUNTIFS(评分与用量!$A$2:$A$634,$A6,评分与用量!$B$2:$B$634,"第一轮",评分与用量!$C$2:$C$634,"S分项",评分与用量!$J$2:$J$634,"A*")=0,"",SUMIFS(评分与用量!$E$2:$E$634,评分与用量!$A$2:$A$634,$A6,评分与用量!$B$2:$B$634,"第一轮",评分与用量!$C$2:$C$634,"S分项",评分与用量!$J$2:$J$634,"A*")))))))="","",IF($F$3="得分率",TEXT((IF($B$3="第一轮",IF(COUNTIFS(评分与用量!$A$2:$A$634,$A6,评分与用量!$B$2:$B$634,"第一轮",评分与用量!$C$2:$C$634,"S分项",评分与用量!$J$2:$J$634,"A*")=0,"",SUMIFS(评分与用量!$E$2:$E$634,评分与用量!$A$2:$A$634,$A6,评分与用量!$B$2:$B$634,"第一轮",评分与用量!$C$2:$C$634,"S分项",评分与用量!$J$2:$J$634,"A*")),IF($B$3="第二轮",IF(COUNTIFS(评分与用量!$A$2:$A$634,$A6,评分与用量!$B$2:$B$634,"第二轮",评分与用量!$C$2:$C$634,"S分项",评分与用量!$J$2:$J$634,"A*")=0,"",SUMIFS(评分与用量!$E$2:$E$634,评分与用量!$A$2:$A$634,$A6,评分与用量!$B$2:$B$634,"第二轮",评分与用量!$C$2:$C$634,"S分项",评分与用量!$J$2:$J$634,"A*")),IF(OR(IF(COUNTIFS(评分与用量!$A$2:$A$634,$A6,评分与用量!$B$2:$B$634,"第一轮",评分与用量!$C$2:$C$634,"S分项",评分与用量!$J$2:$J$634,"A*")=0,"",SUMIFS(评分与用量!$E$2:$E$634,评分与用量!$A$2:$A$634,$A6,评分与用量!$B$2:$B$634,"第一轮",评分与用量!$C$2:$C$634,"S分项",评分与用量!$J$2:$J$634,"A*"))="",IF(COUNTIFS(评分与用量!$A$2:$A$634,$A6,评分与用量!$B$2:$B$634,"第二轮",评分与用量!$C$2:$C$634,"S分项",评分与用量!$J$2:$J$634,"A*")=0,"",SUMIFS(评分与用量!$E$2:$E$634,评分与用量!$A$2:$A$634,$A6,评分与用量!$B$2:$B$634,"第二轮",评分与用量!$C$2:$C$634,"S分项",评分与用量!$J$2:$J$634,"A*"))=""),"",(IF(COUNTIFS(评分与用量!$A$2:$A$634,$A6,评分与用量!$B$2:$B$634,"第二轮",评分与用量!$C$2:$C$634,"S分项",评分与用量!$J$2:$J$634,"A*")=0,"",SUMIFS(评分与用量!$E$2:$E$634,评分与用量!$A$2:$A$634,$A6,评分与用量!$B$2:$B$634,"第二轮",评分与用量!$C$2:$C$634,"S分项",评分与用量!$J$2:$J$634,"A*")))-(IF(COUNTIFS(评分与用量!$A$2:$A$634,$A6,评分与用量!$B$2:$B$634,"第一轮",评分与用量!$C$2:$C$634,"S分项",评分与用量!$J$2:$J$634,"A*")=0,"",SUMIFS(评分与用量!$E$2:$E$634,评分与用量!$A$2:$A$634,$A6,评分与用量!$B$2:$B$634,"第一轮",评分与用量!$C$2:$C$634,"S分项",评分与用量!$J$2:$J$634,"A*")))))))/15,IF($B$3="两轮变化","+0.0%;-0.0%;0.0%","0.0%")),(IF($B$3="第一轮",IF(COUNTIFS(评分与用量!$A$2:$A$634,$A6,评分与用量!$B$2:$B$634,"第一轮",评分与用量!$C$2:$C$634,"S分项",评分与用量!$J$2:$J$634,"A*")=0,"",SUMIFS(评分与用量!$E$2:$E$634,评分与用量!$A$2:$A$634,$A6,评分与用量!$B$2:$B$634,"第一轮",评分与用量!$C$2:$C$634,"S分项",评分与用量!$J$2:$J$634,"A*")),IF($B$3="第二轮",IF(COUNTIFS(评分与用量!$A$2:$A$634,$A6,评分与用量!$B$2:$B$634,"第二轮",评分与用量!$C$2:$C$634,"S分项",评分与用量!$J$2:$J$634,"A*")=0,"",SUMIFS(评分与用量!$E$2:$E$634,评分与用量!$A$2:$A$634,$A6,评分与用量!$B$2:$B$634,"第二轮",评分与用量!$C$2:$C$634,"S分项",评分与用量!$J$2:$J$634,"A*")),IF(OR(IF(COUNTIFS(评分与用量!$A$2:$A$634,$A6,评分与用量!$B$2:$B$634,"第一轮",评分与用量!$C$2:$C$634,"S分项",评分与用量!$J$2:$J$634,"A*")=0,"",SUMIFS(评分与用量!$E$2:$E$634,评分与用量!$A$2:$A$634,$A6,评分与用量!$B$2:$B$634,"第一轮",评分与用量!$C$2:$C$634,"S分项",评分与用量!$J$2:$J$634,"A*"))="",IF(COUNTIFS(评分与用量!$A$2:$A$634,$A6,评分与用量!$B$2:$B$634,"第二轮",评分与用量!$C$2:$C$634,"S分项",评分与用量!$J$2:$J$634,"A*")=0,"",SUMIFS(评分与用量!$E$2:$E$634,评分与用量!$A$2:$A$634,$A6,评分与用量!$B$2:$B$634,"第二轮",评分与用量!$C$2:$C$634,"S分项",评分与用量!$J$2:$J$634,"A*"))=""),"",(IF(COUNTIFS(评分与用量!$A$2:$A$634,$A6,评分与用量!$B$2:$B$634,"第二轮",评分与用量!$C$2:$C$634,"S分项",评分与用量!$J$2:$J$634,"A*")=0,"",SUMIFS(评分与用量!$E$2:$E$634,评分与用量!$A$2:$A$634,$A6,评分与用量!$B$2:$B$634,"第二轮",评分与用量!$C$2:$C$634,"S分项",评分与用量!$J$2:$J$634,"A*")))-(IF(COUNTIFS(评分与用量!$A$2:$A$634,$A6,评分与用量!$B$2:$B$634,"第一轮",评分与用量!$C$2:$C$634,"S分项",评分与用量!$J$2:$J$634,"A*")=0,"",SUMIFS(评分与用量!$E$2:$E$634,评分与用量!$A$2:$A$634,$A6,评分与用量!$B$2:$B$634,"第一轮",评分与用量!$C$2:$C$634,"S分项",评分与用量!$J$2:$J$634,"A*")))))))))</f>
        <v>15</v>
      </c>
      <c r="C6" s="77">
        <f>IF((IF($B$3="第一轮",IF(COUNTIFS(评分与用量!$A$2:$A$634,$A6,评分与用量!$B$2:$B$634,"第一轮",评分与用量!$C$2:$C$634,"S分项",评分与用量!$J$2:$J$634,"B*")=0,"",SUMIFS(评分与用量!$E$2:$E$634,评分与用量!$A$2:$A$634,$A6,评分与用量!$B$2:$B$634,"第一轮",评分与用量!$C$2:$C$634,"S分项",评分与用量!$J$2:$J$634,"B*")),IF($B$3="第二轮",IF(COUNTIFS(评分与用量!$A$2:$A$634,$A6,评分与用量!$B$2:$B$634,"第二轮",评分与用量!$C$2:$C$634,"S分项",评分与用量!$J$2:$J$634,"B*")=0,"",SUMIFS(评分与用量!$E$2:$E$634,评分与用量!$A$2:$A$634,$A6,评分与用量!$B$2:$B$634,"第二轮",评分与用量!$C$2:$C$634,"S分项",评分与用量!$J$2:$J$634,"B*")),IF(OR(IF(COUNTIFS(评分与用量!$A$2:$A$634,$A6,评分与用量!$B$2:$B$634,"第一轮",评分与用量!$C$2:$C$634,"S分项",评分与用量!$J$2:$J$634,"B*")=0,"",SUMIFS(评分与用量!$E$2:$E$634,评分与用量!$A$2:$A$634,$A6,评分与用量!$B$2:$B$634,"第一轮",评分与用量!$C$2:$C$634,"S分项",评分与用量!$J$2:$J$634,"B*"))="",IF(COUNTIFS(评分与用量!$A$2:$A$634,$A6,评分与用量!$B$2:$B$634,"第二轮",评分与用量!$C$2:$C$634,"S分项",评分与用量!$J$2:$J$634,"B*")=0,"",SUMIFS(评分与用量!$E$2:$E$634,评分与用量!$A$2:$A$634,$A6,评分与用量!$B$2:$B$634,"第二轮",评分与用量!$C$2:$C$634,"S分项",评分与用量!$J$2:$J$634,"B*"))=""),"",(IF(COUNTIFS(评分与用量!$A$2:$A$634,$A6,评分与用量!$B$2:$B$634,"第二轮",评分与用量!$C$2:$C$634,"S分项",评分与用量!$J$2:$J$634,"B*")=0,"",SUMIFS(评分与用量!$E$2:$E$634,评分与用量!$A$2:$A$634,$A6,评分与用量!$B$2:$B$634,"第二轮",评分与用量!$C$2:$C$634,"S分项",评分与用量!$J$2:$J$634,"B*")))-(IF(COUNTIFS(评分与用量!$A$2:$A$634,$A6,评分与用量!$B$2:$B$634,"第一轮",评分与用量!$C$2:$C$634,"S分项",评分与用量!$J$2:$J$634,"B*")=0,"",SUMIFS(评分与用量!$E$2:$E$634,评分与用量!$A$2:$A$634,$A6,评分与用量!$B$2:$B$634,"第一轮",评分与用量!$C$2:$C$634,"S分项",评分与用量!$J$2:$J$634,"B*")))))))="","",IF($F$3="得分率",TEXT((IF($B$3="第一轮",IF(COUNTIFS(评分与用量!$A$2:$A$634,$A6,评分与用量!$B$2:$B$634,"第一轮",评分与用量!$C$2:$C$634,"S分项",评分与用量!$J$2:$J$634,"B*")=0,"",SUMIFS(评分与用量!$E$2:$E$634,评分与用量!$A$2:$A$634,$A6,评分与用量!$B$2:$B$634,"第一轮",评分与用量!$C$2:$C$634,"S分项",评分与用量!$J$2:$J$634,"B*")),IF($B$3="第二轮",IF(COUNTIFS(评分与用量!$A$2:$A$634,$A6,评分与用量!$B$2:$B$634,"第二轮",评分与用量!$C$2:$C$634,"S分项",评分与用量!$J$2:$J$634,"B*")=0,"",SUMIFS(评分与用量!$E$2:$E$634,评分与用量!$A$2:$A$634,$A6,评分与用量!$B$2:$B$634,"第二轮",评分与用量!$C$2:$C$634,"S分项",评分与用量!$J$2:$J$634,"B*")),IF(OR(IF(COUNTIFS(评分与用量!$A$2:$A$634,$A6,评分与用量!$B$2:$B$634,"第一轮",评分与用量!$C$2:$C$634,"S分项",评分与用量!$J$2:$J$634,"B*")=0,"",SUMIFS(评分与用量!$E$2:$E$634,评分与用量!$A$2:$A$634,$A6,评分与用量!$B$2:$B$634,"第一轮",评分与用量!$C$2:$C$634,"S分项",评分与用量!$J$2:$J$634,"B*"))="",IF(COUNTIFS(评分与用量!$A$2:$A$634,$A6,评分与用量!$B$2:$B$634,"第二轮",评分与用量!$C$2:$C$634,"S分项",评分与用量!$J$2:$J$634,"B*")=0,"",SUMIFS(评分与用量!$E$2:$E$634,评分与用量!$A$2:$A$634,$A6,评分与用量!$B$2:$B$634,"第二轮",评分与用量!$C$2:$C$634,"S分项",评分与用量!$J$2:$J$634,"B*"))=""),"",(IF(COUNTIFS(评分与用量!$A$2:$A$634,$A6,评分与用量!$B$2:$B$634,"第二轮",评分与用量!$C$2:$C$634,"S分项",评分与用量!$J$2:$J$634,"B*")=0,"",SUMIFS(评分与用量!$E$2:$E$634,评分与用量!$A$2:$A$634,$A6,评分与用量!$B$2:$B$634,"第二轮",评分与用量!$C$2:$C$634,"S分项",评分与用量!$J$2:$J$634,"B*")))-(IF(COUNTIFS(评分与用量!$A$2:$A$634,$A6,评分与用量!$B$2:$B$634,"第一轮",评分与用量!$C$2:$C$634,"S分项",评分与用量!$J$2:$J$634,"B*")=0,"",SUMIFS(评分与用量!$E$2:$E$634,评分与用量!$A$2:$A$634,$A6,评分与用量!$B$2:$B$634,"第一轮",评分与用量!$C$2:$C$634,"S分项",评分与用量!$J$2:$J$634,"B*")))))))/20,IF($B$3="两轮变化","+0.0%;-0.0%;0.0%","0.0%")),(IF($B$3="第一轮",IF(COUNTIFS(评分与用量!$A$2:$A$634,$A6,评分与用量!$B$2:$B$634,"第一轮",评分与用量!$C$2:$C$634,"S分项",评分与用量!$J$2:$J$634,"B*")=0,"",SUMIFS(评分与用量!$E$2:$E$634,评分与用量!$A$2:$A$634,$A6,评分与用量!$B$2:$B$634,"第一轮",评分与用量!$C$2:$C$634,"S分项",评分与用量!$J$2:$J$634,"B*")),IF($B$3="第二轮",IF(COUNTIFS(评分与用量!$A$2:$A$634,$A6,评分与用量!$B$2:$B$634,"第二轮",评分与用量!$C$2:$C$634,"S分项",评分与用量!$J$2:$J$634,"B*")=0,"",SUMIFS(评分与用量!$E$2:$E$634,评分与用量!$A$2:$A$634,$A6,评分与用量!$B$2:$B$634,"第二轮",评分与用量!$C$2:$C$634,"S分项",评分与用量!$J$2:$J$634,"B*")),IF(OR(IF(COUNTIFS(评分与用量!$A$2:$A$634,$A6,评分与用量!$B$2:$B$634,"第一轮",评分与用量!$C$2:$C$634,"S分项",评分与用量!$J$2:$J$634,"B*")=0,"",SUMIFS(评分与用量!$E$2:$E$634,评分与用量!$A$2:$A$634,$A6,评分与用量!$B$2:$B$634,"第一轮",评分与用量!$C$2:$C$634,"S分项",评分与用量!$J$2:$J$634,"B*"))="",IF(COUNTIFS(评分与用量!$A$2:$A$634,$A6,评分与用量!$B$2:$B$634,"第二轮",评分与用量!$C$2:$C$634,"S分项",评分与用量!$J$2:$J$634,"B*")=0,"",SUMIFS(评分与用量!$E$2:$E$634,评分与用量!$A$2:$A$634,$A6,评分与用量!$B$2:$B$634,"第二轮",评分与用量!$C$2:$C$634,"S分项",评分与用量!$J$2:$J$634,"B*"))=""),"",(IF(COUNTIFS(评分与用量!$A$2:$A$634,$A6,评分与用量!$B$2:$B$634,"第二轮",评分与用量!$C$2:$C$634,"S分项",评分与用量!$J$2:$J$634,"B*")=0,"",SUMIFS(评分与用量!$E$2:$E$634,评分与用量!$A$2:$A$634,$A6,评分与用量!$B$2:$B$634,"第二轮",评分与用量!$C$2:$C$634,"S分项",评分与用量!$J$2:$J$634,"B*")))-(IF(COUNTIFS(评分与用量!$A$2:$A$634,$A6,评分与用量!$B$2:$B$634,"第一轮",评分与用量!$C$2:$C$634,"S分项",评分与用量!$J$2:$J$634,"B*")=0,"",SUMIFS(评分与用量!$E$2:$E$634,评分与用量!$A$2:$A$634,$A6,评分与用量!$B$2:$B$634,"第一轮",评分与用量!$C$2:$C$634,"S分项",评分与用量!$J$2:$J$634,"B*")))))))))</f>
        <v>20</v>
      </c>
      <c r="D6" s="77">
        <f>IF((IF($B$3="第一轮",IF(COUNTIFS(评分与用量!$A$2:$A$634,$A6,评分与用量!$B$2:$B$634,"第一轮",评分与用量!$C$2:$C$634,"S分项",评分与用量!$J$2:$J$634,"C*")=0,"",SUMIFS(评分与用量!$E$2:$E$634,评分与用量!$A$2:$A$634,$A6,评分与用量!$B$2:$B$634,"第一轮",评分与用量!$C$2:$C$634,"S分项",评分与用量!$J$2:$J$634,"C*")),IF($B$3="第二轮",IF(COUNTIFS(评分与用量!$A$2:$A$634,$A6,评分与用量!$B$2:$B$634,"第二轮",评分与用量!$C$2:$C$634,"S分项",评分与用量!$J$2:$J$634,"C*")=0,"",SUMIFS(评分与用量!$E$2:$E$634,评分与用量!$A$2:$A$634,$A6,评分与用量!$B$2:$B$634,"第二轮",评分与用量!$C$2:$C$634,"S分项",评分与用量!$J$2:$J$634,"C*")),IF(OR(IF(COUNTIFS(评分与用量!$A$2:$A$634,$A6,评分与用量!$B$2:$B$634,"第一轮",评分与用量!$C$2:$C$634,"S分项",评分与用量!$J$2:$J$634,"C*")=0,"",SUMIFS(评分与用量!$E$2:$E$634,评分与用量!$A$2:$A$634,$A6,评分与用量!$B$2:$B$634,"第一轮",评分与用量!$C$2:$C$634,"S分项",评分与用量!$J$2:$J$634,"C*"))="",IF(COUNTIFS(评分与用量!$A$2:$A$634,$A6,评分与用量!$B$2:$B$634,"第二轮",评分与用量!$C$2:$C$634,"S分项",评分与用量!$J$2:$J$634,"C*")=0,"",SUMIFS(评分与用量!$E$2:$E$634,评分与用量!$A$2:$A$634,$A6,评分与用量!$B$2:$B$634,"第二轮",评分与用量!$C$2:$C$634,"S分项",评分与用量!$J$2:$J$634,"C*"))=""),"",(IF(COUNTIFS(评分与用量!$A$2:$A$634,$A6,评分与用量!$B$2:$B$634,"第二轮",评分与用量!$C$2:$C$634,"S分项",评分与用量!$J$2:$J$634,"C*")=0,"",SUMIFS(评分与用量!$E$2:$E$634,评分与用量!$A$2:$A$634,$A6,评分与用量!$B$2:$B$634,"第二轮",评分与用量!$C$2:$C$634,"S分项",评分与用量!$J$2:$J$634,"C*")))-(IF(COUNTIFS(评分与用量!$A$2:$A$634,$A6,评分与用量!$B$2:$B$634,"第一轮",评分与用量!$C$2:$C$634,"S分项",评分与用量!$J$2:$J$634,"C*")=0,"",SUMIFS(评分与用量!$E$2:$E$634,评分与用量!$A$2:$A$634,$A6,评分与用量!$B$2:$B$634,"第一轮",评分与用量!$C$2:$C$634,"S分项",评分与用量!$J$2:$J$634,"C*")))))))="","",IF($F$3="得分率",TEXT((IF($B$3="第一轮",IF(COUNTIFS(评分与用量!$A$2:$A$634,$A6,评分与用量!$B$2:$B$634,"第一轮",评分与用量!$C$2:$C$634,"S分项",评分与用量!$J$2:$J$634,"C*")=0,"",SUMIFS(评分与用量!$E$2:$E$634,评分与用量!$A$2:$A$634,$A6,评分与用量!$B$2:$B$634,"第一轮",评分与用量!$C$2:$C$634,"S分项",评分与用量!$J$2:$J$634,"C*")),IF($B$3="第二轮",IF(COUNTIFS(评分与用量!$A$2:$A$634,$A6,评分与用量!$B$2:$B$634,"第二轮",评分与用量!$C$2:$C$634,"S分项",评分与用量!$J$2:$J$634,"C*")=0,"",SUMIFS(评分与用量!$E$2:$E$634,评分与用量!$A$2:$A$634,$A6,评分与用量!$B$2:$B$634,"第二轮",评分与用量!$C$2:$C$634,"S分项",评分与用量!$J$2:$J$634,"C*")),IF(OR(IF(COUNTIFS(评分与用量!$A$2:$A$634,$A6,评分与用量!$B$2:$B$634,"第一轮",评分与用量!$C$2:$C$634,"S分项",评分与用量!$J$2:$J$634,"C*")=0,"",SUMIFS(评分与用量!$E$2:$E$634,评分与用量!$A$2:$A$634,$A6,评分与用量!$B$2:$B$634,"第一轮",评分与用量!$C$2:$C$634,"S分项",评分与用量!$J$2:$J$634,"C*"))="",IF(COUNTIFS(评分与用量!$A$2:$A$634,$A6,评分与用量!$B$2:$B$634,"第二轮",评分与用量!$C$2:$C$634,"S分项",评分与用量!$J$2:$J$634,"C*")=0,"",SUMIFS(评分与用量!$E$2:$E$634,评分与用量!$A$2:$A$634,$A6,评分与用量!$B$2:$B$634,"第二轮",评分与用量!$C$2:$C$634,"S分项",评分与用量!$J$2:$J$634,"C*"))=""),"",(IF(COUNTIFS(评分与用量!$A$2:$A$634,$A6,评分与用量!$B$2:$B$634,"第二轮",评分与用量!$C$2:$C$634,"S分项",评分与用量!$J$2:$J$634,"C*")=0,"",SUMIFS(评分与用量!$E$2:$E$634,评分与用量!$A$2:$A$634,$A6,评分与用量!$B$2:$B$634,"第二轮",评分与用量!$C$2:$C$634,"S分项",评分与用量!$J$2:$J$634,"C*")))-(IF(COUNTIFS(评分与用量!$A$2:$A$634,$A6,评分与用量!$B$2:$B$634,"第一轮",评分与用量!$C$2:$C$634,"S分项",评分与用量!$J$2:$J$634,"C*")=0,"",SUMIFS(评分与用量!$E$2:$E$634,评分与用量!$A$2:$A$634,$A6,评分与用量!$B$2:$B$634,"第一轮",评分与用量!$C$2:$C$634,"S分项",评分与用量!$J$2:$J$634,"C*")))))))/20,IF($B$3="两轮变化","+0.0%;-0.0%;0.0%","0.0%")),(IF($B$3="第一轮",IF(COUNTIFS(评分与用量!$A$2:$A$634,$A6,评分与用量!$B$2:$B$634,"第一轮",评分与用量!$C$2:$C$634,"S分项",评分与用量!$J$2:$J$634,"C*")=0,"",SUMIFS(评分与用量!$E$2:$E$634,评分与用量!$A$2:$A$634,$A6,评分与用量!$B$2:$B$634,"第一轮",评分与用量!$C$2:$C$634,"S分项",评分与用量!$J$2:$J$634,"C*")),IF($B$3="第二轮",IF(COUNTIFS(评分与用量!$A$2:$A$634,$A6,评分与用量!$B$2:$B$634,"第二轮",评分与用量!$C$2:$C$634,"S分项",评分与用量!$J$2:$J$634,"C*")=0,"",SUMIFS(评分与用量!$E$2:$E$634,评分与用量!$A$2:$A$634,$A6,评分与用量!$B$2:$B$634,"第二轮",评分与用量!$C$2:$C$634,"S分项",评分与用量!$J$2:$J$634,"C*")),IF(OR(IF(COUNTIFS(评分与用量!$A$2:$A$634,$A6,评分与用量!$B$2:$B$634,"第一轮",评分与用量!$C$2:$C$634,"S分项",评分与用量!$J$2:$J$634,"C*")=0,"",SUMIFS(评分与用量!$E$2:$E$634,评分与用量!$A$2:$A$634,$A6,评分与用量!$B$2:$B$634,"第一轮",评分与用量!$C$2:$C$634,"S分项",评分与用量!$J$2:$J$634,"C*"))="",IF(COUNTIFS(评分与用量!$A$2:$A$634,$A6,评分与用量!$B$2:$B$634,"第二轮",评分与用量!$C$2:$C$634,"S分项",评分与用量!$J$2:$J$634,"C*")=0,"",SUMIFS(评分与用量!$E$2:$E$634,评分与用量!$A$2:$A$634,$A6,评分与用量!$B$2:$B$634,"第二轮",评分与用量!$C$2:$C$634,"S分项",评分与用量!$J$2:$J$634,"C*"))=""),"",(IF(COUNTIFS(评分与用量!$A$2:$A$634,$A6,评分与用量!$B$2:$B$634,"第二轮",评分与用量!$C$2:$C$634,"S分项",评分与用量!$J$2:$J$634,"C*")=0,"",SUMIFS(评分与用量!$E$2:$E$634,评分与用量!$A$2:$A$634,$A6,评分与用量!$B$2:$B$634,"第二轮",评分与用量!$C$2:$C$634,"S分项",评分与用量!$J$2:$J$634,"C*")))-(IF(COUNTIFS(评分与用量!$A$2:$A$634,$A6,评分与用量!$B$2:$B$634,"第一轮",评分与用量!$C$2:$C$634,"S分项",评分与用量!$J$2:$J$634,"C*")=0,"",SUMIFS(评分与用量!$E$2:$E$634,评分与用量!$A$2:$A$634,$A6,评分与用量!$B$2:$B$634,"第一轮",评分与用量!$C$2:$C$634,"S分项",评分与用量!$J$2:$J$634,"C*")))))))))</f>
        <v>20</v>
      </c>
      <c r="E6" s="77">
        <f>IF((IF($B$3="第一轮",IF(COUNTIFS(评分与用量!$A$2:$A$634,$A6,评分与用量!$B$2:$B$634,"第一轮",评分与用量!$C$2:$C$634,"S分项",评分与用量!$J$2:$J$634,"D*")=0,"",SUMIFS(评分与用量!$E$2:$E$634,评分与用量!$A$2:$A$634,$A6,评分与用量!$B$2:$B$634,"第一轮",评分与用量!$C$2:$C$634,"S分项",评分与用量!$J$2:$J$634,"D*")),IF($B$3="第二轮",IF(COUNTIFS(评分与用量!$A$2:$A$634,$A6,评分与用量!$B$2:$B$634,"第二轮",评分与用量!$C$2:$C$634,"S分项",评分与用量!$J$2:$J$634,"D*")=0,"",SUMIFS(评分与用量!$E$2:$E$634,评分与用量!$A$2:$A$634,$A6,评分与用量!$B$2:$B$634,"第二轮",评分与用量!$C$2:$C$634,"S分项",评分与用量!$J$2:$J$634,"D*")),IF(OR(IF(COUNTIFS(评分与用量!$A$2:$A$634,$A6,评分与用量!$B$2:$B$634,"第一轮",评分与用量!$C$2:$C$634,"S分项",评分与用量!$J$2:$J$634,"D*")=0,"",SUMIFS(评分与用量!$E$2:$E$634,评分与用量!$A$2:$A$634,$A6,评分与用量!$B$2:$B$634,"第一轮",评分与用量!$C$2:$C$634,"S分项",评分与用量!$J$2:$J$634,"D*"))="",IF(COUNTIFS(评分与用量!$A$2:$A$634,$A6,评分与用量!$B$2:$B$634,"第二轮",评分与用量!$C$2:$C$634,"S分项",评分与用量!$J$2:$J$634,"D*")=0,"",SUMIFS(评分与用量!$E$2:$E$634,评分与用量!$A$2:$A$634,$A6,评分与用量!$B$2:$B$634,"第二轮",评分与用量!$C$2:$C$634,"S分项",评分与用量!$J$2:$J$634,"D*"))=""),"",(IF(COUNTIFS(评分与用量!$A$2:$A$634,$A6,评分与用量!$B$2:$B$634,"第二轮",评分与用量!$C$2:$C$634,"S分项",评分与用量!$J$2:$J$634,"D*")=0,"",SUMIFS(评分与用量!$E$2:$E$634,评分与用量!$A$2:$A$634,$A6,评分与用量!$B$2:$B$634,"第二轮",评分与用量!$C$2:$C$634,"S分项",评分与用量!$J$2:$J$634,"D*")))-(IF(COUNTIFS(评分与用量!$A$2:$A$634,$A6,评分与用量!$B$2:$B$634,"第一轮",评分与用量!$C$2:$C$634,"S分项",评分与用量!$J$2:$J$634,"D*")=0,"",SUMIFS(评分与用量!$E$2:$E$634,评分与用量!$A$2:$A$634,$A6,评分与用量!$B$2:$B$634,"第一轮",评分与用量!$C$2:$C$634,"S分项",评分与用量!$J$2:$J$634,"D*")))))))="","",IF($F$3="得分率",TEXT((IF($B$3="第一轮",IF(COUNTIFS(评分与用量!$A$2:$A$634,$A6,评分与用量!$B$2:$B$634,"第一轮",评分与用量!$C$2:$C$634,"S分项",评分与用量!$J$2:$J$634,"D*")=0,"",SUMIFS(评分与用量!$E$2:$E$634,评分与用量!$A$2:$A$634,$A6,评分与用量!$B$2:$B$634,"第一轮",评分与用量!$C$2:$C$634,"S分项",评分与用量!$J$2:$J$634,"D*")),IF($B$3="第二轮",IF(COUNTIFS(评分与用量!$A$2:$A$634,$A6,评分与用量!$B$2:$B$634,"第二轮",评分与用量!$C$2:$C$634,"S分项",评分与用量!$J$2:$J$634,"D*")=0,"",SUMIFS(评分与用量!$E$2:$E$634,评分与用量!$A$2:$A$634,$A6,评分与用量!$B$2:$B$634,"第二轮",评分与用量!$C$2:$C$634,"S分项",评分与用量!$J$2:$J$634,"D*")),IF(OR(IF(COUNTIFS(评分与用量!$A$2:$A$634,$A6,评分与用量!$B$2:$B$634,"第一轮",评分与用量!$C$2:$C$634,"S分项",评分与用量!$J$2:$J$634,"D*")=0,"",SUMIFS(评分与用量!$E$2:$E$634,评分与用量!$A$2:$A$634,$A6,评分与用量!$B$2:$B$634,"第一轮",评分与用量!$C$2:$C$634,"S分项",评分与用量!$J$2:$J$634,"D*"))="",IF(COUNTIFS(评分与用量!$A$2:$A$634,$A6,评分与用量!$B$2:$B$634,"第二轮",评分与用量!$C$2:$C$634,"S分项",评分与用量!$J$2:$J$634,"D*")=0,"",SUMIFS(评分与用量!$E$2:$E$634,评分与用量!$A$2:$A$634,$A6,评分与用量!$B$2:$B$634,"第二轮",评分与用量!$C$2:$C$634,"S分项",评分与用量!$J$2:$J$634,"D*"))=""),"",(IF(COUNTIFS(评分与用量!$A$2:$A$634,$A6,评分与用量!$B$2:$B$634,"第二轮",评分与用量!$C$2:$C$634,"S分项",评分与用量!$J$2:$J$634,"D*")=0,"",SUMIFS(评分与用量!$E$2:$E$634,评分与用量!$A$2:$A$634,$A6,评分与用量!$B$2:$B$634,"第二轮",评分与用量!$C$2:$C$634,"S分项",评分与用量!$J$2:$J$634,"D*")))-(IF(COUNTIFS(评分与用量!$A$2:$A$634,$A6,评分与用量!$B$2:$B$634,"第一轮",评分与用量!$C$2:$C$634,"S分项",评分与用量!$J$2:$J$634,"D*")=0,"",SUMIFS(评分与用量!$E$2:$E$634,评分与用量!$A$2:$A$634,$A6,评分与用量!$B$2:$B$634,"第一轮",评分与用量!$C$2:$C$634,"S分项",评分与用量!$J$2:$J$634,"D*")))))))/25,IF($B$3="两轮变化","+0.0%;-0.0%;0.0%","0.0%")),(IF($B$3="第一轮",IF(COUNTIFS(评分与用量!$A$2:$A$634,$A6,评分与用量!$B$2:$B$634,"第一轮",评分与用量!$C$2:$C$634,"S分项",评分与用量!$J$2:$J$634,"D*")=0,"",SUMIFS(评分与用量!$E$2:$E$634,评分与用量!$A$2:$A$634,$A6,评分与用量!$B$2:$B$634,"第一轮",评分与用量!$C$2:$C$634,"S分项",评分与用量!$J$2:$J$634,"D*")),IF($B$3="第二轮",IF(COUNTIFS(评分与用量!$A$2:$A$634,$A6,评分与用量!$B$2:$B$634,"第二轮",评分与用量!$C$2:$C$634,"S分项",评分与用量!$J$2:$J$634,"D*")=0,"",SUMIFS(评分与用量!$E$2:$E$634,评分与用量!$A$2:$A$634,$A6,评分与用量!$B$2:$B$634,"第二轮",评分与用量!$C$2:$C$634,"S分项",评分与用量!$J$2:$J$634,"D*")),IF(OR(IF(COUNTIFS(评分与用量!$A$2:$A$634,$A6,评分与用量!$B$2:$B$634,"第一轮",评分与用量!$C$2:$C$634,"S分项",评分与用量!$J$2:$J$634,"D*")=0,"",SUMIFS(评分与用量!$E$2:$E$634,评分与用量!$A$2:$A$634,$A6,评分与用量!$B$2:$B$634,"第一轮",评分与用量!$C$2:$C$634,"S分项",评分与用量!$J$2:$J$634,"D*"))="",IF(COUNTIFS(评分与用量!$A$2:$A$634,$A6,评分与用量!$B$2:$B$634,"第二轮",评分与用量!$C$2:$C$634,"S分项",评分与用量!$J$2:$J$634,"D*")=0,"",SUMIFS(评分与用量!$E$2:$E$634,评分与用量!$A$2:$A$634,$A6,评分与用量!$B$2:$B$634,"第二轮",评分与用量!$C$2:$C$634,"S分项",评分与用量!$J$2:$J$634,"D*"))=""),"",(IF(COUNTIFS(评分与用量!$A$2:$A$634,$A6,评分与用量!$B$2:$B$634,"第二轮",评分与用量!$C$2:$C$634,"S分项",评分与用量!$J$2:$J$634,"D*")=0,"",SUMIFS(评分与用量!$E$2:$E$634,评分与用量!$A$2:$A$634,$A6,评分与用量!$B$2:$B$634,"第二轮",评分与用量!$C$2:$C$634,"S分项",评分与用量!$J$2:$J$634,"D*")))-(IF(COUNTIFS(评分与用量!$A$2:$A$634,$A6,评分与用量!$B$2:$B$634,"第一轮",评分与用量!$C$2:$C$634,"S分项",评分与用量!$J$2:$J$634,"D*")=0,"",SUMIFS(评分与用量!$E$2:$E$634,评分与用量!$A$2:$A$634,$A6,评分与用量!$B$2:$B$634,"第一轮",评分与用量!$C$2:$C$634,"S分项",评分与用量!$J$2:$J$634,"D*")))))))))</f>
        <v>23.5</v>
      </c>
      <c r="F6" s="77">
        <f>IF((IF($B$3="第一轮",IF(COUNTIFS(评分与用量!$A$2:$A$634,$A6,评分与用量!$B$2:$B$634,"第一轮",评分与用量!$C$2:$C$634,"S分项",评分与用量!$J$2:$J$634,"E*")=0,"",SUMIFS(评分与用量!$E$2:$E$634,评分与用量!$A$2:$A$634,$A6,评分与用量!$B$2:$B$634,"第一轮",评分与用量!$C$2:$C$634,"S分项",评分与用量!$J$2:$J$634,"E*")),IF($B$3="第二轮",IF(COUNTIFS(评分与用量!$A$2:$A$634,$A6,评分与用量!$B$2:$B$634,"第二轮",评分与用量!$C$2:$C$634,"S分项",评分与用量!$J$2:$J$634,"E*")=0,"",SUMIFS(评分与用量!$E$2:$E$634,评分与用量!$A$2:$A$634,$A6,评分与用量!$B$2:$B$634,"第二轮",评分与用量!$C$2:$C$634,"S分项",评分与用量!$J$2:$J$634,"E*")),IF(OR(IF(COUNTIFS(评分与用量!$A$2:$A$634,$A6,评分与用量!$B$2:$B$634,"第一轮",评分与用量!$C$2:$C$634,"S分项",评分与用量!$J$2:$J$634,"E*")=0,"",SUMIFS(评分与用量!$E$2:$E$634,评分与用量!$A$2:$A$634,$A6,评分与用量!$B$2:$B$634,"第一轮",评分与用量!$C$2:$C$634,"S分项",评分与用量!$J$2:$J$634,"E*"))="",IF(COUNTIFS(评分与用量!$A$2:$A$634,$A6,评分与用量!$B$2:$B$634,"第二轮",评分与用量!$C$2:$C$634,"S分项",评分与用量!$J$2:$J$634,"E*")=0,"",SUMIFS(评分与用量!$E$2:$E$634,评分与用量!$A$2:$A$634,$A6,评分与用量!$B$2:$B$634,"第二轮",评分与用量!$C$2:$C$634,"S分项",评分与用量!$J$2:$J$634,"E*"))=""),"",(IF(COUNTIFS(评分与用量!$A$2:$A$634,$A6,评分与用量!$B$2:$B$634,"第二轮",评分与用量!$C$2:$C$634,"S分项",评分与用量!$J$2:$J$634,"E*")=0,"",SUMIFS(评分与用量!$E$2:$E$634,评分与用量!$A$2:$A$634,$A6,评分与用量!$B$2:$B$634,"第二轮",评分与用量!$C$2:$C$634,"S分项",评分与用量!$J$2:$J$634,"E*")))-(IF(COUNTIFS(评分与用量!$A$2:$A$634,$A6,评分与用量!$B$2:$B$634,"第一轮",评分与用量!$C$2:$C$634,"S分项",评分与用量!$J$2:$J$634,"E*")=0,"",SUMIFS(评分与用量!$E$2:$E$634,评分与用量!$A$2:$A$634,$A6,评分与用量!$B$2:$B$634,"第一轮",评分与用量!$C$2:$C$634,"S分项",评分与用量!$J$2:$J$634,"E*")))))))="","",IF($F$3="得分率",TEXT((IF($B$3="第一轮",IF(COUNTIFS(评分与用量!$A$2:$A$634,$A6,评分与用量!$B$2:$B$634,"第一轮",评分与用量!$C$2:$C$634,"S分项",评分与用量!$J$2:$J$634,"E*")=0,"",SUMIFS(评分与用量!$E$2:$E$634,评分与用量!$A$2:$A$634,$A6,评分与用量!$B$2:$B$634,"第一轮",评分与用量!$C$2:$C$634,"S分项",评分与用量!$J$2:$J$634,"E*")),IF($B$3="第二轮",IF(COUNTIFS(评分与用量!$A$2:$A$634,$A6,评分与用量!$B$2:$B$634,"第二轮",评分与用量!$C$2:$C$634,"S分项",评分与用量!$J$2:$J$634,"E*")=0,"",SUMIFS(评分与用量!$E$2:$E$634,评分与用量!$A$2:$A$634,$A6,评分与用量!$B$2:$B$634,"第二轮",评分与用量!$C$2:$C$634,"S分项",评分与用量!$J$2:$J$634,"E*")),IF(OR(IF(COUNTIFS(评分与用量!$A$2:$A$634,$A6,评分与用量!$B$2:$B$634,"第一轮",评分与用量!$C$2:$C$634,"S分项",评分与用量!$J$2:$J$634,"E*")=0,"",SUMIFS(评分与用量!$E$2:$E$634,评分与用量!$A$2:$A$634,$A6,评分与用量!$B$2:$B$634,"第一轮",评分与用量!$C$2:$C$634,"S分项",评分与用量!$J$2:$J$634,"E*"))="",IF(COUNTIFS(评分与用量!$A$2:$A$634,$A6,评分与用量!$B$2:$B$634,"第二轮",评分与用量!$C$2:$C$634,"S分项",评分与用量!$J$2:$J$634,"E*")=0,"",SUMIFS(评分与用量!$E$2:$E$634,评分与用量!$A$2:$A$634,$A6,评分与用量!$B$2:$B$634,"第二轮",评分与用量!$C$2:$C$634,"S分项",评分与用量!$J$2:$J$634,"E*"))=""),"",(IF(COUNTIFS(评分与用量!$A$2:$A$634,$A6,评分与用量!$B$2:$B$634,"第二轮",评分与用量!$C$2:$C$634,"S分项",评分与用量!$J$2:$J$634,"E*")=0,"",SUMIFS(评分与用量!$E$2:$E$634,评分与用量!$A$2:$A$634,$A6,评分与用量!$B$2:$B$634,"第二轮",评分与用量!$C$2:$C$634,"S分项",评分与用量!$J$2:$J$634,"E*")))-(IF(COUNTIFS(评分与用量!$A$2:$A$634,$A6,评分与用量!$B$2:$B$634,"第一轮",评分与用量!$C$2:$C$634,"S分项",评分与用量!$J$2:$J$634,"E*")=0,"",SUMIFS(评分与用量!$E$2:$E$634,评分与用量!$A$2:$A$634,$A6,评分与用量!$B$2:$B$634,"第一轮",评分与用量!$C$2:$C$634,"S分项",评分与用量!$J$2:$J$634,"E*")))))))/10,IF($B$3="两轮变化","+0.0%;-0.0%;0.0%","0.0%")),(IF($B$3="第一轮",IF(COUNTIFS(评分与用量!$A$2:$A$634,$A6,评分与用量!$B$2:$B$634,"第一轮",评分与用量!$C$2:$C$634,"S分项",评分与用量!$J$2:$J$634,"E*")=0,"",SUMIFS(评分与用量!$E$2:$E$634,评分与用量!$A$2:$A$634,$A6,评分与用量!$B$2:$B$634,"第一轮",评分与用量!$C$2:$C$634,"S分项",评分与用量!$J$2:$J$634,"E*")),IF($B$3="第二轮",IF(COUNTIFS(评分与用量!$A$2:$A$634,$A6,评分与用量!$B$2:$B$634,"第二轮",评分与用量!$C$2:$C$634,"S分项",评分与用量!$J$2:$J$634,"E*")=0,"",SUMIFS(评分与用量!$E$2:$E$634,评分与用量!$A$2:$A$634,$A6,评分与用量!$B$2:$B$634,"第二轮",评分与用量!$C$2:$C$634,"S分项",评分与用量!$J$2:$J$634,"E*")),IF(OR(IF(COUNTIFS(评分与用量!$A$2:$A$634,$A6,评分与用量!$B$2:$B$634,"第一轮",评分与用量!$C$2:$C$634,"S分项",评分与用量!$J$2:$J$634,"E*")=0,"",SUMIFS(评分与用量!$E$2:$E$634,评分与用量!$A$2:$A$634,$A6,评分与用量!$B$2:$B$634,"第一轮",评分与用量!$C$2:$C$634,"S分项",评分与用量!$J$2:$J$634,"E*"))="",IF(COUNTIFS(评分与用量!$A$2:$A$634,$A6,评分与用量!$B$2:$B$634,"第二轮",评分与用量!$C$2:$C$634,"S分项",评分与用量!$J$2:$J$634,"E*")=0,"",SUMIFS(评分与用量!$E$2:$E$634,评分与用量!$A$2:$A$634,$A6,评分与用量!$B$2:$B$634,"第二轮",评分与用量!$C$2:$C$634,"S分项",评分与用量!$J$2:$J$634,"E*"))=""),"",(IF(COUNTIFS(评分与用量!$A$2:$A$634,$A6,评分与用量!$B$2:$B$634,"第二轮",评分与用量!$C$2:$C$634,"S分项",评分与用量!$J$2:$J$634,"E*")=0,"",SUMIFS(评分与用量!$E$2:$E$634,评分与用量!$A$2:$A$634,$A6,评分与用量!$B$2:$B$634,"第二轮",评分与用量!$C$2:$C$634,"S分项",评分与用量!$J$2:$J$634,"E*")))-(IF(COUNTIFS(评分与用量!$A$2:$A$634,$A6,评分与用量!$B$2:$B$634,"第一轮",评分与用量!$C$2:$C$634,"S分项",评分与用量!$J$2:$J$634,"E*")=0,"",SUMIFS(评分与用量!$E$2:$E$634,评分与用量!$A$2:$A$634,$A6,评分与用量!$B$2:$B$634,"第一轮",评分与用量!$C$2:$C$634,"S分项",评分与用量!$J$2:$J$634,"E*")))))))))</f>
        <v>10</v>
      </c>
      <c r="G6" s="77">
        <f>IF((IF($B$3="第一轮",IF(COUNTIFS(评分与用量!$A$2:$A$634,$A6,评分与用量!$B$2:$B$634,"第一轮",评分与用量!$C$2:$C$634,"S分项",评分与用量!$J$2:$J$634,"F*")=0,"",SUMIFS(评分与用量!$E$2:$E$634,评分与用量!$A$2:$A$634,$A6,评分与用量!$B$2:$B$634,"第一轮",评分与用量!$C$2:$C$634,"S分项",评分与用量!$J$2:$J$634,"F*")),IF($B$3="第二轮",IF(COUNTIFS(评分与用量!$A$2:$A$634,$A6,评分与用量!$B$2:$B$634,"第二轮",评分与用量!$C$2:$C$634,"S分项",评分与用量!$J$2:$J$634,"F*")=0,"",SUMIFS(评分与用量!$E$2:$E$634,评分与用量!$A$2:$A$634,$A6,评分与用量!$B$2:$B$634,"第二轮",评分与用量!$C$2:$C$634,"S分项",评分与用量!$J$2:$J$634,"F*")),IF(OR(IF(COUNTIFS(评分与用量!$A$2:$A$634,$A6,评分与用量!$B$2:$B$634,"第一轮",评分与用量!$C$2:$C$634,"S分项",评分与用量!$J$2:$J$634,"F*")=0,"",SUMIFS(评分与用量!$E$2:$E$634,评分与用量!$A$2:$A$634,$A6,评分与用量!$B$2:$B$634,"第一轮",评分与用量!$C$2:$C$634,"S分项",评分与用量!$J$2:$J$634,"F*"))="",IF(COUNTIFS(评分与用量!$A$2:$A$634,$A6,评分与用量!$B$2:$B$634,"第二轮",评分与用量!$C$2:$C$634,"S分项",评分与用量!$J$2:$J$634,"F*")=0,"",SUMIFS(评分与用量!$E$2:$E$634,评分与用量!$A$2:$A$634,$A6,评分与用量!$B$2:$B$634,"第二轮",评分与用量!$C$2:$C$634,"S分项",评分与用量!$J$2:$J$634,"F*"))=""),"",(IF(COUNTIFS(评分与用量!$A$2:$A$634,$A6,评分与用量!$B$2:$B$634,"第二轮",评分与用量!$C$2:$C$634,"S分项",评分与用量!$J$2:$J$634,"F*")=0,"",SUMIFS(评分与用量!$E$2:$E$634,评分与用量!$A$2:$A$634,$A6,评分与用量!$B$2:$B$634,"第二轮",评分与用量!$C$2:$C$634,"S分项",评分与用量!$J$2:$J$634,"F*")))-(IF(COUNTIFS(评分与用量!$A$2:$A$634,$A6,评分与用量!$B$2:$B$634,"第一轮",评分与用量!$C$2:$C$634,"S分项",评分与用量!$J$2:$J$634,"F*")=0,"",SUMIFS(评分与用量!$E$2:$E$634,评分与用量!$A$2:$A$634,$A6,评分与用量!$B$2:$B$634,"第一轮",评分与用量!$C$2:$C$634,"S分项",评分与用量!$J$2:$J$634,"F*")))))))="","",IF($F$3="得分率",TEXT((IF($B$3="第一轮",IF(COUNTIFS(评分与用量!$A$2:$A$634,$A6,评分与用量!$B$2:$B$634,"第一轮",评分与用量!$C$2:$C$634,"S分项",评分与用量!$J$2:$J$634,"F*")=0,"",SUMIFS(评分与用量!$E$2:$E$634,评分与用量!$A$2:$A$634,$A6,评分与用量!$B$2:$B$634,"第一轮",评分与用量!$C$2:$C$634,"S分项",评分与用量!$J$2:$J$634,"F*")),IF($B$3="第二轮",IF(COUNTIFS(评分与用量!$A$2:$A$634,$A6,评分与用量!$B$2:$B$634,"第二轮",评分与用量!$C$2:$C$634,"S分项",评分与用量!$J$2:$J$634,"F*")=0,"",SUMIFS(评分与用量!$E$2:$E$634,评分与用量!$A$2:$A$634,$A6,评分与用量!$B$2:$B$634,"第二轮",评分与用量!$C$2:$C$634,"S分项",评分与用量!$J$2:$J$634,"F*")),IF(OR(IF(COUNTIFS(评分与用量!$A$2:$A$634,$A6,评分与用量!$B$2:$B$634,"第一轮",评分与用量!$C$2:$C$634,"S分项",评分与用量!$J$2:$J$634,"F*")=0,"",SUMIFS(评分与用量!$E$2:$E$634,评分与用量!$A$2:$A$634,$A6,评分与用量!$B$2:$B$634,"第一轮",评分与用量!$C$2:$C$634,"S分项",评分与用量!$J$2:$J$634,"F*"))="",IF(COUNTIFS(评分与用量!$A$2:$A$634,$A6,评分与用量!$B$2:$B$634,"第二轮",评分与用量!$C$2:$C$634,"S分项",评分与用量!$J$2:$J$634,"F*")=0,"",SUMIFS(评分与用量!$E$2:$E$634,评分与用量!$A$2:$A$634,$A6,评分与用量!$B$2:$B$634,"第二轮",评分与用量!$C$2:$C$634,"S分项",评分与用量!$J$2:$J$634,"F*"))=""),"",(IF(COUNTIFS(评分与用量!$A$2:$A$634,$A6,评分与用量!$B$2:$B$634,"第二轮",评分与用量!$C$2:$C$634,"S分项",评分与用量!$J$2:$J$634,"F*")=0,"",SUMIFS(评分与用量!$E$2:$E$634,评分与用量!$A$2:$A$634,$A6,评分与用量!$B$2:$B$634,"第二轮",评分与用量!$C$2:$C$634,"S分项",评分与用量!$J$2:$J$634,"F*")))-(IF(COUNTIFS(评分与用量!$A$2:$A$634,$A6,评分与用量!$B$2:$B$634,"第一轮",评分与用量!$C$2:$C$634,"S分项",评分与用量!$J$2:$J$634,"F*")=0,"",SUMIFS(评分与用量!$E$2:$E$634,评分与用量!$A$2:$A$634,$A6,评分与用量!$B$2:$B$634,"第一轮",评分与用量!$C$2:$C$634,"S分项",评分与用量!$J$2:$J$634,"F*")))))))/10,IF($B$3="两轮变化","+0.0%;-0.0%;0.0%","0.0%")),(IF($B$3="第一轮",IF(COUNTIFS(评分与用量!$A$2:$A$634,$A6,评分与用量!$B$2:$B$634,"第一轮",评分与用量!$C$2:$C$634,"S分项",评分与用量!$J$2:$J$634,"F*")=0,"",SUMIFS(评分与用量!$E$2:$E$634,评分与用量!$A$2:$A$634,$A6,评分与用量!$B$2:$B$634,"第一轮",评分与用量!$C$2:$C$634,"S分项",评分与用量!$J$2:$J$634,"F*")),IF($B$3="第二轮",IF(COUNTIFS(评分与用量!$A$2:$A$634,$A6,评分与用量!$B$2:$B$634,"第二轮",评分与用量!$C$2:$C$634,"S分项",评分与用量!$J$2:$J$634,"F*")=0,"",SUMIFS(评分与用量!$E$2:$E$634,评分与用量!$A$2:$A$634,$A6,评分与用量!$B$2:$B$634,"第二轮",评分与用量!$C$2:$C$634,"S分项",评分与用量!$J$2:$J$634,"F*")),IF(OR(IF(COUNTIFS(评分与用量!$A$2:$A$634,$A6,评分与用量!$B$2:$B$634,"第一轮",评分与用量!$C$2:$C$634,"S分项",评分与用量!$J$2:$J$634,"F*")=0,"",SUMIFS(评分与用量!$E$2:$E$634,评分与用量!$A$2:$A$634,$A6,评分与用量!$B$2:$B$634,"第一轮",评分与用量!$C$2:$C$634,"S分项",评分与用量!$J$2:$J$634,"F*"))="",IF(COUNTIFS(评分与用量!$A$2:$A$634,$A6,评分与用量!$B$2:$B$634,"第二轮",评分与用量!$C$2:$C$634,"S分项",评分与用量!$J$2:$J$634,"F*")=0,"",SUMIFS(评分与用量!$E$2:$E$634,评分与用量!$A$2:$A$634,$A6,评分与用量!$B$2:$B$634,"第二轮",评分与用量!$C$2:$C$634,"S分项",评分与用量!$J$2:$J$634,"F*"))=""),"",(IF(COUNTIFS(评分与用量!$A$2:$A$634,$A6,评分与用量!$B$2:$B$634,"第二轮",评分与用量!$C$2:$C$634,"S分项",评分与用量!$J$2:$J$634,"F*")=0,"",SUMIFS(评分与用量!$E$2:$E$634,评分与用量!$A$2:$A$634,$A6,评分与用量!$B$2:$B$634,"第二轮",评分与用量!$C$2:$C$634,"S分项",评分与用量!$J$2:$J$634,"F*")))-(IF(COUNTIFS(评分与用量!$A$2:$A$634,$A6,评分与用量!$B$2:$B$634,"第一轮",评分与用量!$C$2:$C$634,"S分项",评分与用量!$J$2:$J$634,"F*")=0,"",SUMIFS(评分与用量!$E$2:$E$634,评分与用量!$A$2:$A$634,$A6,评分与用量!$B$2:$B$634,"第一轮",评分与用量!$C$2:$C$634,"S分项",评分与用量!$J$2:$J$634,"F*")))))))))</f>
        <v>10</v>
      </c>
      <c r="H6" s="77">
        <f>IF((IF($B$3="第一轮",IF(COUNTIFS(评分与用量!$A$2:$A$634,$A6,评分与用量!$B$2:$B$634,"第一轮",评分与用量!$C$2:$C$634,"S分项")=0,"",SUMIFS(评分与用量!$E$2:$E$634,评分与用量!$A$2:$A$634,$A6,评分与用量!$B$2:$B$634,"第一轮",评分与用量!$C$2:$C$634,"S分项")),IF($B$3="第二轮",IF(COUNTIFS(评分与用量!$A$2:$A$634,$A6,评分与用量!$B$2:$B$634,"第二轮",评分与用量!$C$2:$C$634,"S分项")=0,"",SUMIFS(评分与用量!$E$2:$E$634,评分与用量!$A$2:$A$634,$A6,评分与用量!$B$2:$B$634,"第二轮",评分与用量!$C$2:$C$634,"S分项")),IF(OR(IF(COUNTIFS(评分与用量!$A$2:$A$634,$A6,评分与用量!$B$2:$B$634,"第一轮",评分与用量!$C$2:$C$634,"S分项")=0,"",SUMIFS(评分与用量!$E$2:$E$634,评分与用量!$A$2:$A$634,$A6,评分与用量!$B$2:$B$634,"第一轮",评分与用量!$C$2:$C$634,"S分项"))="",IF(COUNTIFS(评分与用量!$A$2:$A$634,$A6,评分与用量!$B$2:$B$634,"第二轮",评分与用量!$C$2:$C$634,"S分项")=0,"",SUMIFS(评分与用量!$E$2:$E$634,评分与用量!$A$2:$A$634,$A6,评分与用量!$B$2:$B$634,"第二轮",评分与用量!$C$2:$C$634,"S分项"))=""),"",(IF(COUNTIFS(评分与用量!$A$2:$A$634,$A6,评分与用量!$B$2:$B$634,"第二轮",评分与用量!$C$2:$C$634,"S分项")=0,"",SUMIFS(评分与用量!$E$2:$E$634,评分与用量!$A$2:$A$634,$A6,评分与用量!$B$2:$B$634,"第二轮",评分与用量!$C$2:$C$634,"S分项")))-(IF(COUNTIFS(评分与用量!$A$2:$A$634,$A6,评分与用量!$B$2:$B$634,"第一轮",评分与用量!$C$2:$C$634,"S分项")=0,"",SUMIFS(评分与用量!$E$2:$E$634,评分与用量!$A$2:$A$634,$A6,评分与用量!$B$2:$B$634,"第一轮",评分与用量!$C$2:$C$634,"S分项")))))))="","",IF($F$3="得分率",TEXT((IF($B$3="第一轮",IF(COUNTIFS(评分与用量!$A$2:$A$634,$A6,评分与用量!$B$2:$B$634,"第一轮",评分与用量!$C$2:$C$634,"S分项")=0,"",SUMIFS(评分与用量!$E$2:$E$634,评分与用量!$A$2:$A$634,$A6,评分与用量!$B$2:$B$634,"第一轮",评分与用量!$C$2:$C$634,"S分项")),IF($B$3="第二轮",IF(COUNTIFS(评分与用量!$A$2:$A$634,$A6,评分与用量!$B$2:$B$634,"第二轮",评分与用量!$C$2:$C$634,"S分项")=0,"",SUMIFS(评分与用量!$E$2:$E$634,评分与用量!$A$2:$A$634,$A6,评分与用量!$B$2:$B$634,"第二轮",评分与用量!$C$2:$C$634,"S分项")),IF(OR(IF(COUNTIFS(评分与用量!$A$2:$A$634,$A6,评分与用量!$B$2:$B$634,"第一轮",评分与用量!$C$2:$C$634,"S分项")=0,"",SUMIFS(评分与用量!$E$2:$E$634,评分与用量!$A$2:$A$634,$A6,评分与用量!$B$2:$B$634,"第一轮",评分与用量!$C$2:$C$634,"S分项"))="",IF(COUNTIFS(评分与用量!$A$2:$A$634,$A6,评分与用量!$B$2:$B$634,"第二轮",评分与用量!$C$2:$C$634,"S分项")=0,"",SUMIFS(评分与用量!$E$2:$E$634,评分与用量!$A$2:$A$634,$A6,评分与用量!$B$2:$B$634,"第二轮",评分与用量!$C$2:$C$634,"S分项"))=""),"",(IF(COUNTIFS(评分与用量!$A$2:$A$634,$A6,评分与用量!$B$2:$B$634,"第二轮",评分与用量!$C$2:$C$634,"S分项")=0,"",SUMIFS(评分与用量!$E$2:$E$634,评分与用量!$A$2:$A$634,$A6,评分与用量!$B$2:$B$634,"第二轮",评分与用量!$C$2:$C$634,"S分项")))-(IF(COUNTIFS(评分与用量!$A$2:$A$634,$A6,评分与用量!$B$2:$B$634,"第一轮",评分与用量!$C$2:$C$634,"S分项")=0,"",SUMIFS(评分与用量!$E$2:$E$634,评分与用量!$A$2:$A$634,$A6,评分与用量!$B$2:$B$634,"第一轮",评分与用量!$C$2:$C$634,"S分项")))))))/100,IF($B$3="两轮变化","+0.0%;-0.0%;0.0%","0.0%")),(IF($B$3="第一轮",IF(COUNTIFS(评分与用量!$A$2:$A$634,$A6,评分与用量!$B$2:$B$634,"第一轮",评分与用量!$C$2:$C$634,"S分项")=0,"",SUMIFS(评分与用量!$E$2:$E$634,评分与用量!$A$2:$A$634,$A6,评分与用量!$B$2:$B$634,"第一轮",评分与用量!$C$2:$C$634,"S分项")),IF($B$3="第二轮",IF(COUNTIFS(评分与用量!$A$2:$A$634,$A6,评分与用量!$B$2:$B$634,"第二轮",评分与用量!$C$2:$C$634,"S分项")=0,"",SUMIFS(评分与用量!$E$2:$E$634,评分与用量!$A$2:$A$634,$A6,评分与用量!$B$2:$B$634,"第二轮",评分与用量!$C$2:$C$634,"S分项")),IF(OR(IF(COUNTIFS(评分与用量!$A$2:$A$634,$A6,评分与用量!$B$2:$B$634,"第一轮",评分与用量!$C$2:$C$634,"S分项")=0,"",SUMIFS(评分与用量!$E$2:$E$634,评分与用量!$A$2:$A$634,$A6,评分与用量!$B$2:$B$634,"第一轮",评分与用量!$C$2:$C$634,"S分项"))="",IF(COUNTIFS(评分与用量!$A$2:$A$634,$A6,评分与用量!$B$2:$B$634,"第二轮",评分与用量!$C$2:$C$634,"S分项")=0,"",SUMIFS(评分与用量!$E$2:$E$634,评分与用量!$A$2:$A$634,$A6,评分与用量!$B$2:$B$634,"第二轮",评分与用量!$C$2:$C$634,"S分项"))=""),"",(IF(COUNTIFS(评分与用量!$A$2:$A$634,$A6,评分与用量!$B$2:$B$634,"第二轮",评分与用量!$C$2:$C$634,"S分项")=0,"",SUMIFS(评分与用量!$E$2:$E$634,评分与用量!$A$2:$A$634,$A6,评分与用量!$B$2:$B$634,"第二轮",评分与用量!$C$2:$C$634,"S分项")))-(IF(COUNTIFS(评分与用量!$A$2:$A$634,$A6,评分与用量!$B$2:$B$634,"第一轮",评分与用量!$C$2:$C$634,"S分项")=0,"",SUMIFS(评分与用量!$E$2:$E$634,评分与用量!$A$2:$A$634,$A6,评分与用量!$B$2:$B$634,"第一轮",评分与用量!$C$2:$C$634,"S分项")))))))))</f>
        <v>98.5</v>
      </c>
    </row>
    <row r="7" spans="1:8" ht="22.05" customHeight="1">
      <c r="A7" s="76" t="s">
        <v>13</v>
      </c>
      <c r="B7" s="77">
        <f>IF((IF($B$3="第一轮",IF(COUNTIFS(评分与用量!$A$2:$A$634,$A7,评分与用量!$B$2:$B$634,"第一轮",评分与用量!$C$2:$C$634,"S分项",评分与用量!$J$2:$J$634,"A*")=0,"",SUMIFS(评分与用量!$E$2:$E$634,评分与用量!$A$2:$A$634,$A7,评分与用量!$B$2:$B$634,"第一轮",评分与用量!$C$2:$C$634,"S分项",评分与用量!$J$2:$J$634,"A*")),IF($B$3="第二轮",IF(COUNTIFS(评分与用量!$A$2:$A$634,$A7,评分与用量!$B$2:$B$634,"第二轮",评分与用量!$C$2:$C$634,"S分项",评分与用量!$J$2:$J$634,"A*")=0,"",SUMIFS(评分与用量!$E$2:$E$634,评分与用量!$A$2:$A$634,$A7,评分与用量!$B$2:$B$634,"第二轮",评分与用量!$C$2:$C$634,"S分项",评分与用量!$J$2:$J$634,"A*")),IF(OR(IF(COUNTIFS(评分与用量!$A$2:$A$634,$A7,评分与用量!$B$2:$B$634,"第一轮",评分与用量!$C$2:$C$634,"S分项",评分与用量!$J$2:$J$634,"A*")=0,"",SUMIFS(评分与用量!$E$2:$E$634,评分与用量!$A$2:$A$634,$A7,评分与用量!$B$2:$B$634,"第一轮",评分与用量!$C$2:$C$634,"S分项",评分与用量!$J$2:$J$634,"A*"))="",IF(COUNTIFS(评分与用量!$A$2:$A$634,$A7,评分与用量!$B$2:$B$634,"第二轮",评分与用量!$C$2:$C$634,"S分项",评分与用量!$J$2:$J$634,"A*")=0,"",SUMIFS(评分与用量!$E$2:$E$634,评分与用量!$A$2:$A$634,$A7,评分与用量!$B$2:$B$634,"第二轮",评分与用量!$C$2:$C$634,"S分项",评分与用量!$J$2:$J$634,"A*"))=""),"",(IF(COUNTIFS(评分与用量!$A$2:$A$634,$A7,评分与用量!$B$2:$B$634,"第二轮",评分与用量!$C$2:$C$634,"S分项",评分与用量!$J$2:$J$634,"A*")=0,"",SUMIFS(评分与用量!$E$2:$E$634,评分与用量!$A$2:$A$634,$A7,评分与用量!$B$2:$B$634,"第二轮",评分与用量!$C$2:$C$634,"S分项",评分与用量!$J$2:$J$634,"A*")))-(IF(COUNTIFS(评分与用量!$A$2:$A$634,$A7,评分与用量!$B$2:$B$634,"第一轮",评分与用量!$C$2:$C$634,"S分项",评分与用量!$J$2:$J$634,"A*")=0,"",SUMIFS(评分与用量!$E$2:$E$634,评分与用量!$A$2:$A$634,$A7,评分与用量!$B$2:$B$634,"第一轮",评分与用量!$C$2:$C$634,"S分项",评分与用量!$J$2:$J$634,"A*")))))))="","",IF($F$3="得分率",TEXT((IF($B$3="第一轮",IF(COUNTIFS(评分与用量!$A$2:$A$634,$A7,评分与用量!$B$2:$B$634,"第一轮",评分与用量!$C$2:$C$634,"S分项",评分与用量!$J$2:$J$634,"A*")=0,"",SUMIFS(评分与用量!$E$2:$E$634,评分与用量!$A$2:$A$634,$A7,评分与用量!$B$2:$B$634,"第一轮",评分与用量!$C$2:$C$634,"S分项",评分与用量!$J$2:$J$634,"A*")),IF($B$3="第二轮",IF(COUNTIFS(评分与用量!$A$2:$A$634,$A7,评分与用量!$B$2:$B$634,"第二轮",评分与用量!$C$2:$C$634,"S分项",评分与用量!$J$2:$J$634,"A*")=0,"",SUMIFS(评分与用量!$E$2:$E$634,评分与用量!$A$2:$A$634,$A7,评分与用量!$B$2:$B$634,"第二轮",评分与用量!$C$2:$C$634,"S分项",评分与用量!$J$2:$J$634,"A*")),IF(OR(IF(COUNTIFS(评分与用量!$A$2:$A$634,$A7,评分与用量!$B$2:$B$634,"第一轮",评分与用量!$C$2:$C$634,"S分项",评分与用量!$J$2:$J$634,"A*")=0,"",SUMIFS(评分与用量!$E$2:$E$634,评分与用量!$A$2:$A$634,$A7,评分与用量!$B$2:$B$634,"第一轮",评分与用量!$C$2:$C$634,"S分项",评分与用量!$J$2:$J$634,"A*"))="",IF(COUNTIFS(评分与用量!$A$2:$A$634,$A7,评分与用量!$B$2:$B$634,"第二轮",评分与用量!$C$2:$C$634,"S分项",评分与用量!$J$2:$J$634,"A*")=0,"",SUMIFS(评分与用量!$E$2:$E$634,评分与用量!$A$2:$A$634,$A7,评分与用量!$B$2:$B$634,"第二轮",评分与用量!$C$2:$C$634,"S分项",评分与用量!$J$2:$J$634,"A*"))=""),"",(IF(COUNTIFS(评分与用量!$A$2:$A$634,$A7,评分与用量!$B$2:$B$634,"第二轮",评分与用量!$C$2:$C$634,"S分项",评分与用量!$J$2:$J$634,"A*")=0,"",SUMIFS(评分与用量!$E$2:$E$634,评分与用量!$A$2:$A$634,$A7,评分与用量!$B$2:$B$634,"第二轮",评分与用量!$C$2:$C$634,"S分项",评分与用量!$J$2:$J$634,"A*")))-(IF(COUNTIFS(评分与用量!$A$2:$A$634,$A7,评分与用量!$B$2:$B$634,"第一轮",评分与用量!$C$2:$C$634,"S分项",评分与用量!$J$2:$J$634,"A*")=0,"",SUMIFS(评分与用量!$E$2:$E$634,评分与用量!$A$2:$A$634,$A7,评分与用量!$B$2:$B$634,"第一轮",评分与用量!$C$2:$C$634,"S分项",评分与用量!$J$2:$J$634,"A*")))))))/15,IF($B$3="两轮变化","+0.0%;-0.0%;0.0%","0.0%")),(IF($B$3="第一轮",IF(COUNTIFS(评分与用量!$A$2:$A$634,$A7,评分与用量!$B$2:$B$634,"第一轮",评分与用量!$C$2:$C$634,"S分项",评分与用量!$J$2:$J$634,"A*")=0,"",SUMIFS(评分与用量!$E$2:$E$634,评分与用量!$A$2:$A$634,$A7,评分与用量!$B$2:$B$634,"第一轮",评分与用量!$C$2:$C$634,"S分项",评分与用量!$J$2:$J$634,"A*")),IF($B$3="第二轮",IF(COUNTIFS(评分与用量!$A$2:$A$634,$A7,评分与用量!$B$2:$B$634,"第二轮",评分与用量!$C$2:$C$634,"S分项",评分与用量!$J$2:$J$634,"A*")=0,"",SUMIFS(评分与用量!$E$2:$E$634,评分与用量!$A$2:$A$634,$A7,评分与用量!$B$2:$B$634,"第二轮",评分与用量!$C$2:$C$634,"S分项",评分与用量!$J$2:$J$634,"A*")),IF(OR(IF(COUNTIFS(评分与用量!$A$2:$A$634,$A7,评分与用量!$B$2:$B$634,"第一轮",评分与用量!$C$2:$C$634,"S分项",评分与用量!$J$2:$J$634,"A*")=0,"",SUMIFS(评分与用量!$E$2:$E$634,评分与用量!$A$2:$A$634,$A7,评分与用量!$B$2:$B$634,"第一轮",评分与用量!$C$2:$C$634,"S分项",评分与用量!$J$2:$J$634,"A*"))="",IF(COUNTIFS(评分与用量!$A$2:$A$634,$A7,评分与用量!$B$2:$B$634,"第二轮",评分与用量!$C$2:$C$634,"S分项",评分与用量!$J$2:$J$634,"A*")=0,"",SUMIFS(评分与用量!$E$2:$E$634,评分与用量!$A$2:$A$634,$A7,评分与用量!$B$2:$B$634,"第二轮",评分与用量!$C$2:$C$634,"S分项",评分与用量!$J$2:$J$634,"A*"))=""),"",(IF(COUNTIFS(评分与用量!$A$2:$A$634,$A7,评分与用量!$B$2:$B$634,"第二轮",评分与用量!$C$2:$C$634,"S分项",评分与用量!$J$2:$J$634,"A*")=0,"",SUMIFS(评分与用量!$E$2:$E$634,评分与用量!$A$2:$A$634,$A7,评分与用量!$B$2:$B$634,"第二轮",评分与用量!$C$2:$C$634,"S分项",评分与用量!$J$2:$J$634,"A*")))-(IF(COUNTIFS(评分与用量!$A$2:$A$634,$A7,评分与用量!$B$2:$B$634,"第一轮",评分与用量!$C$2:$C$634,"S分项",评分与用量!$J$2:$J$634,"A*")=0,"",SUMIFS(评分与用量!$E$2:$E$634,评分与用量!$A$2:$A$634,$A7,评分与用量!$B$2:$B$634,"第一轮",评分与用量!$C$2:$C$634,"S分项",评分与用量!$J$2:$J$634,"A*")))))))))</f>
        <v>13</v>
      </c>
      <c r="C7" s="77">
        <f>IF((IF($B$3="第一轮",IF(COUNTIFS(评分与用量!$A$2:$A$634,$A7,评分与用量!$B$2:$B$634,"第一轮",评分与用量!$C$2:$C$634,"S分项",评分与用量!$J$2:$J$634,"B*")=0,"",SUMIFS(评分与用量!$E$2:$E$634,评分与用量!$A$2:$A$634,$A7,评分与用量!$B$2:$B$634,"第一轮",评分与用量!$C$2:$C$634,"S分项",评分与用量!$J$2:$J$634,"B*")),IF($B$3="第二轮",IF(COUNTIFS(评分与用量!$A$2:$A$634,$A7,评分与用量!$B$2:$B$634,"第二轮",评分与用量!$C$2:$C$634,"S分项",评分与用量!$J$2:$J$634,"B*")=0,"",SUMIFS(评分与用量!$E$2:$E$634,评分与用量!$A$2:$A$634,$A7,评分与用量!$B$2:$B$634,"第二轮",评分与用量!$C$2:$C$634,"S分项",评分与用量!$J$2:$J$634,"B*")),IF(OR(IF(COUNTIFS(评分与用量!$A$2:$A$634,$A7,评分与用量!$B$2:$B$634,"第一轮",评分与用量!$C$2:$C$634,"S分项",评分与用量!$J$2:$J$634,"B*")=0,"",SUMIFS(评分与用量!$E$2:$E$634,评分与用量!$A$2:$A$634,$A7,评分与用量!$B$2:$B$634,"第一轮",评分与用量!$C$2:$C$634,"S分项",评分与用量!$J$2:$J$634,"B*"))="",IF(COUNTIFS(评分与用量!$A$2:$A$634,$A7,评分与用量!$B$2:$B$634,"第二轮",评分与用量!$C$2:$C$634,"S分项",评分与用量!$J$2:$J$634,"B*")=0,"",SUMIFS(评分与用量!$E$2:$E$634,评分与用量!$A$2:$A$634,$A7,评分与用量!$B$2:$B$634,"第二轮",评分与用量!$C$2:$C$634,"S分项",评分与用量!$J$2:$J$634,"B*"))=""),"",(IF(COUNTIFS(评分与用量!$A$2:$A$634,$A7,评分与用量!$B$2:$B$634,"第二轮",评分与用量!$C$2:$C$634,"S分项",评分与用量!$J$2:$J$634,"B*")=0,"",SUMIFS(评分与用量!$E$2:$E$634,评分与用量!$A$2:$A$634,$A7,评分与用量!$B$2:$B$634,"第二轮",评分与用量!$C$2:$C$634,"S分项",评分与用量!$J$2:$J$634,"B*")))-(IF(COUNTIFS(评分与用量!$A$2:$A$634,$A7,评分与用量!$B$2:$B$634,"第一轮",评分与用量!$C$2:$C$634,"S分项",评分与用量!$J$2:$J$634,"B*")=0,"",SUMIFS(评分与用量!$E$2:$E$634,评分与用量!$A$2:$A$634,$A7,评分与用量!$B$2:$B$634,"第一轮",评分与用量!$C$2:$C$634,"S分项",评分与用量!$J$2:$J$634,"B*")))))))="","",IF($F$3="得分率",TEXT((IF($B$3="第一轮",IF(COUNTIFS(评分与用量!$A$2:$A$634,$A7,评分与用量!$B$2:$B$634,"第一轮",评分与用量!$C$2:$C$634,"S分项",评分与用量!$J$2:$J$634,"B*")=0,"",SUMIFS(评分与用量!$E$2:$E$634,评分与用量!$A$2:$A$634,$A7,评分与用量!$B$2:$B$634,"第一轮",评分与用量!$C$2:$C$634,"S分项",评分与用量!$J$2:$J$634,"B*")),IF($B$3="第二轮",IF(COUNTIFS(评分与用量!$A$2:$A$634,$A7,评分与用量!$B$2:$B$634,"第二轮",评分与用量!$C$2:$C$634,"S分项",评分与用量!$J$2:$J$634,"B*")=0,"",SUMIFS(评分与用量!$E$2:$E$634,评分与用量!$A$2:$A$634,$A7,评分与用量!$B$2:$B$634,"第二轮",评分与用量!$C$2:$C$634,"S分项",评分与用量!$J$2:$J$634,"B*")),IF(OR(IF(COUNTIFS(评分与用量!$A$2:$A$634,$A7,评分与用量!$B$2:$B$634,"第一轮",评分与用量!$C$2:$C$634,"S分项",评分与用量!$J$2:$J$634,"B*")=0,"",SUMIFS(评分与用量!$E$2:$E$634,评分与用量!$A$2:$A$634,$A7,评分与用量!$B$2:$B$634,"第一轮",评分与用量!$C$2:$C$634,"S分项",评分与用量!$J$2:$J$634,"B*"))="",IF(COUNTIFS(评分与用量!$A$2:$A$634,$A7,评分与用量!$B$2:$B$634,"第二轮",评分与用量!$C$2:$C$634,"S分项",评分与用量!$J$2:$J$634,"B*")=0,"",SUMIFS(评分与用量!$E$2:$E$634,评分与用量!$A$2:$A$634,$A7,评分与用量!$B$2:$B$634,"第二轮",评分与用量!$C$2:$C$634,"S分项",评分与用量!$J$2:$J$634,"B*"))=""),"",(IF(COUNTIFS(评分与用量!$A$2:$A$634,$A7,评分与用量!$B$2:$B$634,"第二轮",评分与用量!$C$2:$C$634,"S分项",评分与用量!$J$2:$J$634,"B*")=0,"",SUMIFS(评分与用量!$E$2:$E$634,评分与用量!$A$2:$A$634,$A7,评分与用量!$B$2:$B$634,"第二轮",评分与用量!$C$2:$C$634,"S分项",评分与用量!$J$2:$J$634,"B*")))-(IF(COUNTIFS(评分与用量!$A$2:$A$634,$A7,评分与用量!$B$2:$B$634,"第一轮",评分与用量!$C$2:$C$634,"S分项",评分与用量!$J$2:$J$634,"B*")=0,"",SUMIFS(评分与用量!$E$2:$E$634,评分与用量!$A$2:$A$634,$A7,评分与用量!$B$2:$B$634,"第一轮",评分与用量!$C$2:$C$634,"S分项",评分与用量!$J$2:$J$634,"B*")))))))/20,IF($B$3="两轮变化","+0.0%;-0.0%;0.0%","0.0%")),(IF($B$3="第一轮",IF(COUNTIFS(评分与用量!$A$2:$A$634,$A7,评分与用量!$B$2:$B$634,"第一轮",评分与用量!$C$2:$C$634,"S分项",评分与用量!$J$2:$J$634,"B*")=0,"",SUMIFS(评分与用量!$E$2:$E$634,评分与用量!$A$2:$A$634,$A7,评分与用量!$B$2:$B$634,"第一轮",评分与用量!$C$2:$C$634,"S分项",评分与用量!$J$2:$J$634,"B*")),IF($B$3="第二轮",IF(COUNTIFS(评分与用量!$A$2:$A$634,$A7,评分与用量!$B$2:$B$634,"第二轮",评分与用量!$C$2:$C$634,"S分项",评分与用量!$J$2:$J$634,"B*")=0,"",SUMIFS(评分与用量!$E$2:$E$634,评分与用量!$A$2:$A$634,$A7,评分与用量!$B$2:$B$634,"第二轮",评分与用量!$C$2:$C$634,"S分项",评分与用量!$J$2:$J$634,"B*")),IF(OR(IF(COUNTIFS(评分与用量!$A$2:$A$634,$A7,评分与用量!$B$2:$B$634,"第一轮",评分与用量!$C$2:$C$634,"S分项",评分与用量!$J$2:$J$634,"B*")=0,"",SUMIFS(评分与用量!$E$2:$E$634,评分与用量!$A$2:$A$634,$A7,评分与用量!$B$2:$B$634,"第一轮",评分与用量!$C$2:$C$634,"S分项",评分与用量!$J$2:$J$634,"B*"))="",IF(COUNTIFS(评分与用量!$A$2:$A$634,$A7,评分与用量!$B$2:$B$634,"第二轮",评分与用量!$C$2:$C$634,"S分项",评分与用量!$J$2:$J$634,"B*")=0,"",SUMIFS(评分与用量!$E$2:$E$634,评分与用量!$A$2:$A$634,$A7,评分与用量!$B$2:$B$634,"第二轮",评分与用量!$C$2:$C$634,"S分项",评分与用量!$J$2:$J$634,"B*"))=""),"",(IF(COUNTIFS(评分与用量!$A$2:$A$634,$A7,评分与用量!$B$2:$B$634,"第二轮",评分与用量!$C$2:$C$634,"S分项",评分与用量!$J$2:$J$634,"B*")=0,"",SUMIFS(评分与用量!$E$2:$E$634,评分与用量!$A$2:$A$634,$A7,评分与用量!$B$2:$B$634,"第二轮",评分与用量!$C$2:$C$634,"S分项",评分与用量!$J$2:$J$634,"B*")))-(IF(COUNTIFS(评分与用量!$A$2:$A$634,$A7,评分与用量!$B$2:$B$634,"第一轮",评分与用量!$C$2:$C$634,"S分项",评分与用量!$J$2:$J$634,"B*")=0,"",SUMIFS(评分与用量!$E$2:$E$634,评分与用量!$A$2:$A$634,$A7,评分与用量!$B$2:$B$634,"第一轮",评分与用量!$C$2:$C$634,"S分项",评分与用量!$J$2:$J$634,"B*")))))))))</f>
        <v>19</v>
      </c>
      <c r="D7" s="77">
        <f>IF((IF($B$3="第一轮",IF(COUNTIFS(评分与用量!$A$2:$A$634,$A7,评分与用量!$B$2:$B$634,"第一轮",评分与用量!$C$2:$C$634,"S分项",评分与用量!$J$2:$J$634,"C*")=0,"",SUMIFS(评分与用量!$E$2:$E$634,评分与用量!$A$2:$A$634,$A7,评分与用量!$B$2:$B$634,"第一轮",评分与用量!$C$2:$C$634,"S分项",评分与用量!$J$2:$J$634,"C*")),IF($B$3="第二轮",IF(COUNTIFS(评分与用量!$A$2:$A$634,$A7,评分与用量!$B$2:$B$634,"第二轮",评分与用量!$C$2:$C$634,"S分项",评分与用量!$J$2:$J$634,"C*")=0,"",SUMIFS(评分与用量!$E$2:$E$634,评分与用量!$A$2:$A$634,$A7,评分与用量!$B$2:$B$634,"第二轮",评分与用量!$C$2:$C$634,"S分项",评分与用量!$J$2:$J$634,"C*")),IF(OR(IF(COUNTIFS(评分与用量!$A$2:$A$634,$A7,评分与用量!$B$2:$B$634,"第一轮",评分与用量!$C$2:$C$634,"S分项",评分与用量!$J$2:$J$634,"C*")=0,"",SUMIFS(评分与用量!$E$2:$E$634,评分与用量!$A$2:$A$634,$A7,评分与用量!$B$2:$B$634,"第一轮",评分与用量!$C$2:$C$634,"S分项",评分与用量!$J$2:$J$634,"C*"))="",IF(COUNTIFS(评分与用量!$A$2:$A$634,$A7,评分与用量!$B$2:$B$634,"第二轮",评分与用量!$C$2:$C$634,"S分项",评分与用量!$J$2:$J$634,"C*")=0,"",SUMIFS(评分与用量!$E$2:$E$634,评分与用量!$A$2:$A$634,$A7,评分与用量!$B$2:$B$634,"第二轮",评分与用量!$C$2:$C$634,"S分项",评分与用量!$J$2:$J$634,"C*"))=""),"",(IF(COUNTIFS(评分与用量!$A$2:$A$634,$A7,评分与用量!$B$2:$B$634,"第二轮",评分与用量!$C$2:$C$634,"S分项",评分与用量!$J$2:$J$634,"C*")=0,"",SUMIFS(评分与用量!$E$2:$E$634,评分与用量!$A$2:$A$634,$A7,评分与用量!$B$2:$B$634,"第二轮",评分与用量!$C$2:$C$634,"S分项",评分与用量!$J$2:$J$634,"C*")))-(IF(COUNTIFS(评分与用量!$A$2:$A$634,$A7,评分与用量!$B$2:$B$634,"第一轮",评分与用量!$C$2:$C$634,"S分项",评分与用量!$J$2:$J$634,"C*")=0,"",SUMIFS(评分与用量!$E$2:$E$634,评分与用量!$A$2:$A$634,$A7,评分与用量!$B$2:$B$634,"第一轮",评分与用量!$C$2:$C$634,"S分项",评分与用量!$J$2:$J$634,"C*")))))))="","",IF($F$3="得分率",TEXT((IF($B$3="第一轮",IF(COUNTIFS(评分与用量!$A$2:$A$634,$A7,评分与用量!$B$2:$B$634,"第一轮",评分与用量!$C$2:$C$634,"S分项",评分与用量!$J$2:$J$634,"C*")=0,"",SUMIFS(评分与用量!$E$2:$E$634,评分与用量!$A$2:$A$634,$A7,评分与用量!$B$2:$B$634,"第一轮",评分与用量!$C$2:$C$634,"S分项",评分与用量!$J$2:$J$634,"C*")),IF($B$3="第二轮",IF(COUNTIFS(评分与用量!$A$2:$A$634,$A7,评分与用量!$B$2:$B$634,"第二轮",评分与用量!$C$2:$C$634,"S分项",评分与用量!$J$2:$J$634,"C*")=0,"",SUMIFS(评分与用量!$E$2:$E$634,评分与用量!$A$2:$A$634,$A7,评分与用量!$B$2:$B$634,"第二轮",评分与用量!$C$2:$C$634,"S分项",评分与用量!$J$2:$J$634,"C*")),IF(OR(IF(COUNTIFS(评分与用量!$A$2:$A$634,$A7,评分与用量!$B$2:$B$634,"第一轮",评分与用量!$C$2:$C$634,"S分项",评分与用量!$J$2:$J$634,"C*")=0,"",SUMIFS(评分与用量!$E$2:$E$634,评分与用量!$A$2:$A$634,$A7,评分与用量!$B$2:$B$634,"第一轮",评分与用量!$C$2:$C$634,"S分项",评分与用量!$J$2:$J$634,"C*"))="",IF(COUNTIFS(评分与用量!$A$2:$A$634,$A7,评分与用量!$B$2:$B$634,"第二轮",评分与用量!$C$2:$C$634,"S分项",评分与用量!$J$2:$J$634,"C*")=0,"",SUMIFS(评分与用量!$E$2:$E$634,评分与用量!$A$2:$A$634,$A7,评分与用量!$B$2:$B$634,"第二轮",评分与用量!$C$2:$C$634,"S分项",评分与用量!$J$2:$J$634,"C*"))=""),"",(IF(COUNTIFS(评分与用量!$A$2:$A$634,$A7,评分与用量!$B$2:$B$634,"第二轮",评分与用量!$C$2:$C$634,"S分项",评分与用量!$J$2:$J$634,"C*")=0,"",SUMIFS(评分与用量!$E$2:$E$634,评分与用量!$A$2:$A$634,$A7,评分与用量!$B$2:$B$634,"第二轮",评分与用量!$C$2:$C$634,"S分项",评分与用量!$J$2:$J$634,"C*")))-(IF(COUNTIFS(评分与用量!$A$2:$A$634,$A7,评分与用量!$B$2:$B$634,"第一轮",评分与用量!$C$2:$C$634,"S分项",评分与用量!$J$2:$J$634,"C*")=0,"",SUMIFS(评分与用量!$E$2:$E$634,评分与用量!$A$2:$A$634,$A7,评分与用量!$B$2:$B$634,"第一轮",评分与用量!$C$2:$C$634,"S分项",评分与用量!$J$2:$J$634,"C*")))))))/20,IF($B$3="两轮变化","+0.0%;-0.0%;0.0%","0.0%")),(IF($B$3="第一轮",IF(COUNTIFS(评分与用量!$A$2:$A$634,$A7,评分与用量!$B$2:$B$634,"第一轮",评分与用量!$C$2:$C$634,"S分项",评分与用量!$J$2:$J$634,"C*")=0,"",SUMIFS(评分与用量!$E$2:$E$634,评分与用量!$A$2:$A$634,$A7,评分与用量!$B$2:$B$634,"第一轮",评分与用量!$C$2:$C$634,"S分项",评分与用量!$J$2:$J$634,"C*")),IF($B$3="第二轮",IF(COUNTIFS(评分与用量!$A$2:$A$634,$A7,评分与用量!$B$2:$B$634,"第二轮",评分与用量!$C$2:$C$634,"S分项",评分与用量!$J$2:$J$634,"C*")=0,"",SUMIFS(评分与用量!$E$2:$E$634,评分与用量!$A$2:$A$634,$A7,评分与用量!$B$2:$B$634,"第二轮",评分与用量!$C$2:$C$634,"S分项",评分与用量!$J$2:$J$634,"C*")),IF(OR(IF(COUNTIFS(评分与用量!$A$2:$A$634,$A7,评分与用量!$B$2:$B$634,"第一轮",评分与用量!$C$2:$C$634,"S分项",评分与用量!$J$2:$J$634,"C*")=0,"",SUMIFS(评分与用量!$E$2:$E$634,评分与用量!$A$2:$A$634,$A7,评分与用量!$B$2:$B$634,"第一轮",评分与用量!$C$2:$C$634,"S分项",评分与用量!$J$2:$J$634,"C*"))="",IF(COUNTIFS(评分与用量!$A$2:$A$634,$A7,评分与用量!$B$2:$B$634,"第二轮",评分与用量!$C$2:$C$634,"S分项",评分与用量!$J$2:$J$634,"C*")=0,"",SUMIFS(评分与用量!$E$2:$E$634,评分与用量!$A$2:$A$634,$A7,评分与用量!$B$2:$B$634,"第二轮",评分与用量!$C$2:$C$634,"S分项",评分与用量!$J$2:$J$634,"C*"))=""),"",(IF(COUNTIFS(评分与用量!$A$2:$A$634,$A7,评分与用量!$B$2:$B$634,"第二轮",评分与用量!$C$2:$C$634,"S分项",评分与用量!$J$2:$J$634,"C*")=0,"",SUMIFS(评分与用量!$E$2:$E$634,评分与用量!$A$2:$A$634,$A7,评分与用量!$B$2:$B$634,"第二轮",评分与用量!$C$2:$C$634,"S分项",评分与用量!$J$2:$J$634,"C*")))-(IF(COUNTIFS(评分与用量!$A$2:$A$634,$A7,评分与用量!$B$2:$B$634,"第一轮",评分与用量!$C$2:$C$634,"S分项",评分与用量!$J$2:$J$634,"C*")=0,"",SUMIFS(评分与用量!$E$2:$E$634,评分与用量!$A$2:$A$634,$A7,评分与用量!$B$2:$B$634,"第一轮",评分与用量!$C$2:$C$634,"S分项",评分与用量!$J$2:$J$634,"C*")))))))))</f>
        <v>19.25</v>
      </c>
      <c r="E7" s="77">
        <f>IF((IF($B$3="第一轮",IF(COUNTIFS(评分与用量!$A$2:$A$634,$A7,评分与用量!$B$2:$B$634,"第一轮",评分与用量!$C$2:$C$634,"S分项",评分与用量!$J$2:$J$634,"D*")=0,"",SUMIFS(评分与用量!$E$2:$E$634,评分与用量!$A$2:$A$634,$A7,评分与用量!$B$2:$B$634,"第一轮",评分与用量!$C$2:$C$634,"S分项",评分与用量!$J$2:$J$634,"D*")),IF($B$3="第二轮",IF(COUNTIFS(评分与用量!$A$2:$A$634,$A7,评分与用量!$B$2:$B$634,"第二轮",评分与用量!$C$2:$C$634,"S分项",评分与用量!$J$2:$J$634,"D*")=0,"",SUMIFS(评分与用量!$E$2:$E$634,评分与用量!$A$2:$A$634,$A7,评分与用量!$B$2:$B$634,"第二轮",评分与用量!$C$2:$C$634,"S分项",评分与用量!$J$2:$J$634,"D*")),IF(OR(IF(COUNTIFS(评分与用量!$A$2:$A$634,$A7,评分与用量!$B$2:$B$634,"第一轮",评分与用量!$C$2:$C$634,"S分项",评分与用量!$J$2:$J$634,"D*")=0,"",SUMIFS(评分与用量!$E$2:$E$634,评分与用量!$A$2:$A$634,$A7,评分与用量!$B$2:$B$634,"第一轮",评分与用量!$C$2:$C$634,"S分项",评分与用量!$J$2:$J$634,"D*"))="",IF(COUNTIFS(评分与用量!$A$2:$A$634,$A7,评分与用量!$B$2:$B$634,"第二轮",评分与用量!$C$2:$C$634,"S分项",评分与用量!$J$2:$J$634,"D*")=0,"",SUMIFS(评分与用量!$E$2:$E$634,评分与用量!$A$2:$A$634,$A7,评分与用量!$B$2:$B$634,"第二轮",评分与用量!$C$2:$C$634,"S分项",评分与用量!$J$2:$J$634,"D*"))=""),"",(IF(COUNTIFS(评分与用量!$A$2:$A$634,$A7,评分与用量!$B$2:$B$634,"第二轮",评分与用量!$C$2:$C$634,"S分项",评分与用量!$J$2:$J$634,"D*")=0,"",SUMIFS(评分与用量!$E$2:$E$634,评分与用量!$A$2:$A$634,$A7,评分与用量!$B$2:$B$634,"第二轮",评分与用量!$C$2:$C$634,"S分项",评分与用量!$J$2:$J$634,"D*")))-(IF(COUNTIFS(评分与用量!$A$2:$A$634,$A7,评分与用量!$B$2:$B$634,"第一轮",评分与用量!$C$2:$C$634,"S分项",评分与用量!$J$2:$J$634,"D*")=0,"",SUMIFS(评分与用量!$E$2:$E$634,评分与用量!$A$2:$A$634,$A7,评分与用量!$B$2:$B$634,"第一轮",评分与用量!$C$2:$C$634,"S分项",评分与用量!$J$2:$J$634,"D*")))))))="","",IF($F$3="得分率",TEXT((IF($B$3="第一轮",IF(COUNTIFS(评分与用量!$A$2:$A$634,$A7,评分与用量!$B$2:$B$634,"第一轮",评分与用量!$C$2:$C$634,"S分项",评分与用量!$J$2:$J$634,"D*")=0,"",SUMIFS(评分与用量!$E$2:$E$634,评分与用量!$A$2:$A$634,$A7,评分与用量!$B$2:$B$634,"第一轮",评分与用量!$C$2:$C$634,"S分项",评分与用量!$J$2:$J$634,"D*")),IF($B$3="第二轮",IF(COUNTIFS(评分与用量!$A$2:$A$634,$A7,评分与用量!$B$2:$B$634,"第二轮",评分与用量!$C$2:$C$634,"S分项",评分与用量!$J$2:$J$634,"D*")=0,"",SUMIFS(评分与用量!$E$2:$E$634,评分与用量!$A$2:$A$634,$A7,评分与用量!$B$2:$B$634,"第二轮",评分与用量!$C$2:$C$634,"S分项",评分与用量!$J$2:$J$634,"D*")),IF(OR(IF(COUNTIFS(评分与用量!$A$2:$A$634,$A7,评分与用量!$B$2:$B$634,"第一轮",评分与用量!$C$2:$C$634,"S分项",评分与用量!$J$2:$J$634,"D*")=0,"",SUMIFS(评分与用量!$E$2:$E$634,评分与用量!$A$2:$A$634,$A7,评分与用量!$B$2:$B$634,"第一轮",评分与用量!$C$2:$C$634,"S分项",评分与用量!$J$2:$J$634,"D*"))="",IF(COUNTIFS(评分与用量!$A$2:$A$634,$A7,评分与用量!$B$2:$B$634,"第二轮",评分与用量!$C$2:$C$634,"S分项",评分与用量!$J$2:$J$634,"D*")=0,"",SUMIFS(评分与用量!$E$2:$E$634,评分与用量!$A$2:$A$634,$A7,评分与用量!$B$2:$B$634,"第二轮",评分与用量!$C$2:$C$634,"S分项",评分与用量!$J$2:$J$634,"D*"))=""),"",(IF(COUNTIFS(评分与用量!$A$2:$A$634,$A7,评分与用量!$B$2:$B$634,"第二轮",评分与用量!$C$2:$C$634,"S分项",评分与用量!$J$2:$J$634,"D*")=0,"",SUMIFS(评分与用量!$E$2:$E$634,评分与用量!$A$2:$A$634,$A7,评分与用量!$B$2:$B$634,"第二轮",评分与用量!$C$2:$C$634,"S分项",评分与用量!$J$2:$J$634,"D*")))-(IF(COUNTIFS(评分与用量!$A$2:$A$634,$A7,评分与用量!$B$2:$B$634,"第一轮",评分与用量!$C$2:$C$634,"S分项",评分与用量!$J$2:$J$634,"D*")=0,"",SUMIFS(评分与用量!$E$2:$E$634,评分与用量!$A$2:$A$634,$A7,评分与用量!$B$2:$B$634,"第一轮",评分与用量!$C$2:$C$634,"S分项",评分与用量!$J$2:$J$634,"D*")))))))/25,IF($B$3="两轮变化","+0.0%;-0.0%;0.0%","0.0%")),(IF($B$3="第一轮",IF(COUNTIFS(评分与用量!$A$2:$A$634,$A7,评分与用量!$B$2:$B$634,"第一轮",评分与用量!$C$2:$C$634,"S分项",评分与用量!$J$2:$J$634,"D*")=0,"",SUMIFS(评分与用量!$E$2:$E$634,评分与用量!$A$2:$A$634,$A7,评分与用量!$B$2:$B$634,"第一轮",评分与用量!$C$2:$C$634,"S分项",评分与用量!$J$2:$J$634,"D*")),IF($B$3="第二轮",IF(COUNTIFS(评分与用量!$A$2:$A$634,$A7,评分与用量!$B$2:$B$634,"第二轮",评分与用量!$C$2:$C$634,"S分项",评分与用量!$J$2:$J$634,"D*")=0,"",SUMIFS(评分与用量!$E$2:$E$634,评分与用量!$A$2:$A$634,$A7,评分与用量!$B$2:$B$634,"第二轮",评分与用量!$C$2:$C$634,"S分项",评分与用量!$J$2:$J$634,"D*")),IF(OR(IF(COUNTIFS(评分与用量!$A$2:$A$634,$A7,评分与用量!$B$2:$B$634,"第一轮",评分与用量!$C$2:$C$634,"S分项",评分与用量!$J$2:$J$634,"D*")=0,"",SUMIFS(评分与用量!$E$2:$E$634,评分与用量!$A$2:$A$634,$A7,评分与用量!$B$2:$B$634,"第一轮",评分与用量!$C$2:$C$634,"S分项",评分与用量!$J$2:$J$634,"D*"))="",IF(COUNTIFS(评分与用量!$A$2:$A$634,$A7,评分与用量!$B$2:$B$634,"第二轮",评分与用量!$C$2:$C$634,"S分项",评分与用量!$J$2:$J$634,"D*")=0,"",SUMIFS(评分与用量!$E$2:$E$634,评分与用量!$A$2:$A$634,$A7,评分与用量!$B$2:$B$634,"第二轮",评分与用量!$C$2:$C$634,"S分项",评分与用量!$J$2:$J$634,"D*"))=""),"",(IF(COUNTIFS(评分与用量!$A$2:$A$634,$A7,评分与用量!$B$2:$B$634,"第二轮",评分与用量!$C$2:$C$634,"S分项",评分与用量!$J$2:$J$634,"D*")=0,"",SUMIFS(评分与用量!$E$2:$E$634,评分与用量!$A$2:$A$634,$A7,评分与用量!$B$2:$B$634,"第二轮",评分与用量!$C$2:$C$634,"S分项",评分与用量!$J$2:$J$634,"D*")))-(IF(COUNTIFS(评分与用量!$A$2:$A$634,$A7,评分与用量!$B$2:$B$634,"第一轮",评分与用量!$C$2:$C$634,"S分项",评分与用量!$J$2:$J$634,"D*")=0,"",SUMIFS(评分与用量!$E$2:$E$634,评分与用量!$A$2:$A$634,$A7,评分与用量!$B$2:$B$634,"第一轮",评分与用量!$C$2:$C$634,"S分项",评分与用量!$J$2:$J$634,"D*")))))))))</f>
        <v>17</v>
      </c>
      <c r="F7" s="77">
        <f>IF((IF($B$3="第一轮",IF(COUNTIFS(评分与用量!$A$2:$A$634,$A7,评分与用量!$B$2:$B$634,"第一轮",评分与用量!$C$2:$C$634,"S分项",评分与用量!$J$2:$J$634,"E*")=0,"",SUMIFS(评分与用量!$E$2:$E$634,评分与用量!$A$2:$A$634,$A7,评分与用量!$B$2:$B$634,"第一轮",评分与用量!$C$2:$C$634,"S分项",评分与用量!$J$2:$J$634,"E*")),IF($B$3="第二轮",IF(COUNTIFS(评分与用量!$A$2:$A$634,$A7,评分与用量!$B$2:$B$634,"第二轮",评分与用量!$C$2:$C$634,"S分项",评分与用量!$J$2:$J$634,"E*")=0,"",SUMIFS(评分与用量!$E$2:$E$634,评分与用量!$A$2:$A$634,$A7,评分与用量!$B$2:$B$634,"第二轮",评分与用量!$C$2:$C$634,"S分项",评分与用量!$J$2:$J$634,"E*")),IF(OR(IF(COUNTIFS(评分与用量!$A$2:$A$634,$A7,评分与用量!$B$2:$B$634,"第一轮",评分与用量!$C$2:$C$634,"S分项",评分与用量!$J$2:$J$634,"E*")=0,"",SUMIFS(评分与用量!$E$2:$E$634,评分与用量!$A$2:$A$634,$A7,评分与用量!$B$2:$B$634,"第一轮",评分与用量!$C$2:$C$634,"S分项",评分与用量!$J$2:$J$634,"E*"))="",IF(COUNTIFS(评分与用量!$A$2:$A$634,$A7,评分与用量!$B$2:$B$634,"第二轮",评分与用量!$C$2:$C$634,"S分项",评分与用量!$J$2:$J$634,"E*")=0,"",SUMIFS(评分与用量!$E$2:$E$634,评分与用量!$A$2:$A$634,$A7,评分与用量!$B$2:$B$634,"第二轮",评分与用量!$C$2:$C$634,"S分项",评分与用量!$J$2:$J$634,"E*"))=""),"",(IF(COUNTIFS(评分与用量!$A$2:$A$634,$A7,评分与用量!$B$2:$B$634,"第二轮",评分与用量!$C$2:$C$634,"S分项",评分与用量!$J$2:$J$634,"E*")=0,"",SUMIFS(评分与用量!$E$2:$E$634,评分与用量!$A$2:$A$634,$A7,评分与用量!$B$2:$B$634,"第二轮",评分与用量!$C$2:$C$634,"S分项",评分与用量!$J$2:$J$634,"E*")))-(IF(COUNTIFS(评分与用量!$A$2:$A$634,$A7,评分与用量!$B$2:$B$634,"第一轮",评分与用量!$C$2:$C$634,"S分项",评分与用量!$J$2:$J$634,"E*")=0,"",SUMIFS(评分与用量!$E$2:$E$634,评分与用量!$A$2:$A$634,$A7,评分与用量!$B$2:$B$634,"第一轮",评分与用量!$C$2:$C$634,"S分项",评分与用量!$J$2:$J$634,"E*")))))))="","",IF($F$3="得分率",TEXT((IF($B$3="第一轮",IF(COUNTIFS(评分与用量!$A$2:$A$634,$A7,评分与用量!$B$2:$B$634,"第一轮",评分与用量!$C$2:$C$634,"S分项",评分与用量!$J$2:$J$634,"E*")=0,"",SUMIFS(评分与用量!$E$2:$E$634,评分与用量!$A$2:$A$634,$A7,评分与用量!$B$2:$B$634,"第一轮",评分与用量!$C$2:$C$634,"S分项",评分与用量!$J$2:$J$634,"E*")),IF($B$3="第二轮",IF(COUNTIFS(评分与用量!$A$2:$A$634,$A7,评分与用量!$B$2:$B$634,"第二轮",评分与用量!$C$2:$C$634,"S分项",评分与用量!$J$2:$J$634,"E*")=0,"",SUMIFS(评分与用量!$E$2:$E$634,评分与用量!$A$2:$A$634,$A7,评分与用量!$B$2:$B$634,"第二轮",评分与用量!$C$2:$C$634,"S分项",评分与用量!$J$2:$J$634,"E*")),IF(OR(IF(COUNTIFS(评分与用量!$A$2:$A$634,$A7,评分与用量!$B$2:$B$634,"第一轮",评分与用量!$C$2:$C$634,"S分项",评分与用量!$J$2:$J$634,"E*")=0,"",SUMIFS(评分与用量!$E$2:$E$634,评分与用量!$A$2:$A$634,$A7,评分与用量!$B$2:$B$634,"第一轮",评分与用量!$C$2:$C$634,"S分项",评分与用量!$J$2:$J$634,"E*"))="",IF(COUNTIFS(评分与用量!$A$2:$A$634,$A7,评分与用量!$B$2:$B$634,"第二轮",评分与用量!$C$2:$C$634,"S分项",评分与用量!$J$2:$J$634,"E*")=0,"",SUMIFS(评分与用量!$E$2:$E$634,评分与用量!$A$2:$A$634,$A7,评分与用量!$B$2:$B$634,"第二轮",评分与用量!$C$2:$C$634,"S分项",评分与用量!$J$2:$J$634,"E*"))=""),"",(IF(COUNTIFS(评分与用量!$A$2:$A$634,$A7,评分与用量!$B$2:$B$634,"第二轮",评分与用量!$C$2:$C$634,"S分项",评分与用量!$J$2:$J$634,"E*")=0,"",SUMIFS(评分与用量!$E$2:$E$634,评分与用量!$A$2:$A$634,$A7,评分与用量!$B$2:$B$634,"第二轮",评分与用量!$C$2:$C$634,"S分项",评分与用量!$J$2:$J$634,"E*")))-(IF(COUNTIFS(评分与用量!$A$2:$A$634,$A7,评分与用量!$B$2:$B$634,"第一轮",评分与用量!$C$2:$C$634,"S分项",评分与用量!$J$2:$J$634,"E*")=0,"",SUMIFS(评分与用量!$E$2:$E$634,评分与用量!$A$2:$A$634,$A7,评分与用量!$B$2:$B$634,"第一轮",评分与用量!$C$2:$C$634,"S分项",评分与用量!$J$2:$J$634,"E*")))))))/10,IF($B$3="两轮变化","+0.0%;-0.0%;0.0%","0.0%")),(IF($B$3="第一轮",IF(COUNTIFS(评分与用量!$A$2:$A$634,$A7,评分与用量!$B$2:$B$634,"第一轮",评分与用量!$C$2:$C$634,"S分项",评分与用量!$J$2:$J$634,"E*")=0,"",SUMIFS(评分与用量!$E$2:$E$634,评分与用量!$A$2:$A$634,$A7,评分与用量!$B$2:$B$634,"第一轮",评分与用量!$C$2:$C$634,"S分项",评分与用量!$J$2:$J$634,"E*")),IF($B$3="第二轮",IF(COUNTIFS(评分与用量!$A$2:$A$634,$A7,评分与用量!$B$2:$B$634,"第二轮",评分与用量!$C$2:$C$634,"S分项",评分与用量!$J$2:$J$634,"E*")=0,"",SUMIFS(评分与用量!$E$2:$E$634,评分与用量!$A$2:$A$634,$A7,评分与用量!$B$2:$B$634,"第二轮",评分与用量!$C$2:$C$634,"S分项",评分与用量!$J$2:$J$634,"E*")),IF(OR(IF(COUNTIFS(评分与用量!$A$2:$A$634,$A7,评分与用量!$B$2:$B$634,"第一轮",评分与用量!$C$2:$C$634,"S分项",评分与用量!$J$2:$J$634,"E*")=0,"",SUMIFS(评分与用量!$E$2:$E$634,评分与用量!$A$2:$A$634,$A7,评分与用量!$B$2:$B$634,"第一轮",评分与用量!$C$2:$C$634,"S分项",评分与用量!$J$2:$J$634,"E*"))="",IF(COUNTIFS(评分与用量!$A$2:$A$634,$A7,评分与用量!$B$2:$B$634,"第二轮",评分与用量!$C$2:$C$634,"S分项",评分与用量!$J$2:$J$634,"E*")=0,"",SUMIFS(评分与用量!$E$2:$E$634,评分与用量!$A$2:$A$634,$A7,评分与用量!$B$2:$B$634,"第二轮",评分与用量!$C$2:$C$634,"S分项",评分与用量!$J$2:$J$634,"E*"))=""),"",(IF(COUNTIFS(评分与用量!$A$2:$A$634,$A7,评分与用量!$B$2:$B$634,"第二轮",评分与用量!$C$2:$C$634,"S分项",评分与用量!$J$2:$J$634,"E*")=0,"",SUMIFS(评分与用量!$E$2:$E$634,评分与用量!$A$2:$A$634,$A7,评分与用量!$B$2:$B$634,"第二轮",评分与用量!$C$2:$C$634,"S分项",评分与用量!$J$2:$J$634,"E*")))-(IF(COUNTIFS(评分与用量!$A$2:$A$634,$A7,评分与用量!$B$2:$B$634,"第一轮",评分与用量!$C$2:$C$634,"S分项",评分与用量!$J$2:$J$634,"E*")=0,"",SUMIFS(评分与用量!$E$2:$E$634,评分与用量!$A$2:$A$634,$A7,评分与用量!$B$2:$B$634,"第一轮",评分与用量!$C$2:$C$634,"S分项",评分与用量!$J$2:$J$634,"E*")))))))))</f>
        <v>7.75</v>
      </c>
      <c r="G7" s="77">
        <f>IF((IF($B$3="第一轮",IF(COUNTIFS(评分与用量!$A$2:$A$634,$A7,评分与用量!$B$2:$B$634,"第一轮",评分与用量!$C$2:$C$634,"S分项",评分与用量!$J$2:$J$634,"F*")=0,"",SUMIFS(评分与用量!$E$2:$E$634,评分与用量!$A$2:$A$634,$A7,评分与用量!$B$2:$B$634,"第一轮",评分与用量!$C$2:$C$634,"S分项",评分与用量!$J$2:$J$634,"F*")),IF($B$3="第二轮",IF(COUNTIFS(评分与用量!$A$2:$A$634,$A7,评分与用量!$B$2:$B$634,"第二轮",评分与用量!$C$2:$C$634,"S分项",评分与用量!$J$2:$J$634,"F*")=0,"",SUMIFS(评分与用量!$E$2:$E$634,评分与用量!$A$2:$A$634,$A7,评分与用量!$B$2:$B$634,"第二轮",评分与用量!$C$2:$C$634,"S分项",评分与用量!$J$2:$J$634,"F*")),IF(OR(IF(COUNTIFS(评分与用量!$A$2:$A$634,$A7,评分与用量!$B$2:$B$634,"第一轮",评分与用量!$C$2:$C$634,"S分项",评分与用量!$J$2:$J$634,"F*")=0,"",SUMIFS(评分与用量!$E$2:$E$634,评分与用量!$A$2:$A$634,$A7,评分与用量!$B$2:$B$634,"第一轮",评分与用量!$C$2:$C$634,"S分项",评分与用量!$J$2:$J$634,"F*"))="",IF(COUNTIFS(评分与用量!$A$2:$A$634,$A7,评分与用量!$B$2:$B$634,"第二轮",评分与用量!$C$2:$C$634,"S分项",评分与用量!$J$2:$J$634,"F*")=0,"",SUMIFS(评分与用量!$E$2:$E$634,评分与用量!$A$2:$A$634,$A7,评分与用量!$B$2:$B$634,"第二轮",评分与用量!$C$2:$C$634,"S分项",评分与用量!$J$2:$J$634,"F*"))=""),"",(IF(COUNTIFS(评分与用量!$A$2:$A$634,$A7,评分与用量!$B$2:$B$634,"第二轮",评分与用量!$C$2:$C$634,"S分项",评分与用量!$J$2:$J$634,"F*")=0,"",SUMIFS(评分与用量!$E$2:$E$634,评分与用量!$A$2:$A$634,$A7,评分与用量!$B$2:$B$634,"第二轮",评分与用量!$C$2:$C$634,"S分项",评分与用量!$J$2:$J$634,"F*")))-(IF(COUNTIFS(评分与用量!$A$2:$A$634,$A7,评分与用量!$B$2:$B$634,"第一轮",评分与用量!$C$2:$C$634,"S分项",评分与用量!$J$2:$J$634,"F*")=0,"",SUMIFS(评分与用量!$E$2:$E$634,评分与用量!$A$2:$A$634,$A7,评分与用量!$B$2:$B$634,"第一轮",评分与用量!$C$2:$C$634,"S分项",评分与用量!$J$2:$J$634,"F*")))))))="","",IF($F$3="得分率",TEXT((IF($B$3="第一轮",IF(COUNTIFS(评分与用量!$A$2:$A$634,$A7,评分与用量!$B$2:$B$634,"第一轮",评分与用量!$C$2:$C$634,"S分项",评分与用量!$J$2:$J$634,"F*")=0,"",SUMIFS(评分与用量!$E$2:$E$634,评分与用量!$A$2:$A$634,$A7,评分与用量!$B$2:$B$634,"第一轮",评分与用量!$C$2:$C$634,"S分项",评分与用量!$J$2:$J$634,"F*")),IF($B$3="第二轮",IF(COUNTIFS(评分与用量!$A$2:$A$634,$A7,评分与用量!$B$2:$B$634,"第二轮",评分与用量!$C$2:$C$634,"S分项",评分与用量!$J$2:$J$634,"F*")=0,"",SUMIFS(评分与用量!$E$2:$E$634,评分与用量!$A$2:$A$634,$A7,评分与用量!$B$2:$B$634,"第二轮",评分与用量!$C$2:$C$634,"S分项",评分与用量!$J$2:$J$634,"F*")),IF(OR(IF(COUNTIFS(评分与用量!$A$2:$A$634,$A7,评分与用量!$B$2:$B$634,"第一轮",评分与用量!$C$2:$C$634,"S分项",评分与用量!$J$2:$J$634,"F*")=0,"",SUMIFS(评分与用量!$E$2:$E$634,评分与用量!$A$2:$A$634,$A7,评分与用量!$B$2:$B$634,"第一轮",评分与用量!$C$2:$C$634,"S分项",评分与用量!$J$2:$J$634,"F*"))="",IF(COUNTIFS(评分与用量!$A$2:$A$634,$A7,评分与用量!$B$2:$B$634,"第二轮",评分与用量!$C$2:$C$634,"S分项",评分与用量!$J$2:$J$634,"F*")=0,"",SUMIFS(评分与用量!$E$2:$E$634,评分与用量!$A$2:$A$634,$A7,评分与用量!$B$2:$B$634,"第二轮",评分与用量!$C$2:$C$634,"S分项",评分与用量!$J$2:$J$634,"F*"))=""),"",(IF(COUNTIFS(评分与用量!$A$2:$A$634,$A7,评分与用量!$B$2:$B$634,"第二轮",评分与用量!$C$2:$C$634,"S分项",评分与用量!$J$2:$J$634,"F*")=0,"",SUMIFS(评分与用量!$E$2:$E$634,评分与用量!$A$2:$A$634,$A7,评分与用量!$B$2:$B$634,"第二轮",评分与用量!$C$2:$C$634,"S分项",评分与用量!$J$2:$J$634,"F*")))-(IF(COUNTIFS(评分与用量!$A$2:$A$634,$A7,评分与用量!$B$2:$B$634,"第一轮",评分与用量!$C$2:$C$634,"S分项",评分与用量!$J$2:$J$634,"F*")=0,"",SUMIFS(评分与用量!$E$2:$E$634,评分与用量!$A$2:$A$634,$A7,评分与用量!$B$2:$B$634,"第一轮",评分与用量!$C$2:$C$634,"S分项",评分与用量!$J$2:$J$634,"F*")))))))/10,IF($B$3="两轮变化","+0.0%;-0.0%;0.0%","0.0%")),(IF($B$3="第一轮",IF(COUNTIFS(评分与用量!$A$2:$A$634,$A7,评分与用量!$B$2:$B$634,"第一轮",评分与用量!$C$2:$C$634,"S分项",评分与用量!$J$2:$J$634,"F*")=0,"",SUMIFS(评分与用量!$E$2:$E$634,评分与用量!$A$2:$A$634,$A7,评分与用量!$B$2:$B$634,"第一轮",评分与用量!$C$2:$C$634,"S分项",评分与用量!$J$2:$J$634,"F*")),IF($B$3="第二轮",IF(COUNTIFS(评分与用量!$A$2:$A$634,$A7,评分与用量!$B$2:$B$634,"第二轮",评分与用量!$C$2:$C$634,"S分项",评分与用量!$J$2:$J$634,"F*")=0,"",SUMIFS(评分与用量!$E$2:$E$634,评分与用量!$A$2:$A$634,$A7,评分与用量!$B$2:$B$634,"第二轮",评分与用量!$C$2:$C$634,"S分项",评分与用量!$J$2:$J$634,"F*")),IF(OR(IF(COUNTIFS(评分与用量!$A$2:$A$634,$A7,评分与用量!$B$2:$B$634,"第一轮",评分与用量!$C$2:$C$634,"S分项",评分与用量!$J$2:$J$634,"F*")=0,"",SUMIFS(评分与用量!$E$2:$E$634,评分与用量!$A$2:$A$634,$A7,评分与用量!$B$2:$B$634,"第一轮",评分与用量!$C$2:$C$634,"S分项",评分与用量!$J$2:$J$634,"F*"))="",IF(COUNTIFS(评分与用量!$A$2:$A$634,$A7,评分与用量!$B$2:$B$634,"第二轮",评分与用量!$C$2:$C$634,"S分项",评分与用量!$J$2:$J$634,"F*")=0,"",SUMIFS(评分与用量!$E$2:$E$634,评分与用量!$A$2:$A$634,$A7,评分与用量!$B$2:$B$634,"第二轮",评分与用量!$C$2:$C$634,"S分项",评分与用量!$J$2:$J$634,"F*"))=""),"",(IF(COUNTIFS(评分与用量!$A$2:$A$634,$A7,评分与用量!$B$2:$B$634,"第二轮",评分与用量!$C$2:$C$634,"S分项",评分与用量!$J$2:$J$634,"F*")=0,"",SUMIFS(评分与用量!$E$2:$E$634,评分与用量!$A$2:$A$634,$A7,评分与用量!$B$2:$B$634,"第二轮",评分与用量!$C$2:$C$634,"S分项",评分与用量!$J$2:$J$634,"F*")))-(IF(COUNTIFS(评分与用量!$A$2:$A$634,$A7,评分与用量!$B$2:$B$634,"第一轮",评分与用量!$C$2:$C$634,"S分项",评分与用量!$J$2:$J$634,"F*")=0,"",SUMIFS(评分与用量!$E$2:$E$634,评分与用量!$A$2:$A$634,$A7,评分与用量!$B$2:$B$634,"第一轮",评分与用量!$C$2:$C$634,"S分项",评分与用量!$J$2:$J$634,"F*")))))))))</f>
        <v>9.25</v>
      </c>
      <c r="H7" s="77">
        <f>IF((IF($B$3="第一轮",IF(COUNTIFS(评分与用量!$A$2:$A$634,$A7,评分与用量!$B$2:$B$634,"第一轮",评分与用量!$C$2:$C$634,"S分项")=0,"",SUMIFS(评分与用量!$E$2:$E$634,评分与用量!$A$2:$A$634,$A7,评分与用量!$B$2:$B$634,"第一轮",评分与用量!$C$2:$C$634,"S分项")),IF($B$3="第二轮",IF(COUNTIFS(评分与用量!$A$2:$A$634,$A7,评分与用量!$B$2:$B$634,"第二轮",评分与用量!$C$2:$C$634,"S分项")=0,"",SUMIFS(评分与用量!$E$2:$E$634,评分与用量!$A$2:$A$634,$A7,评分与用量!$B$2:$B$634,"第二轮",评分与用量!$C$2:$C$634,"S分项")),IF(OR(IF(COUNTIFS(评分与用量!$A$2:$A$634,$A7,评分与用量!$B$2:$B$634,"第一轮",评分与用量!$C$2:$C$634,"S分项")=0,"",SUMIFS(评分与用量!$E$2:$E$634,评分与用量!$A$2:$A$634,$A7,评分与用量!$B$2:$B$634,"第一轮",评分与用量!$C$2:$C$634,"S分项"))="",IF(COUNTIFS(评分与用量!$A$2:$A$634,$A7,评分与用量!$B$2:$B$634,"第二轮",评分与用量!$C$2:$C$634,"S分项")=0,"",SUMIFS(评分与用量!$E$2:$E$634,评分与用量!$A$2:$A$634,$A7,评分与用量!$B$2:$B$634,"第二轮",评分与用量!$C$2:$C$634,"S分项"))=""),"",(IF(COUNTIFS(评分与用量!$A$2:$A$634,$A7,评分与用量!$B$2:$B$634,"第二轮",评分与用量!$C$2:$C$634,"S分项")=0,"",SUMIFS(评分与用量!$E$2:$E$634,评分与用量!$A$2:$A$634,$A7,评分与用量!$B$2:$B$634,"第二轮",评分与用量!$C$2:$C$634,"S分项")))-(IF(COUNTIFS(评分与用量!$A$2:$A$634,$A7,评分与用量!$B$2:$B$634,"第一轮",评分与用量!$C$2:$C$634,"S分项")=0,"",SUMIFS(评分与用量!$E$2:$E$634,评分与用量!$A$2:$A$634,$A7,评分与用量!$B$2:$B$634,"第一轮",评分与用量!$C$2:$C$634,"S分项")))))))="","",IF($F$3="得分率",TEXT((IF($B$3="第一轮",IF(COUNTIFS(评分与用量!$A$2:$A$634,$A7,评分与用量!$B$2:$B$634,"第一轮",评分与用量!$C$2:$C$634,"S分项")=0,"",SUMIFS(评分与用量!$E$2:$E$634,评分与用量!$A$2:$A$634,$A7,评分与用量!$B$2:$B$634,"第一轮",评分与用量!$C$2:$C$634,"S分项")),IF($B$3="第二轮",IF(COUNTIFS(评分与用量!$A$2:$A$634,$A7,评分与用量!$B$2:$B$634,"第二轮",评分与用量!$C$2:$C$634,"S分项")=0,"",SUMIFS(评分与用量!$E$2:$E$634,评分与用量!$A$2:$A$634,$A7,评分与用量!$B$2:$B$634,"第二轮",评分与用量!$C$2:$C$634,"S分项")),IF(OR(IF(COUNTIFS(评分与用量!$A$2:$A$634,$A7,评分与用量!$B$2:$B$634,"第一轮",评分与用量!$C$2:$C$634,"S分项")=0,"",SUMIFS(评分与用量!$E$2:$E$634,评分与用量!$A$2:$A$634,$A7,评分与用量!$B$2:$B$634,"第一轮",评分与用量!$C$2:$C$634,"S分项"))="",IF(COUNTIFS(评分与用量!$A$2:$A$634,$A7,评分与用量!$B$2:$B$634,"第二轮",评分与用量!$C$2:$C$634,"S分项")=0,"",SUMIFS(评分与用量!$E$2:$E$634,评分与用量!$A$2:$A$634,$A7,评分与用量!$B$2:$B$634,"第二轮",评分与用量!$C$2:$C$634,"S分项"))=""),"",(IF(COUNTIFS(评分与用量!$A$2:$A$634,$A7,评分与用量!$B$2:$B$634,"第二轮",评分与用量!$C$2:$C$634,"S分项")=0,"",SUMIFS(评分与用量!$E$2:$E$634,评分与用量!$A$2:$A$634,$A7,评分与用量!$B$2:$B$634,"第二轮",评分与用量!$C$2:$C$634,"S分项")))-(IF(COUNTIFS(评分与用量!$A$2:$A$634,$A7,评分与用量!$B$2:$B$634,"第一轮",评分与用量!$C$2:$C$634,"S分项")=0,"",SUMIFS(评分与用量!$E$2:$E$634,评分与用量!$A$2:$A$634,$A7,评分与用量!$B$2:$B$634,"第一轮",评分与用量!$C$2:$C$634,"S分项")))))))/100,IF($B$3="两轮变化","+0.0%;-0.0%;0.0%","0.0%")),(IF($B$3="第一轮",IF(COUNTIFS(评分与用量!$A$2:$A$634,$A7,评分与用量!$B$2:$B$634,"第一轮",评分与用量!$C$2:$C$634,"S分项")=0,"",SUMIFS(评分与用量!$E$2:$E$634,评分与用量!$A$2:$A$634,$A7,评分与用量!$B$2:$B$634,"第一轮",评分与用量!$C$2:$C$634,"S分项")),IF($B$3="第二轮",IF(COUNTIFS(评分与用量!$A$2:$A$634,$A7,评分与用量!$B$2:$B$634,"第二轮",评分与用量!$C$2:$C$634,"S分项")=0,"",SUMIFS(评分与用量!$E$2:$E$634,评分与用量!$A$2:$A$634,$A7,评分与用量!$B$2:$B$634,"第二轮",评分与用量!$C$2:$C$634,"S分项")),IF(OR(IF(COUNTIFS(评分与用量!$A$2:$A$634,$A7,评分与用量!$B$2:$B$634,"第一轮",评分与用量!$C$2:$C$634,"S分项")=0,"",SUMIFS(评分与用量!$E$2:$E$634,评分与用量!$A$2:$A$634,$A7,评分与用量!$B$2:$B$634,"第一轮",评分与用量!$C$2:$C$634,"S分项"))="",IF(COUNTIFS(评分与用量!$A$2:$A$634,$A7,评分与用量!$B$2:$B$634,"第二轮",评分与用量!$C$2:$C$634,"S分项")=0,"",SUMIFS(评分与用量!$E$2:$E$634,评分与用量!$A$2:$A$634,$A7,评分与用量!$B$2:$B$634,"第二轮",评分与用量!$C$2:$C$634,"S分项"))=""),"",(IF(COUNTIFS(评分与用量!$A$2:$A$634,$A7,评分与用量!$B$2:$B$634,"第二轮",评分与用量!$C$2:$C$634,"S分项")=0,"",SUMIFS(评分与用量!$E$2:$E$634,评分与用量!$A$2:$A$634,$A7,评分与用量!$B$2:$B$634,"第二轮",评分与用量!$C$2:$C$634,"S分项")))-(IF(COUNTIFS(评分与用量!$A$2:$A$634,$A7,评分与用量!$B$2:$B$634,"第一轮",评分与用量!$C$2:$C$634,"S分项")=0,"",SUMIFS(评分与用量!$E$2:$E$634,评分与用量!$A$2:$A$634,$A7,评分与用量!$B$2:$B$634,"第一轮",评分与用量!$C$2:$C$634,"S分项")))))))))</f>
        <v>85.25</v>
      </c>
    </row>
    <row r="8" spans="1:8" ht="22.05" customHeight="1">
      <c r="A8" s="76" t="s">
        <v>14</v>
      </c>
      <c r="B8" s="77">
        <f>IF((IF($B$3="第一轮",IF(COUNTIFS(评分与用量!$A$2:$A$634,$A8,评分与用量!$B$2:$B$634,"第一轮",评分与用量!$C$2:$C$634,"S分项",评分与用量!$J$2:$J$634,"A*")=0,"",SUMIFS(评分与用量!$E$2:$E$634,评分与用量!$A$2:$A$634,$A8,评分与用量!$B$2:$B$634,"第一轮",评分与用量!$C$2:$C$634,"S分项",评分与用量!$J$2:$J$634,"A*")),IF($B$3="第二轮",IF(COUNTIFS(评分与用量!$A$2:$A$634,$A8,评分与用量!$B$2:$B$634,"第二轮",评分与用量!$C$2:$C$634,"S分项",评分与用量!$J$2:$J$634,"A*")=0,"",SUMIFS(评分与用量!$E$2:$E$634,评分与用量!$A$2:$A$634,$A8,评分与用量!$B$2:$B$634,"第二轮",评分与用量!$C$2:$C$634,"S分项",评分与用量!$J$2:$J$634,"A*")),IF(OR(IF(COUNTIFS(评分与用量!$A$2:$A$634,$A8,评分与用量!$B$2:$B$634,"第一轮",评分与用量!$C$2:$C$634,"S分项",评分与用量!$J$2:$J$634,"A*")=0,"",SUMIFS(评分与用量!$E$2:$E$634,评分与用量!$A$2:$A$634,$A8,评分与用量!$B$2:$B$634,"第一轮",评分与用量!$C$2:$C$634,"S分项",评分与用量!$J$2:$J$634,"A*"))="",IF(COUNTIFS(评分与用量!$A$2:$A$634,$A8,评分与用量!$B$2:$B$634,"第二轮",评分与用量!$C$2:$C$634,"S分项",评分与用量!$J$2:$J$634,"A*")=0,"",SUMIFS(评分与用量!$E$2:$E$634,评分与用量!$A$2:$A$634,$A8,评分与用量!$B$2:$B$634,"第二轮",评分与用量!$C$2:$C$634,"S分项",评分与用量!$J$2:$J$634,"A*"))=""),"",(IF(COUNTIFS(评分与用量!$A$2:$A$634,$A8,评分与用量!$B$2:$B$634,"第二轮",评分与用量!$C$2:$C$634,"S分项",评分与用量!$J$2:$J$634,"A*")=0,"",SUMIFS(评分与用量!$E$2:$E$634,评分与用量!$A$2:$A$634,$A8,评分与用量!$B$2:$B$634,"第二轮",评分与用量!$C$2:$C$634,"S分项",评分与用量!$J$2:$J$634,"A*")))-(IF(COUNTIFS(评分与用量!$A$2:$A$634,$A8,评分与用量!$B$2:$B$634,"第一轮",评分与用量!$C$2:$C$634,"S分项",评分与用量!$J$2:$J$634,"A*")=0,"",SUMIFS(评分与用量!$E$2:$E$634,评分与用量!$A$2:$A$634,$A8,评分与用量!$B$2:$B$634,"第一轮",评分与用量!$C$2:$C$634,"S分项",评分与用量!$J$2:$J$634,"A*")))))))="","",IF($F$3="得分率",TEXT((IF($B$3="第一轮",IF(COUNTIFS(评分与用量!$A$2:$A$634,$A8,评分与用量!$B$2:$B$634,"第一轮",评分与用量!$C$2:$C$634,"S分项",评分与用量!$J$2:$J$634,"A*")=0,"",SUMIFS(评分与用量!$E$2:$E$634,评分与用量!$A$2:$A$634,$A8,评分与用量!$B$2:$B$634,"第一轮",评分与用量!$C$2:$C$634,"S分项",评分与用量!$J$2:$J$634,"A*")),IF($B$3="第二轮",IF(COUNTIFS(评分与用量!$A$2:$A$634,$A8,评分与用量!$B$2:$B$634,"第二轮",评分与用量!$C$2:$C$634,"S分项",评分与用量!$J$2:$J$634,"A*")=0,"",SUMIFS(评分与用量!$E$2:$E$634,评分与用量!$A$2:$A$634,$A8,评分与用量!$B$2:$B$634,"第二轮",评分与用量!$C$2:$C$634,"S分项",评分与用量!$J$2:$J$634,"A*")),IF(OR(IF(COUNTIFS(评分与用量!$A$2:$A$634,$A8,评分与用量!$B$2:$B$634,"第一轮",评分与用量!$C$2:$C$634,"S分项",评分与用量!$J$2:$J$634,"A*")=0,"",SUMIFS(评分与用量!$E$2:$E$634,评分与用量!$A$2:$A$634,$A8,评分与用量!$B$2:$B$634,"第一轮",评分与用量!$C$2:$C$634,"S分项",评分与用量!$J$2:$J$634,"A*"))="",IF(COUNTIFS(评分与用量!$A$2:$A$634,$A8,评分与用量!$B$2:$B$634,"第二轮",评分与用量!$C$2:$C$634,"S分项",评分与用量!$J$2:$J$634,"A*")=0,"",SUMIFS(评分与用量!$E$2:$E$634,评分与用量!$A$2:$A$634,$A8,评分与用量!$B$2:$B$634,"第二轮",评分与用量!$C$2:$C$634,"S分项",评分与用量!$J$2:$J$634,"A*"))=""),"",(IF(COUNTIFS(评分与用量!$A$2:$A$634,$A8,评分与用量!$B$2:$B$634,"第二轮",评分与用量!$C$2:$C$634,"S分项",评分与用量!$J$2:$J$634,"A*")=0,"",SUMIFS(评分与用量!$E$2:$E$634,评分与用量!$A$2:$A$634,$A8,评分与用量!$B$2:$B$634,"第二轮",评分与用量!$C$2:$C$634,"S分项",评分与用量!$J$2:$J$634,"A*")))-(IF(COUNTIFS(评分与用量!$A$2:$A$634,$A8,评分与用量!$B$2:$B$634,"第一轮",评分与用量!$C$2:$C$634,"S分项",评分与用量!$J$2:$J$634,"A*")=0,"",SUMIFS(评分与用量!$E$2:$E$634,评分与用量!$A$2:$A$634,$A8,评分与用量!$B$2:$B$634,"第一轮",评分与用量!$C$2:$C$634,"S分项",评分与用量!$J$2:$J$634,"A*")))))))/15,IF($B$3="两轮变化","+0.0%;-0.0%;0.0%","0.0%")),(IF($B$3="第一轮",IF(COUNTIFS(评分与用量!$A$2:$A$634,$A8,评分与用量!$B$2:$B$634,"第一轮",评分与用量!$C$2:$C$634,"S分项",评分与用量!$J$2:$J$634,"A*")=0,"",SUMIFS(评分与用量!$E$2:$E$634,评分与用量!$A$2:$A$634,$A8,评分与用量!$B$2:$B$634,"第一轮",评分与用量!$C$2:$C$634,"S分项",评分与用量!$J$2:$J$634,"A*")),IF($B$3="第二轮",IF(COUNTIFS(评分与用量!$A$2:$A$634,$A8,评分与用量!$B$2:$B$634,"第二轮",评分与用量!$C$2:$C$634,"S分项",评分与用量!$J$2:$J$634,"A*")=0,"",SUMIFS(评分与用量!$E$2:$E$634,评分与用量!$A$2:$A$634,$A8,评分与用量!$B$2:$B$634,"第二轮",评分与用量!$C$2:$C$634,"S分项",评分与用量!$J$2:$J$634,"A*")),IF(OR(IF(COUNTIFS(评分与用量!$A$2:$A$634,$A8,评分与用量!$B$2:$B$634,"第一轮",评分与用量!$C$2:$C$634,"S分项",评分与用量!$J$2:$J$634,"A*")=0,"",SUMIFS(评分与用量!$E$2:$E$634,评分与用量!$A$2:$A$634,$A8,评分与用量!$B$2:$B$634,"第一轮",评分与用量!$C$2:$C$634,"S分项",评分与用量!$J$2:$J$634,"A*"))="",IF(COUNTIFS(评分与用量!$A$2:$A$634,$A8,评分与用量!$B$2:$B$634,"第二轮",评分与用量!$C$2:$C$634,"S分项",评分与用量!$J$2:$J$634,"A*")=0,"",SUMIFS(评分与用量!$E$2:$E$634,评分与用量!$A$2:$A$634,$A8,评分与用量!$B$2:$B$634,"第二轮",评分与用量!$C$2:$C$634,"S分项",评分与用量!$J$2:$J$634,"A*"))=""),"",(IF(COUNTIFS(评分与用量!$A$2:$A$634,$A8,评分与用量!$B$2:$B$634,"第二轮",评分与用量!$C$2:$C$634,"S分项",评分与用量!$J$2:$J$634,"A*")=0,"",SUMIFS(评分与用量!$E$2:$E$634,评分与用量!$A$2:$A$634,$A8,评分与用量!$B$2:$B$634,"第二轮",评分与用量!$C$2:$C$634,"S分项",评分与用量!$J$2:$J$634,"A*")))-(IF(COUNTIFS(评分与用量!$A$2:$A$634,$A8,评分与用量!$B$2:$B$634,"第一轮",评分与用量!$C$2:$C$634,"S分项",评分与用量!$J$2:$J$634,"A*")=0,"",SUMIFS(评分与用量!$E$2:$E$634,评分与用量!$A$2:$A$634,$A8,评分与用量!$B$2:$B$634,"第一轮",评分与用量!$C$2:$C$634,"S分项",评分与用量!$J$2:$J$634,"A*")))))))))</f>
        <v>14</v>
      </c>
      <c r="C8" s="77">
        <f>IF((IF($B$3="第一轮",IF(COUNTIFS(评分与用量!$A$2:$A$634,$A8,评分与用量!$B$2:$B$634,"第一轮",评分与用量!$C$2:$C$634,"S分项",评分与用量!$J$2:$J$634,"B*")=0,"",SUMIFS(评分与用量!$E$2:$E$634,评分与用量!$A$2:$A$634,$A8,评分与用量!$B$2:$B$634,"第一轮",评分与用量!$C$2:$C$634,"S分项",评分与用量!$J$2:$J$634,"B*")),IF($B$3="第二轮",IF(COUNTIFS(评分与用量!$A$2:$A$634,$A8,评分与用量!$B$2:$B$634,"第二轮",评分与用量!$C$2:$C$634,"S分项",评分与用量!$J$2:$J$634,"B*")=0,"",SUMIFS(评分与用量!$E$2:$E$634,评分与用量!$A$2:$A$634,$A8,评分与用量!$B$2:$B$634,"第二轮",评分与用量!$C$2:$C$634,"S分项",评分与用量!$J$2:$J$634,"B*")),IF(OR(IF(COUNTIFS(评分与用量!$A$2:$A$634,$A8,评分与用量!$B$2:$B$634,"第一轮",评分与用量!$C$2:$C$634,"S分项",评分与用量!$J$2:$J$634,"B*")=0,"",SUMIFS(评分与用量!$E$2:$E$634,评分与用量!$A$2:$A$634,$A8,评分与用量!$B$2:$B$634,"第一轮",评分与用量!$C$2:$C$634,"S分项",评分与用量!$J$2:$J$634,"B*"))="",IF(COUNTIFS(评分与用量!$A$2:$A$634,$A8,评分与用量!$B$2:$B$634,"第二轮",评分与用量!$C$2:$C$634,"S分项",评分与用量!$J$2:$J$634,"B*")=0,"",SUMIFS(评分与用量!$E$2:$E$634,评分与用量!$A$2:$A$634,$A8,评分与用量!$B$2:$B$634,"第二轮",评分与用量!$C$2:$C$634,"S分项",评分与用量!$J$2:$J$634,"B*"))=""),"",(IF(COUNTIFS(评分与用量!$A$2:$A$634,$A8,评分与用量!$B$2:$B$634,"第二轮",评分与用量!$C$2:$C$634,"S分项",评分与用量!$J$2:$J$634,"B*")=0,"",SUMIFS(评分与用量!$E$2:$E$634,评分与用量!$A$2:$A$634,$A8,评分与用量!$B$2:$B$634,"第二轮",评分与用量!$C$2:$C$634,"S分项",评分与用量!$J$2:$J$634,"B*")))-(IF(COUNTIFS(评分与用量!$A$2:$A$634,$A8,评分与用量!$B$2:$B$634,"第一轮",评分与用量!$C$2:$C$634,"S分项",评分与用量!$J$2:$J$634,"B*")=0,"",SUMIFS(评分与用量!$E$2:$E$634,评分与用量!$A$2:$A$634,$A8,评分与用量!$B$2:$B$634,"第一轮",评分与用量!$C$2:$C$634,"S分项",评分与用量!$J$2:$J$634,"B*")))))))="","",IF($F$3="得分率",TEXT((IF($B$3="第一轮",IF(COUNTIFS(评分与用量!$A$2:$A$634,$A8,评分与用量!$B$2:$B$634,"第一轮",评分与用量!$C$2:$C$634,"S分项",评分与用量!$J$2:$J$634,"B*")=0,"",SUMIFS(评分与用量!$E$2:$E$634,评分与用量!$A$2:$A$634,$A8,评分与用量!$B$2:$B$634,"第一轮",评分与用量!$C$2:$C$634,"S分项",评分与用量!$J$2:$J$634,"B*")),IF($B$3="第二轮",IF(COUNTIFS(评分与用量!$A$2:$A$634,$A8,评分与用量!$B$2:$B$634,"第二轮",评分与用量!$C$2:$C$634,"S分项",评分与用量!$J$2:$J$634,"B*")=0,"",SUMIFS(评分与用量!$E$2:$E$634,评分与用量!$A$2:$A$634,$A8,评分与用量!$B$2:$B$634,"第二轮",评分与用量!$C$2:$C$634,"S分项",评分与用量!$J$2:$J$634,"B*")),IF(OR(IF(COUNTIFS(评分与用量!$A$2:$A$634,$A8,评分与用量!$B$2:$B$634,"第一轮",评分与用量!$C$2:$C$634,"S分项",评分与用量!$J$2:$J$634,"B*")=0,"",SUMIFS(评分与用量!$E$2:$E$634,评分与用量!$A$2:$A$634,$A8,评分与用量!$B$2:$B$634,"第一轮",评分与用量!$C$2:$C$634,"S分项",评分与用量!$J$2:$J$634,"B*"))="",IF(COUNTIFS(评分与用量!$A$2:$A$634,$A8,评分与用量!$B$2:$B$634,"第二轮",评分与用量!$C$2:$C$634,"S分项",评分与用量!$J$2:$J$634,"B*")=0,"",SUMIFS(评分与用量!$E$2:$E$634,评分与用量!$A$2:$A$634,$A8,评分与用量!$B$2:$B$634,"第二轮",评分与用量!$C$2:$C$634,"S分项",评分与用量!$J$2:$J$634,"B*"))=""),"",(IF(COUNTIFS(评分与用量!$A$2:$A$634,$A8,评分与用量!$B$2:$B$634,"第二轮",评分与用量!$C$2:$C$634,"S分项",评分与用量!$J$2:$J$634,"B*")=0,"",SUMIFS(评分与用量!$E$2:$E$634,评分与用量!$A$2:$A$634,$A8,评分与用量!$B$2:$B$634,"第二轮",评分与用量!$C$2:$C$634,"S分项",评分与用量!$J$2:$J$634,"B*")))-(IF(COUNTIFS(评分与用量!$A$2:$A$634,$A8,评分与用量!$B$2:$B$634,"第一轮",评分与用量!$C$2:$C$634,"S分项",评分与用量!$J$2:$J$634,"B*")=0,"",SUMIFS(评分与用量!$E$2:$E$634,评分与用量!$A$2:$A$634,$A8,评分与用量!$B$2:$B$634,"第一轮",评分与用量!$C$2:$C$634,"S分项",评分与用量!$J$2:$J$634,"B*")))))))/20,IF($B$3="两轮变化","+0.0%;-0.0%;0.0%","0.0%")),(IF($B$3="第一轮",IF(COUNTIFS(评分与用量!$A$2:$A$634,$A8,评分与用量!$B$2:$B$634,"第一轮",评分与用量!$C$2:$C$634,"S分项",评分与用量!$J$2:$J$634,"B*")=0,"",SUMIFS(评分与用量!$E$2:$E$634,评分与用量!$A$2:$A$634,$A8,评分与用量!$B$2:$B$634,"第一轮",评分与用量!$C$2:$C$634,"S分项",评分与用量!$J$2:$J$634,"B*")),IF($B$3="第二轮",IF(COUNTIFS(评分与用量!$A$2:$A$634,$A8,评分与用量!$B$2:$B$634,"第二轮",评分与用量!$C$2:$C$634,"S分项",评分与用量!$J$2:$J$634,"B*")=0,"",SUMIFS(评分与用量!$E$2:$E$634,评分与用量!$A$2:$A$634,$A8,评分与用量!$B$2:$B$634,"第二轮",评分与用量!$C$2:$C$634,"S分项",评分与用量!$J$2:$J$634,"B*")),IF(OR(IF(COUNTIFS(评分与用量!$A$2:$A$634,$A8,评分与用量!$B$2:$B$634,"第一轮",评分与用量!$C$2:$C$634,"S分项",评分与用量!$J$2:$J$634,"B*")=0,"",SUMIFS(评分与用量!$E$2:$E$634,评分与用量!$A$2:$A$634,$A8,评分与用量!$B$2:$B$634,"第一轮",评分与用量!$C$2:$C$634,"S分项",评分与用量!$J$2:$J$634,"B*"))="",IF(COUNTIFS(评分与用量!$A$2:$A$634,$A8,评分与用量!$B$2:$B$634,"第二轮",评分与用量!$C$2:$C$634,"S分项",评分与用量!$J$2:$J$634,"B*")=0,"",SUMIFS(评分与用量!$E$2:$E$634,评分与用量!$A$2:$A$634,$A8,评分与用量!$B$2:$B$634,"第二轮",评分与用量!$C$2:$C$634,"S分项",评分与用量!$J$2:$J$634,"B*"))=""),"",(IF(COUNTIFS(评分与用量!$A$2:$A$634,$A8,评分与用量!$B$2:$B$634,"第二轮",评分与用量!$C$2:$C$634,"S分项",评分与用量!$J$2:$J$634,"B*")=0,"",SUMIFS(评分与用量!$E$2:$E$634,评分与用量!$A$2:$A$634,$A8,评分与用量!$B$2:$B$634,"第二轮",评分与用量!$C$2:$C$634,"S分项",评分与用量!$J$2:$J$634,"B*")))-(IF(COUNTIFS(评分与用量!$A$2:$A$634,$A8,评分与用量!$B$2:$B$634,"第一轮",评分与用量!$C$2:$C$634,"S分项",评分与用量!$J$2:$J$634,"B*")=0,"",SUMIFS(评分与用量!$E$2:$E$634,评分与用量!$A$2:$A$634,$A8,评分与用量!$B$2:$B$634,"第一轮",评分与用量!$C$2:$C$634,"S分项",评分与用量!$J$2:$J$634,"B*")))))))))</f>
        <v>17.5</v>
      </c>
      <c r="D8" s="77">
        <f>IF((IF($B$3="第一轮",IF(COUNTIFS(评分与用量!$A$2:$A$634,$A8,评分与用量!$B$2:$B$634,"第一轮",评分与用量!$C$2:$C$634,"S分项",评分与用量!$J$2:$J$634,"C*")=0,"",SUMIFS(评分与用量!$E$2:$E$634,评分与用量!$A$2:$A$634,$A8,评分与用量!$B$2:$B$634,"第一轮",评分与用量!$C$2:$C$634,"S分项",评分与用量!$J$2:$J$634,"C*")),IF($B$3="第二轮",IF(COUNTIFS(评分与用量!$A$2:$A$634,$A8,评分与用量!$B$2:$B$634,"第二轮",评分与用量!$C$2:$C$634,"S分项",评分与用量!$J$2:$J$634,"C*")=0,"",SUMIFS(评分与用量!$E$2:$E$634,评分与用量!$A$2:$A$634,$A8,评分与用量!$B$2:$B$634,"第二轮",评分与用量!$C$2:$C$634,"S分项",评分与用量!$J$2:$J$634,"C*")),IF(OR(IF(COUNTIFS(评分与用量!$A$2:$A$634,$A8,评分与用量!$B$2:$B$634,"第一轮",评分与用量!$C$2:$C$634,"S分项",评分与用量!$J$2:$J$634,"C*")=0,"",SUMIFS(评分与用量!$E$2:$E$634,评分与用量!$A$2:$A$634,$A8,评分与用量!$B$2:$B$634,"第一轮",评分与用量!$C$2:$C$634,"S分项",评分与用量!$J$2:$J$634,"C*"))="",IF(COUNTIFS(评分与用量!$A$2:$A$634,$A8,评分与用量!$B$2:$B$634,"第二轮",评分与用量!$C$2:$C$634,"S分项",评分与用量!$J$2:$J$634,"C*")=0,"",SUMIFS(评分与用量!$E$2:$E$634,评分与用量!$A$2:$A$634,$A8,评分与用量!$B$2:$B$634,"第二轮",评分与用量!$C$2:$C$634,"S分项",评分与用量!$J$2:$J$634,"C*"))=""),"",(IF(COUNTIFS(评分与用量!$A$2:$A$634,$A8,评分与用量!$B$2:$B$634,"第二轮",评分与用量!$C$2:$C$634,"S分项",评分与用量!$J$2:$J$634,"C*")=0,"",SUMIFS(评分与用量!$E$2:$E$634,评分与用量!$A$2:$A$634,$A8,评分与用量!$B$2:$B$634,"第二轮",评分与用量!$C$2:$C$634,"S分项",评分与用量!$J$2:$J$634,"C*")))-(IF(COUNTIFS(评分与用量!$A$2:$A$634,$A8,评分与用量!$B$2:$B$634,"第一轮",评分与用量!$C$2:$C$634,"S分项",评分与用量!$J$2:$J$634,"C*")=0,"",SUMIFS(评分与用量!$E$2:$E$634,评分与用量!$A$2:$A$634,$A8,评分与用量!$B$2:$B$634,"第一轮",评分与用量!$C$2:$C$634,"S分项",评分与用量!$J$2:$J$634,"C*")))))))="","",IF($F$3="得分率",TEXT((IF($B$3="第一轮",IF(COUNTIFS(评分与用量!$A$2:$A$634,$A8,评分与用量!$B$2:$B$634,"第一轮",评分与用量!$C$2:$C$634,"S分项",评分与用量!$J$2:$J$634,"C*")=0,"",SUMIFS(评分与用量!$E$2:$E$634,评分与用量!$A$2:$A$634,$A8,评分与用量!$B$2:$B$634,"第一轮",评分与用量!$C$2:$C$634,"S分项",评分与用量!$J$2:$J$634,"C*")),IF($B$3="第二轮",IF(COUNTIFS(评分与用量!$A$2:$A$634,$A8,评分与用量!$B$2:$B$634,"第二轮",评分与用量!$C$2:$C$634,"S分项",评分与用量!$J$2:$J$634,"C*")=0,"",SUMIFS(评分与用量!$E$2:$E$634,评分与用量!$A$2:$A$634,$A8,评分与用量!$B$2:$B$634,"第二轮",评分与用量!$C$2:$C$634,"S分项",评分与用量!$J$2:$J$634,"C*")),IF(OR(IF(COUNTIFS(评分与用量!$A$2:$A$634,$A8,评分与用量!$B$2:$B$634,"第一轮",评分与用量!$C$2:$C$634,"S分项",评分与用量!$J$2:$J$634,"C*")=0,"",SUMIFS(评分与用量!$E$2:$E$634,评分与用量!$A$2:$A$634,$A8,评分与用量!$B$2:$B$634,"第一轮",评分与用量!$C$2:$C$634,"S分项",评分与用量!$J$2:$J$634,"C*"))="",IF(COUNTIFS(评分与用量!$A$2:$A$634,$A8,评分与用量!$B$2:$B$634,"第二轮",评分与用量!$C$2:$C$634,"S分项",评分与用量!$J$2:$J$634,"C*")=0,"",SUMIFS(评分与用量!$E$2:$E$634,评分与用量!$A$2:$A$634,$A8,评分与用量!$B$2:$B$634,"第二轮",评分与用量!$C$2:$C$634,"S分项",评分与用量!$J$2:$J$634,"C*"))=""),"",(IF(COUNTIFS(评分与用量!$A$2:$A$634,$A8,评分与用量!$B$2:$B$634,"第二轮",评分与用量!$C$2:$C$634,"S分项",评分与用量!$J$2:$J$634,"C*")=0,"",SUMIFS(评分与用量!$E$2:$E$634,评分与用量!$A$2:$A$634,$A8,评分与用量!$B$2:$B$634,"第二轮",评分与用量!$C$2:$C$634,"S分项",评分与用量!$J$2:$J$634,"C*")))-(IF(COUNTIFS(评分与用量!$A$2:$A$634,$A8,评分与用量!$B$2:$B$634,"第一轮",评分与用量!$C$2:$C$634,"S分项",评分与用量!$J$2:$J$634,"C*")=0,"",SUMIFS(评分与用量!$E$2:$E$634,评分与用量!$A$2:$A$634,$A8,评分与用量!$B$2:$B$634,"第一轮",评分与用量!$C$2:$C$634,"S分项",评分与用量!$J$2:$J$634,"C*")))))))/20,IF($B$3="两轮变化","+0.0%;-0.0%;0.0%","0.0%")),(IF($B$3="第一轮",IF(COUNTIFS(评分与用量!$A$2:$A$634,$A8,评分与用量!$B$2:$B$634,"第一轮",评分与用量!$C$2:$C$634,"S分项",评分与用量!$J$2:$J$634,"C*")=0,"",SUMIFS(评分与用量!$E$2:$E$634,评分与用量!$A$2:$A$634,$A8,评分与用量!$B$2:$B$634,"第一轮",评分与用量!$C$2:$C$634,"S分项",评分与用量!$J$2:$J$634,"C*")),IF($B$3="第二轮",IF(COUNTIFS(评分与用量!$A$2:$A$634,$A8,评分与用量!$B$2:$B$634,"第二轮",评分与用量!$C$2:$C$634,"S分项",评分与用量!$J$2:$J$634,"C*")=0,"",SUMIFS(评分与用量!$E$2:$E$634,评分与用量!$A$2:$A$634,$A8,评分与用量!$B$2:$B$634,"第二轮",评分与用量!$C$2:$C$634,"S分项",评分与用量!$J$2:$J$634,"C*")),IF(OR(IF(COUNTIFS(评分与用量!$A$2:$A$634,$A8,评分与用量!$B$2:$B$634,"第一轮",评分与用量!$C$2:$C$634,"S分项",评分与用量!$J$2:$J$634,"C*")=0,"",SUMIFS(评分与用量!$E$2:$E$634,评分与用量!$A$2:$A$634,$A8,评分与用量!$B$2:$B$634,"第一轮",评分与用量!$C$2:$C$634,"S分项",评分与用量!$J$2:$J$634,"C*"))="",IF(COUNTIFS(评分与用量!$A$2:$A$634,$A8,评分与用量!$B$2:$B$634,"第二轮",评分与用量!$C$2:$C$634,"S分项",评分与用量!$J$2:$J$634,"C*")=0,"",SUMIFS(评分与用量!$E$2:$E$634,评分与用量!$A$2:$A$634,$A8,评分与用量!$B$2:$B$634,"第二轮",评分与用量!$C$2:$C$634,"S分项",评分与用量!$J$2:$J$634,"C*"))=""),"",(IF(COUNTIFS(评分与用量!$A$2:$A$634,$A8,评分与用量!$B$2:$B$634,"第二轮",评分与用量!$C$2:$C$634,"S分项",评分与用量!$J$2:$J$634,"C*")=0,"",SUMIFS(评分与用量!$E$2:$E$634,评分与用量!$A$2:$A$634,$A8,评分与用量!$B$2:$B$634,"第二轮",评分与用量!$C$2:$C$634,"S分项",评分与用量!$J$2:$J$634,"C*")))-(IF(COUNTIFS(评分与用量!$A$2:$A$634,$A8,评分与用量!$B$2:$B$634,"第一轮",评分与用量!$C$2:$C$634,"S分项",评分与用量!$J$2:$J$634,"C*")=0,"",SUMIFS(评分与用量!$E$2:$E$634,评分与用量!$A$2:$A$634,$A8,评分与用量!$B$2:$B$634,"第一轮",评分与用量!$C$2:$C$634,"S分项",评分与用量!$J$2:$J$634,"C*")))))))))</f>
        <v>19.25</v>
      </c>
      <c r="E8" s="77">
        <f>IF((IF($B$3="第一轮",IF(COUNTIFS(评分与用量!$A$2:$A$634,$A8,评分与用量!$B$2:$B$634,"第一轮",评分与用量!$C$2:$C$634,"S分项",评分与用量!$J$2:$J$634,"D*")=0,"",SUMIFS(评分与用量!$E$2:$E$634,评分与用量!$A$2:$A$634,$A8,评分与用量!$B$2:$B$634,"第一轮",评分与用量!$C$2:$C$634,"S分项",评分与用量!$J$2:$J$634,"D*")),IF($B$3="第二轮",IF(COUNTIFS(评分与用量!$A$2:$A$634,$A8,评分与用量!$B$2:$B$634,"第二轮",评分与用量!$C$2:$C$634,"S分项",评分与用量!$J$2:$J$634,"D*")=0,"",SUMIFS(评分与用量!$E$2:$E$634,评分与用量!$A$2:$A$634,$A8,评分与用量!$B$2:$B$634,"第二轮",评分与用量!$C$2:$C$634,"S分项",评分与用量!$J$2:$J$634,"D*")),IF(OR(IF(COUNTIFS(评分与用量!$A$2:$A$634,$A8,评分与用量!$B$2:$B$634,"第一轮",评分与用量!$C$2:$C$634,"S分项",评分与用量!$J$2:$J$634,"D*")=0,"",SUMIFS(评分与用量!$E$2:$E$634,评分与用量!$A$2:$A$634,$A8,评分与用量!$B$2:$B$634,"第一轮",评分与用量!$C$2:$C$634,"S分项",评分与用量!$J$2:$J$634,"D*"))="",IF(COUNTIFS(评分与用量!$A$2:$A$634,$A8,评分与用量!$B$2:$B$634,"第二轮",评分与用量!$C$2:$C$634,"S分项",评分与用量!$J$2:$J$634,"D*")=0,"",SUMIFS(评分与用量!$E$2:$E$634,评分与用量!$A$2:$A$634,$A8,评分与用量!$B$2:$B$634,"第二轮",评分与用量!$C$2:$C$634,"S分项",评分与用量!$J$2:$J$634,"D*"))=""),"",(IF(COUNTIFS(评分与用量!$A$2:$A$634,$A8,评分与用量!$B$2:$B$634,"第二轮",评分与用量!$C$2:$C$634,"S分项",评分与用量!$J$2:$J$634,"D*")=0,"",SUMIFS(评分与用量!$E$2:$E$634,评分与用量!$A$2:$A$634,$A8,评分与用量!$B$2:$B$634,"第二轮",评分与用量!$C$2:$C$634,"S分项",评分与用量!$J$2:$J$634,"D*")))-(IF(COUNTIFS(评分与用量!$A$2:$A$634,$A8,评分与用量!$B$2:$B$634,"第一轮",评分与用量!$C$2:$C$634,"S分项",评分与用量!$J$2:$J$634,"D*")=0,"",SUMIFS(评分与用量!$E$2:$E$634,评分与用量!$A$2:$A$634,$A8,评分与用量!$B$2:$B$634,"第一轮",评分与用量!$C$2:$C$634,"S分项",评分与用量!$J$2:$J$634,"D*")))))))="","",IF($F$3="得分率",TEXT((IF($B$3="第一轮",IF(COUNTIFS(评分与用量!$A$2:$A$634,$A8,评分与用量!$B$2:$B$634,"第一轮",评分与用量!$C$2:$C$634,"S分项",评分与用量!$J$2:$J$634,"D*")=0,"",SUMIFS(评分与用量!$E$2:$E$634,评分与用量!$A$2:$A$634,$A8,评分与用量!$B$2:$B$634,"第一轮",评分与用量!$C$2:$C$634,"S分项",评分与用量!$J$2:$J$634,"D*")),IF($B$3="第二轮",IF(COUNTIFS(评分与用量!$A$2:$A$634,$A8,评分与用量!$B$2:$B$634,"第二轮",评分与用量!$C$2:$C$634,"S分项",评分与用量!$J$2:$J$634,"D*")=0,"",SUMIFS(评分与用量!$E$2:$E$634,评分与用量!$A$2:$A$634,$A8,评分与用量!$B$2:$B$634,"第二轮",评分与用量!$C$2:$C$634,"S分项",评分与用量!$J$2:$J$634,"D*")),IF(OR(IF(COUNTIFS(评分与用量!$A$2:$A$634,$A8,评分与用量!$B$2:$B$634,"第一轮",评分与用量!$C$2:$C$634,"S分项",评分与用量!$J$2:$J$634,"D*")=0,"",SUMIFS(评分与用量!$E$2:$E$634,评分与用量!$A$2:$A$634,$A8,评分与用量!$B$2:$B$634,"第一轮",评分与用量!$C$2:$C$634,"S分项",评分与用量!$J$2:$J$634,"D*"))="",IF(COUNTIFS(评分与用量!$A$2:$A$634,$A8,评分与用量!$B$2:$B$634,"第二轮",评分与用量!$C$2:$C$634,"S分项",评分与用量!$J$2:$J$634,"D*")=0,"",SUMIFS(评分与用量!$E$2:$E$634,评分与用量!$A$2:$A$634,$A8,评分与用量!$B$2:$B$634,"第二轮",评分与用量!$C$2:$C$634,"S分项",评分与用量!$J$2:$J$634,"D*"))=""),"",(IF(COUNTIFS(评分与用量!$A$2:$A$634,$A8,评分与用量!$B$2:$B$634,"第二轮",评分与用量!$C$2:$C$634,"S分项",评分与用量!$J$2:$J$634,"D*")=0,"",SUMIFS(评分与用量!$E$2:$E$634,评分与用量!$A$2:$A$634,$A8,评分与用量!$B$2:$B$634,"第二轮",评分与用量!$C$2:$C$634,"S分项",评分与用量!$J$2:$J$634,"D*")))-(IF(COUNTIFS(评分与用量!$A$2:$A$634,$A8,评分与用量!$B$2:$B$634,"第一轮",评分与用量!$C$2:$C$634,"S分项",评分与用量!$J$2:$J$634,"D*")=0,"",SUMIFS(评分与用量!$E$2:$E$634,评分与用量!$A$2:$A$634,$A8,评分与用量!$B$2:$B$634,"第一轮",评分与用量!$C$2:$C$634,"S分项",评分与用量!$J$2:$J$634,"D*")))))))/25,IF($B$3="两轮变化","+0.0%;-0.0%;0.0%","0.0%")),(IF($B$3="第一轮",IF(COUNTIFS(评分与用量!$A$2:$A$634,$A8,评分与用量!$B$2:$B$634,"第一轮",评分与用量!$C$2:$C$634,"S分项",评分与用量!$J$2:$J$634,"D*")=0,"",SUMIFS(评分与用量!$E$2:$E$634,评分与用量!$A$2:$A$634,$A8,评分与用量!$B$2:$B$634,"第一轮",评分与用量!$C$2:$C$634,"S分项",评分与用量!$J$2:$J$634,"D*")),IF($B$3="第二轮",IF(COUNTIFS(评分与用量!$A$2:$A$634,$A8,评分与用量!$B$2:$B$634,"第二轮",评分与用量!$C$2:$C$634,"S分项",评分与用量!$J$2:$J$634,"D*")=0,"",SUMIFS(评分与用量!$E$2:$E$634,评分与用量!$A$2:$A$634,$A8,评分与用量!$B$2:$B$634,"第二轮",评分与用量!$C$2:$C$634,"S分项",评分与用量!$J$2:$J$634,"D*")),IF(OR(IF(COUNTIFS(评分与用量!$A$2:$A$634,$A8,评分与用量!$B$2:$B$634,"第一轮",评分与用量!$C$2:$C$634,"S分项",评分与用量!$J$2:$J$634,"D*")=0,"",SUMIFS(评分与用量!$E$2:$E$634,评分与用量!$A$2:$A$634,$A8,评分与用量!$B$2:$B$634,"第一轮",评分与用量!$C$2:$C$634,"S分项",评分与用量!$J$2:$J$634,"D*"))="",IF(COUNTIFS(评分与用量!$A$2:$A$634,$A8,评分与用量!$B$2:$B$634,"第二轮",评分与用量!$C$2:$C$634,"S分项",评分与用量!$J$2:$J$634,"D*")=0,"",SUMIFS(评分与用量!$E$2:$E$634,评分与用量!$A$2:$A$634,$A8,评分与用量!$B$2:$B$634,"第二轮",评分与用量!$C$2:$C$634,"S分项",评分与用量!$J$2:$J$634,"D*"))=""),"",(IF(COUNTIFS(评分与用量!$A$2:$A$634,$A8,评分与用量!$B$2:$B$634,"第二轮",评分与用量!$C$2:$C$634,"S分项",评分与用量!$J$2:$J$634,"D*")=0,"",SUMIFS(评分与用量!$E$2:$E$634,评分与用量!$A$2:$A$634,$A8,评分与用量!$B$2:$B$634,"第二轮",评分与用量!$C$2:$C$634,"S分项",评分与用量!$J$2:$J$634,"D*")))-(IF(COUNTIFS(评分与用量!$A$2:$A$634,$A8,评分与用量!$B$2:$B$634,"第一轮",评分与用量!$C$2:$C$634,"S分项",评分与用量!$J$2:$J$634,"D*")=0,"",SUMIFS(评分与用量!$E$2:$E$634,评分与用量!$A$2:$A$634,$A8,评分与用量!$B$2:$B$634,"第一轮",评分与用量!$C$2:$C$634,"S分项",评分与用量!$J$2:$J$634,"D*")))))))))</f>
        <v>20.5</v>
      </c>
      <c r="F8" s="77">
        <f>IF((IF($B$3="第一轮",IF(COUNTIFS(评分与用量!$A$2:$A$634,$A8,评分与用量!$B$2:$B$634,"第一轮",评分与用量!$C$2:$C$634,"S分项",评分与用量!$J$2:$J$634,"E*")=0,"",SUMIFS(评分与用量!$E$2:$E$634,评分与用量!$A$2:$A$634,$A8,评分与用量!$B$2:$B$634,"第一轮",评分与用量!$C$2:$C$634,"S分项",评分与用量!$J$2:$J$634,"E*")),IF($B$3="第二轮",IF(COUNTIFS(评分与用量!$A$2:$A$634,$A8,评分与用量!$B$2:$B$634,"第二轮",评分与用量!$C$2:$C$634,"S分项",评分与用量!$J$2:$J$634,"E*")=0,"",SUMIFS(评分与用量!$E$2:$E$634,评分与用量!$A$2:$A$634,$A8,评分与用量!$B$2:$B$634,"第二轮",评分与用量!$C$2:$C$634,"S分项",评分与用量!$J$2:$J$634,"E*")),IF(OR(IF(COUNTIFS(评分与用量!$A$2:$A$634,$A8,评分与用量!$B$2:$B$634,"第一轮",评分与用量!$C$2:$C$634,"S分项",评分与用量!$J$2:$J$634,"E*")=0,"",SUMIFS(评分与用量!$E$2:$E$634,评分与用量!$A$2:$A$634,$A8,评分与用量!$B$2:$B$634,"第一轮",评分与用量!$C$2:$C$634,"S分项",评分与用量!$J$2:$J$634,"E*"))="",IF(COUNTIFS(评分与用量!$A$2:$A$634,$A8,评分与用量!$B$2:$B$634,"第二轮",评分与用量!$C$2:$C$634,"S分项",评分与用量!$J$2:$J$634,"E*")=0,"",SUMIFS(评分与用量!$E$2:$E$634,评分与用量!$A$2:$A$634,$A8,评分与用量!$B$2:$B$634,"第二轮",评分与用量!$C$2:$C$634,"S分项",评分与用量!$J$2:$J$634,"E*"))=""),"",(IF(COUNTIFS(评分与用量!$A$2:$A$634,$A8,评分与用量!$B$2:$B$634,"第二轮",评分与用量!$C$2:$C$634,"S分项",评分与用量!$J$2:$J$634,"E*")=0,"",SUMIFS(评分与用量!$E$2:$E$634,评分与用量!$A$2:$A$634,$A8,评分与用量!$B$2:$B$634,"第二轮",评分与用量!$C$2:$C$634,"S分项",评分与用量!$J$2:$J$634,"E*")))-(IF(COUNTIFS(评分与用量!$A$2:$A$634,$A8,评分与用量!$B$2:$B$634,"第一轮",评分与用量!$C$2:$C$634,"S分项",评分与用量!$J$2:$J$634,"E*")=0,"",SUMIFS(评分与用量!$E$2:$E$634,评分与用量!$A$2:$A$634,$A8,评分与用量!$B$2:$B$634,"第一轮",评分与用量!$C$2:$C$634,"S分项",评分与用量!$J$2:$J$634,"E*")))))))="","",IF($F$3="得分率",TEXT((IF($B$3="第一轮",IF(COUNTIFS(评分与用量!$A$2:$A$634,$A8,评分与用量!$B$2:$B$634,"第一轮",评分与用量!$C$2:$C$634,"S分项",评分与用量!$J$2:$J$634,"E*")=0,"",SUMIFS(评分与用量!$E$2:$E$634,评分与用量!$A$2:$A$634,$A8,评分与用量!$B$2:$B$634,"第一轮",评分与用量!$C$2:$C$634,"S分项",评分与用量!$J$2:$J$634,"E*")),IF($B$3="第二轮",IF(COUNTIFS(评分与用量!$A$2:$A$634,$A8,评分与用量!$B$2:$B$634,"第二轮",评分与用量!$C$2:$C$634,"S分项",评分与用量!$J$2:$J$634,"E*")=0,"",SUMIFS(评分与用量!$E$2:$E$634,评分与用量!$A$2:$A$634,$A8,评分与用量!$B$2:$B$634,"第二轮",评分与用量!$C$2:$C$634,"S分项",评分与用量!$J$2:$J$634,"E*")),IF(OR(IF(COUNTIFS(评分与用量!$A$2:$A$634,$A8,评分与用量!$B$2:$B$634,"第一轮",评分与用量!$C$2:$C$634,"S分项",评分与用量!$J$2:$J$634,"E*")=0,"",SUMIFS(评分与用量!$E$2:$E$634,评分与用量!$A$2:$A$634,$A8,评分与用量!$B$2:$B$634,"第一轮",评分与用量!$C$2:$C$634,"S分项",评分与用量!$J$2:$J$634,"E*"))="",IF(COUNTIFS(评分与用量!$A$2:$A$634,$A8,评分与用量!$B$2:$B$634,"第二轮",评分与用量!$C$2:$C$634,"S分项",评分与用量!$J$2:$J$634,"E*")=0,"",SUMIFS(评分与用量!$E$2:$E$634,评分与用量!$A$2:$A$634,$A8,评分与用量!$B$2:$B$634,"第二轮",评分与用量!$C$2:$C$634,"S分项",评分与用量!$J$2:$J$634,"E*"))=""),"",(IF(COUNTIFS(评分与用量!$A$2:$A$634,$A8,评分与用量!$B$2:$B$634,"第二轮",评分与用量!$C$2:$C$634,"S分项",评分与用量!$J$2:$J$634,"E*")=0,"",SUMIFS(评分与用量!$E$2:$E$634,评分与用量!$A$2:$A$634,$A8,评分与用量!$B$2:$B$634,"第二轮",评分与用量!$C$2:$C$634,"S分项",评分与用量!$J$2:$J$634,"E*")))-(IF(COUNTIFS(评分与用量!$A$2:$A$634,$A8,评分与用量!$B$2:$B$634,"第一轮",评分与用量!$C$2:$C$634,"S分项",评分与用量!$J$2:$J$634,"E*")=0,"",SUMIFS(评分与用量!$E$2:$E$634,评分与用量!$A$2:$A$634,$A8,评分与用量!$B$2:$B$634,"第一轮",评分与用量!$C$2:$C$634,"S分项",评分与用量!$J$2:$J$634,"E*")))))))/10,IF($B$3="两轮变化","+0.0%;-0.0%;0.0%","0.0%")),(IF($B$3="第一轮",IF(COUNTIFS(评分与用量!$A$2:$A$634,$A8,评分与用量!$B$2:$B$634,"第一轮",评分与用量!$C$2:$C$634,"S分项",评分与用量!$J$2:$J$634,"E*")=0,"",SUMIFS(评分与用量!$E$2:$E$634,评分与用量!$A$2:$A$634,$A8,评分与用量!$B$2:$B$634,"第一轮",评分与用量!$C$2:$C$634,"S分项",评分与用量!$J$2:$J$634,"E*")),IF($B$3="第二轮",IF(COUNTIFS(评分与用量!$A$2:$A$634,$A8,评分与用量!$B$2:$B$634,"第二轮",评分与用量!$C$2:$C$634,"S分项",评分与用量!$J$2:$J$634,"E*")=0,"",SUMIFS(评分与用量!$E$2:$E$634,评分与用量!$A$2:$A$634,$A8,评分与用量!$B$2:$B$634,"第二轮",评分与用量!$C$2:$C$634,"S分项",评分与用量!$J$2:$J$634,"E*")),IF(OR(IF(COUNTIFS(评分与用量!$A$2:$A$634,$A8,评分与用量!$B$2:$B$634,"第一轮",评分与用量!$C$2:$C$634,"S分项",评分与用量!$J$2:$J$634,"E*")=0,"",SUMIFS(评分与用量!$E$2:$E$634,评分与用量!$A$2:$A$634,$A8,评分与用量!$B$2:$B$634,"第一轮",评分与用量!$C$2:$C$634,"S分项",评分与用量!$J$2:$J$634,"E*"))="",IF(COUNTIFS(评分与用量!$A$2:$A$634,$A8,评分与用量!$B$2:$B$634,"第二轮",评分与用量!$C$2:$C$634,"S分项",评分与用量!$J$2:$J$634,"E*")=0,"",SUMIFS(评分与用量!$E$2:$E$634,评分与用量!$A$2:$A$634,$A8,评分与用量!$B$2:$B$634,"第二轮",评分与用量!$C$2:$C$634,"S分项",评分与用量!$J$2:$J$634,"E*"))=""),"",(IF(COUNTIFS(评分与用量!$A$2:$A$634,$A8,评分与用量!$B$2:$B$634,"第二轮",评分与用量!$C$2:$C$634,"S分项",评分与用量!$J$2:$J$634,"E*")=0,"",SUMIFS(评分与用量!$E$2:$E$634,评分与用量!$A$2:$A$634,$A8,评分与用量!$B$2:$B$634,"第二轮",评分与用量!$C$2:$C$634,"S分项",评分与用量!$J$2:$J$634,"E*")))-(IF(COUNTIFS(评分与用量!$A$2:$A$634,$A8,评分与用量!$B$2:$B$634,"第一轮",评分与用量!$C$2:$C$634,"S分项",评分与用量!$J$2:$J$634,"E*")=0,"",SUMIFS(评分与用量!$E$2:$E$634,评分与用量!$A$2:$A$634,$A8,评分与用量!$B$2:$B$634,"第一轮",评分与用量!$C$2:$C$634,"S分项",评分与用量!$J$2:$J$634,"E*")))))))))</f>
        <v>6.75</v>
      </c>
      <c r="G8" s="77">
        <f>IF((IF($B$3="第一轮",IF(COUNTIFS(评分与用量!$A$2:$A$634,$A8,评分与用量!$B$2:$B$634,"第一轮",评分与用量!$C$2:$C$634,"S分项",评分与用量!$J$2:$J$634,"F*")=0,"",SUMIFS(评分与用量!$E$2:$E$634,评分与用量!$A$2:$A$634,$A8,评分与用量!$B$2:$B$634,"第一轮",评分与用量!$C$2:$C$634,"S分项",评分与用量!$J$2:$J$634,"F*")),IF($B$3="第二轮",IF(COUNTIFS(评分与用量!$A$2:$A$634,$A8,评分与用量!$B$2:$B$634,"第二轮",评分与用量!$C$2:$C$634,"S分项",评分与用量!$J$2:$J$634,"F*")=0,"",SUMIFS(评分与用量!$E$2:$E$634,评分与用量!$A$2:$A$634,$A8,评分与用量!$B$2:$B$634,"第二轮",评分与用量!$C$2:$C$634,"S分项",评分与用量!$J$2:$J$634,"F*")),IF(OR(IF(COUNTIFS(评分与用量!$A$2:$A$634,$A8,评分与用量!$B$2:$B$634,"第一轮",评分与用量!$C$2:$C$634,"S分项",评分与用量!$J$2:$J$634,"F*")=0,"",SUMIFS(评分与用量!$E$2:$E$634,评分与用量!$A$2:$A$634,$A8,评分与用量!$B$2:$B$634,"第一轮",评分与用量!$C$2:$C$634,"S分项",评分与用量!$J$2:$J$634,"F*"))="",IF(COUNTIFS(评分与用量!$A$2:$A$634,$A8,评分与用量!$B$2:$B$634,"第二轮",评分与用量!$C$2:$C$634,"S分项",评分与用量!$J$2:$J$634,"F*")=0,"",SUMIFS(评分与用量!$E$2:$E$634,评分与用量!$A$2:$A$634,$A8,评分与用量!$B$2:$B$634,"第二轮",评分与用量!$C$2:$C$634,"S分项",评分与用量!$J$2:$J$634,"F*"))=""),"",(IF(COUNTIFS(评分与用量!$A$2:$A$634,$A8,评分与用量!$B$2:$B$634,"第二轮",评分与用量!$C$2:$C$634,"S分项",评分与用量!$J$2:$J$634,"F*")=0,"",SUMIFS(评分与用量!$E$2:$E$634,评分与用量!$A$2:$A$634,$A8,评分与用量!$B$2:$B$634,"第二轮",评分与用量!$C$2:$C$634,"S分项",评分与用量!$J$2:$J$634,"F*")))-(IF(COUNTIFS(评分与用量!$A$2:$A$634,$A8,评分与用量!$B$2:$B$634,"第一轮",评分与用量!$C$2:$C$634,"S分项",评分与用量!$J$2:$J$634,"F*")=0,"",SUMIFS(评分与用量!$E$2:$E$634,评分与用量!$A$2:$A$634,$A8,评分与用量!$B$2:$B$634,"第一轮",评分与用量!$C$2:$C$634,"S分项",评分与用量!$J$2:$J$634,"F*")))))))="","",IF($F$3="得分率",TEXT((IF($B$3="第一轮",IF(COUNTIFS(评分与用量!$A$2:$A$634,$A8,评分与用量!$B$2:$B$634,"第一轮",评分与用量!$C$2:$C$634,"S分项",评分与用量!$J$2:$J$634,"F*")=0,"",SUMIFS(评分与用量!$E$2:$E$634,评分与用量!$A$2:$A$634,$A8,评分与用量!$B$2:$B$634,"第一轮",评分与用量!$C$2:$C$634,"S分项",评分与用量!$J$2:$J$634,"F*")),IF($B$3="第二轮",IF(COUNTIFS(评分与用量!$A$2:$A$634,$A8,评分与用量!$B$2:$B$634,"第二轮",评分与用量!$C$2:$C$634,"S分项",评分与用量!$J$2:$J$634,"F*")=0,"",SUMIFS(评分与用量!$E$2:$E$634,评分与用量!$A$2:$A$634,$A8,评分与用量!$B$2:$B$634,"第二轮",评分与用量!$C$2:$C$634,"S分项",评分与用量!$J$2:$J$634,"F*")),IF(OR(IF(COUNTIFS(评分与用量!$A$2:$A$634,$A8,评分与用量!$B$2:$B$634,"第一轮",评分与用量!$C$2:$C$634,"S分项",评分与用量!$J$2:$J$634,"F*")=0,"",SUMIFS(评分与用量!$E$2:$E$634,评分与用量!$A$2:$A$634,$A8,评分与用量!$B$2:$B$634,"第一轮",评分与用量!$C$2:$C$634,"S分项",评分与用量!$J$2:$J$634,"F*"))="",IF(COUNTIFS(评分与用量!$A$2:$A$634,$A8,评分与用量!$B$2:$B$634,"第二轮",评分与用量!$C$2:$C$634,"S分项",评分与用量!$J$2:$J$634,"F*")=0,"",SUMIFS(评分与用量!$E$2:$E$634,评分与用量!$A$2:$A$634,$A8,评分与用量!$B$2:$B$634,"第二轮",评分与用量!$C$2:$C$634,"S分项",评分与用量!$J$2:$J$634,"F*"))=""),"",(IF(COUNTIFS(评分与用量!$A$2:$A$634,$A8,评分与用量!$B$2:$B$634,"第二轮",评分与用量!$C$2:$C$634,"S分项",评分与用量!$J$2:$J$634,"F*")=0,"",SUMIFS(评分与用量!$E$2:$E$634,评分与用量!$A$2:$A$634,$A8,评分与用量!$B$2:$B$634,"第二轮",评分与用量!$C$2:$C$634,"S分项",评分与用量!$J$2:$J$634,"F*")))-(IF(COUNTIFS(评分与用量!$A$2:$A$634,$A8,评分与用量!$B$2:$B$634,"第一轮",评分与用量!$C$2:$C$634,"S分项",评分与用量!$J$2:$J$634,"F*")=0,"",SUMIFS(评分与用量!$E$2:$E$634,评分与用量!$A$2:$A$634,$A8,评分与用量!$B$2:$B$634,"第一轮",评分与用量!$C$2:$C$634,"S分项",评分与用量!$J$2:$J$634,"F*")))))))/10,IF($B$3="两轮变化","+0.0%;-0.0%;0.0%","0.0%")),(IF($B$3="第一轮",IF(COUNTIFS(评分与用量!$A$2:$A$634,$A8,评分与用量!$B$2:$B$634,"第一轮",评分与用量!$C$2:$C$634,"S分项",评分与用量!$J$2:$J$634,"F*")=0,"",SUMIFS(评分与用量!$E$2:$E$634,评分与用量!$A$2:$A$634,$A8,评分与用量!$B$2:$B$634,"第一轮",评分与用量!$C$2:$C$634,"S分项",评分与用量!$J$2:$J$634,"F*")),IF($B$3="第二轮",IF(COUNTIFS(评分与用量!$A$2:$A$634,$A8,评分与用量!$B$2:$B$634,"第二轮",评分与用量!$C$2:$C$634,"S分项",评分与用量!$J$2:$J$634,"F*")=0,"",SUMIFS(评分与用量!$E$2:$E$634,评分与用量!$A$2:$A$634,$A8,评分与用量!$B$2:$B$634,"第二轮",评分与用量!$C$2:$C$634,"S分项",评分与用量!$J$2:$J$634,"F*")),IF(OR(IF(COUNTIFS(评分与用量!$A$2:$A$634,$A8,评分与用量!$B$2:$B$634,"第一轮",评分与用量!$C$2:$C$634,"S分项",评分与用量!$J$2:$J$634,"F*")=0,"",SUMIFS(评分与用量!$E$2:$E$634,评分与用量!$A$2:$A$634,$A8,评分与用量!$B$2:$B$634,"第一轮",评分与用量!$C$2:$C$634,"S分项",评分与用量!$J$2:$J$634,"F*"))="",IF(COUNTIFS(评分与用量!$A$2:$A$634,$A8,评分与用量!$B$2:$B$634,"第二轮",评分与用量!$C$2:$C$634,"S分项",评分与用量!$J$2:$J$634,"F*")=0,"",SUMIFS(评分与用量!$E$2:$E$634,评分与用量!$A$2:$A$634,$A8,评分与用量!$B$2:$B$634,"第二轮",评分与用量!$C$2:$C$634,"S分项",评分与用量!$J$2:$J$634,"F*"))=""),"",(IF(COUNTIFS(评分与用量!$A$2:$A$634,$A8,评分与用量!$B$2:$B$634,"第二轮",评分与用量!$C$2:$C$634,"S分项",评分与用量!$J$2:$J$634,"F*")=0,"",SUMIFS(评分与用量!$E$2:$E$634,评分与用量!$A$2:$A$634,$A8,评分与用量!$B$2:$B$634,"第二轮",评分与用量!$C$2:$C$634,"S分项",评分与用量!$J$2:$J$634,"F*")))-(IF(COUNTIFS(评分与用量!$A$2:$A$634,$A8,评分与用量!$B$2:$B$634,"第一轮",评分与用量!$C$2:$C$634,"S分项",评分与用量!$J$2:$J$634,"F*")=0,"",SUMIFS(评分与用量!$E$2:$E$634,评分与用量!$A$2:$A$634,$A8,评分与用量!$B$2:$B$634,"第一轮",评分与用量!$C$2:$C$634,"S分项",评分与用量!$J$2:$J$634,"F*")))))))))</f>
        <v>9.25</v>
      </c>
      <c r="H8" s="77">
        <f>IF((IF($B$3="第一轮",IF(COUNTIFS(评分与用量!$A$2:$A$634,$A8,评分与用量!$B$2:$B$634,"第一轮",评分与用量!$C$2:$C$634,"S分项")=0,"",SUMIFS(评分与用量!$E$2:$E$634,评分与用量!$A$2:$A$634,$A8,评分与用量!$B$2:$B$634,"第一轮",评分与用量!$C$2:$C$634,"S分项")),IF($B$3="第二轮",IF(COUNTIFS(评分与用量!$A$2:$A$634,$A8,评分与用量!$B$2:$B$634,"第二轮",评分与用量!$C$2:$C$634,"S分项")=0,"",SUMIFS(评分与用量!$E$2:$E$634,评分与用量!$A$2:$A$634,$A8,评分与用量!$B$2:$B$634,"第二轮",评分与用量!$C$2:$C$634,"S分项")),IF(OR(IF(COUNTIFS(评分与用量!$A$2:$A$634,$A8,评分与用量!$B$2:$B$634,"第一轮",评分与用量!$C$2:$C$634,"S分项")=0,"",SUMIFS(评分与用量!$E$2:$E$634,评分与用量!$A$2:$A$634,$A8,评分与用量!$B$2:$B$634,"第一轮",评分与用量!$C$2:$C$634,"S分项"))="",IF(COUNTIFS(评分与用量!$A$2:$A$634,$A8,评分与用量!$B$2:$B$634,"第二轮",评分与用量!$C$2:$C$634,"S分项")=0,"",SUMIFS(评分与用量!$E$2:$E$634,评分与用量!$A$2:$A$634,$A8,评分与用量!$B$2:$B$634,"第二轮",评分与用量!$C$2:$C$634,"S分项"))=""),"",(IF(COUNTIFS(评分与用量!$A$2:$A$634,$A8,评分与用量!$B$2:$B$634,"第二轮",评分与用量!$C$2:$C$634,"S分项")=0,"",SUMIFS(评分与用量!$E$2:$E$634,评分与用量!$A$2:$A$634,$A8,评分与用量!$B$2:$B$634,"第二轮",评分与用量!$C$2:$C$634,"S分项")))-(IF(COUNTIFS(评分与用量!$A$2:$A$634,$A8,评分与用量!$B$2:$B$634,"第一轮",评分与用量!$C$2:$C$634,"S分项")=0,"",SUMIFS(评分与用量!$E$2:$E$634,评分与用量!$A$2:$A$634,$A8,评分与用量!$B$2:$B$634,"第一轮",评分与用量!$C$2:$C$634,"S分项")))))))="","",IF($F$3="得分率",TEXT((IF($B$3="第一轮",IF(COUNTIFS(评分与用量!$A$2:$A$634,$A8,评分与用量!$B$2:$B$634,"第一轮",评分与用量!$C$2:$C$634,"S分项")=0,"",SUMIFS(评分与用量!$E$2:$E$634,评分与用量!$A$2:$A$634,$A8,评分与用量!$B$2:$B$634,"第一轮",评分与用量!$C$2:$C$634,"S分项")),IF($B$3="第二轮",IF(COUNTIFS(评分与用量!$A$2:$A$634,$A8,评分与用量!$B$2:$B$634,"第二轮",评分与用量!$C$2:$C$634,"S分项")=0,"",SUMIFS(评分与用量!$E$2:$E$634,评分与用量!$A$2:$A$634,$A8,评分与用量!$B$2:$B$634,"第二轮",评分与用量!$C$2:$C$634,"S分项")),IF(OR(IF(COUNTIFS(评分与用量!$A$2:$A$634,$A8,评分与用量!$B$2:$B$634,"第一轮",评分与用量!$C$2:$C$634,"S分项")=0,"",SUMIFS(评分与用量!$E$2:$E$634,评分与用量!$A$2:$A$634,$A8,评分与用量!$B$2:$B$634,"第一轮",评分与用量!$C$2:$C$634,"S分项"))="",IF(COUNTIFS(评分与用量!$A$2:$A$634,$A8,评分与用量!$B$2:$B$634,"第二轮",评分与用量!$C$2:$C$634,"S分项")=0,"",SUMIFS(评分与用量!$E$2:$E$634,评分与用量!$A$2:$A$634,$A8,评分与用量!$B$2:$B$634,"第二轮",评分与用量!$C$2:$C$634,"S分项"))=""),"",(IF(COUNTIFS(评分与用量!$A$2:$A$634,$A8,评分与用量!$B$2:$B$634,"第二轮",评分与用量!$C$2:$C$634,"S分项")=0,"",SUMIFS(评分与用量!$E$2:$E$634,评分与用量!$A$2:$A$634,$A8,评分与用量!$B$2:$B$634,"第二轮",评分与用量!$C$2:$C$634,"S分项")))-(IF(COUNTIFS(评分与用量!$A$2:$A$634,$A8,评分与用量!$B$2:$B$634,"第一轮",评分与用量!$C$2:$C$634,"S分项")=0,"",SUMIFS(评分与用量!$E$2:$E$634,评分与用量!$A$2:$A$634,$A8,评分与用量!$B$2:$B$634,"第一轮",评分与用量!$C$2:$C$634,"S分项")))))))/100,IF($B$3="两轮变化","+0.0%;-0.0%;0.0%","0.0%")),(IF($B$3="第一轮",IF(COUNTIFS(评分与用量!$A$2:$A$634,$A8,评分与用量!$B$2:$B$634,"第一轮",评分与用量!$C$2:$C$634,"S分项")=0,"",SUMIFS(评分与用量!$E$2:$E$634,评分与用量!$A$2:$A$634,$A8,评分与用量!$B$2:$B$634,"第一轮",评分与用量!$C$2:$C$634,"S分项")),IF($B$3="第二轮",IF(COUNTIFS(评分与用量!$A$2:$A$634,$A8,评分与用量!$B$2:$B$634,"第二轮",评分与用量!$C$2:$C$634,"S分项")=0,"",SUMIFS(评分与用量!$E$2:$E$634,评分与用量!$A$2:$A$634,$A8,评分与用量!$B$2:$B$634,"第二轮",评分与用量!$C$2:$C$634,"S分项")),IF(OR(IF(COUNTIFS(评分与用量!$A$2:$A$634,$A8,评分与用量!$B$2:$B$634,"第一轮",评分与用量!$C$2:$C$634,"S分项")=0,"",SUMIFS(评分与用量!$E$2:$E$634,评分与用量!$A$2:$A$634,$A8,评分与用量!$B$2:$B$634,"第一轮",评分与用量!$C$2:$C$634,"S分项"))="",IF(COUNTIFS(评分与用量!$A$2:$A$634,$A8,评分与用量!$B$2:$B$634,"第二轮",评分与用量!$C$2:$C$634,"S分项")=0,"",SUMIFS(评分与用量!$E$2:$E$634,评分与用量!$A$2:$A$634,$A8,评分与用量!$B$2:$B$634,"第二轮",评分与用量!$C$2:$C$634,"S分项"))=""),"",(IF(COUNTIFS(评分与用量!$A$2:$A$634,$A8,评分与用量!$B$2:$B$634,"第二轮",评分与用量!$C$2:$C$634,"S分项")=0,"",SUMIFS(评分与用量!$E$2:$E$634,评分与用量!$A$2:$A$634,$A8,评分与用量!$B$2:$B$634,"第二轮",评分与用量!$C$2:$C$634,"S分项")))-(IF(COUNTIFS(评分与用量!$A$2:$A$634,$A8,评分与用量!$B$2:$B$634,"第一轮",评分与用量!$C$2:$C$634,"S分项")=0,"",SUMIFS(评分与用量!$E$2:$E$634,评分与用量!$A$2:$A$634,$A8,评分与用量!$B$2:$B$634,"第一轮",评分与用量!$C$2:$C$634,"S分项")))))))))</f>
        <v>87.25</v>
      </c>
    </row>
    <row r="9" spans="1:8" ht="22.05" customHeight="1">
      <c r="A9" s="76" t="s">
        <v>15</v>
      </c>
      <c r="B9" s="77">
        <f>IF((IF($B$3="第一轮",IF(COUNTIFS(评分与用量!$A$2:$A$634,$A9,评分与用量!$B$2:$B$634,"第一轮",评分与用量!$C$2:$C$634,"S分项",评分与用量!$J$2:$J$634,"A*")=0,"",SUMIFS(评分与用量!$E$2:$E$634,评分与用量!$A$2:$A$634,$A9,评分与用量!$B$2:$B$634,"第一轮",评分与用量!$C$2:$C$634,"S分项",评分与用量!$J$2:$J$634,"A*")),IF($B$3="第二轮",IF(COUNTIFS(评分与用量!$A$2:$A$634,$A9,评分与用量!$B$2:$B$634,"第二轮",评分与用量!$C$2:$C$634,"S分项",评分与用量!$J$2:$J$634,"A*")=0,"",SUMIFS(评分与用量!$E$2:$E$634,评分与用量!$A$2:$A$634,$A9,评分与用量!$B$2:$B$634,"第二轮",评分与用量!$C$2:$C$634,"S分项",评分与用量!$J$2:$J$634,"A*")),IF(OR(IF(COUNTIFS(评分与用量!$A$2:$A$634,$A9,评分与用量!$B$2:$B$634,"第一轮",评分与用量!$C$2:$C$634,"S分项",评分与用量!$J$2:$J$634,"A*")=0,"",SUMIFS(评分与用量!$E$2:$E$634,评分与用量!$A$2:$A$634,$A9,评分与用量!$B$2:$B$634,"第一轮",评分与用量!$C$2:$C$634,"S分项",评分与用量!$J$2:$J$634,"A*"))="",IF(COUNTIFS(评分与用量!$A$2:$A$634,$A9,评分与用量!$B$2:$B$634,"第二轮",评分与用量!$C$2:$C$634,"S分项",评分与用量!$J$2:$J$634,"A*")=0,"",SUMIFS(评分与用量!$E$2:$E$634,评分与用量!$A$2:$A$634,$A9,评分与用量!$B$2:$B$634,"第二轮",评分与用量!$C$2:$C$634,"S分项",评分与用量!$J$2:$J$634,"A*"))=""),"",(IF(COUNTIFS(评分与用量!$A$2:$A$634,$A9,评分与用量!$B$2:$B$634,"第二轮",评分与用量!$C$2:$C$634,"S分项",评分与用量!$J$2:$J$634,"A*")=0,"",SUMIFS(评分与用量!$E$2:$E$634,评分与用量!$A$2:$A$634,$A9,评分与用量!$B$2:$B$634,"第二轮",评分与用量!$C$2:$C$634,"S分项",评分与用量!$J$2:$J$634,"A*")))-(IF(COUNTIFS(评分与用量!$A$2:$A$634,$A9,评分与用量!$B$2:$B$634,"第一轮",评分与用量!$C$2:$C$634,"S分项",评分与用量!$J$2:$J$634,"A*")=0,"",SUMIFS(评分与用量!$E$2:$E$634,评分与用量!$A$2:$A$634,$A9,评分与用量!$B$2:$B$634,"第一轮",评分与用量!$C$2:$C$634,"S分项",评分与用量!$J$2:$J$634,"A*")))))))="","",IF($F$3="得分率",TEXT((IF($B$3="第一轮",IF(COUNTIFS(评分与用量!$A$2:$A$634,$A9,评分与用量!$B$2:$B$634,"第一轮",评分与用量!$C$2:$C$634,"S分项",评分与用量!$J$2:$J$634,"A*")=0,"",SUMIFS(评分与用量!$E$2:$E$634,评分与用量!$A$2:$A$634,$A9,评分与用量!$B$2:$B$634,"第一轮",评分与用量!$C$2:$C$634,"S分项",评分与用量!$J$2:$J$634,"A*")),IF($B$3="第二轮",IF(COUNTIFS(评分与用量!$A$2:$A$634,$A9,评分与用量!$B$2:$B$634,"第二轮",评分与用量!$C$2:$C$634,"S分项",评分与用量!$J$2:$J$634,"A*")=0,"",SUMIFS(评分与用量!$E$2:$E$634,评分与用量!$A$2:$A$634,$A9,评分与用量!$B$2:$B$634,"第二轮",评分与用量!$C$2:$C$634,"S分项",评分与用量!$J$2:$J$634,"A*")),IF(OR(IF(COUNTIFS(评分与用量!$A$2:$A$634,$A9,评分与用量!$B$2:$B$634,"第一轮",评分与用量!$C$2:$C$634,"S分项",评分与用量!$J$2:$J$634,"A*")=0,"",SUMIFS(评分与用量!$E$2:$E$634,评分与用量!$A$2:$A$634,$A9,评分与用量!$B$2:$B$634,"第一轮",评分与用量!$C$2:$C$634,"S分项",评分与用量!$J$2:$J$634,"A*"))="",IF(COUNTIFS(评分与用量!$A$2:$A$634,$A9,评分与用量!$B$2:$B$634,"第二轮",评分与用量!$C$2:$C$634,"S分项",评分与用量!$J$2:$J$634,"A*")=0,"",SUMIFS(评分与用量!$E$2:$E$634,评分与用量!$A$2:$A$634,$A9,评分与用量!$B$2:$B$634,"第二轮",评分与用量!$C$2:$C$634,"S分项",评分与用量!$J$2:$J$634,"A*"))=""),"",(IF(COUNTIFS(评分与用量!$A$2:$A$634,$A9,评分与用量!$B$2:$B$634,"第二轮",评分与用量!$C$2:$C$634,"S分项",评分与用量!$J$2:$J$634,"A*")=0,"",SUMIFS(评分与用量!$E$2:$E$634,评分与用量!$A$2:$A$634,$A9,评分与用量!$B$2:$B$634,"第二轮",评分与用量!$C$2:$C$634,"S分项",评分与用量!$J$2:$J$634,"A*")))-(IF(COUNTIFS(评分与用量!$A$2:$A$634,$A9,评分与用量!$B$2:$B$634,"第一轮",评分与用量!$C$2:$C$634,"S分项",评分与用量!$J$2:$J$634,"A*")=0,"",SUMIFS(评分与用量!$E$2:$E$634,评分与用量!$A$2:$A$634,$A9,评分与用量!$B$2:$B$634,"第一轮",评分与用量!$C$2:$C$634,"S分项",评分与用量!$J$2:$J$634,"A*")))))))/15,IF($B$3="两轮变化","+0.0%;-0.0%;0.0%","0.0%")),(IF($B$3="第一轮",IF(COUNTIFS(评分与用量!$A$2:$A$634,$A9,评分与用量!$B$2:$B$634,"第一轮",评分与用量!$C$2:$C$634,"S分项",评分与用量!$J$2:$J$634,"A*")=0,"",SUMIFS(评分与用量!$E$2:$E$634,评分与用量!$A$2:$A$634,$A9,评分与用量!$B$2:$B$634,"第一轮",评分与用量!$C$2:$C$634,"S分项",评分与用量!$J$2:$J$634,"A*")),IF($B$3="第二轮",IF(COUNTIFS(评分与用量!$A$2:$A$634,$A9,评分与用量!$B$2:$B$634,"第二轮",评分与用量!$C$2:$C$634,"S分项",评分与用量!$J$2:$J$634,"A*")=0,"",SUMIFS(评分与用量!$E$2:$E$634,评分与用量!$A$2:$A$634,$A9,评分与用量!$B$2:$B$634,"第二轮",评分与用量!$C$2:$C$634,"S分项",评分与用量!$J$2:$J$634,"A*")),IF(OR(IF(COUNTIFS(评分与用量!$A$2:$A$634,$A9,评分与用量!$B$2:$B$634,"第一轮",评分与用量!$C$2:$C$634,"S分项",评分与用量!$J$2:$J$634,"A*")=0,"",SUMIFS(评分与用量!$E$2:$E$634,评分与用量!$A$2:$A$634,$A9,评分与用量!$B$2:$B$634,"第一轮",评分与用量!$C$2:$C$634,"S分项",评分与用量!$J$2:$J$634,"A*"))="",IF(COUNTIFS(评分与用量!$A$2:$A$634,$A9,评分与用量!$B$2:$B$634,"第二轮",评分与用量!$C$2:$C$634,"S分项",评分与用量!$J$2:$J$634,"A*")=0,"",SUMIFS(评分与用量!$E$2:$E$634,评分与用量!$A$2:$A$634,$A9,评分与用量!$B$2:$B$634,"第二轮",评分与用量!$C$2:$C$634,"S分项",评分与用量!$J$2:$J$634,"A*"))=""),"",(IF(COUNTIFS(评分与用量!$A$2:$A$634,$A9,评分与用量!$B$2:$B$634,"第二轮",评分与用量!$C$2:$C$634,"S分项",评分与用量!$J$2:$J$634,"A*")=0,"",SUMIFS(评分与用量!$E$2:$E$634,评分与用量!$A$2:$A$634,$A9,评分与用量!$B$2:$B$634,"第二轮",评分与用量!$C$2:$C$634,"S分项",评分与用量!$J$2:$J$634,"A*")))-(IF(COUNTIFS(评分与用量!$A$2:$A$634,$A9,评分与用量!$B$2:$B$634,"第一轮",评分与用量!$C$2:$C$634,"S分项",评分与用量!$J$2:$J$634,"A*")=0,"",SUMIFS(评分与用量!$E$2:$E$634,评分与用量!$A$2:$A$634,$A9,评分与用量!$B$2:$B$634,"第一轮",评分与用量!$C$2:$C$634,"S分项",评分与用量!$J$2:$J$634,"A*")))))))))</f>
        <v>13.25</v>
      </c>
      <c r="C9" s="77">
        <f>IF((IF($B$3="第一轮",IF(COUNTIFS(评分与用量!$A$2:$A$634,$A9,评分与用量!$B$2:$B$634,"第一轮",评分与用量!$C$2:$C$634,"S分项",评分与用量!$J$2:$J$634,"B*")=0,"",SUMIFS(评分与用量!$E$2:$E$634,评分与用量!$A$2:$A$634,$A9,评分与用量!$B$2:$B$634,"第一轮",评分与用量!$C$2:$C$634,"S分项",评分与用量!$J$2:$J$634,"B*")),IF($B$3="第二轮",IF(COUNTIFS(评分与用量!$A$2:$A$634,$A9,评分与用量!$B$2:$B$634,"第二轮",评分与用量!$C$2:$C$634,"S分项",评分与用量!$J$2:$J$634,"B*")=0,"",SUMIFS(评分与用量!$E$2:$E$634,评分与用量!$A$2:$A$634,$A9,评分与用量!$B$2:$B$634,"第二轮",评分与用量!$C$2:$C$634,"S分项",评分与用量!$J$2:$J$634,"B*")),IF(OR(IF(COUNTIFS(评分与用量!$A$2:$A$634,$A9,评分与用量!$B$2:$B$634,"第一轮",评分与用量!$C$2:$C$634,"S分项",评分与用量!$J$2:$J$634,"B*")=0,"",SUMIFS(评分与用量!$E$2:$E$634,评分与用量!$A$2:$A$634,$A9,评分与用量!$B$2:$B$634,"第一轮",评分与用量!$C$2:$C$634,"S分项",评分与用量!$J$2:$J$634,"B*"))="",IF(COUNTIFS(评分与用量!$A$2:$A$634,$A9,评分与用量!$B$2:$B$634,"第二轮",评分与用量!$C$2:$C$634,"S分项",评分与用量!$J$2:$J$634,"B*")=0,"",SUMIFS(评分与用量!$E$2:$E$634,评分与用量!$A$2:$A$634,$A9,评分与用量!$B$2:$B$634,"第二轮",评分与用量!$C$2:$C$634,"S分项",评分与用量!$J$2:$J$634,"B*"))=""),"",(IF(COUNTIFS(评分与用量!$A$2:$A$634,$A9,评分与用量!$B$2:$B$634,"第二轮",评分与用量!$C$2:$C$634,"S分项",评分与用量!$J$2:$J$634,"B*")=0,"",SUMIFS(评分与用量!$E$2:$E$634,评分与用量!$A$2:$A$634,$A9,评分与用量!$B$2:$B$634,"第二轮",评分与用量!$C$2:$C$634,"S分项",评分与用量!$J$2:$J$634,"B*")))-(IF(COUNTIFS(评分与用量!$A$2:$A$634,$A9,评分与用量!$B$2:$B$634,"第一轮",评分与用量!$C$2:$C$634,"S分项",评分与用量!$J$2:$J$634,"B*")=0,"",SUMIFS(评分与用量!$E$2:$E$634,评分与用量!$A$2:$A$634,$A9,评分与用量!$B$2:$B$634,"第一轮",评分与用量!$C$2:$C$634,"S分项",评分与用量!$J$2:$J$634,"B*")))))))="","",IF($F$3="得分率",TEXT((IF($B$3="第一轮",IF(COUNTIFS(评分与用量!$A$2:$A$634,$A9,评分与用量!$B$2:$B$634,"第一轮",评分与用量!$C$2:$C$634,"S分项",评分与用量!$J$2:$J$634,"B*")=0,"",SUMIFS(评分与用量!$E$2:$E$634,评分与用量!$A$2:$A$634,$A9,评分与用量!$B$2:$B$634,"第一轮",评分与用量!$C$2:$C$634,"S分项",评分与用量!$J$2:$J$634,"B*")),IF($B$3="第二轮",IF(COUNTIFS(评分与用量!$A$2:$A$634,$A9,评分与用量!$B$2:$B$634,"第二轮",评分与用量!$C$2:$C$634,"S分项",评分与用量!$J$2:$J$634,"B*")=0,"",SUMIFS(评分与用量!$E$2:$E$634,评分与用量!$A$2:$A$634,$A9,评分与用量!$B$2:$B$634,"第二轮",评分与用量!$C$2:$C$634,"S分项",评分与用量!$J$2:$J$634,"B*")),IF(OR(IF(COUNTIFS(评分与用量!$A$2:$A$634,$A9,评分与用量!$B$2:$B$634,"第一轮",评分与用量!$C$2:$C$634,"S分项",评分与用量!$J$2:$J$634,"B*")=0,"",SUMIFS(评分与用量!$E$2:$E$634,评分与用量!$A$2:$A$634,$A9,评分与用量!$B$2:$B$634,"第一轮",评分与用量!$C$2:$C$634,"S分项",评分与用量!$J$2:$J$634,"B*"))="",IF(COUNTIFS(评分与用量!$A$2:$A$634,$A9,评分与用量!$B$2:$B$634,"第二轮",评分与用量!$C$2:$C$634,"S分项",评分与用量!$J$2:$J$634,"B*")=0,"",SUMIFS(评分与用量!$E$2:$E$634,评分与用量!$A$2:$A$634,$A9,评分与用量!$B$2:$B$634,"第二轮",评分与用量!$C$2:$C$634,"S分项",评分与用量!$J$2:$J$634,"B*"))=""),"",(IF(COUNTIFS(评分与用量!$A$2:$A$634,$A9,评分与用量!$B$2:$B$634,"第二轮",评分与用量!$C$2:$C$634,"S分项",评分与用量!$J$2:$J$634,"B*")=0,"",SUMIFS(评分与用量!$E$2:$E$634,评分与用量!$A$2:$A$634,$A9,评分与用量!$B$2:$B$634,"第二轮",评分与用量!$C$2:$C$634,"S分项",评分与用量!$J$2:$J$634,"B*")))-(IF(COUNTIFS(评分与用量!$A$2:$A$634,$A9,评分与用量!$B$2:$B$634,"第一轮",评分与用量!$C$2:$C$634,"S分项",评分与用量!$J$2:$J$634,"B*")=0,"",SUMIFS(评分与用量!$E$2:$E$634,评分与用量!$A$2:$A$634,$A9,评分与用量!$B$2:$B$634,"第一轮",评分与用量!$C$2:$C$634,"S分项",评分与用量!$J$2:$J$634,"B*")))))))/20,IF($B$3="两轮变化","+0.0%;-0.0%;0.0%","0.0%")),(IF($B$3="第一轮",IF(COUNTIFS(评分与用量!$A$2:$A$634,$A9,评分与用量!$B$2:$B$634,"第一轮",评分与用量!$C$2:$C$634,"S分项",评分与用量!$J$2:$J$634,"B*")=0,"",SUMIFS(评分与用量!$E$2:$E$634,评分与用量!$A$2:$A$634,$A9,评分与用量!$B$2:$B$634,"第一轮",评分与用量!$C$2:$C$634,"S分项",评分与用量!$J$2:$J$634,"B*")),IF($B$3="第二轮",IF(COUNTIFS(评分与用量!$A$2:$A$634,$A9,评分与用量!$B$2:$B$634,"第二轮",评分与用量!$C$2:$C$634,"S分项",评分与用量!$J$2:$J$634,"B*")=0,"",SUMIFS(评分与用量!$E$2:$E$634,评分与用量!$A$2:$A$634,$A9,评分与用量!$B$2:$B$634,"第二轮",评分与用量!$C$2:$C$634,"S分项",评分与用量!$J$2:$J$634,"B*")),IF(OR(IF(COUNTIFS(评分与用量!$A$2:$A$634,$A9,评分与用量!$B$2:$B$634,"第一轮",评分与用量!$C$2:$C$634,"S分项",评分与用量!$J$2:$J$634,"B*")=0,"",SUMIFS(评分与用量!$E$2:$E$634,评分与用量!$A$2:$A$634,$A9,评分与用量!$B$2:$B$634,"第一轮",评分与用量!$C$2:$C$634,"S分项",评分与用量!$J$2:$J$634,"B*"))="",IF(COUNTIFS(评分与用量!$A$2:$A$634,$A9,评分与用量!$B$2:$B$634,"第二轮",评分与用量!$C$2:$C$634,"S分项",评分与用量!$J$2:$J$634,"B*")=0,"",SUMIFS(评分与用量!$E$2:$E$634,评分与用量!$A$2:$A$634,$A9,评分与用量!$B$2:$B$634,"第二轮",评分与用量!$C$2:$C$634,"S分项",评分与用量!$J$2:$J$634,"B*"))=""),"",(IF(COUNTIFS(评分与用量!$A$2:$A$634,$A9,评分与用量!$B$2:$B$634,"第二轮",评分与用量!$C$2:$C$634,"S分项",评分与用量!$J$2:$J$634,"B*")=0,"",SUMIFS(评分与用量!$E$2:$E$634,评分与用量!$A$2:$A$634,$A9,评分与用量!$B$2:$B$634,"第二轮",评分与用量!$C$2:$C$634,"S分项",评分与用量!$J$2:$J$634,"B*")))-(IF(COUNTIFS(评分与用量!$A$2:$A$634,$A9,评分与用量!$B$2:$B$634,"第一轮",评分与用量!$C$2:$C$634,"S分项",评分与用量!$J$2:$J$634,"B*")=0,"",SUMIFS(评分与用量!$E$2:$E$634,评分与用量!$A$2:$A$634,$A9,评分与用量!$B$2:$B$634,"第一轮",评分与用量!$C$2:$C$634,"S分项",评分与用量!$J$2:$J$634,"B*")))))))))</f>
        <v>16.25</v>
      </c>
      <c r="D9" s="77">
        <f>IF((IF($B$3="第一轮",IF(COUNTIFS(评分与用量!$A$2:$A$634,$A9,评分与用量!$B$2:$B$634,"第一轮",评分与用量!$C$2:$C$634,"S分项",评分与用量!$J$2:$J$634,"C*")=0,"",SUMIFS(评分与用量!$E$2:$E$634,评分与用量!$A$2:$A$634,$A9,评分与用量!$B$2:$B$634,"第一轮",评分与用量!$C$2:$C$634,"S分项",评分与用量!$J$2:$J$634,"C*")),IF($B$3="第二轮",IF(COUNTIFS(评分与用量!$A$2:$A$634,$A9,评分与用量!$B$2:$B$634,"第二轮",评分与用量!$C$2:$C$634,"S分项",评分与用量!$J$2:$J$634,"C*")=0,"",SUMIFS(评分与用量!$E$2:$E$634,评分与用量!$A$2:$A$634,$A9,评分与用量!$B$2:$B$634,"第二轮",评分与用量!$C$2:$C$634,"S分项",评分与用量!$J$2:$J$634,"C*")),IF(OR(IF(COUNTIFS(评分与用量!$A$2:$A$634,$A9,评分与用量!$B$2:$B$634,"第一轮",评分与用量!$C$2:$C$634,"S分项",评分与用量!$J$2:$J$634,"C*")=0,"",SUMIFS(评分与用量!$E$2:$E$634,评分与用量!$A$2:$A$634,$A9,评分与用量!$B$2:$B$634,"第一轮",评分与用量!$C$2:$C$634,"S分项",评分与用量!$J$2:$J$634,"C*"))="",IF(COUNTIFS(评分与用量!$A$2:$A$634,$A9,评分与用量!$B$2:$B$634,"第二轮",评分与用量!$C$2:$C$634,"S分项",评分与用量!$J$2:$J$634,"C*")=0,"",SUMIFS(评分与用量!$E$2:$E$634,评分与用量!$A$2:$A$634,$A9,评分与用量!$B$2:$B$634,"第二轮",评分与用量!$C$2:$C$634,"S分项",评分与用量!$J$2:$J$634,"C*"))=""),"",(IF(COUNTIFS(评分与用量!$A$2:$A$634,$A9,评分与用量!$B$2:$B$634,"第二轮",评分与用量!$C$2:$C$634,"S分项",评分与用量!$J$2:$J$634,"C*")=0,"",SUMIFS(评分与用量!$E$2:$E$634,评分与用量!$A$2:$A$634,$A9,评分与用量!$B$2:$B$634,"第二轮",评分与用量!$C$2:$C$634,"S分项",评分与用量!$J$2:$J$634,"C*")))-(IF(COUNTIFS(评分与用量!$A$2:$A$634,$A9,评分与用量!$B$2:$B$634,"第一轮",评分与用量!$C$2:$C$634,"S分项",评分与用量!$J$2:$J$634,"C*")=0,"",SUMIFS(评分与用量!$E$2:$E$634,评分与用量!$A$2:$A$634,$A9,评分与用量!$B$2:$B$634,"第一轮",评分与用量!$C$2:$C$634,"S分项",评分与用量!$J$2:$J$634,"C*")))))))="","",IF($F$3="得分率",TEXT((IF($B$3="第一轮",IF(COUNTIFS(评分与用量!$A$2:$A$634,$A9,评分与用量!$B$2:$B$634,"第一轮",评分与用量!$C$2:$C$634,"S分项",评分与用量!$J$2:$J$634,"C*")=0,"",SUMIFS(评分与用量!$E$2:$E$634,评分与用量!$A$2:$A$634,$A9,评分与用量!$B$2:$B$634,"第一轮",评分与用量!$C$2:$C$634,"S分项",评分与用量!$J$2:$J$634,"C*")),IF($B$3="第二轮",IF(COUNTIFS(评分与用量!$A$2:$A$634,$A9,评分与用量!$B$2:$B$634,"第二轮",评分与用量!$C$2:$C$634,"S分项",评分与用量!$J$2:$J$634,"C*")=0,"",SUMIFS(评分与用量!$E$2:$E$634,评分与用量!$A$2:$A$634,$A9,评分与用量!$B$2:$B$634,"第二轮",评分与用量!$C$2:$C$634,"S分项",评分与用量!$J$2:$J$634,"C*")),IF(OR(IF(COUNTIFS(评分与用量!$A$2:$A$634,$A9,评分与用量!$B$2:$B$634,"第一轮",评分与用量!$C$2:$C$634,"S分项",评分与用量!$J$2:$J$634,"C*")=0,"",SUMIFS(评分与用量!$E$2:$E$634,评分与用量!$A$2:$A$634,$A9,评分与用量!$B$2:$B$634,"第一轮",评分与用量!$C$2:$C$634,"S分项",评分与用量!$J$2:$J$634,"C*"))="",IF(COUNTIFS(评分与用量!$A$2:$A$634,$A9,评分与用量!$B$2:$B$634,"第二轮",评分与用量!$C$2:$C$634,"S分项",评分与用量!$J$2:$J$634,"C*")=0,"",SUMIFS(评分与用量!$E$2:$E$634,评分与用量!$A$2:$A$634,$A9,评分与用量!$B$2:$B$634,"第二轮",评分与用量!$C$2:$C$634,"S分项",评分与用量!$J$2:$J$634,"C*"))=""),"",(IF(COUNTIFS(评分与用量!$A$2:$A$634,$A9,评分与用量!$B$2:$B$634,"第二轮",评分与用量!$C$2:$C$634,"S分项",评分与用量!$J$2:$J$634,"C*")=0,"",SUMIFS(评分与用量!$E$2:$E$634,评分与用量!$A$2:$A$634,$A9,评分与用量!$B$2:$B$634,"第二轮",评分与用量!$C$2:$C$634,"S分项",评分与用量!$J$2:$J$634,"C*")))-(IF(COUNTIFS(评分与用量!$A$2:$A$634,$A9,评分与用量!$B$2:$B$634,"第一轮",评分与用量!$C$2:$C$634,"S分项",评分与用量!$J$2:$J$634,"C*")=0,"",SUMIFS(评分与用量!$E$2:$E$634,评分与用量!$A$2:$A$634,$A9,评分与用量!$B$2:$B$634,"第一轮",评分与用量!$C$2:$C$634,"S分项",评分与用量!$J$2:$J$634,"C*")))))))/20,IF($B$3="两轮变化","+0.0%;-0.0%;0.0%","0.0%")),(IF($B$3="第一轮",IF(COUNTIFS(评分与用量!$A$2:$A$634,$A9,评分与用量!$B$2:$B$634,"第一轮",评分与用量!$C$2:$C$634,"S分项",评分与用量!$J$2:$J$634,"C*")=0,"",SUMIFS(评分与用量!$E$2:$E$634,评分与用量!$A$2:$A$634,$A9,评分与用量!$B$2:$B$634,"第一轮",评分与用量!$C$2:$C$634,"S分项",评分与用量!$J$2:$J$634,"C*")),IF($B$3="第二轮",IF(COUNTIFS(评分与用量!$A$2:$A$634,$A9,评分与用量!$B$2:$B$634,"第二轮",评分与用量!$C$2:$C$634,"S分项",评分与用量!$J$2:$J$634,"C*")=0,"",SUMIFS(评分与用量!$E$2:$E$634,评分与用量!$A$2:$A$634,$A9,评分与用量!$B$2:$B$634,"第二轮",评分与用量!$C$2:$C$634,"S分项",评分与用量!$J$2:$J$634,"C*")),IF(OR(IF(COUNTIFS(评分与用量!$A$2:$A$634,$A9,评分与用量!$B$2:$B$634,"第一轮",评分与用量!$C$2:$C$634,"S分项",评分与用量!$J$2:$J$634,"C*")=0,"",SUMIFS(评分与用量!$E$2:$E$634,评分与用量!$A$2:$A$634,$A9,评分与用量!$B$2:$B$634,"第一轮",评分与用量!$C$2:$C$634,"S分项",评分与用量!$J$2:$J$634,"C*"))="",IF(COUNTIFS(评分与用量!$A$2:$A$634,$A9,评分与用量!$B$2:$B$634,"第二轮",评分与用量!$C$2:$C$634,"S分项",评分与用量!$J$2:$J$634,"C*")=0,"",SUMIFS(评分与用量!$E$2:$E$634,评分与用量!$A$2:$A$634,$A9,评分与用量!$B$2:$B$634,"第二轮",评分与用量!$C$2:$C$634,"S分项",评分与用量!$J$2:$J$634,"C*"))=""),"",(IF(COUNTIFS(评分与用量!$A$2:$A$634,$A9,评分与用量!$B$2:$B$634,"第二轮",评分与用量!$C$2:$C$634,"S分项",评分与用量!$J$2:$J$634,"C*")=0,"",SUMIFS(评分与用量!$E$2:$E$634,评分与用量!$A$2:$A$634,$A9,评分与用量!$B$2:$B$634,"第二轮",评分与用量!$C$2:$C$634,"S分项",评分与用量!$J$2:$J$634,"C*")))-(IF(COUNTIFS(评分与用量!$A$2:$A$634,$A9,评分与用量!$B$2:$B$634,"第一轮",评分与用量!$C$2:$C$634,"S分项",评分与用量!$J$2:$J$634,"C*")=0,"",SUMIFS(评分与用量!$E$2:$E$634,评分与用量!$A$2:$A$634,$A9,评分与用量!$B$2:$B$634,"第一轮",评分与用量!$C$2:$C$634,"S分项",评分与用量!$J$2:$J$634,"C*")))))))))</f>
        <v>17.75</v>
      </c>
      <c r="E9" s="77">
        <f>IF((IF($B$3="第一轮",IF(COUNTIFS(评分与用量!$A$2:$A$634,$A9,评分与用量!$B$2:$B$634,"第一轮",评分与用量!$C$2:$C$634,"S分项",评分与用量!$J$2:$J$634,"D*")=0,"",SUMIFS(评分与用量!$E$2:$E$634,评分与用量!$A$2:$A$634,$A9,评分与用量!$B$2:$B$634,"第一轮",评分与用量!$C$2:$C$634,"S分项",评分与用量!$J$2:$J$634,"D*")),IF($B$3="第二轮",IF(COUNTIFS(评分与用量!$A$2:$A$634,$A9,评分与用量!$B$2:$B$634,"第二轮",评分与用量!$C$2:$C$634,"S分项",评分与用量!$J$2:$J$634,"D*")=0,"",SUMIFS(评分与用量!$E$2:$E$634,评分与用量!$A$2:$A$634,$A9,评分与用量!$B$2:$B$634,"第二轮",评分与用量!$C$2:$C$634,"S分项",评分与用量!$J$2:$J$634,"D*")),IF(OR(IF(COUNTIFS(评分与用量!$A$2:$A$634,$A9,评分与用量!$B$2:$B$634,"第一轮",评分与用量!$C$2:$C$634,"S分项",评分与用量!$J$2:$J$634,"D*")=0,"",SUMIFS(评分与用量!$E$2:$E$634,评分与用量!$A$2:$A$634,$A9,评分与用量!$B$2:$B$634,"第一轮",评分与用量!$C$2:$C$634,"S分项",评分与用量!$J$2:$J$634,"D*"))="",IF(COUNTIFS(评分与用量!$A$2:$A$634,$A9,评分与用量!$B$2:$B$634,"第二轮",评分与用量!$C$2:$C$634,"S分项",评分与用量!$J$2:$J$634,"D*")=0,"",SUMIFS(评分与用量!$E$2:$E$634,评分与用量!$A$2:$A$634,$A9,评分与用量!$B$2:$B$634,"第二轮",评分与用量!$C$2:$C$634,"S分项",评分与用量!$J$2:$J$634,"D*"))=""),"",(IF(COUNTIFS(评分与用量!$A$2:$A$634,$A9,评分与用量!$B$2:$B$634,"第二轮",评分与用量!$C$2:$C$634,"S分项",评分与用量!$J$2:$J$634,"D*")=0,"",SUMIFS(评分与用量!$E$2:$E$634,评分与用量!$A$2:$A$634,$A9,评分与用量!$B$2:$B$634,"第二轮",评分与用量!$C$2:$C$634,"S分项",评分与用量!$J$2:$J$634,"D*")))-(IF(COUNTIFS(评分与用量!$A$2:$A$634,$A9,评分与用量!$B$2:$B$634,"第一轮",评分与用量!$C$2:$C$634,"S分项",评分与用量!$J$2:$J$634,"D*")=0,"",SUMIFS(评分与用量!$E$2:$E$634,评分与用量!$A$2:$A$634,$A9,评分与用量!$B$2:$B$634,"第一轮",评分与用量!$C$2:$C$634,"S分项",评分与用量!$J$2:$J$634,"D*")))))))="","",IF($F$3="得分率",TEXT((IF($B$3="第一轮",IF(COUNTIFS(评分与用量!$A$2:$A$634,$A9,评分与用量!$B$2:$B$634,"第一轮",评分与用量!$C$2:$C$634,"S分项",评分与用量!$J$2:$J$634,"D*")=0,"",SUMIFS(评分与用量!$E$2:$E$634,评分与用量!$A$2:$A$634,$A9,评分与用量!$B$2:$B$634,"第一轮",评分与用量!$C$2:$C$634,"S分项",评分与用量!$J$2:$J$634,"D*")),IF($B$3="第二轮",IF(COUNTIFS(评分与用量!$A$2:$A$634,$A9,评分与用量!$B$2:$B$634,"第二轮",评分与用量!$C$2:$C$634,"S分项",评分与用量!$J$2:$J$634,"D*")=0,"",SUMIFS(评分与用量!$E$2:$E$634,评分与用量!$A$2:$A$634,$A9,评分与用量!$B$2:$B$634,"第二轮",评分与用量!$C$2:$C$634,"S分项",评分与用量!$J$2:$J$634,"D*")),IF(OR(IF(COUNTIFS(评分与用量!$A$2:$A$634,$A9,评分与用量!$B$2:$B$634,"第一轮",评分与用量!$C$2:$C$634,"S分项",评分与用量!$J$2:$J$634,"D*")=0,"",SUMIFS(评分与用量!$E$2:$E$634,评分与用量!$A$2:$A$634,$A9,评分与用量!$B$2:$B$634,"第一轮",评分与用量!$C$2:$C$634,"S分项",评分与用量!$J$2:$J$634,"D*"))="",IF(COUNTIFS(评分与用量!$A$2:$A$634,$A9,评分与用量!$B$2:$B$634,"第二轮",评分与用量!$C$2:$C$634,"S分项",评分与用量!$J$2:$J$634,"D*")=0,"",SUMIFS(评分与用量!$E$2:$E$634,评分与用量!$A$2:$A$634,$A9,评分与用量!$B$2:$B$634,"第二轮",评分与用量!$C$2:$C$634,"S分项",评分与用量!$J$2:$J$634,"D*"))=""),"",(IF(COUNTIFS(评分与用量!$A$2:$A$634,$A9,评分与用量!$B$2:$B$634,"第二轮",评分与用量!$C$2:$C$634,"S分项",评分与用量!$J$2:$J$634,"D*")=0,"",SUMIFS(评分与用量!$E$2:$E$634,评分与用量!$A$2:$A$634,$A9,评分与用量!$B$2:$B$634,"第二轮",评分与用量!$C$2:$C$634,"S分项",评分与用量!$J$2:$J$634,"D*")))-(IF(COUNTIFS(评分与用量!$A$2:$A$634,$A9,评分与用量!$B$2:$B$634,"第一轮",评分与用量!$C$2:$C$634,"S分项",评分与用量!$J$2:$J$634,"D*")=0,"",SUMIFS(评分与用量!$E$2:$E$634,评分与用量!$A$2:$A$634,$A9,评分与用量!$B$2:$B$634,"第一轮",评分与用量!$C$2:$C$634,"S分项",评分与用量!$J$2:$J$634,"D*")))))))/25,IF($B$3="两轮变化","+0.0%;-0.0%;0.0%","0.0%")),(IF($B$3="第一轮",IF(COUNTIFS(评分与用量!$A$2:$A$634,$A9,评分与用量!$B$2:$B$634,"第一轮",评分与用量!$C$2:$C$634,"S分项",评分与用量!$J$2:$J$634,"D*")=0,"",SUMIFS(评分与用量!$E$2:$E$634,评分与用量!$A$2:$A$634,$A9,评分与用量!$B$2:$B$634,"第一轮",评分与用量!$C$2:$C$634,"S分项",评分与用量!$J$2:$J$634,"D*")),IF($B$3="第二轮",IF(COUNTIFS(评分与用量!$A$2:$A$634,$A9,评分与用量!$B$2:$B$634,"第二轮",评分与用量!$C$2:$C$634,"S分项",评分与用量!$J$2:$J$634,"D*")=0,"",SUMIFS(评分与用量!$E$2:$E$634,评分与用量!$A$2:$A$634,$A9,评分与用量!$B$2:$B$634,"第二轮",评分与用量!$C$2:$C$634,"S分项",评分与用量!$J$2:$J$634,"D*")),IF(OR(IF(COUNTIFS(评分与用量!$A$2:$A$634,$A9,评分与用量!$B$2:$B$634,"第一轮",评分与用量!$C$2:$C$634,"S分项",评分与用量!$J$2:$J$634,"D*")=0,"",SUMIFS(评分与用量!$E$2:$E$634,评分与用量!$A$2:$A$634,$A9,评分与用量!$B$2:$B$634,"第一轮",评分与用量!$C$2:$C$634,"S分项",评分与用量!$J$2:$J$634,"D*"))="",IF(COUNTIFS(评分与用量!$A$2:$A$634,$A9,评分与用量!$B$2:$B$634,"第二轮",评分与用量!$C$2:$C$634,"S分项",评分与用量!$J$2:$J$634,"D*")=0,"",SUMIFS(评分与用量!$E$2:$E$634,评分与用量!$A$2:$A$634,$A9,评分与用量!$B$2:$B$634,"第二轮",评分与用量!$C$2:$C$634,"S分项",评分与用量!$J$2:$J$634,"D*"))=""),"",(IF(COUNTIFS(评分与用量!$A$2:$A$634,$A9,评分与用量!$B$2:$B$634,"第二轮",评分与用量!$C$2:$C$634,"S分项",评分与用量!$J$2:$J$634,"D*")=0,"",SUMIFS(评分与用量!$E$2:$E$634,评分与用量!$A$2:$A$634,$A9,评分与用量!$B$2:$B$634,"第二轮",评分与用量!$C$2:$C$634,"S分项",评分与用量!$J$2:$J$634,"D*")))-(IF(COUNTIFS(评分与用量!$A$2:$A$634,$A9,评分与用量!$B$2:$B$634,"第一轮",评分与用量!$C$2:$C$634,"S分项",评分与用量!$J$2:$J$634,"D*")=0,"",SUMIFS(评分与用量!$E$2:$E$634,评分与用量!$A$2:$A$634,$A9,评分与用量!$B$2:$B$634,"第一轮",评分与用量!$C$2:$C$634,"S分项",评分与用量!$J$2:$J$634,"D*")))))))))</f>
        <v>17</v>
      </c>
      <c r="F9" s="77">
        <f>IF((IF($B$3="第一轮",IF(COUNTIFS(评分与用量!$A$2:$A$634,$A9,评分与用量!$B$2:$B$634,"第一轮",评分与用量!$C$2:$C$634,"S分项",评分与用量!$J$2:$J$634,"E*")=0,"",SUMIFS(评分与用量!$E$2:$E$634,评分与用量!$A$2:$A$634,$A9,评分与用量!$B$2:$B$634,"第一轮",评分与用量!$C$2:$C$634,"S分项",评分与用量!$J$2:$J$634,"E*")),IF($B$3="第二轮",IF(COUNTIFS(评分与用量!$A$2:$A$634,$A9,评分与用量!$B$2:$B$634,"第二轮",评分与用量!$C$2:$C$634,"S分项",评分与用量!$J$2:$J$634,"E*")=0,"",SUMIFS(评分与用量!$E$2:$E$634,评分与用量!$A$2:$A$634,$A9,评分与用量!$B$2:$B$634,"第二轮",评分与用量!$C$2:$C$634,"S分项",评分与用量!$J$2:$J$634,"E*")),IF(OR(IF(COUNTIFS(评分与用量!$A$2:$A$634,$A9,评分与用量!$B$2:$B$634,"第一轮",评分与用量!$C$2:$C$634,"S分项",评分与用量!$J$2:$J$634,"E*")=0,"",SUMIFS(评分与用量!$E$2:$E$634,评分与用量!$A$2:$A$634,$A9,评分与用量!$B$2:$B$634,"第一轮",评分与用量!$C$2:$C$634,"S分项",评分与用量!$J$2:$J$634,"E*"))="",IF(COUNTIFS(评分与用量!$A$2:$A$634,$A9,评分与用量!$B$2:$B$634,"第二轮",评分与用量!$C$2:$C$634,"S分项",评分与用量!$J$2:$J$634,"E*")=0,"",SUMIFS(评分与用量!$E$2:$E$634,评分与用量!$A$2:$A$634,$A9,评分与用量!$B$2:$B$634,"第二轮",评分与用量!$C$2:$C$634,"S分项",评分与用量!$J$2:$J$634,"E*"))=""),"",(IF(COUNTIFS(评分与用量!$A$2:$A$634,$A9,评分与用量!$B$2:$B$634,"第二轮",评分与用量!$C$2:$C$634,"S分项",评分与用量!$J$2:$J$634,"E*")=0,"",SUMIFS(评分与用量!$E$2:$E$634,评分与用量!$A$2:$A$634,$A9,评分与用量!$B$2:$B$634,"第二轮",评分与用量!$C$2:$C$634,"S分项",评分与用量!$J$2:$J$634,"E*")))-(IF(COUNTIFS(评分与用量!$A$2:$A$634,$A9,评分与用量!$B$2:$B$634,"第一轮",评分与用量!$C$2:$C$634,"S分项",评分与用量!$J$2:$J$634,"E*")=0,"",SUMIFS(评分与用量!$E$2:$E$634,评分与用量!$A$2:$A$634,$A9,评分与用量!$B$2:$B$634,"第一轮",评分与用量!$C$2:$C$634,"S分项",评分与用量!$J$2:$J$634,"E*")))))))="","",IF($F$3="得分率",TEXT((IF($B$3="第一轮",IF(COUNTIFS(评分与用量!$A$2:$A$634,$A9,评分与用量!$B$2:$B$634,"第一轮",评分与用量!$C$2:$C$634,"S分项",评分与用量!$J$2:$J$634,"E*")=0,"",SUMIFS(评分与用量!$E$2:$E$634,评分与用量!$A$2:$A$634,$A9,评分与用量!$B$2:$B$634,"第一轮",评分与用量!$C$2:$C$634,"S分项",评分与用量!$J$2:$J$634,"E*")),IF($B$3="第二轮",IF(COUNTIFS(评分与用量!$A$2:$A$634,$A9,评分与用量!$B$2:$B$634,"第二轮",评分与用量!$C$2:$C$634,"S分项",评分与用量!$J$2:$J$634,"E*")=0,"",SUMIFS(评分与用量!$E$2:$E$634,评分与用量!$A$2:$A$634,$A9,评分与用量!$B$2:$B$634,"第二轮",评分与用量!$C$2:$C$634,"S分项",评分与用量!$J$2:$J$634,"E*")),IF(OR(IF(COUNTIFS(评分与用量!$A$2:$A$634,$A9,评分与用量!$B$2:$B$634,"第一轮",评分与用量!$C$2:$C$634,"S分项",评分与用量!$J$2:$J$634,"E*")=0,"",SUMIFS(评分与用量!$E$2:$E$634,评分与用量!$A$2:$A$634,$A9,评分与用量!$B$2:$B$634,"第一轮",评分与用量!$C$2:$C$634,"S分项",评分与用量!$J$2:$J$634,"E*"))="",IF(COUNTIFS(评分与用量!$A$2:$A$634,$A9,评分与用量!$B$2:$B$634,"第二轮",评分与用量!$C$2:$C$634,"S分项",评分与用量!$J$2:$J$634,"E*")=0,"",SUMIFS(评分与用量!$E$2:$E$634,评分与用量!$A$2:$A$634,$A9,评分与用量!$B$2:$B$634,"第二轮",评分与用量!$C$2:$C$634,"S分项",评分与用量!$J$2:$J$634,"E*"))=""),"",(IF(COUNTIFS(评分与用量!$A$2:$A$634,$A9,评分与用量!$B$2:$B$634,"第二轮",评分与用量!$C$2:$C$634,"S分项",评分与用量!$J$2:$J$634,"E*")=0,"",SUMIFS(评分与用量!$E$2:$E$634,评分与用量!$A$2:$A$634,$A9,评分与用量!$B$2:$B$634,"第二轮",评分与用量!$C$2:$C$634,"S分项",评分与用量!$J$2:$J$634,"E*")))-(IF(COUNTIFS(评分与用量!$A$2:$A$634,$A9,评分与用量!$B$2:$B$634,"第一轮",评分与用量!$C$2:$C$634,"S分项",评分与用量!$J$2:$J$634,"E*")=0,"",SUMIFS(评分与用量!$E$2:$E$634,评分与用量!$A$2:$A$634,$A9,评分与用量!$B$2:$B$634,"第一轮",评分与用量!$C$2:$C$634,"S分项",评分与用量!$J$2:$J$634,"E*")))))))/10,IF($B$3="两轮变化","+0.0%;-0.0%;0.0%","0.0%")),(IF($B$3="第一轮",IF(COUNTIFS(评分与用量!$A$2:$A$634,$A9,评分与用量!$B$2:$B$634,"第一轮",评分与用量!$C$2:$C$634,"S分项",评分与用量!$J$2:$J$634,"E*")=0,"",SUMIFS(评分与用量!$E$2:$E$634,评分与用量!$A$2:$A$634,$A9,评分与用量!$B$2:$B$634,"第一轮",评分与用量!$C$2:$C$634,"S分项",评分与用量!$J$2:$J$634,"E*")),IF($B$3="第二轮",IF(COUNTIFS(评分与用量!$A$2:$A$634,$A9,评分与用量!$B$2:$B$634,"第二轮",评分与用量!$C$2:$C$634,"S分项",评分与用量!$J$2:$J$634,"E*")=0,"",SUMIFS(评分与用量!$E$2:$E$634,评分与用量!$A$2:$A$634,$A9,评分与用量!$B$2:$B$634,"第二轮",评分与用量!$C$2:$C$634,"S分项",评分与用量!$J$2:$J$634,"E*")),IF(OR(IF(COUNTIFS(评分与用量!$A$2:$A$634,$A9,评分与用量!$B$2:$B$634,"第一轮",评分与用量!$C$2:$C$634,"S分项",评分与用量!$J$2:$J$634,"E*")=0,"",SUMIFS(评分与用量!$E$2:$E$634,评分与用量!$A$2:$A$634,$A9,评分与用量!$B$2:$B$634,"第一轮",评分与用量!$C$2:$C$634,"S分项",评分与用量!$J$2:$J$634,"E*"))="",IF(COUNTIFS(评分与用量!$A$2:$A$634,$A9,评分与用量!$B$2:$B$634,"第二轮",评分与用量!$C$2:$C$634,"S分项",评分与用量!$J$2:$J$634,"E*")=0,"",SUMIFS(评分与用量!$E$2:$E$634,评分与用量!$A$2:$A$634,$A9,评分与用量!$B$2:$B$634,"第二轮",评分与用量!$C$2:$C$634,"S分项",评分与用量!$J$2:$J$634,"E*"))=""),"",(IF(COUNTIFS(评分与用量!$A$2:$A$634,$A9,评分与用量!$B$2:$B$634,"第二轮",评分与用量!$C$2:$C$634,"S分项",评分与用量!$J$2:$J$634,"E*")=0,"",SUMIFS(评分与用量!$E$2:$E$634,评分与用量!$A$2:$A$634,$A9,评分与用量!$B$2:$B$634,"第二轮",评分与用量!$C$2:$C$634,"S分项",评分与用量!$J$2:$J$634,"E*")))-(IF(COUNTIFS(评分与用量!$A$2:$A$634,$A9,评分与用量!$B$2:$B$634,"第一轮",评分与用量!$C$2:$C$634,"S分项",评分与用量!$J$2:$J$634,"E*")=0,"",SUMIFS(评分与用量!$E$2:$E$634,评分与用量!$A$2:$A$634,$A9,评分与用量!$B$2:$B$634,"第一轮",评分与用量!$C$2:$C$634,"S分项",评分与用量!$J$2:$J$634,"E*")))))))))</f>
        <v>7.5</v>
      </c>
      <c r="G9" s="77">
        <f>IF((IF($B$3="第一轮",IF(COUNTIFS(评分与用量!$A$2:$A$634,$A9,评分与用量!$B$2:$B$634,"第一轮",评分与用量!$C$2:$C$634,"S分项",评分与用量!$J$2:$J$634,"F*")=0,"",SUMIFS(评分与用量!$E$2:$E$634,评分与用量!$A$2:$A$634,$A9,评分与用量!$B$2:$B$634,"第一轮",评分与用量!$C$2:$C$634,"S分项",评分与用量!$J$2:$J$634,"F*")),IF($B$3="第二轮",IF(COUNTIFS(评分与用量!$A$2:$A$634,$A9,评分与用量!$B$2:$B$634,"第二轮",评分与用量!$C$2:$C$634,"S分项",评分与用量!$J$2:$J$634,"F*")=0,"",SUMIFS(评分与用量!$E$2:$E$634,评分与用量!$A$2:$A$634,$A9,评分与用量!$B$2:$B$634,"第二轮",评分与用量!$C$2:$C$634,"S分项",评分与用量!$J$2:$J$634,"F*")),IF(OR(IF(COUNTIFS(评分与用量!$A$2:$A$634,$A9,评分与用量!$B$2:$B$634,"第一轮",评分与用量!$C$2:$C$634,"S分项",评分与用量!$J$2:$J$634,"F*")=0,"",SUMIFS(评分与用量!$E$2:$E$634,评分与用量!$A$2:$A$634,$A9,评分与用量!$B$2:$B$634,"第一轮",评分与用量!$C$2:$C$634,"S分项",评分与用量!$J$2:$J$634,"F*"))="",IF(COUNTIFS(评分与用量!$A$2:$A$634,$A9,评分与用量!$B$2:$B$634,"第二轮",评分与用量!$C$2:$C$634,"S分项",评分与用量!$J$2:$J$634,"F*")=0,"",SUMIFS(评分与用量!$E$2:$E$634,评分与用量!$A$2:$A$634,$A9,评分与用量!$B$2:$B$634,"第二轮",评分与用量!$C$2:$C$634,"S分项",评分与用量!$J$2:$J$634,"F*"))=""),"",(IF(COUNTIFS(评分与用量!$A$2:$A$634,$A9,评分与用量!$B$2:$B$634,"第二轮",评分与用量!$C$2:$C$634,"S分项",评分与用量!$J$2:$J$634,"F*")=0,"",SUMIFS(评分与用量!$E$2:$E$634,评分与用量!$A$2:$A$634,$A9,评分与用量!$B$2:$B$634,"第二轮",评分与用量!$C$2:$C$634,"S分项",评分与用量!$J$2:$J$634,"F*")))-(IF(COUNTIFS(评分与用量!$A$2:$A$634,$A9,评分与用量!$B$2:$B$634,"第一轮",评分与用量!$C$2:$C$634,"S分项",评分与用量!$J$2:$J$634,"F*")=0,"",SUMIFS(评分与用量!$E$2:$E$634,评分与用量!$A$2:$A$634,$A9,评分与用量!$B$2:$B$634,"第一轮",评分与用量!$C$2:$C$634,"S分项",评分与用量!$J$2:$J$634,"F*")))))))="","",IF($F$3="得分率",TEXT((IF($B$3="第一轮",IF(COUNTIFS(评分与用量!$A$2:$A$634,$A9,评分与用量!$B$2:$B$634,"第一轮",评分与用量!$C$2:$C$634,"S分项",评分与用量!$J$2:$J$634,"F*")=0,"",SUMIFS(评分与用量!$E$2:$E$634,评分与用量!$A$2:$A$634,$A9,评分与用量!$B$2:$B$634,"第一轮",评分与用量!$C$2:$C$634,"S分项",评分与用量!$J$2:$J$634,"F*")),IF($B$3="第二轮",IF(COUNTIFS(评分与用量!$A$2:$A$634,$A9,评分与用量!$B$2:$B$634,"第二轮",评分与用量!$C$2:$C$634,"S分项",评分与用量!$J$2:$J$634,"F*")=0,"",SUMIFS(评分与用量!$E$2:$E$634,评分与用量!$A$2:$A$634,$A9,评分与用量!$B$2:$B$634,"第二轮",评分与用量!$C$2:$C$634,"S分项",评分与用量!$J$2:$J$634,"F*")),IF(OR(IF(COUNTIFS(评分与用量!$A$2:$A$634,$A9,评分与用量!$B$2:$B$634,"第一轮",评分与用量!$C$2:$C$634,"S分项",评分与用量!$J$2:$J$634,"F*")=0,"",SUMIFS(评分与用量!$E$2:$E$634,评分与用量!$A$2:$A$634,$A9,评分与用量!$B$2:$B$634,"第一轮",评分与用量!$C$2:$C$634,"S分项",评分与用量!$J$2:$J$634,"F*"))="",IF(COUNTIFS(评分与用量!$A$2:$A$634,$A9,评分与用量!$B$2:$B$634,"第二轮",评分与用量!$C$2:$C$634,"S分项",评分与用量!$J$2:$J$634,"F*")=0,"",SUMIFS(评分与用量!$E$2:$E$634,评分与用量!$A$2:$A$634,$A9,评分与用量!$B$2:$B$634,"第二轮",评分与用量!$C$2:$C$634,"S分项",评分与用量!$J$2:$J$634,"F*"))=""),"",(IF(COUNTIFS(评分与用量!$A$2:$A$634,$A9,评分与用量!$B$2:$B$634,"第二轮",评分与用量!$C$2:$C$634,"S分项",评分与用量!$J$2:$J$634,"F*")=0,"",SUMIFS(评分与用量!$E$2:$E$634,评分与用量!$A$2:$A$634,$A9,评分与用量!$B$2:$B$634,"第二轮",评分与用量!$C$2:$C$634,"S分项",评分与用量!$J$2:$J$634,"F*")))-(IF(COUNTIFS(评分与用量!$A$2:$A$634,$A9,评分与用量!$B$2:$B$634,"第一轮",评分与用量!$C$2:$C$634,"S分项",评分与用量!$J$2:$J$634,"F*")=0,"",SUMIFS(评分与用量!$E$2:$E$634,评分与用量!$A$2:$A$634,$A9,评分与用量!$B$2:$B$634,"第一轮",评分与用量!$C$2:$C$634,"S分项",评分与用量!$J$2:$J$634,"F*")))))))/10,IF($B$3="两轮变化","+0.0%;-0.0%;0.0%","0.0%")),(IF($B$3="第一轮",IF(COUNTIFS(评分与用量!$A$2:$A$634,$A9,评分与用量!$B$2:$B$634,"第一轮",评分与用量!$C$2:$C$634,"S分项",评分与用量!$J$2:$J$634,"F*")=0,"",SUMIFS(评分与用量!$E$2:$E$634,评分与用量!$A$2:$A$634,$A9,评分与用量!$B$2:$B$634,"第一轮",评分与用量!$C$2:$C$634,"S分项",评分与用量!$J$2:$J$634,"F*")),IF($B$3="第二轮",IF(COUNTIFS(评分与用量!$A$2:$A$634,$A9,评分与用量!$B$2:$B$634,"第二轮",评分与用量!$C$2:$C$634,"S分项",评分与用量!$J$2:$J$634,"F*")=0,"",SUMIFS(评分与用量!$E$2:$E$634,评分与用量!$A$2:$A$634,$A9,评分与用量!$B$2:$B$634,"第二轮",评分与用量!$C$2:$C$634,"S分项",评分与用量!$J$2:$J$634,"F*")),IF(OR(IF(COUNTIFS(评分与用量!$A$2:$A$634,$A9,评分与用量!$B$2:$B$634,"第一轮",评分与用量!$C$2:$C$634,"S分项",评分与用量!$J$2:$J$634,"F*")=0,"",SUMIFS(评分与用量!$E$2:$E$634,评分与用量!$A$2:$A$634,$A9,评分与用量!$B$2:$B$634,"第一轮",评分与用量!$C$2:$C$634,"S分项",评分与用量!$J$2:$J$634,"F*"))="",IF(COUNTIFS(评分与用量!$A$2:$A$634,$A9,评分与用量!$B$2:$B$634,"第二轮",评分与用量!$C$2:$C$634,"S分项",评分与用量!$J$2:$J$634,"F*")=0,"",SUMIFS(评分与用量!$E$2:$E$634,评分与用量!$A$2:$A$634,$A9,评分与用量!$B$2:$B$634,"第二轮",评分与用量!$C$2:$C$634,"S分项",评分与用量!$J$2:$J$634,"F*"))=""),"",(IF(COUNTIFS(评分与用量!$A$2:$A$634,$A9,评分与用量!$B$2:$B$634,"第二轮",评分与用量!$C$2:$C$634,"S分项",评分与用量!$J$2:$J$634,"F*")=0,"",SUMIFS(评分与用量!$E$2:$E$634,评分与用量!$A$2:$A$634,$A9,评分与用量!$B$2:$B$634,"第二轮",评分与用量!$C$2:$C$634,"S分项",评分与用量!$J$2:$J$634,"F*")))-(IF(COUNTIFS(评分与用量!$A$2:$A$634,$A9,评分与用量!$B$2:$B$634,"第一轮",评分与用量!$C$2:$C$634,"S分项",评分与用量!$J$2:$J$634,"F*")=0,"",SUMIFS(评分与用量!$E$2:$E$634,评分与用量!$A$2:$A$634,$A9,评分与用量!$B$2:$B$634,"第一轮",评分与用量!$C$2:$C$634,"S分项",评分与用量!$J$2:$J$634,"F*")))))))))</f>
        <v>9.25</v>
      </c>
      <c r="H9" s="77">
        <f>IF((IF($B$3="第一轮",IF(COUNTIFS(评分与用量!$A$2:$A$634,$A9,评分与用量!$B$2:$B$634,"第一轮",评分与用量!$C$2:$C$634,"S分项")=0,"",SUMIFS(评分与用量!$E$2:$E$634,评分与用量!$A$2:$A$634,$A9,评分与用量!$B$2:$B$634,"第一轮",评分与用量!$C$2:$C$634,"S分项")),IF($B$3="第二轮",IF(COUNTIFS(评分与用量!$A$2:$A$634,$A9,评分与用量!$B$2:$B$634,"第二轮",评分与用量!$C$2:$C$634,"S分项")=0,"",SUMIFS(评分与用量!$E$2:$E$634,评分与用量!$A$2:$A$634,$A9,评分与用量!$B$2:$B$634,"第二轮",评分与用量!$C$2:$C$634,"S分项")),IF(OR(IF(COUNTIFS(评分与用量!$A$2:$A$634,$A9,评分与用量!$B$2:$B$634,"第一轮",评分与用量!$C$2:$C$634,"S分项")=0,"",SUMIFS(评分与用量!$E$2:$E$634,评分与用量!$A$2:$A$634,$A9,评分与用量!$B$2:$B$634,"第一轮",评分与用量!$C$2:$C$634,"S分项"))="",IF(COUNTIFS(评分与用量!$A$2:$A$634,$A9,评分与用量!$B$2:$B$634,"第二轮",评分与用量!$C$2:$C$634,"S分项")=0,"",SUMIFS(评分与用量!$E$2:$E$634,评分与用量!$A$2:$A$634,$A9,评分与用量!$B$2:$B$634,"第二轮",评分与用量!$C$2:$C$634,"S分项"))=""),"",(IF(COUNTIFS(评分与用量!$A$2:$A$634,$A9,评分与用量!$B$2:$B$634,"第二轮",评分与用量!$C$2:$C$634,"S分项")=0,"",SUMIFS(评分与用量!$E$2:$E$634,评分与用量!$A$2:$A$634,$A9,评分与用量!$B$2:$B$634,"第二轮",评分与用量!$C$2:$C$634,"S分项")))-(IF(COUNTIFS(评分与用量!$A$2:$A$634,$A9,评分与用量!$B$2:$B$634,"第一轮",评分与用量!$C$2:$C$634,"S分项")=0,"",SUMIFS(评分与用量!$E$2:$E$634,评分与用量!$A$2:$A$634,$A9,评分与用量!$B$2:$B$634,"第一轮",评分与用量!$C$2:$C$634,"S分项")))))))="","",IF($F$3="得分率",TEXT((IF($B$3="第一轮",IF(COUNTIFS(评分与用量!$A$2:$A$634,$A9,评分与用量!$B$2:$B$634,"第一轮",评分与用量!$C$2:$C$634,"S分项")=0,"",SUMIFS(评分与用量!$E$2:$E$634,评分与用量!$A$2:$A$634,$A9,评分与用量!$B$2:$B$634,"第一轮",评分与用量!$C$2:$C$634,"S分项")),IF($B$3="第二轮",IF(COUNTIFS(评分与用量!$A$2:$A$634,$A9,评分与用量!$B$2:$B$634,"第二轮",评分与用量!$C$2:$C$634,"S分项")=0,"",SUMIFS(评分与用量!$E$2:$E$634,评分与用量!$A$2:$A$634,$A9,评分与用量!$B$2:$B$634,"第二轮",评分与用量!$C$2:$C$634,"S分项")),IF(OR(IF(COUNTIFS(评分与用量!$A$2:$A$634,$A9,评分与用量!$B$2:$B$634,"第一轮",评分与用量!$C$2:$C$634,"S分项")=0,"",SUMIFS(评分与用量!$E$2:$E$634,评分与用量!$A$2:$A$634,$A9,评分与用量!$B$2:$B$634,"第一轮",评分与用量!$C$2:$C$634,"S分项"))="",IF(COUNTIFS(评分与用量!$A$2:$A$634,$A9,评分与用量!$B$2:$B$634,"第二轮",评分与用量!$C$2:$C$634,"S分项")=0,"",SUMIFS(评分与用量!$E$2:$E$634,评分与用量!$A$2:$A$634,$A9,评分与用量!$B$2:$B$634,"第二轮",评分与用量!$C$2:$C$634,"S分项"))=""),"",(IF(COUNTIFS(评分与用量!$A$2:$A$634,$A9,评分与用量!$B$2:$B$634,"第二轮",评分与用量!$C$2:$C$634,"S分项")=0,"",SUMIFS(评分与用量!$E$2:$E$634,评分与用量!$A$2:$A$634,$A9,评分与用量!$B$2:$B$634,"第二轮",评分与用量!$C$2:$C$634,"S分项")))-(IF(COUNTIFS(评分与用量!$A$2:$A$634,$A9,评分与用量!$B$2:$B$634,"第一轮",评分与用量!$C$2:$C$634,"S分项")=0,"",SUMIFS(评分与用量!$E$2:$E$634,评分与用量!$A$2:$A$634,$A9,评分与用量!$B$2:$B$634,"第一轮",评分与用量!$C$2:$C$634,"S分项")))))))/100,IF($B$3="两轮变化","+0.0%;-0.0%;0.0%","0.0%")),(IF($B$3="第一轮",IF(COUNTIFS(评分与用量!$A$2:$A$634,$A9,评分与用量!$B$2:$B$634,"第一轮",评分与用量!$C$2:$C$634,"S分项")=0,"",SUMIFS(评分与用量!$E$2:$E$634,评分与用量!$A$2:$A$634,$A9,评分与用量!$B$2:$B$634,"第一轮",评分与用量!$C$2:$C$634,"S分项")),IF($B$3="第二轮",IF(COUNTIFS(评分与用量!$A$2:$A$634,$A9,评分与用量!$B$2:$B$634,"第二轮",评分与用量!$C$2:$C$634,"S分项")=0,"",SUMIFS(评分与用量!$E$2:$E$634,评分与用量!$A$2:$A$634,$A9,评分与用量!$B$2:$B$634,"第二轮",评分与用量!$C$2:$C$634,"S分项")),IF(OR(IF(COUNTIFS(评分与用量!$A$2:$A$634,$A9,评分与用量!$B$2:$B$634,"第一轮",评分与用量!$C$2:$C$634,"S分项")=0,"",SUMIFS(评分与用量!$E$2:$E$634,评分与用量!$A$2:$A$634,$A9,评分与用量!$B$2:$B$634,"第一轮",评分与用量!$C$2:$C$634,"S分项"))="",IF(COUNTIFS(评分与用量!$A$2:$A$634,$A9,评分与用量!$B$2:$B$634,"第二轮",评分与用量!$C$2:$C$634,"S分项")=0,"",SUMIFS(评分与用量!$E$2:$E$634,评分与用量!$A$2:$A$634,$A9,评分与用量!$B$2:$B$634,"第二轮",评分与用量!$C$2:$C$634,"S分项"))=""),"",(IF(COUNTIFS(评分与用量!$A$2:$A$634,$A9,评分与用量!$B$2:$B$634,"第二轮",评分与用量!$C$2:$C$634,"S分项")=0,"",SUMIFS(评分与用量!$E$2:$E$634,评分与用量!$A$2:$A$634,$A9,评分与用量!$B$2:$B$634,"第二轮",评分与用量!$C$2:$C$634,"S分项")))-(IF(COUNTIFS(评分与用量!$A$2:$A$634,$A9,评分与用量!$B$2:$B$634,"第一轮",评分与用量!$C$2:$C$634,"S分项")=0,"",SUMIFS(评分与用量!$E$2:$E$634,评分与用量!$A$2:$A$634,$A9,评分与用量!$B$2:$B$634,"第一轮",评分与用量!$C$2:$C$634,"S分项")))))))))</f>
        <v>81</v>
      </c>
    </row>
    <row r="10" spans="1:8" ht="22.05" customHeight="1">
      <c r="A10" s="76" t="s">
        <v>16</v>
      </c>
      <c r="B10" s="77">
        <f>IF((IF($B$3="第一轮",IF(COUNTIFS(评分与用量!$A$2:$A$634,$A10,评分与用量!$B$2:$B$634,"第一轮",评分与用量!$C$2:$C$634,"S分项",评分与用量!$J$2:$J$634,"A*")=0,"",SUMIFS(评分与用量!$E$2:$E$634,评分与用量!$A$2:$A$634,$A10,评分与用量!$B$2:$B$634,"第一轮",评分与用量!$C$2:$C$634,"S分项",评分与用量!$J$2:$J$634,"A*")),IF($B$3="第二轮",IF(COUNTIFS(评分与用量!$A$2:$A$634,$A10,评分与用量!$B$2:$B$634,"第二轮",评分与用量!$C$2:$C$634,"S分项",评分与用量!$J$2:$J$634,"A*")=0,"",SUMIFS(评分与用量!$E$2:$E$634,评分与用量!$A$2:$A$634,$A10,评分与用量!$B$2:$B$634,"第二轮",评分与用量!$C$2:$C$634,"S分项",评分与用量!$J$2:$J$634,"A*")),IF(OR(IF(COUNTIFS(评分与用量!$A$2:$A$634,$A10,评分与用量!$B$2:$B$634,"第一轮",评分与用量!$C$2:$C$634,"S分项",评分与用量!$J$2:$J$634,"A*")=0,"",SUMIFS(评分与用量!$E$2:$E$634,评分与用量!$A$2:$A$634,$A10,评分与用量!$B$2:$B$634,"第一轮",评分与用量!$C$2:$C$634,"S分项",评分与用量!$J$2:$J$634,"A*"))="",IF(COUNTIFS(评分与用量!$A$2:$A$634,$A10,评分与用量!$B$2:$B$634,"第二轮",评分与用量!$C$2:$C$634,"S分项",评分与用量!$J$2:$J$634,"A*")=0,"",SUMIFS(评分与用量!$E$2:$E$634,评分与用量!$A$2:$A$634,$A10,评分与用量!$B$2:$B$634,"第二轮",评分与用量!$C$2:$C$634,"S分项",评分与用量!$J$2:$J$634,"A*"))=""),"",(IF(COUNTIFS(评分与用量!$A$2:$A$634,$A10,评分与用量!$B$2:$B$634,"第二轮",评分与用量!$C$2:$C$634,"S分项",评分与用量!$J$2:$J$634,"A*")=0,"",SUMIFS(评分与用量!$E$2:$E$634,评分与用量!$A$2:$A$634,$A10,评分与用量!$B$2:$B$634,"第二轮",评分与用量!$C$2:$C$634,"S分项",评分与用量!$J$2:$J$634,"A*")))-(IF(COUNTIFS(评分与用量!$A$2:$A$634,$A10,评分与用量!$B$2:$B$634,"第一轮",评分与用量!$C$2:$C$634,"S分项",评分与用量!$J$2:$J$634,"A*")=0,"",SUMIFS(评分与用量!$E$2:$E$634,评分与用量!$A$2:$A$634,$A10,评分与用量!$B$2:$B$634,"第一轮",评分与用量!$C$2:$C$634,"S分项",评分与用量!$J$2:$J$634,"A*")))))))="","",IF($F$3="得分率",TEXT((IF($B$3="第一轮",IF(COUNTIFS(评分与用量!$A$2:$A$634,$A10,评分与用量!$B$2:$B$634,"第一轮",评分与用量!$C$2:$C$634,"S分项",评分与用量!$J$2:$J$634,"A*")=0,"",SUMIFS(评分与用量!$E$2:$E$634,评分与用量!$A$2:$A$634,$A10,评分与用量!$B$2:$B$634,"第一轮",评分与用量!$C$2:$C$634,"S分项",评分与用量!$J$2:$J$634,"A*")),IF($B$3="第二轮",IF(COUNTIFS(评分与用量!$A$2:$A$634,$A10,评分与用量!$B$2:$B$634,"第二轮",评分与用量!$C$2:$C$634,"S分项",评分与用量!$J$2:$J$634,"A*")=0,"",SUMIFS(评分与用量!$E$2:$E$634,评分与用量!$A$2:$A$634,$A10,评分与用量!$B$2:$B$634,"第二轮",评分与用量!$C$2:$C$634,"S分项",评分与用量!$J$2:$J$634,"A*")),IF(OR(IF(COUNTIFS(评分与用量!$A$2:$A$634,$A10,评分与用量!$B$2:$B$634,"第一轮",评分与用量!$C$2:$C$634,"S分项",评分与用量!$J$2:$J$634,"A*")=0,"",SUMIFS(评分与用量!$E$2:$E$634,评分与用量!$A$2:$A$634,$A10,评分与用量!$B$2:$B$634,"第一轮",评分与用量!$C$2:$C$634,"S分项",评分与用量!$J$2:$J$634,"A*"))="",IF(COUNTIFS(评分与用量!$A$2:$A$634,$A10,评分与用量!$B$2:$B$634,"第二轮",评分与用量!$C$2:$C$634,"S分项",评分与用量!$J$2:$J$634,"A*")=0,"",SUMIFS(评分与用量!$E$2:$E$634,评分与用量!$A$2:$A$634,$A10,评分与用量!$B$2:$B$634,"第二轮",评分与用量!$C$2:$C$634,"S分项",评分与用量!$J$2:$J$634,"A*"))=""),"",(IF(COUNTIFS(评分与用量!$A$2:$A$634,$A10,评分与用量!$B$2:$B$634,"第二轮",评分与用量!$C$2:$C$634,"S分项",评分与用量!$J$2:$J$634,"A*")=0,"",SUMIFS(评分与用量!$E$2:$E$634,评分与用量!$A$2:$A$634,$A10,评分与用量!$B$2:$B$634,"第二轮",评分与用量!$C$2:$C$634,"S分项",评分与用量!$J$2:$J$634,"A*")))-(IF(COUNTIFS(评分与用量!$A$2:$A$634,$A10,评分与用量!$B$2:$B$634,"第一轮",评分与用量!$C$2:$C$634,"S分项",评分与用量!$J$2:$J$634,"A*")=0,"",SUMIFS(评分与用量!$E$2:$E$634,评分与用量!$A$2:$A$634,$A10,评分与用量!$B$2:$B$634,"第一轮",评分与用量!$C$2:$C$634,"S分项",评分与用量!$J$2:$J$634,"A*")))))))/15,IF($B$3="两轮变化","+0.0%;-0.0%;0.0%","0.0%")),(IF($B$3="第一轮",IF(COUNTIFS(评分与用量!$A$2:$A$634,$A10,评分与用量!$B$2:$B$634,"第一轮",评分与用量!$C$2:$C$634,"S分项",评分与用量!$J$2:$J$634,"A*")=0,"",SUMIFS(评分与用量!$E$2:$E$634,评分与用量!$A$2:$A$634,$A10,评分与用量!$B$2:$B$634,"第一轮",评分与用量!$C$2:$C$634,"S分项",评分与用量!$J$2:$J$634,"A*")),IF($B$3="第二轮",IF(COUNTIFS(评分与用量!$A$2:$A$634,$A10,评分与用量!$B$2:$B$634,"第二轮",评分与用量!$C$2:$C$634,"S分项",评分与用量!$J$2:$J$634,"A*")=0,"",SUMIFS(评分与用量!$E$2:$E$634,评分与用量!$A$2:$A$634,$A10,评分与用量!$B$2:$B$634,"第二轮",评分与用量!$C$2:$C$634,"S分项",评分与用量!$J$2:$J$634,"A*")),IF(OR(IF(COUNTIFS(评分与用量!$A$2:$A$634,$A10,评分与用量!$B$2:$B$634,"第一轮",评分与用量!$C$2:$C$634,"S分项",评分与用量!$J$2:$J$634,"A*")=0,"",SUMIFS(评分与用量!$E$2:$E$634,评分与用量!$A$2:$A$634,$A10,评分与用量!$B$2:$B$634,"第一轮",评分与用量!$C$2:$C$634,"S分项",评分与用量!$J$2:$J$634,"A*"))="",IF(COUNTIFS(评分与用量!$A$2:$A$634,$A10,评分与用量!$B$2:$B$634,"第二轮",评分与用量!$C$2:$C$634,"S分项",评分与用量!$J$2:$J$634,"A*")=0,"",SUMIFS(评分与用量!$E$2:$E$634,评分与用量!$A$2:$A$634,$A10,评分与用量!$B$2:$B$634,"第二轮",评分与用量!$C$2:$C$634,"S分项",评分与用量!$J$2:$J$634,"A*"))=""),"",(IF(COUNTIFS(评分与用量!$A$2:$A$634,$A10,评分与用量!$B$2:$B$634,"第二轮",评分与用量!$C$2:$C$634,"S分项",评分与用量!$J$2:$J$634,"A*")=0,"",SUMIFS(评分与用量!$E$2:$E$634,评分与用量!$A$2:$A$634,$A10,评分与用量!$B$2:$B$634,"第二轮",评分与用量!$C$2:$C$634,"S分项",评分与用量!$J$2:$J$634,"A*")))-(IF(COUNTIFS(评分与用量!$A$2:$A$634,$A10,评分与用量!$B$2:$B$634,"第一轮",评分与用量!$C$2:$C$634,"S分项",评分与用量!$J$2:$J$634,"A*")=0,"",SUMIFS(评分与用量!$E$2:$E$634,评分与用量!$A$2:$A$634,$A10,评分与用量!$B$2:$B$634,"第一轮",评分与用量!$C$2:$C$634,"S分项",评分与用量!$J$2:$J$634,"A*")))))))))</f>
        <v>14.25</v>
      </c>
      <c r="C10" s="77">
        <f>IF((IF($B$3="第一轮",IF(COUNTIFS(评分与用量!$A$2:$A$634,$A10,评分与用量!$B$2:$B$634,"第一轮",评分与用量!$C$2:$C$634,"S分项",评分与用量!$J$2:$J$634,"B*")=0,"",SUMIFS(评分与用量!$E$2:$E$634,评分与用量!$A$2:$A$634,$A10,评分与用量!$B$2:$B$634,"第一轮",评分与用量!$C$2:$C$634,"S分项",评分与用量!$J$2:$J$634,"B*")),IF($B$3="第二轮",IF(COUNTIFS(评分与用量!$A$2:$A$634,$A10,评分与用量!$B$2:$B$634,"第二轮",评分与用量!$C$2:$C$634,"S分项",评分与用量!$J$2:$J$634,"B*")=0,"",SUMIFS(评分与用量!$E$2:$E$634,评分与用量!$A$2:$A$634,$A10,评分与用量!$B$2:$B$634,"第二轮",评分与用量!$C$2:$C$634,"S分项",评分与用量!$J$2:$J$634,"B*")),IF(OR(IF(COUNTIFS(评分与用量!$A$2:$A$634,$A10,评分与用量!$B$2:$B$634,"第一轮",评分与用量!$C$2:$C$634,"S分项",评分与用量!$J$2:$J$634,"B*")=0,"",SUMIFS(评分与用量!$E$2:$E$634,评分与用量!$A$2:$A$634,$A10,评分与用量!$B$2:$B$634,"第一轮",评分与用量!$C$2:$C$634,"S分项",评分与用量!$J$2:$J$634,"B*"))="",IF(COUNTIFS(评分与用量!$A$2:$A$634,$A10,评分与用量!$B$2:$B$634,"第二轮",评分与用量!$C$2:$C$634,"S分项",评分与用量!$J$2:$J$634,"B*")=0,"",SUMIFS(评分与用量!$E$2:$E$634,评分与用量!$A$2:$A$634,$A10,评分与用量!$B$2:$B$634,"第二轮",评分与用量!$C$2:$C$634,"S分项",评分与用量!$J$2:$J$634,"B*"))=""),"",(IF(COUNTIFS(评分与用量!$A$2:$A$634,$A10,评分与用量!$B$2:$B$634,"第二轮",评分与用量!$C$2:$C$634,"S分项",评分与用量!$J$2:$J$634,"B*")=0,"",SUMIFS(评分与用量!$E$2:$E$634,评分与用量!$A$2:$A$634,$A10,评分与用量!$B$2:$B$634,"第二轮",评分与用量!$C$2:$C$634,"S分项",评分与用量!$J$2:$J$634,"B*")))-(IF(COUNTIFS(评分与用量!$A$2:$A$634,$A10,评分与用量!$B$2:$B$634,"第一轮",评分与用量!$C$2:$C$634,"S分项",评分与用量!$J$2:$J$634,"B*")=0,"",SUMIFS(评分与用量!$E$2:$E$634,评分与用量!$A$2:$A$634,$A10,评分与用量!$B$2:$B$634,"第一轮",评分与用量!$C$2:$C$634,"S分项",评分与用量!$J$2:$J$634,"B*")))))))="","",IF($F$3="得分率",TEXT((IF($B$3="第一轮",IF(COUNTIFS(评分与用量!$A$2:$A$634,$A10,评分与用量!$B$2:$B$634,"第一轮",评分与用量!$C$2:$C$634,"S分项",评分与用量!$J$2:$J$634,"B*")=0,"",SUMIFS(评分与用量!$E$2:$E$634,评分与用量!$A$2:$A$634,$A10,评分与用量!$B$2:$B$634,"第一轮",评分与用量!$C$2:$C$634,"S分项",评分与用量!$J$2:$J$634,"B*")),IF($B$3="第二轮",IF(COUNTIFS(评分与用量!$A$2:$A$634,$A10,评分与用量!$B$2:$B$634,"第二轮",评分与用量!$C$2:$C$634,"S分项",评分与用量!$J$2:$J$634,"B*")=0,"",SUMIFS(评分与用量!$E$2:$E$634,评分与用量!$A$2:$A$634,$A10,评分与用量!$B$2:$B$634,"第二轮",评分与用量!$C$2:$C$634,"S分项",评分与用量!$J$2:$J$634,"B*")),IF(OR(IF(COUNTIFS(评分与用量!$A$2:$A$634,$A10,评分与用量!$B$2:$B$634,"第一轮",评分与用量!$C$2:$C$634,"S分项",评分与用量!$J$2:$J$634,"B*")=0,"",SUMIFS(评分与用量!$E$2:$E$634,评分与用量!$A$2:$A$634,$A10,评分与用量!$B$2:$B$634,"第一轮",评分与用量!$C$2:$C$634,"S分项",评分与用量!$J$2:$J$634,"B*"))="",IF(COUNTIFS(评分与用量!$A$2:$A$634,$A10,评分与用量!$B$2:$B$634,"第二轮",评分与用量!$C$2:$C$634,"S分项",评分与用量!$J$2:$J$634,"B*")=0,"",SUMIFS(评分与用量!$E$2:$E$634,评分与用量!$A$2:$A$634,$A10,评分与用量!$B$2:$B$634,"第二轮",评分与用量!$C$2:$C$634,"S分项",评分与用量!$J$2:$J$634,"B*"))=""),"",(IF(COUNTIFS(评分与用量!$A$2:$A$634,$A10,评分与用量!$B$2:$B$634,"第二轮",评分与用量!$C$2:$C$634,"S分项",评分与用量!$J$2:$J$634,"B*")=0,"",SUMIFS(评分与用量!$E$2:$E$634,评分与用量!$A$2:$A$634,$A10,评分与用量!$B$2:$B$634,"第二轮",评分与用量!$C$2:$C$634,"S分项",评分与用量!$J$2:$J$634,"B*")))-(IF(COUNTIFS(评分与用量!$A$2:$A$634,$A10,评分与用量!$B$2:$B$634,"第一轮",评分与用量!$C$2:$C$634,"S分项",评分与用量!$J$2:$J$634,"B*")=0,"",SUMIFS(评分与用量!$E$2:$E$634,评分与用量!$A$2:$A$634,$A10,评分与用量!$B$2:$B$634,"第一轮",评分与用量!$C$2:$C$634,"S分项",评分与用量!$J$2:$J$634,"B*")))))))/20,IF($B$3="两轮变化","+0.0%;-0.0%;0.0%","0.0%")),(IF($B$3="第一轮",IF(COUNTIFS(评分与用量!$A$2:$A$634,$A10,评分与用量!$B$2:$B$634,"第一轮",评分与用量!$C$2:$C$634,"S分项",评分与用量!$J$2:$J$634,"B*")=0,"",SUMIFS(评分与用量!$E$2:$E$634,评分与用量!$A$2:$A$634,$A10,评分与用量!$B$2:$B$634,"第一轮",评分与用量!$C$2:$C$634,"S分项",评分与用量!$J$2:$J$634,"B*")),IF($B$3="第二轮",IF(COUNTIFS(评分与用量!$A$2:$A$634,$A10,评分与用量!$B$2:$B$634,"第二轮",评分与用量!$C$2:$C$634,"S分项",评分与用量!$J$2:$J$634,"B*")=0,"",SUMIFS(评分与用量!$E$2:$E$634,评分与用量!$A$2:$A$634,$A10,评分与用量!$B$2:$B$634,"第二轮",评分与用量!$C$2:$C$634,"S分项",评分与用量!$J$2:$J$634,"B*")),IF(OR(IF(COUNTIFS(评分与用量!$A$2:$A$634,$A10,评分与用量!$B$2:$B$634,"第一轮",评分与用量!$C$2:$C$634,"S分项",评分与用量!$J$2:$J$634,"B*")=0,"",SUMIFS(评分与用量!$E$2:$E$634,评分与用量!$A$2:$A$634,$A10,评分与用量!$B$2:$B$634,"第一轮",评分与用量!$C$2:$C$634,"S分项",评分与用量!$J$2:$J$634,"B*"))="",IF(COUNTIFS(评分与用量!$A$2:$A$634,$A10,评分与用量!$B$2:$B$634,"第二轮",评分与用量!$C$2:$C$634,"S分项",评分与用量!$J$2:$J$634,"B*")=0,"",SUMIFS(评分与用量!$E$2:$E$634,评分与用量!$A$2:$A$634,$A10,评分与用量!$B$2:$B$634,"第二轮",评分与用量!$C$2:$C$634,"S分项",评分与用量!$J$2:$J$634,"B*"))=""),"",(IF(COUNTIFS(评分与用量!$A$2:$A$634,$A10,评分与用量!$B$2:$B$634,"第二轮",评分与用量!$C$2:$C$634,"S分项",评分与用量!$J$2:$J$634,"B*")=0,"",SUMIFS(评分与用量!$E$2:$E$634,评分与用量!$A$2:$A$634,$A10,评分与用量!$B$2:$B$634,"第二轮",评分与用量!$C$2:$C$634,"S分项",评分与用量!$J$2:$J$634,"B*")))-(IF(COUNTIFS(评分与用量!$A$2:$A$634,$A10,评分与用量!$B$2:$B$634,"第一轮",评分与用量!$C$2:$C$634,"S分项",评分与用量!$J$2:$J$634,"B*")=0,"",SUMIFS(评分与用量!$E$2:$E$634,评分与用量!$A$2:$A$634,$A10,评分与用量!$B$2:$B$634,"第一轮",评分与用量!$C$2:$C$634,"S分项",评分与用量!$J$2:$J$634,"B*")))))))))</f>
        <v>12.75</v>
      </c>
      <c r="D10" s="77">
        <f>IF((IF($B$3="第一轮",IF(COUNTIFS(评分与用量!$A$2:$A$634,$A10,评分与用量!$B$2:$B$634,"第一轮",评分与用量!$C$2:$C$634,"S分项",评分与用量!$J$2:$J$634,"C*")=0,"",SUMIFS(评分与用量!$E$2:$E$634,评分与用量!$A$2:$A$634,$A10,评分与用量!$B$2:$B$634,"第一轮",评分与用量!$C$2:$C$634,"S分项",评分与用量!$J$2:$J$634,"C*")),IF($B$3="第二轮",IF(COUNTIFS(评分与用量!$A$2:$A$634,$A10,评分与用量!$B$2:$B$634,"第二轮",评分与用量!$C$2:$C$634,"S分项",评分与用量!$J$2:$J$634,"C*")=0,"",SUMIFS(评分与用量!$E$2:$E$634,评分与用量!$A$2:$A$634,$A10,评分与用量!$B$2:$B$634,"第二轮",评分与用量!$C$2:$C$634,"S分项",评分与用量!$J$2:$J$634,"C*")),IF(OR(IF(COUNTIFS(评分与用量!$A$2:$A$634,$A10,评分与用量!$B$2:$B$634,"第一轮",评分与用量!$C$2:$C$634,"S分项",评分与用量!$J$2:$J$634,"C*")=0,"",SUMIFS(评分与用量!$E$2:$E$634,评分与用量!$A$2:$A$634,$A10,评分与用量!$B$2:$B$634,"第一轮",评分与用量!$C$2:$C$634,"S分项",评分与用量!$J$2:$J$634,"C*"))="",IF(COUNTIFS(评分与用量!$A$2:$A$634,$A10,评分与用量!$B$2:$B$634,"第二轮",评分与用量!$C$2:$C$634,"S分项",评分与用量!$J$2:$J$634,"C*")=0,"",SUMIFS(评分与用量!$E$2:$E$634,评分与用量!$A$2:$A$634,$A10,评分与用量!$B$2:$B$634,"第二轮",评分与用量!$C$2:$C$634,"S分项",评分与用量!$J$2:$J$634,"C*"))=""),"",(IF(COUNTIFS(评分与用量!$A$2:$A$634,$A10,评分与用量!$B$2:$B$634,"第二轮",评分与用量!$C$2:$C$634,"S分项",评分与用量!$J$2:$J$634,"C*")=0,"",SUMIFS(评分与用量!$E$2:$E$634,评分与用量!$A$2:$A$634,$A10,评分与用量!$B$2:$B$634,"第二轮",评分与用量!$C$2:$C$634,"S分项",评分与用量!$J$2:$J$634,"C*")))-(IF(COUNTIFS(评分与用量!$A$2:$A$634,$A10,评分与用量!$B$2:$B$634,"第一轮",评分与用量!$C$2:$C$634,"S分项",评分与用量!$J$2:$J$634,"C*")=0,"",SUMIFS(评分与用量!$E$2:$E$634,评分与用量!$A$2:$A$634,$A10,评分与用量!$B$2:$B$634,"第一轮",评分与用量!$C$2:$C$634,"S分项",评分与用量!$J$2:$J$634,"C*")))))))="","",IF($F$3="得分率",TEXT((IF($B$3="第一轮",IF(COUNTIFS(评分与用量!$A$2:$A$634,$A10,评分与用量!$B$2:$B$634,"第一轮",评分与用量!$C$2:$C$634,"S分项",评分与用量!$J$2:$J$634,"C*")=0,"",SUMIFS(评分与用量!$E$2:$E$634,评分与用量!$A$2:$A$634,$A10,评分与用量!$B$2:$B$634,"第一轮",评分与用量!$C$2:$C$634,"S分项",评分与用量!$J$2:$J$634,"C*")),IF($B$3="第二轮",IF(COUNTIFS(评分与用量!$A$2:$A$634,$A10,评分与用量!$B$2:$B$634,"第二轮",评分与用量!$C$2:$C$634,"S分项",评分与用量!$J$2:$J$634,"C*")=0,"",SUMIFS(评分与用量!$E$2:$E$634,评分与用量!$A$2:$A$634,$A10,评分与用量!$B$2:$B$634,"第二轮",评分与用量!$C$2:$C$634,"S分项",评分与用量!$J$2:$J$634,"C*")),IF(OR(IF(COUNTIFS(评分与用量!$A$2:$A$634,$A10,评分与用量!$B$2:$B$634,"第一轮",评分与用量!$C$2:$C$634,"S分项",评分与用量!$J$2:$J$634,"C*")=0,"",SUMIFS(评分与用量!$E$2:$E$634,评分与用量!$A$2:$A$634,$A10,评分与用量!$B$2:$B$634,"第一轮",评分与用量!$C$2:$C$634,"S分项",评分与用量!$J$2:$J$634,"C*"))="",IF(COUNTIFS(评分与用量!$A$2:$A$634,$A10,评分与用量!$B$2:$B$634,"第二轮",评分与用量!$C$2:$C$634,"S分项",评分与用量!$J$2:$J$634,"C*")=0,"",SUMIFS(评分与用量!$E$2:$E$634,评分与用量!$A$2:$A$634,$A10,评分与用量!$B$2:$B$634,"第二轮",评分与用量!$C$2:$C$634,"S分项",评分与用量!$J$2:$J$634,"C*"))=""),"",(IF(COUNTIFS(评分与用量!$A$2:$A$634,$A10,评分与用量!$B$2:$B$634,"第二轮",评分与用量!$C$2:$C$634,"S分项",评分与用量!$J$2:$J$634,"C*")=0,"",SUMIFS(评分与用量!$E$2:$E$634,评分与用量!$A$2:$A$634,$A10,评分与用量!$B$2:$B$634,"第二轮",评分与用量!$C$2:$C$634,"S分项",评分与用量!$J$2:$J$634,"C*")))-(IF(COUNTIFS(评分与用量!$A$2:$A$634,$A10,评分与用量!$B$2:$B$634,"第一轮",评分与用量!$C$2:$C$634,"S分项",评分与用量!$J$2:$J$634,"C*")=0,"",SUMIFS(评分与用量!$E$2:$E$634,评分与用量!$A$2:$A$634,$A10,评分与用量!$B$2:$B$634,"第一轮",评分与用量!$C$2:$C$634,"S分项",评分与用量!$J$2:$J$634,"C*")))))))/20,IF($B$3="两轮变化","+0.0%;-0.0%;0.0%","0.0%")),(IF($B$3="第一轮",IF(COUNTIFS(评分与用量!$A$2:$A$634,$A10,评分与用量!$B$2:$B$634,"第一轮",评分与用量!$C$2:$C$634,"S分项",评分与用量!$J$2:$J$634,"C*")=0,"",SUMIFS(评分与用量!$E$2:$E$634,评分与用量!$A$2:$A$634,$A10,评分与用量!$B$2:$B$634,"第一轮",评分与用量!$C$2:$C$634,"S分项",评分与用量!$J$2:$J$634,"C*")),IF($B$3="第二轮",IF(COUNTIFS(评分与用量!$A$2:$A$634,$A10,评分与用量!$B$2:$B$634,"第二轮",评分与用量!$C$2:$C$634,"S分项",评分与用量!$J$2:$J$634,"C*")=0,"",SUMIFS(评分与用量!$E$2:$E$634,评分与用量!$A$2:$A$634,$A10,评分与用量!$B$2:$B$634,"第二轮",评分与用量!$C$2:$C$634,"S分项",评分与用量!$J$2:$J$634,"C*")),IF(OR(IF(COUNTIFS(评分与用量!$A$2:$A$634,$A10,评分与用量!$B$2:$B$634,"第一轮",评分与用量!$C$2:$C$634,"S分项",评分与用量!$J$2:$J$634,"C*")=0,"",SUMIFS(评分与用量!$E$2:$E$634,评分与用量!$A$2:$A$634,$A10,评分与用量!$B$2:$B$634,"第一轮",评分与用量!$C$2:$C$634,"S分项",评分与用量!$J$2:$J$634,"C*"))="",IF(COUNTIFS(评分与用量!$A$2:$A$634,$A10,评分与用量!$B$2:$B$634,"第二轮",评分与用量!$C$2:$C$634,"S分项",评分与用量!$J$2:$J$634,"C*")=0,"",SUMIFS(评分与用量!$E$2:$E$634,评分与用量!$A$2:$A$634,$A10,评分与用量!$B$2:$B$634,"第二轮",评分与用量!$C$2:$C$634,"S分项",评分与用量!$J$2:$J$634,"C*"))=""),"",(IF(COUNTIFS(评分与用量!$A$2:$A$634,$A10,评分与用量!$B$2:$B$634,"第二轮",评分与用量!$C$2:$C$634,"S分项",评分与用量!$J$2:$J$634,"C*")=0,"",SUMIFS(评分与用量!$E$2:$E$634,评分与用量!$A$2:$A$634,$A10,评分与用量!$B$2:$B$634,"第二轮",评分与用量!$C$2:$C$634,"S分项",评分与用量!$J$2:$J$634,"C*")))-(IF(COUNTIFS(评分与用量!$A$2:$A$634,$A10,评分与用量!$B$2:$B$634,"第一轮",评分与用量!$C$2:$C$634,"S分项",评分与用量!$J$2:$J$634,"C*")=0,"",SUMIFS(评分与用量!$E$2:$E$634,评分与用量!$A$2:$A$634,$A10,评分与用量!$B$2:$B$634,"第一轮",评分与用量!$C$2:$C$634,"S分项",评分与用量!$J$2:$J$634,"C*")))))))))</f>
        <v>14.75</v>
      </c>
      <c r="E10" s="77">
        <f>IF((IF($B$3="第一轮",IF(COUNTIFS(评分与用量!$A$2:$A$634,$A10,评分与用量!$B$2:$B$634,"第一轮",评分与用量!$C$2:$C$634,"S分项",评分与用量!$J$2:$J$634,"D*")=0,"",SUMIFS(评分与用量!$E$2:$E$634,评分与用量!$A$2:$A$634,$A10,评分与用量!$B$2:$B$634,"第一轮",评分与用量!$C$2:$C$634,"S分项",评分与用量!$J$2:$J$634,"D*")),IF($B$3="第二轮",IF(COUNTIFS(评分与用量!$A$2:$A$634,$A10,评分与用量!$B$2:$B$634,"第二轮",评分与用量!$C$2:$C$634,"S分项",评分与用量!$J$2:$J$634,"D*")=0,"",SUMIFS(评分与用量!$E$2:$E$634,评分与用量!$A$2:$A$634,$A10,评分与用量!$B$2:$B$634,"第二轮",评分与用量!$C$2:$C$634,"S分项",评分与用量!$J$2:$J$634,"D*")),IF(OR(IF(COUNTIFS(评分与用量!$A$2:$A$634,$A10,评分与用量!$B$2:$B$634,"第一轮",评分与用量!$C$2:$C$634,"S分项",评分与用量!$J$2:$J$634,"D*")=0,"",SUMIFS(评分与用量!$E$2:$E$634,评分与用量!$A$2:$A$634,$A10,评分与用量!$B$2:$B$634,"第一轮",评分与用量!$C$2:$C$634,"S分项",评分与用量!$J$2:$J$634,"D*"))="",IF(COUNTIFS(评分与用量!$A$2:$A$634,$A10,评分与用量!$B$2:$B$634,"第二轮",评分与用量!$C$2:$C$634,"S分项",评分与用量!$J$2:$J$634,"D*")=0,"",SUMIFS(评分与用量!$E$2:$E$634,评分与用量!$A$2:$A$634,$A10,评分与用量!$B$2:$B$634,"第二轮",评分与用量!$C$2:$C$634,"S分项",评分与用量!$J$2:$J$634,"D*"))=""),"",(IF(COUNTIFS(评分与用量!$A$2:$A$634,$A10,评分与用量!$B$2:$B$634,"第二轮",评分与用量!$C$2:$C$634,"S分项",评分与用量!$J$2:$J$634,"D*")=0,"",SUMIFS(评分与用量!$E$2:$E$634,评分与用量!$A$2:$A$634,$A10,评分与用量!$B$2:$B$634,"第二轮",评分与用量!$C$2:$C$634,"S分项",评分与用量!$J$2:$J$634,"D*")))-(IF(COUNTIFS(评分与用量!$A$2:$A$634,$A10,评分与用量!$B$2:$B$634,"第一轮",评分与用量!$C$2:$C$634,"S分项",评分与用量!$J$2:$J$634,"D*")=0,"",SUMIFS(评分与用量!$E$2:$E$634,评分与用量!$A$2:$A$634,$A10,评分与用量!$B$2:$B$634,"第一轮",评分与用量!$C$2:$C$634,"S分项",评分与用量!$J$2:$J$634,"D*")))))))="","",IF($F$3="得分率",TEXT((IF($B$3="第一轮",IF(COUNTIFS(评分与用量!$A$2:$A$634,$A10,评分与用量!$B$2:$B$634,"第一轮",评分与用量!$C$2:$C$634,"S分项",评分与用量!$J$2:$J$634,"D*")=0,"",SUMIFS(评分与用量!$E$2:$E$634,评分与用量!$A$2:$A$634,$A10,评分与用量!$B$2:$B$634,"第一轮",评分与用量!$C$2:$C$634,"S分项",评分与用量!$J$2:$J$634,"D*")),IF($B$3="第二轮",IF(COUNTIFS(评分与用量!$A$2:$A$634,$A10,评分与用量!$B$2:$B$634,"第二轮",评分与用量!$C$2:$C$634,"S分项",评分与用量!$J$2:$J$634,"D*")=0,"",SUMIFS(评分与用量!$E$2:$E$634,评分与用量!$A$2:$A$634,$A10,评分与用量!$B$2:$B$634,"第二轮",评分与用量!$C$2:$C$634,"S分项",评分与用量!$J$2:$J$634,"D*")),IF(OR(IF(COUNTIFS(评分与用量!$A$2:$A$634,$A10,评分与用量!$B$2:$B$634,"第一轮",评分与用量!$C$2:$C$634,"S分项",评分与用量!$J$2:$J$634,"D*")=0,"",SUMIFS(评分与用量!$E$2:$E$634,评分与用量!$A$2:$A$634,$A10,评分与用量!$B$2:$B$634,"第一轮",评分与用量!$C$2:$C$634,"S分项",评分与用量!$J$2:$J$634,"D*"))="",IF(COUNTIFS(评分与用量!$A$2:$A$634,$A10,评分与用量!$B$2:$B$634,"第二轮",评分与用量!$C$2:$C$634,"S分项",评分与用量!$J$2:$J$634,"D*")=0,"",SUMIFS(评分与用量!$E$2:$E$634,评分与用量!$A$2:$A$634,$A10,评分与用量!$B$2:$B$634,"第二轮",评分与用量!$C$2:$C$634,"S分项",评分与用量!$J$2:$J$634,"D*"))=""),"",(IF(COUNTIFS(评分与用量!$A$2:$A$634,$A10,评分与用量!$B$2:$B$634,"第二轮",评分与用量!$C$2:$C$634,"S分项",评分与用量!$J$2:$J$634,"D*")=0,"",SUMIFS(评分与用量!$E$2:$E$634,评分与用量!$A$2:$A$634,$A10,评分与用量!$B$2:$B$634,"第二轮",评分与用量!$C$2:$C$634,"S分项",评分与用量!$J$2:$J$634,"D*")))-(IF(COUNTIFS(评分与用量!$A$2:$A$634,$A10,评分与用量!$B$2:$B$634,"第一轮",评分与用量!$C$2:$C$634,"S分项",评分与用量!$J$2:$J$634,"D*")=0,"",SUMIFS(评分与用量!$E$2:$E$634,评分与用量!$A$2:$A$634,$A10,评分与用量!$B$2:$B$634,"第一轮",评分与用量!$C$2:$C$634,"S分项",评分与用量!$J$2:$J$634,"D*")))))))/25,IF($B$3="两轮变化","+0.0%;-0.0%;0.0%","0.0%")),(IF($B$3="第一轮",IF(COUNTIFS(评分与用量!$A$2:$A$634,$A10,评分与用量!$B$2:$B$634,"第一轮",评分与用量!$C$2:$C$634,"S分项",评分与用量!$J$2:$J$634,"D*")=0,"",SUMIFS(评分与用量!$E$2:$E$634,评分与用量!$A$2:$A$634,$A10,评分与用量!$B$2:$B$634,"第一轮",评分与用量!$C$2:$C$634,"S分项",评分与用量!$J$2:$J$634,"D*")),IF($B$3="第二轮",IF(COUNTIFS(评分与用量!$A$2:$A$634,$A10,评分与用量!$B$2:$B$634,"第二轮",评分与用量!$C$2:$C$634,"S分项",评分与用量!$J$2:$J$634,"D*")=0,"",SUMIFS(评分与用量!$E$2:$E$634,评分与用量!$A$2:$A$634,$A10,评分与用量!$B$2:$B$634,"第二轮",评分与用量!$C$2:$C$634,"S分项",评分与用量!$J$2:$J$634,"D*")),IF(OR(IF(COUNTIFS(评分与用量!$A$2:$A$634,$A10,评分与用量!$B$2:$B$634,"第一轮",评分与用量!$C$2:$C$634,"S分项",评分与用量!$J$2:$J$634,"D*")=0,"",SUMIFS(评分与用量!$E$2:$E$634,评分与用量!$A$2:$A$634,$A10,评分与用量!$B$2:$B$634,"第一轮",评分与用量!$C$2:$C$634,"S分项",评分与用量!$J$2:$J$634,"D*"))="",IF(COUNTIFS(评分与用量!$A$2:$A$634,$A10,评分与用量!$B$2:$B$634,"第二轮",评分与用量!$C$2:$C$634,"S分项",评分与用量!$J$2:$J$634,"D*")=0,"",SUMIFS(评分与用量!$E$2:$E$634,评分与用量!$A$2:$A$634,$A10,评分与用量!$B$2:$B$634,"第二轮",评分与用量!$C$2:$C$634,"S分项",评分与用量!$J$2:$J$634,"D*"))=""),"",(IF(COUNTIFS(评分与用量!$A$2:$A$634,$A10,评分与用量!$B$2:$B$634,"第二轮",评分与用量!$C$2:$C$634,"S分项",评分与用量!$J$2:$J$634,"D*")=0,"",SUMIFS(评分与用量!$E$2:$E$634,评分与用量!$A$2:$A$634,$A10,评分与用量!$B$2:$B$634,"第二轮",评分与用量!$C$2:$C$634,"S分项",评分与用量!$J$2:$J$634,"D*")))-(IF(COUNTIFS(评分与用量!$A$2:$A$634,$A10,评分与用量!$B$2:$B$634,"第一轮",评分与用量!$C$2:$C$634,"S分项",评分与用量!$J$2:$J$634,"D*")=0,"",SUMIFS(评分与用量!$E$2:$E$634,评分与用量!$A$2:$A$634,$A10,评分与用量!$B$2:$B$634,"第一轮",评分与用量!$C$2:$C$634,"S分项",评分与用量!$J$2:$J$634,"D*")))))))))</f>
        <v>19</v>
      </c>
      <c r="F10" s="77">
        <f>IF((IF($B$3="第一轮",IF(COUNTIFS(评分与用量!$A$2:$A$634,$A10,评分与用量!$B$2:$B$634,"第一轮",评分与用量!$C$2:$C$634,"S分项",评分与用量!$J$2:$J$634,"E*")=0,"",SUMIFS(评分与用量!$E$2:$E$634,评分与用量!$A$2:$A$634,$A10,评分与用量!$B$2:$B$634,"第一轮",评分与用量!$C$2:$C$634,"S分项",评分与用量!$J$2:$J$634,"E*")),IF($B$3="第二轮",IF(COUNTIFS(评分与用量!$A$2:$A$634,$A10,评分与用量!$B$2:$B$634,"第二轮",评分与用量!$C$2:$C$634,"S分项",评分与用量!$J$2:$J$634,"E*")=0,"",SUMIFS(评分与用量!$E$2:$E$634,评分与用量!$A$2:$A$634,$A10,评分与用量!$B$2:$B$634,"第二轮",评分与用量!$C$2:$C$634,"S分项",评分与用量!$J$2:$J$634,"E*")),IF(OR(IF(COUNTIFS(评分与用量!$A$2:$A$634,$A10,评分与用量!$B$2:$B$634,"第一轮",评分与用量!$C$2:$C$634,"S分项",评分与用量!$J$2:$J$634,"E*")=0,"",SUMIFS(评分与用量!$E$2:$E$634,评分与用量!$A$2:$A$634,$A10,评分与用量!$B$2:$B$634,"第一轮",评分与用量!$C$2:$C$634,"S分项",评分与用量!$J$2:$J$634,"E*"))="",IF(COUNTIFS(评分与用量!$A$2:$A$634,$A10,评分与用量!$B$2:$B$634,"第二轮",评分与用量!$C$2:$C$634,"S分项",评分与用量!$J$2:$J$634,"E*")=0,"",SUMIFS(评分与用量!$E$2:$E$634,评分与用量!$A$2:$A$634,$A10,评分与用量!$B$2:$B$634,"第二轮",评分与用量!$C$2:$C$634,"S分项",评分与用量!$J$2:$J$634,"E*"))=""),"",(IF(COUNTIFS(评分与用量!$A$2:$A$634,$A10,评分与用量!$B$2:$B$634,"第二轮",评分与用量!$C$2:$C$634,"S分项",评分与用量!$J$2:$J$634,"E*")=0,"",SUMIFS(评分与用量!$E$2:$E$634,评分与用量!$A$2:$A$634,$A10,评分与用量!$B$2:$B$634,"第二轮",评分与用量!$C$2:$C$634,"S分项",评分与用量!$J$2:$J$634,"E*")))-(IF(COUNTIFS(评分与用量!$A$2:$A$634,$A10,评分与用量!$B$2:$B$634,"第一轮",评分与用量!$C$2:$C$634,"S分项",评分与用量!$J$2:$J$634,"E*")=0,"",SUMIFS(评分与用量!$E$2:$E$634,评分与用量!$A$2:$A$634,$A10,评分与用量!$B$2:$B$634,"第一轮",评分与用量!$C$2:$C$634,"S分项",评分与用量!$J$2:$J$634,"E*")))))))="","",IF($F$3="得分率",TEXT((IF($B$3="第一轮",IF(COUNTIFS(评分与用量!$A$2:$A$634,$A10,评分与用量!$B$2:$B$634,"第一轮",评分与用量!$C$2:$C$634,"S分项",评分与用量!$J$2:$J$634,"E*")=0,"",SUMIFS(评分与用量!$E$2:$E$634,评分与用量!$A$2:$A$634,$A10,评分与用量!$B$2:$B$634,"第一轮",评分与用量!$C$2:$C$634,"S分项",评分与用量!$J$2:$J$634,"E*")),IF($B$3="第二轮",IF(COUNTIFS(评分与用量!$A$2:$A$634,$A10,评分与用量!$B$2:$B$634,"第二轮",评分与用量!$C$2:$C$634,"S分项",评分与用量!$J$2:$J$634,"E*")=0,"",SUMIFS(评分与用量!$E$2:$E$634,评分与用量!$A$2:$A$634,$A10,评分与用量!$B$2:$B$634,"第二轮",评分与用量!$C$2:$C$634,"S分项",评分与用量!$J$2:$J$634,"E*")),IF(OR(IF(COUNTIFS(评分与用量!$A$2:$A$634,$A10,评分与用量!$B$2:$B$634,"第一轮",评分与用量!$C$2:$C$634,"S分项",评分与用量!$J$2:$J$634,"E*")=0,"",SUMIFS(评分与用量!$E$2:$E$634,评分与用量!$A$2:$A$634,$A10,评分与用量!$B$2:$B$634,"第一轮",评分与用量!$C$2:$C$634,"S分项",评分与用量!$J$2:$J$634,"E*"))="",IF(COUNTIFS(评分与用量!$A$2:$A$634,$A10,评分与用量!$B$2:$B$634,"第二轮",评分与用量!$C$2:$C$634,"S分项",评分与用量!$J$2:$J$634,"E*")=0,"",SUMIFS(评分与用量!$E$2:$E$634,评分与用量!$A$2:$A$634,$A10,评分与用量!$B$2:$B$634,"第二轮",评分与用量!$C$2:$C$634,"S分项",评分与用量!$J$2:$J$634,"E*"))=""),"",(IF(COUNTIFS(评分与用量!$A$2:$A$634,$A10,评分与用量!$B$2:$B$634,"第二轮",评分与用量!$C$2:$C$634,"S分项",评分与用量!$J$2:$J$634,"E*")=0,"",SUMIFS(评分与用量!$E$2:$E$634,评分与用量!$A$2:$A$634,$A10,评分与用量!$B$2:$B$634,"第二轮",评分与用量!$C$2:$C$634,"S分项",评分与用量!$J$2:$J$634,"E*")))-(IF(COUNTIFS(评分与用量!$A$2:$A$634,$A10,评分与用量!$B$2:$B$634,"第一轮",评分与用量!$C$2:$C$634,"S分项",评分与用量!$J$2:$J$634,"E*")=0,"",SUMIFS(评分与用量!$E$2:$E$634,评分与用量!$A$2:$A$634,$A10,评分与用量!$B$2:$B$634,"第一轮",评分与用量!$C$2:$C$634,"S分项",评分与用量!$J$2:$J$634,"E*")))))))/10,IF($B$3="两轮变化","+0.0%;-0.0%;0.0%","0.0%")),(IF($B$3="第一轮",IF(COUNTIFS(评分与用量!$A$2:$A$634,$A10,评分与用量!$B$2:$B$634,"第一轮",评分与用量!$C$2:$C$634,"S分项",评分与用量!$J$2:$J$634,"E*")=0,"",SUMIFS(评分与用量!$E$2:$E$634,评分与用量!$A$2:$A$634,$A10,评分与用量!$B$2:$B$634,"第一轮",评分与用量!$C$2:$C$634,"S分项",评分与用量!$J$2:$J$634,"E*")),IF($B$3="第二轮",IF(COUNTIFS(评分与用量!$A$2:$A$634,$A10,评分与用量!$B$2:$B$634,"第二轮",评分与用量!$C$2:$C$634,"S分项",评分与用量!$J$2:$J$634,"E*")=0,"",SUMIFS(评分与用量!$E$2:$E$634,评分与用量!$A$2:$A$634,$A10,评分与用量!$B$2:$B$634,"第二轮",评分与用量!$C$2:$C$634,"S分项",评分与用量!$J$2:$J$634,"E*")),IF(OR(IF(COUNTIFS(评分与用量!$A$2:$A$634,$A10,评分与用量!$B$2:$B$634,"第一轮",评分与用量!$C$2:$C$634,"S分项",评分与用量!$J$2:$J$634,"E*")=0,"",SUMIFS(评分与用量!$E$2:$E$634,评分与用量!$A$2:$A$634,$A10,评分与用量!$B$2:$B$634,"第一轮",评分与用量!$C$2:$C$634,"S分项",评分与用量!$J$2:$J$634,"E*"))="",IF(COUNTIFS(评分与用量!$A$2:$A$634,$A10,评分与用量!$B$2:$B$634,"第二轮",评分与用量!$C$2:$C$634,"S分项",评分与用量!$J$2:$J$634,"E*")=0,"",SUMIFS(评分与用量!$E$2:$E$634,评分与用量!$A$2:$A$634,$A10,评分与用量!$B$2:$B$634,"第二轮",评分与用量!$C$2:$C$634,"S分项",评分与用量!$J$2:$J$634,"E*"))=""),"",(IF(COUNTIFS(评分与用量!$A$2:$A$634,$A10,评分与用量!$B$2:$B$634,"第二轮",评分与用量!$C$2:$C$634,"S分项",评分与用量!$J$2:$J$634,"E*")=0,"",SUMIFS(评分与用量!$E$2:$E$634,评分与用量!$A$2:$A$634,$A10,评分与用量!$B$2:$B$634,"第二轮",评分与用量!$C$2:$C$634,"S分项",评分与用量!$J$2:$J$634,"E*")))-(IF(COUNTIFS(评分与用量!$A$2:$A$634,$A10,评分与用量!$B$2:$B$634,"第一轮",评分与用量!$C$2:$C$634,"S分项",评分与用量!$J$2:$J$634,"E*")=0,"",SUMIFS(评分与用量!$E$2:$E$634,评分与用量!$A$2:$A$634,$A10,评分与用量!$B$2:$B$634,"第一轮",评分与用量!$C$2:$C$634,"S分项",评分与用量!$J$2:$J$634,"E*")))))))))</f>
        <v>6.75</v>
      </c>
      <c r="G10" s="77">
        <f>IF((IF($B$3="第一轮",IF(COUNTIFS(评分与用量!$A$2:$A$634,$A10,评分与用量!$B$2:$B$634,"第一轮",评分与用量!$C$2:$C$634,"S分项",评分与用量!$J$2:$J$634,"F*")=0,"",SUMIFS(评分与用量!$E$2:$E$634,评分与用量!$A$2:$A$634,$A10,评分与用量!$B$2:$B$634,"第一轮",评分与用量!$C$2:$C$634,"S分项",评分与用量!$J$2:$J$634,"F*")),IF($B$3="第二轮",IF(COUNTIFS(评分与用量!$A$2:$A$634,$A10,评分与用量!$B$2:$B$634,"第二轮",评分与用量!$C$2:$C$634,"S分项",评分与用量!$J$2:$J$634,"F*")=0,"",SUMIFS(评分与用量!$E$2:$E$634,评分与用量!$A$2:$A$634,$A10,评分与用量!$B$2:$B$634,"第二轮",评分与用量!$C$2:$C$634,"S分项",评分与用量!$J$2:$J$634,"F*")),IF(OR(IF(COUNTIFS(评分与用量!$A$2:$A$634,$A10,评分与用量!$B$2:$B$634,"第一轮",评分与用量!$C$2:$C$634,"S分项",评分与用量!$J$2:$J$634,"F*")=0,"",SUMIFS(评分与用量!$E$2:$E$634,评分与用量!$A$2:$A$634,$A10,评分与用量!$B$2:$B$634,"第一轮",评分与用量!$C$2:$C$634,"S分项",评分与用量!$J$2:$J$634,"F*"))="",IF(COUNTIFS(评分与用量!$A$2:$A$634,$A10,评分与用量!$B$2:$B$634,"第二轮",评分与用量!$C$2:$C$634,"S分项",评分与用量!$J$2:$J$634,"F*")=0,"",SUMIFS(评分与用量!$E$2:$E$634,评分与用量!$A$2:$A$634,$A10,评分与用量!$B$2:$B$634,"第二轮",评分与用量!$C$2:$C$634,"S分项",评分与用量!$J$2:$J$634,"F*"))=""),"",(IF(COUNTIFS(评分与用量!$A$2:$A$634,$A10,评分与用量!$B$2:$B$634,"第二轮",评分与用量!$C$2:$C$634,"S分项",评分与用量!$J$2:$J$634,"F*")=0,"",SUMIFS(评分与用量!$E$2:$E$634,评分与用量!$A$2:$A$634,$A10,评分与用量!$B$2:$B$634,"第二轮",评分与用量!$C$2:$C$634,"S分项",评分与用量!$J$2:$J$634,"F*")))-(IF(COUNTIFS(评分与用量!$A$2:$A$634,$A10,评分与用量!$B$2:$B$634,"第一轮",评分与用量!$C$2:$C$634,"S分项",评分与用量!$J$2:$J$634,"F*")=0,"",SUMIFS(评分与用量!$E$2:$E$634,评分与用量!$A$2:$A$634,$A10,评分与用量!$B$2:$B$634,"第一轮",评分与用量!$C$2:$C$634,"S分项",评分与用量!$J$2:$J$634,"F*")))))))="","",IF($F$3="得分率",TEXT((IF($B$3="第一轮",IF(COUNTIFS(评分与用量!$A$2:$A$634,$A10,评分与用量!$B$2:$B$634,"第一轮",评分与用量!$C$2:$C$634,"S分项",评分与用量!$J$2:$J$634,"F*")=0,"",SUMIFS(评分与用量!$E$2:$E$634,评分与用量!$A$2:$A$634,$A10,评分与用量!$B$2:$B$634,"第一轮",评分与用量!$C$2:$C$634,"S分项",评分与用量!$J$2:$J$634,"F*")),IF($B$3="第二轮",IF(COUNTIFS(评分与用量!$A$2:$A$634,$A10,评分与用量!$B$2:$B$634,"第二轮",评分与用量!$C$2:$C$634,"S分项",评分与用量!$J$2:$J$634,"F*")=0,"",SUMIFS(评分与用量!$E$2:$E$634,评分与用量!$A$2:$A$634,$A10,评分与用量!$B$2:$B$634,"第二轮",评分与用量!$C$2:$C$634,"S分项",评分与用量!$J$2:$J$634,"F*")),IF(OR(IF(COUNTIFS(评分与用量!$A$2:$A$634,$A10,评分与用量!$B$2:$B$634,"第一轮",评分与用量!$C$2:$C$634,"S分项",评分与用量!$J$2:$J$634,"F*")=0,"",SUMIFS(评分与用量!$E$2:$E$634,评分与用量!$A$2:$A$634,$A10,评分与用量!$B$2:$B$634,"第一轮",评分与用量!$C$2:$C$634,"S分项",评分与用量!$J$2:$J$634,"F*"))="",IF(COUNTIFS(评分与用量!$A$2:$A$634,$A10,评分与用量!$B$2:$B$634,"第二轮",评分与用量!$C$2:$C$634,"S分项",评分与用量!$J$2:$J$634,"F*")=0,"",SUMIFS(评分与用量!$E$2:$E$634,评分与用量!$A$2:$A$634,$A10,评分与用量!$B$2:$B$634,"第二轮",评分与用量!$C$2:$C$634,"S分项",评分与用量!$J$2:$J$634,"F*"))=""),"",(IF(COUNTIFS(评分与用量!$A$2:$A$634,$A10,评分与用量!$B$2:$B$634,"第二轮",评分与用量!$C$2:$C$634,"S分项",评分与用量!$J$2:$J$634,"F*")=0,"",SUMIFS(评分与用量!$E$2:$E$634,评分与用量!$A$2:$A$634,$A10,评分与用量!$B$2:$B$634,"第二轮",评分与用量!$C$2:$C$634,"S分项",评分与用量!$J$2:$J$634,"F*")))-(IF(COUNTIFS(评分与用量!$A$2:$A$634,$A10,评分与用量!$B$2:$B$634,"第一轮",评分与用量!$C$2:$C$634,"S分项",评分与用量!$J$2:$J$634,"F*")=0,"",SUMIFS(评分与用量!$E$2:$E$634,评分与用量!$A$2:$A$634,$A10,评分与用量!$B$2:$B$634,"第一轮",评分与用量!$C$2:$C$634,"S分项",评分与用量!$J$2:$J$634,"F*")))))))/10,IF($B$3="两轮变化","+0.0%;-0.0%;0.0%","0.0%")),(IF($B$3="第一轮",IF(COUNTIFS(评分与用量!$A$2:$A$634,$A10,评分与用量!$B$2:$B$634,"第一轮",评分与用量!$C$2:$C$634,"S分项",评分与用量!$J$2:$J$634,"F*")=0,"",SUMIFS(评分与用量!$E$2:$E$634,评分与用量!$A$2:$A$634,$A10,评分与用量!$B$2:$B$634,"第一轮",评分与用量!$C$2:$C$634,"S分项",评分与用量!$J$2:$J$634,"F*")),IF($B$3="第二轮",IF(COUNTIFS(评分与用量!$A$2:$A$634,$A10,评分与用量!$B$2:$B$634,"第二轮",评分与用量!$C$2:$C$634,"S分项",评分与用量!$J$2:$J$634,"F*")=0,"",SUMIFS(评分与用量!$E$2:$E$634,评分与用量!$A$2:$A$634,$A10,评分与用量!$B$2:$B$634,"第二轮",评分与用量!$C$2:$C$634,"S分项",评分与用量!$J$2:$J$634,"F*")),IF(OR(IF(COUNTIFS(评分与用量!$A$2:$A$634,$A10,评分与用量!$B$2:$B$634,"第一轮",评分与用量!$C$2:$C$634,"S分项",评分与用量!$J$2:$J$634,"F*")=0,"",SUMIFS(评分与用量!$E$2:$E$634,评分与用量!$A$2:$A$634,$A10,评分与用量!$B$2:$B$634,"第一轮",评分与用量!$C$2:$C$634,"S分项",评分与用量!$J$2:$J$634,"F*"))="",IF(COUNTIFS(评分与用量!$A$2:$A$634,$A10,评分与用量!$B$2:$B$634,"第二轮",评分与用量!$C$2:$C$634,"S分项",评分与用量!$J$2:$J$634,"F*")=0,"",SUMIFS(评分与用量!$E$2:$E$634,评分与用量!$A$2:$A$634,$A10,评分与用量!$B$2:$B$634,"第二轮",评分与用量!$C$2:$C$634,"S分项",评分与用量!$J$2:$J$634,"F*"))=""),"",(IF(COUNTIFS(评分与用量!$A$2:$A$634,$A10,评分与用量!$B$2:$B$634,"第二轮",评分与用量!$C$2:$C$634,"S分项",评分与用量!$J$2:$J$634,"F*")=0,"",SUMIFS(评分与用量!$E$2:$E$634,评分与用量!$A$2:$A$634,$A10,评分与用量!$B$2:$B$634,"第二轮",评分与用量!$C$2:$C$634,"S分项",评分与用量!$J$2:$J$634,"F*")))-(IF(COUNTIFS(评分与用量!$A$2:$A$634,$A10,评分与用量!$B$2:$B$634,"第一轮",评分与用量!$C$2:$C$634,"S分项",评分与用量!$J$2:$J$634,"F*")=0,"",SUMIFS(评分与用量!$E$2:$E$634,评分与用量!$A$2:$A$634,$A10,评分与用量!$B$2:$B$634,"第一轮",评分与用量!$C$2:$C$634,"S分项",评分与用量!$J$2:$J$634,"F*")))))))))</f>
        <v>7.75</v>
      </c>
      <c r="H10" s="77">
        <f>IF((IF($B$3="第一轮",IF(COUNTIFS(评分与用量!$A$2:$A$634,$A10,评分与用量!$B$2:$B$634,"第一轮",评分与用量!$C$2:$C$634,"S分项")=0,"",SUMIFS(评分与用量!$E$2:$E$634,评分与用量!$A$2:$A$634,$A10,评分与用量!$B$2:$B$634,"第一轮",评分与用量!$C$2:$C$634,"S分项")),IF($B$3="第二轮",IF(COUNTIFS(评分与用量!$A$2:$A$634,$A10,评分与用量!$B$2:$B$634,"第二轮",评分与用量!$C$2:$C$634,"S分项")=0,"",SUMIFS(评分与用量!$E$2:$E$634,评分与用量!$A$2:$A$634,$A10,评分与用量!$B$2:$B$634,"第二轮",评分与用量!$C$2:$C$634,"S分项")),IF(OR(IF(COUNTIFS(评分与用量!$A$2:$A$634,$A10,评分与用量!$B$2:$B$634,"第一轮",评分与用量!$C$2:$C$634,"S分项")=0,"",SUMIFS(评分与用量!$E$2:$E$634,评分与用量!$A$2:$A$634,$A10,评分与用量!$B$2:$B$634,"第一轮",评分与用量!$C$2:$C$634,"S分项"))="",IF(COUNTIFS(评分与用量!$A$2:$A$634,$A10,评分与用量!$B$2:$B$634,"第二轮",评分与用量!$C$2:$C$634,"S分项")=0,"",SUMIFS(评分与用量!$E$2:$E$634,评分与用量!$A$2:$A$634,$A10,评分与用量!$B$2:$B$634,"第二轮",评分与用量!$C$2:$C$634,"S分项"))=""),"",(IF(COUNTIFS(评分与用量!$A$2:$A$634,$A10,评分与用量!$B$2:$B$634,"第二轮",评分与用量!$C$2:$C$634,"S分项")=0,"",SUMIFS(评分与用量!$E$2:$E$634,评分与用量!$A$2:$A$634,$A10,评分与用量!$B$2:$B$634,"第二轮",评分与用量!$C$2:$C$634,"S分项")))-(IF(COUNTIFS(评分与用量!$A$2:$A$634,$A10,评分与用量!$B$2:$B$634,"第一轮",评分与用量!$C$2:$C$634,"S分项")=0,"",SUMIFS(评分与用量!$E$2:$E$634,评分与用量!$A$2:$A$634,$A10,评分与用量!$B$2:$B$634,"第一轮",评分与用量!$C$2:$C$634,"S分项")))))))="","",IF($F$3="得分率",TEXT((IF($B$3="第一轮",IF(COUNTIFS(评分与用量!$A$2:$A$634,$A10,评分与用量!$B$2:$B$634,"第一轮",评分与用量!$C$2:$C$634,"S分项")=0,"",SUMIFS(评分与用量!$E$2:$E$634,评分与用量!$A$2:$A$634,$A10,评分与用量!$B$2:$B$634,"第一轮",评分与用量!$C$2:$C$634,"S分项")),IF($B$3="第二轮",IF(COUNTIFS(评分与用量!$A$2:$A$634,$A10,评分与用量!$B$2:$B$634,"第二轮",评分与用量!$C$2:$C$634,"S分项")=0,"",SUMIFS(评分与用量!$E$2:$E$634,评分与用量!$A$2:$A$634,$A10,评分与用量!$B$2:$B$634,"第二轮",评分与用量!$C$2:$C$634,"S分项")),IF(OR(IF(COUNTIFS(评分与用量!$A$2:$A$634,$A10,评分与用量!$B$2:$B$634,"第一轮",评分与用量!$C$2:$C$634,"S分项")=0,"",SUMIFS(评分与用量!$E$2:$E$634,评分与用量!$A$2:$A$634,$A10,评分与用量!$B$2:$B$634,"第一轮",评分与用量!$C$2:$C$634,"S分项"))="",IF(COUNTIFS(评分与用量!$A$2:$A$634,$A10,评分与用量!$B$2:$B$634,"第二轮",评分与用量!$C$2:$C$634,"S分项")=0,"",SUMIFS(评分与用量!$E$2:$E$634,评分与用量!$A$2:$A$634,$A10,评分与用量!$B$2:$B$634,"第二轮",评分与用量!$C$2:$C$634,"S分项"))=""),"",(IF(COUNTIFS(评分与用量!$A$2:$A$634,$A10,评分与用量!$B$2:$B$634,"第二轮",评分与用量!$C$2:$C$634,"S分项")=0,"",SUMIFS(评分与用量!$E$2:$E$634,评分与用量!$A$2:$A$634,$A10,评分与用量!$B$2:$B$634,"第二轮",评分与用量!$C$2:$C$634,"S分项")))-(IF(COUNTIFS(评分与用量!$A$2:$A$634,$A10,评分与用量!$B$2:$B$634,"第一轮",评分与用量!$C$2:$C$634,"S分项")=0,"",SUMIFS(评分与用量!$E$2:$E$634,评分与用量!$A$2:$A$634,$A10,评分与用量!$B$2:$B$634,"第一轮",评分与用量!$C$2:$C$634,"S分项")))))))/100,IF($B$3="两轮变化","+0.0%;-0.0%;0.0%","0.0%")),(IF($B$3="第一轮",IF(COUNTIFS(评分与用量!$A$2:$A$634,$A10,评分与用量!$B$2:$B$634,"第一轮",评分与用量!$C$2:$C$634,"S分项")=0,"",SUMIFS(评分与用量!$E$2:$E$634,评分与用量!$A$2:$A$634,$A10,评分与用量!$B$2:$B$634,"第一轮",评分与用量!$C$2:$C$634,"S分项")),IF($B$3="第二轮",IF(COUNTIFS(评分与用量!$A$2:$A$634,$A10,评分与用量!$B$2:$B$634,"第二轮",评分与用量!$C$2:$C$634,"S分项")=0,"",SUMIFS(评分与用量!$E$2:$E$634,评分与用量!$A$2:$A$634,$A10,评分与用量!$B$2:$B$634,"第二轮",评分与用量!$C$2:$C$634,"S分项")),IF(OR(IF(COUNTIFS(评分与用量!$A$2:$A$634,$A10,评分与用量!$B$2:$B$634,"第一轮",评分与用量!$C$2:$C$634,"S分项")=0,"",SUMIFS(评分与用量!$E$2:$E$634,评分与用量!$A$2:$A$634,$A10,评分与用量!$B$2:$B$634,"第一轮",评分与用量!$C$2:$C$634,"S分项"))="",IF(COUNTIFS(评分与用量!$A$2:$A$634,$A10,评分与用量!$B$2:$B$634,"第二轮",评分与用量!$C$2:$C$634,"S分项")=0,"",SUMIFS(评分与用量!$E$2:$E$634,评分与用量!$A$2:$A$634,$A10,评分与用量!$B$2:$B$634,"第二轮",评分与用量!$C$2:$C$634,"S分项"))=""),"",(IF(COUNTIFS(评分与用量!$A$2:$A$634,$A10,评分与用量!$B$2:$B$634,"第二轮",评分与用量!$C$2:$C$634,"S分项")=0,"",SUMIFS(评分与用量!$E$2:$E$634,评分与用量!$A$2:$A$634,$A10,评分与用量!$B$2:$B$634,"第二轮",评分与用量!$C$2:$C$634,"S分项")))-(IF(COUNTIFS(评分与用量!$A$2:$A$634,$A10,评分与用量!$B$2:$B$634,"第一轮",评分与用量!$C$2:$C$634,"S分项")=0,"",SUMIFS(评分与用量!$E$2:$E$634,评分与用量!$A$2:$A$634,$A10,评分与用量!$B$2:$B$634,"第一轮",评分与用量!$C$2:$C$634,"S分项")))))))))</f>
        <v>75.25</v>
      </c>
    </row>
    <row r="11" spans="1:8" ht="22.05" customHeight="1">
      <c r="A11" s="76" t="s">
        <v>17</v>
      </c>
      <c r="B11" s="77">
        <f>IF((IF($B$3="第一轮",IF(COUNTIFS(评分与用量!$A$2:$A$634,$A11,评分与用量!$B$2:$B$634,"第一轮",评分与用量!$C$2:$C$634,"S分项",评分与用量!$J$2:$J$634,"A*")=0,"",SUMIFS(评分与用量!$E$2:$E$634,评分与用量!$A$2:$A$634,$A11,评分与用量!$B$2:$B$634,"第一轮",评分与用量!$C$2:$C$634,"S分项",评分与用量!$J$2:$J$634,"A*")),IF($B$3="第二轮",IF(COUNTIFS(评分与用量!$A$2:$A$634,$A11,评分与用量!$B$2:$B$634,"第二轮",评分与用量!$C$2:$C$634,"S分项",评分与用量!$J$2:$J$634,"A*")=0,"",SUMIFS(评分与用量!$E$2:$E$634,评分与用量!$A$2:$A$634,$A11,评分与用量!$B$2:$B$634,"第二轮",评分与用量!$C$2:$C$634,"S分项",评分与用量!$J$2:$J$634,"A*")),IF(OR(IF(COUNTIFS(评分与用量!$A$2:$A$634,$A11,评分与用量!$B$2:$B$634,"第一轮",评分与用量!$C$2:$C$634,"S分项",评分与用量!$J$2:$J$634,"A*")=0,"",SUMIFS(评分与用量!$E$2:$E$634,评分与用量!$A$2:$A$634,$A11,评分与用量!$B$2:$B$634,"第一轮",评分与用量!$C$2:$C$634,"S分项",评分与用量!$J$2:$J$634,"A*"))="",IF(COUNTIFS(评分与用量!$A$2:$A$634,$A11,评分与用量!$B$2:$B$634,"第二轮",评分与用量!$C$2:$C$634,"S分项",评分与用量!$J$2:$J$634,"A*")=0,"",SUMIFS(评分与用量!$E$2:$E$634,评分与用量!$A$2:$A$634,$A11,评分与用量!$B$2:$B$634,"第二轮",评分与用量!$C$2:$C$634,"S分项",评分与用量!$J$2:$J$634,"A*"))=""),"",(IF(COUNTIFS(评分与用量!$A$2:$A$634,$A11,评分与用量!$B$2:$B$634,"第二轮",评分与用量!$C$2:$C$634,"S分项",评分与用量!$J$2:$J$634,"A*")=0,"",SUMIFS(评分与用量!$E$2:$E$634,评分与用量!$A$2:$A$634,$A11,评分与用量!$B$2:$B$634,"第二轮",评分与用量!$C$2:$C$634,"S分项",评分与用量!$J$2:$J$634,"A*")))-(IF(COUNTIFS(评分与用量!$A$2:$A$634,$A11,评分与用量!$B$2:$B$634,"第一轮",评分与用量!$C$2:$C$634,"S分项",评分与用量!$J$2:$J$634,"A*")=0,"",SUMIFS(评分与用量!$E$2:$E$634,评分与用量!$A$2:$A$634,$A11,评分与用量!$B$2:$B$634,"第一轮",评分与用量!$C$2:$C$634,"S分项",评分与用量!$J$2:$J$634,"A*")))))))="","",IF($F$3="得分率",TEXT((IF($B$3="第一轮",IF(COUNTIFS(评分与用量!$A$2:$A$634,$A11,评分与用量!$B$2:$B$634,"第一轮",评分与用量!$C$2:$C$634,"S分项",评分与用量!$J$2:$J$634,"A*")=0,"",SUMIFS(评分与用量!$E$2:$E$634,评分与用量!$A$2:$A$634,$A11,评分与用量!$B$2:$B$634,"第一轮",评分与用量!$C$2:$C$634,"S分项",评分与用量!$J$2:$J$634,"A*")),IF($B$3="第二轮",IF(COUNTIFS(评分与用量!$A$2:$A$634,$A11,评分与用量!$B$2:$B$634,"第二轮",评分与用量!$C$2:$C$634,"S分项",评分与用量!$J$2:$J$634,"A*")=0,"",SUMIFS(评分与用量!$E$2:$E$634,评分与用量!$A$2:$A$634,$A11,评分与用量!$B$2:$B$634,"第二轮",评分与用量!$C$2:$C$634,"S分项",评分与用量!$J$2:$J$634,"A*")),IF(OR(IF(COUNTIFS(评分与用量!$A$2:$A$634,$A11,评分与用量!$B$2:$B$634,"第一轮",评分与用量!$C$2:$C$634,"S分项",评分与用量!$J$2:$J$634,"A*")=0,"",SUMIFS(评分与用量!$E$2:$E$634,评分与用量!$A$2:$A$634,$A11,评分与用量!$B$2:$B$634,"第一轮",评分与用量!$C$2:$C$634,"S分项",评分与用量!$J$2:$J$634,"A*"))="",IF(COUNTIFS(评分与用量!$A$2:$A$634,$A11,评分与用量!$B$2:$B$634,"第二轮",评分与用量!$C$2:$C$634,"S分项",评分与用量!$J$2:$J$634,"A*")=0,"",SUMIFS(评分与用量!$E$2:$E$634,评分与用量!$A$2:$A$634,$A11,评分与用量!$B$2:$B$634,"第二轮",评分与用量!$C$2:$C$634,"S分项",评分与用量!$J$2:$J$634,"A*"))=""),"",(IF(COUNTIFS(评分与用量!$A$2:$A$634,$A11,评分与用量!$B$2:$B$634,"第二轮",评分与用量!$C$2:$C$634,"S分项",评分与用量!$J$2:$J$634,"A*")=0,"",SUMIFS(评分与用量!$E$2:$E$634,评分与用量!$A$2:$A$634,$A11,评分与用量!$B$2:$B$634,"第二轮",评分与用量!$C$2:$C$634,"S分项",评分与用量!$J$2:$J$634,"A*")))-(IF(COUNTIFS(评分与用量!$A$2:$A$634,$A11,评分与用量!$B$2:$B$634,"第一轮",评分与用量!$C$2:$C$634,"S分项",评分与用量!$J$2:$J$634,"A*")=0,"",SUMIFS(评分与用量!$E$2:$E$634,评分与用量!$A$2:$A$634,$A11,评分与用量!$B$2:$B$634,"第一轮",评分与用量!$C$2:$C$634,"S分项",评分与用量!$J$2:$J$634,"A*")))))))/15,IF($B$3="两轮变化","+0.0%;-0.0%;0.0%","0.0%")),(IF($B$3="第一轮",IF(COUNTIFS(评分与用量!$A$2:$A$634,$A11,评分与用量!$B$2:$B$634,"第一轮",评分与用量!$C$2:$C$634,"S分项",评分与用量!$J$2:$J$634,"A*")=0,"",SUMIFS(评分与用量!$E$2:$E$634,评分与用量!$A$2:$A$634,$A11,评分与用量!$B$2:$B$634,"第一轮",评分与用量!$C$2:$C$634,"S分项",评分与用量!$J$2:$J$634,"A*")),IF($B$3="第二轮",IF(COUNTIFS(评分与用量!$A$2:$A$634,$A11,评分与用量!$B$2:$B$634,"第二轮",评分与用量!$C$2:$C$634,"S分项",评分与用量!$J$2:$J$634,"A*")=0,"",SUMIFS(评分与用量!$E$2:$E$634,评分与用量!$A$2:$A$634,$A11,评分与用量!$B$2:$B$634,"第二轮",评分与用量!$C$2:$C$634,"S分项",评分与用量!$J$2:$J$634,"A*")),IF(OR(IF(COUNTIFS(评分与用量!$A$2:$A$634,$A11,评分与用量!$B$2:$B$634,"第一轮",评分与用量!$C$2:$C$634,"S分项",评分与用量!$J$2:$J$634,"A*")=0,"",SUMIFS(评分与用量!$E$2:$E$634,评分与用量!$A$2:$A$634,$A11,评分与用量!$B$2:$B$634,"第一轮",评分与用量!$C$2:$C$634,"S分项",评分与用量!$J$2:$J$634,"A*"))="",IF(COUNTIFS(评分与用量!$A$2:$A$634,$A11,评分与用量!$B$2:$B$634,"第二轮",评分与用量!$C$2:$C$634,"S分项",评分与用量!$J$2:$J$634,"A*")=0,"",SUMIFS(评分与用量!$E$2:$E$634,评分与用量!$A$2:$A$634,$A11,评分与用量!$B$2:$B$634,"第二轮",评分与用量!$C$2:$C$634,"S分项",评分与用量!$J$2:$J$634,"A*"))=""),"",(IF(COUNTIFS(评分与用量!$A$2:$A$634,$A11,评分与用量!$B$2:$B$634,"第二轮",评分与用量!$C$2:$C$634,"S分项",评分与用量!$J$2:$J$634,"A*")=0,"",SUMIFS(评分与用量!$E$2:$E$634,评分与用量!$A$2:$A$634,$A11,评分与用量!$B$2:$B$634,"第二轮",评分与用量!$C$2:$C$634,"S分项",评分与用量!$J$2:$J$634,"A*")))-(IF(COUNTIFS(评分与用量!$A$2:$A$634,$A11,评分与用量!$B$2:$B$634,"第一轮",评分与用量!$C$2:$C$634,"S分项",评分与用量!$J$2:$J$634,"A*")=0,"",SUMIFS(评分与用量!$E$2:$E$634,评分与用量!$A$2:$A$634,$A11,评分与用量!$B$2:$B$634,"第一轮",评分与用量!$C$2:$C$634,"S分项",评分与用量!$J$2:$J$634,"A*")))))))))</f>
        <v>10.5</v>
      </c>
      <c r="C11" s="77">
        <f>IF((IF($B$3="第一轮",IF(COUNTIFS(评分与用量!$A$2:$A$634,$A11,评分与用量!$B$2:$B$634,"第一轮",评分与用量!$C$2:$C$634,"S分项",评分与用量!$J$2:$J$634,"B*")=0,"",SUMIFS(评分与用量!$E$2:$E$634,评分与用量!$A$2:$A$634,$A11,评分与用量!$B$2:$B$634,"第一轮",评分与用量!$C$2:$C$634,"S分项",评分与用量!$J$2:$J$634,"B*")),IF($B$3="第二轮",IF(COUNTIFS(评分与用量!$A$2:$A$634,$A11,评分与用量!$B$2:$B$634,"第二轮",评分与用量!$C$2:$C$634,"S分项",评分与用量!$J$2:$J$634,"B*")=0,"",SUMIFS(评分与用量!$E$2:$E$634,评分与用量!$A$2:$A$634,$A11,评分与用量!$B$2:$B$634,"第二轮",评分与用量!$C$2:$C$634,"S分项",评分与用量!$J$2:$J$634,"B*")),IF(OR(IF(COUNTIFS(评分与用量!$A$2:$A$634,$A11,评分与用量!$B$2:$B$634,"第一轮",评分与用量!$C$2:$C$634,"S分项",评分与用量!$J$2:$J$634,"B*")=0,"",SUMIFS(评分与用量!$E$2:$E$634,评分与用量!$A$2:$A$634,$A11,评分与用量!$B$2:$B$634,"第一轮",评分与用量!$C$2:$C$634,"S分项",评分与用量!$J$2:$J$634,"B*"))="",IF(COUNTIFS(评分与用量!$A$2:$A$634,$A11,评分与用量!$B$2:$B$634,"第二轮",评分与用量!$C$2:$C$634,"S分项",评分与用量!$J$2:$J$634,"B*")=0,"",SUMIFS(评分与用量!$E$2:$E$634,评分与用量!$A$2:$A$634,$A11,评分与用量!$B$2:$B$634,"第二轮",评分与用量!$C$2:$C$634,"S分项",评分与用量!$J$2:$J$634,"B*"))=""),"",(IF(COUNTIFS(评分与用量!$A$2:$A$634,$A11,评分与用量!$B$2:$B$634,"第二轮",评分与用量!$C$2:$C$634,"S分项",评分与用量!$J$2:$J$634,"B*")=0,"",SUMIFS(评分与用量!$E$2:$E$634,评分与用量!$A$2:$A$634,$A11,评分与用量!$B$2:$B$634,"第二轮",评分与用量!$C$2:$C$634,"S分项",评分与用量!$J$2:$J$634,"B*")))-(IF(COUNTIFS(评分与用量!$A$2:$A$634,$A11,评分与用量!$B$2:$B$634,"第一轮",评分与用量!$C$2:$C$634,"S分项",评分与用量!$J$2:$J$634,"B*")=0,"",SUMIFS(评分与用量!$E$2:$E$634,评分与用量!$A$2:$A$634,$A11,评分与用量!$B$2:$B$634,"第一轮",评分与用量!$C$2:$C$634,"S分项",评分与用量!$J$2:$J$634,"B*")))))))="","",IF($F$3="得分率",TEXT((IF($B$3="第一轮",IF(COUNTIFS(评分与用量!$A$2:$A$634,$A11,评分与用量!$B$2:$B$634,"第一轮",评分与用量!$C$2:$C$634,"S分项",评分与用量!$J$2:$J$634,"B*")=0,"",SUMIFS(评分与用量!$E$2:$E$634,评分与用量!$A$2:$A$634,$A11,评分与用量!$B$2:$B$634,"第一轮",评分与用量!$C$2:$C$634,"S分项",评分与用量!$J$2:$J$634,"B*")),IF($B$3="第二轮",IF(COUNTIFS(评分与用量!$A$2:$A$634,$A11,评分与用量!$B$2:$B$634,"第二轮",评分与用量!$C$2:$C$634,"S分项",评分与用量!$J$2:$J$634,"B*")=0,"",SUMIFS(评分与用量!$E$2:$E$634,评分与用量!$A$2:$A$634,$A11,评分与用量!$B$2:$B$634,"第二轮",评分与用量!$C$2:$C$634,"S分项",评分与用量!$J$2:$J$634,"B*")),IF(OR(IF(COUNTIFS(评分与用量!$A$2:$A$634,$A11,评分与用量!$B$2:$B$634,"第一轮",评分与用量!$C$2:$C$634,"S分项",评分与用量!$J$2:$J$634,"B*")=0,"",SUMIFS(评分与用量!$E$2:$E$634,评分与用量!$A$2:$A$634,$A11,评分与用量!$B$2:$B$634,"第一轮",评分与用量!$C$2:$C$634,"S分项",评分与用量!$J$2:$J$634,"B*"))="",IF(COUNTIFS(评分与用量!$A$2:$A$634,$A11,评分与用量!$B$2:$B$634,"第二轮",评分与用量!$C$2:$C$634,"S分项",评分与用量!$J$2:$J$634,"B*")=0,"",SUMIFS(评分与用量!$E$2:$E$634,评分与用量!$A$2:$A$634,$A11,评分与用量!$B$2:$B$634,"第二轮",评分与用量!$C$2:$C$634,"S分项",评分与用量!$J$2:$J$634,"B*"))=""),"",(IF(COUNTIFS(评分与用量!$A$2:$A$634,$A11,评分与用量!$B$2:$B$634,"第二轮",评分与用量!$C$2:$C$634,"S分项",评分与用量!$J$2:$J$634,"B*")=0,"",SUMIFS(评分与用量!$E$2:$E$634,评分与用量!$A$2:$A$634,$A11,评分与用量!$B$2:$B$634,"第二轮",评分与用量!$C$2:$C$634,"S分项",评分与用量!$J$2:$J$634,"B*")))-(IF(COUNTIFS(评分与用量!$A$2:$A$634,$A11,评分与用量!$B$2:$B$634,"第一轮",评分与用量!$C$2:$C$634,"S分项",评分与用量!$J$2:$J$634,"B*")=0,"",SUMIFS(评分与用量!$E$2:$E$634,评分与用量!$A$2:$A$634,$A11,评分与用量!$B$2:$B$634,"第一轮",评分与用量!$C$2:$C$634,"S分项",评分与用量!$J$2:$J$634,"B*")))))))/20,IF($B$3="两轮变化","+0.0%;-0.0%;0.0%","0.0%")),(IF($B$3="第一轮",IF(COUNTIFS(评分与用量!$A$2:$A$634,$A11,评分与用量!$B$2:$B$634,"第一轮",评分与用量!$C$2:$C$634,"S分项",评分与用量!$J$2:$J$634,"B*")=0,"",SUMIFS(评分与用量!$E$2:$E$634,评分与用量!$A$2:$A$634,$A11,评分与用量!$B$2:$B$634,"第一轮",评分与用量!$C$2:$C$634,"S分项",评分与用量!$J$2:$J$634,"B*")),IF($B$3="第二轮",IF(COUNTIFS(评分与用量!$A$2:$A$634,$A11,评分与用量!$B$2:$B$634,"第二轮",评分与用量!$C$2:$C$634,"S分项",评分与用量!$J$2:$J$634,"B*")=0,"",SUMIFS(评分与用量!$E$2:$E$634,评分与用量!$A$2:$A$634,$A11,评分与用量!$B$2:$B$634,"第二轮",评分与用量!$C$2:$C$634,"S分项",评分与用量!$J$2:$J$634,"B*")),IF(OR(IF(COUNTIFS(评分与用量!$A$2:$A$634,$A11,评分与用量!$B$2:$B$634,"第一轮",评分与用量!$C$2:$C$634,"S分项",评分与用量!$J$2:$J$634,"B*")=0,"",SUMIFS(评分与用量!$E$2:$E$634,评分与用量!$A$2:$A$634,$A11,评分与用量!$B$2:$B$634,"第一轮",评分与用量!$C$2:$C$634,"S分项",评分与用量!$J$2:$J$634,"B*"))="",IF(COUNTIFS(评分与用量!$A$2:$A$634,$A11,评分与用量!$B$2:$B$634,"第二轮",评分与用量!$C$2:$C$634,"S分项",评分与用量!$J$2:$J$634,"B*")=0,"",SUMIFS(评分与用量!$E$2:$E$634,评分与用量!$A$2:$A$634,$A11,评分与用量!$B$2:$B$634,"第二轮",评分与用量!$C$2:$C$634,"S分项",评分与用量!$J$2:$J$634,"B*"))=""),"",(IF(COUNTIFS(评分与用量!$A$2:$A$634,$A11,评分与用量!$B$2:$B$634,"第二轮",评分与用量!$C$2:$C$634,"S分项",评分与用量!$J$2:$J$634,"B*")=0,"",SUMIFS(评分与用量!$E$2:$E$634,评分与用量!$A$2:$A$634,$A11,评分与用量!$B$2:$B$634,"第二轮",评分与用量!$C$2:$C$634,"S分项",评分与用量!$J$2:$J$634,"B*")))-(IF(COUNTIFS(评分与用量!$A$2:$A$634,$A11,评分与用量!$B$2:$B$634,"第一轮",评分与用量!$C$2:$C$634,"S分项",评分与用量!$J$2:$J$634,"B*")=0,"",SUMIFS(评分与用量!$E$2:$E$634,评分与用量!$A$2:$A$634,$A11,评分与用量!$B$2:$B$634,"第一轮",评分与用量!$C$2:$C$634,"S分项",评分与用量!$J$2:$J$634,"B*")))))))))</f>
        <v>10.5</v>
      </c>
      <c r="D11" s="77">
        <f>IF((IF($B$3="第一轮",IF(COUNTIFS(评分与用量!$A$2:$A$634,$A11,评分与用量!$B$2:$B$634,"第一轮",评分与用量!$C$2:$C$634,"S分项",评分与用量!$J$2:$J$634,"C*")=0,"",SUMIFS(评分与用量!$E$2:$E$634,评分与用量!$A$2:$A$634,$A11,评分与用量!$B$2:$B$634,"第一轮",评分与用量!$C$2:$C$634,"S分项",评分与用量!$J$2:$J$634,"C*")),IF($B$3="第二轮",IF(COUNTIFS(评分与用量!$A$2:$A$634,$A11,评分与用量!$B$2:$B$634,"第二轮",评分与用量!$C$2:$C$634,"S分项",评分与用量!$J$2:$J$634,"C*")=0,"",SUMIFS(评分与用量!$E$2:$E$634,评分与用量!$A$2:$A$634,$A11,评分与用量!$B$2:$B$634,"第二轮",评分与用量!$C$2:$C$634,"S分项",评分与用量!$J$2:$J$634,"C*")),IF(OR(IF(COUNTIFS(评分与用量!$A$2:$A$634,$A11,评分与用量!$B$2:$B$634,"第一轮",评分与用量!$C$2:$C$634,"S分项",评分与用量!$J$2:$J$634,"C*")=0,"",SUMIFS(评分与用量!$E$2:$E$634,评分与用量!$A$2:$A$634,$A11,评分与用量!$B$2:$B$634,"第一轮",评分与用量!$C$2:$C$634,"S分项",评分与用量!$J$2:$J$634,"C*"))="",IF(COUNTIFS(评分与用量!$A$2:$A$634,$A11,评分与用量!$B$2:$B$634,"第二轮",评分与用量!$C$2:$C$634,"S分项",评分与用量!$J$2:$J$634,"C*")=0,"",SUMIFS(评分与用量!$E$2:$E$634,评分与用量!$A$2:$A$634,$A11,评分与用量!$B$2:$B$634,"第二轮",评分与用量!$C$2:$C$634,"S分项",评分与用量!$J$2:$J$634,"C*"))=""),"",(IF(COUNTIFS(评分与用量!$A$2:$A$634,$A11,评分与用量!$B$2:$B$634,"第二轮",评分与用量!$C$2:$C$634,"S分项",评分与用量!$J$2:$J$634,"C*")=0,"",SUMIFS(评分与用量!$E$2:$E$634,评分与用量!$A$2:$A$634,$A11,评分与用量!$B$2:$B$634,"第二轮",评分与用量!$C$2:$C$634,"S分项",评分与用量!$J$2:$J$634,"C*")))-(IF(COUNTIFS(评分与用量!$A$2:$A$634,$A11,评分与用量!$B$2:$B$634,"第一轮",评分与用量!$C$2:$C$634,"S分项",评分与用量!$J$2:$J$634,"C*")=0,"",SUMIFS(评分与用量!$E$2:$E$634,评分与用量!$A$2:$A$634,$A11,评分与用量!$B$2:$B$634,"第一轮",评分与用量!$C$2:$C$634,"S分项",评分与用量!$J$2:$J$634,"C*")))))))="","",IF($F$3="得分率",TEXT((IF($B$3="第一轮",IF(COUNTIFS(评分与用量!$A$2:$A$634,$A11,评分与用量!$B$2:$B$634,"第一轮",评分与用量!$C$2:$C$634,"S分项",评分与用量!$J$2:$J$634,"C*")=0,"",SUMIFS(评分与用量!$E$2:$E$634,评分与用量!$A$2:$A$634,$A11,评分与用量!$B$2:$B$634,"第一轮",评分与用量!$C$2:$C$634,"S分项",评分与用量!$J$2:$J$634,"C*")),IF($B$3="第二轮",IF(COUNTIFS(评分与用量!$A$2:$A$634,$A11,评分与用量!$B$2:$B$634,"第二轮",评分与用量!$C$2:$C$634,"S分项",评分与用量!$J$2:$J$634,"C*")=0,"",SUMIFS(评分与用量!$E$2:$E$634,评分与用量!$A$2:$A$634,$A11,评分与用量!$B$2:$B$634,"第二轮",评分与用量!$C$2:$C$634,"S分项",评分与用量!$J$2:$J$634,"C*")),IF(OR(IF(COUNTIFS(评分与用量!$A$2:$A$634,$A11,评分与用量!$B$2:$B$634,"第一轮",评分与用量!$C$2:$C$634,"S分项",评分与用量!$J$2:$J$634,"C*")=0,"",SUMIFS(评分与用量!$E$2:$E$634,评分与用量!$A$2:$A$634,$A11,评分与用量!$B$2:$B$634,"第一轮",评分与用量!$C$2:$C$634,"S分项",评分与用量!$J$2:$J$634,"C*"))="",IF(COUNTIFS(评分与用量!$A$2:$A$634,$A11,评分与用量!$B$2:$B$634,"第二轮",评分与用量!$C$2:$C$634,"S分项",评分与用量!$J$2:$J$634,"C*")=0,"",SUMIFS(评分与用量!$E$2:$E$634,评分与用量!$A$2:$A$634,$A11,评分与用量!$B$2:$B$634,"第二轮",评分与用量!$C$2:$C$634,"S分项",评分与用量!$J$2:$J$634,"C*"))=""),"",(IF(COUNTIFS(评分与用量!$A$2:$A$634,$A11,评分与用量!$B$2:$B$634,"第二轮",评分与用量!$C$2:$C$634,"S分项",评分与用量!$J$2:$J$634,"C*")=0,"",SUMIFS(评分与用量!$E$2:$E$634,评分与用量!$A$2:$A$634,$A11,评分与用量!$B$2:$B$634,"第二轮",评分与用量!$C$2:$C$634,"S分项",评分与用量!$J$2:$J$634,"C*")))-(IF(COUNTIFS(评分与用量!$A$2:$A$634,$A11,评分与用量!$B$2:$B$634,"第一轮",评分与用量!$C$2:$C$634,"S分项",评分与用量!$J$2:$J$634,"C*")=0,"",SUMIFS(评分与用量!$E$2:$E$634,评分与用量!$A$2:$A$634,$A11,评分与用量!$B$2:$B$634,"第一轮",评分与用量!$C$2:$C$634,"S分项",评分与用量!$J$2:$J$634,"C*")))))))/20,IF($B$3="两轮变化","+0.0%;-0.0%;0.0%","0.0%")),(IF($B$3="第一轮",IF(COUNTIFS(评分与用量!$A$2:$A$634,$A11,评分与用量!$B$2:$B$634,"第一轮",评分与用量!$C$2:$C$634,"S分项",评分与用量!$J$2:$J$634,"C*")=0,"",SUMIFS(评分与用量!$E$2:$E$634,评分与用量!$A$2:$A$634,$A11,评分与用量!$B$2:$B$634,"第一轮",评分与用量!$C$2:$C$634,"S分项",评分与用量!$J$2:$J$634,"C*")),IF($B$3="第二轮",IF(COUNTIFS(评分与用量!$A$2:$A$634,$A11,评分与用量!$B$2:$B$634,"第二轮",评分与用量!$C$2:$C$634,"S分项",评分与用量!$J$2:$J$634,"C*")=0,"",SUMIFS(评分与用量!$E$2:$E$634,评分与用量!$A$2:$A$634,$A11,评分与用量!$B$2:$B$634,"第二轮",评分与用量!$C$2:$C$634,"S分项",评分与用量!$J$2:$J$634,"C*")),IF(OR(IF(COUNTIFS(评分与用量!$A$2:$A$634,$A11,评分与用量!$B$2:$B$634,"第一轮",评分与用量!$C$2:$C$634,"S分项",评分与用量!$J$2:$J$634,"C*")=0,"",SUMIFS(评分与用量!$E$2:$E$634,评分与用量!$A$2:$A$634,$A11,评分与用量!$B$2:$B$634,"第一轮",评分与用量!$C$2:$C$634,"S分项",评分与用量!$J$2:$J$634,"C*"))="",IF(COUNTIFS(评分与用量!$A$2:$A$634,$A11,评分与用量!$B$2:$B$634,"第二轮",评分与用量!$C$2:$C$634,"S分项",评分与用量!$J$2:$J$634,"C*")=0,"",SUMIFS(评分与用量!$E$2:$E$634,评分与用量!$A$2:$A$634,$A11,评分与用量!$B$2:$B$634,"第二轮",评分与用量!$C$2:$C$634,"S分项",评分与用量!$J$2:$J$634,"C*"))=""),"",(IF(COUNTIFS(评分与用量!$A$2:$A$634,$A11,评分与用量!$B$2:$B$634,"第二轮",评分与用量!$C$2:$C$634,"S分项",评分与用量!$J$2:$J$634,"C*")=0,"",SUMIFS(评分与用量!$E$2:$E$634,评分与用量!$A$2:$A$634,$A11,评分与用量!$B$2:$B$634,"第二轮",评分与用量!$C$2:$C$634,"S分项",评分与用量!$J$2:$J$634,"C*")))-(IF(COUNTIFS(评分与用量!$A$2:$A$634,$A11,评分与用量!$B$2:$B$634,"第一轮",评分与用量!$C$2:$C$634,"S分项",评分与用量!$J$2:$J$634,"C*")=0,"",SUMIFS(评分与用量!$E$2:$E$634,评分与用量!$A$2:$A$634,$A11,评分与用量!$B$2:$B$634,"第一轮",评分与用量!$C$2:$C$634,"S分项",评分与用量!$J$2:$J$634,"C*")))))))))</f>
        <v>11.25</v>
      </c>
      <c r="E11" s="77">
        <f>IF((IF($B$3="第一轮",IF(COUNTIFS(评分与用量!$A$2:$A$634,$A11,评分与用量!$B$2:$B$634,"第一轮",评分与用量!$C$2:$C$634,"S分项",评分与用量!$J$2:$J$634,"D*")=0,"",SUMIFS(评分与用量!$E$2:$E$634,评分与用量!$A$2:$A$634,$A11,评分与用量!$B$2:$B$634,"第一轮",评分与用量!$C$2:$C$634,"S分项",评分与用量!$J$2:$J$634,"D*")),IF($B$3="第二轮",IF(COUNTIFS(评分与用量!$A$2:$A$634,$A11,评分与用量!$B$2:$B$634,"第二轮",评分与用量!$C$2:$C$634,"S分项",评分与用量!$J$2:$J$634,"D*")=0,"",SUMIFS(评分与用量!$E$2:$E$634,评分与用量!$A$2:$A$634,$A11,评分与用量!$B$2:$B$634,"第二轮",评分与用量!$C$2:$C$634,"S分项",评分与用量!$J$2:$J$634,"D*")),IF(OR(IF(COUNTIFS(评分与用量!$A$2:$A$634,$A11,评分与用量!$B$2:$B$634,"第一轮",评分与用量!$C$2:$C$634,"S分项",评分与用量!$J$2:$J$634,"D*")=0,"",SUMIFS(评分与用量!$E$2:$E$634,评分与用量!$A$2:$A$634,$A11,评分与用量!$B$2:$B$634,"第一轮",评分与用量!$C$2:$C$634,"S分项",评分与用量!$J$2:$J$634,"D*"))="",IF(COUNTIFS(评分与用量!$A$2:$A$634,$A11,评分与用量!$B$2:$B$634,"第二轮",评分与用量!$C$2:$C$634,"S分项",评分与用量!$J$2:$J$634,"D*")=0,"",SUMIFS(评分与用量!$E$2:$E$634,评分与用量!$A$2:$A$634,$A11,评分与用量!$B$2:$B$634,"第二轮",评分与用量!$C$2:$C$634,"S分项",评分与用量!$J$2:$J$634,"D*"))=""),"",(IF(COUNTIFS(评分与用量!$A$2:$A$634,$A11,评分与用量!$B$2:$B$634,"第二轮",评分与用量!$C$2:$C$634,"S分项",评分与用量!$J$2:$J$634,"D*")=0,"",SUMIFS(评分与用量!$E$2:$E$634,评分与用量!$A$2:$A$634,$A11,评分与用量!$B$2:$B$634,"第二轮",评分与用量!$C$2:$C$634,"S分项",评分与用量!$J$2:$J$634,"D*")))-(IF(COUNTIFS(评分与用量!$A$2:$A$634,$A11,评分与用量!$B$2:$B$634,"第一轮",评分与用量!$C$2:$C$634,"S分项",评分与用量!$J$2:$J$634,"D*")=0,"",SUMIFS(评分与用量!$E$2:$E$634,评分与用量!$A$2:$A$634,$A11,评分与用量!$B$2:$B$634,"第一轮",评分与用量!$C$2:$C$634,"S分项",评分与用量!$J$2:$J$634,"D*")))))))="","",IF($F$3="得分率",TEXT((IF($B$3="第一轮",IF(COUNTIFS(评分与用量!$A$2:$A$634,$A11,评分与用量!$B$2:$B$634,"第一轮",评分与用量!$C$2:$C$634,"S分项",评分与用量!$J$2:$J$634,"D*")=0,"",SUMIFS(评分与用量!$E$2:$E$634,评分与用量!$A$2:$A$634,$A11,评分与用量!$B$2:$B$634,"第一轮",评分与用量!$C$2:$C$634,"S分项",评分与用量!$J$2:$J$634,"D*")),IF($B$3="第二轮",IF(COUNTIFS(评分与用量!$A$2:$A$634,$A11,评分与用量!$B$2:$B$634,"第二轮",评分与用量!$C$2:$C$634,"S分项",评分与用量!$J$2:$J$634,"D*")=0,"",SUMIFS(评分与用量!$E$2:$E$634,评分与用量!$A$2:$A$634,$A11,评分与用量!$B$2:$B$634,"第二轮",评分与用量!$C$2:$C$634,"S分项",评分与用量!$J$2:$J$634,"D*")),IF(OR(IF(COUNTIFS(评分与用量!$A$2:$A$634,$A11,评分与用量!$B$2:$B$634,"第一轮",评分与用量!$C$2:$C$634,"S分项",评分与用量!$J$2:$J$634,"D*")=0,"",SUMIFS(评分与用量!$E$2:$E$634,评分与用量!$A$2:$A$634,$A11,评分与用量!$B$2:$B$634,"第一轮",评分与用量!$C$2:$C$634,"S分项",评分与用量!$J$2:$J$634,"D*"))="",IF(COUNTIFS(评分与用量!$A$2:$A$634,$A11,评分与用量!$B$2:$B$634,"第二轮",评分与用量!$C$2:$C$634,"S分项",评分与用量!$J$2:$J$634,"D*")=0,"",SUMIFS(评分与用量!$E$2:$E$634,评分与用量!$A$2:$A$634,$A11,评分与用量!$B$2:$B$634,"第二轮",评分与用量!$C$2:$C$634,"S分项",评分与用量!$J$2:$J$634,"D*"))=""),"",(IF(COUNTIFS(评分与用量!$A$2:$A$634,$A11,评分与用量!$B$2:$B$634,"第二轮",评分与用量!$C$2:$C$634,"S分项",评分与用量!$J$2:$J$634,"D*")=0,"",SUMIFS(评分与用量!$E$2:$E$634,评分与用量!$A$2:$A$634,$A11,评分与用量!$B$2:$B$634,"第二轮",评分与用量!$C$2:$C$634,"S分项",评分与用量!$J$2:$J$634,"D*")))-(IF(COUNTIFS(评分与用量!$A$2:$A$634,$A11,评分与用量!$B$2:$B$634,"第一轮",评分与用量!$C$2:$C$634,"S分项",评分与用量!$J$2:$J$634,"D*")=0,"",SUMIFS(评分与用量!$E$2:$E$634,评分与用量!$A$2:$A$634,$A11,评分与用量!$B$2:$B$634,"第一轮",评分与用量!$C$2:$C$634,"S分项",评分与用量!$J$2:$J$634,"D*")))))))/25,IF($B$3="两轮变化","+0.0%;-0.0%;0.0%","0.0%")),(IF($B$3="第一轮",IF(COUNTIFS(评分与用量!$A$2:$A$634,$A11,评分与用量!$B$2:$B$634,"第一轮",评分与用量!$C$2:$C$634,"S分项",评分与用量!$J$2:$J$634,"D*")=0,"",SUMIFS(评分与用量!$E$2:$E$634,评分与用量!$A$2:$A$634,$A11,评分与用量!$B$2:$B$634,"第一轮",评分与用量!$C$2:$C$634,"S分项",评分与用量!$J$2:$J$634,"D*")),IF($B$3="第二轮",IF(COUNTIFS(评分与用量!$A$2:$A$634,$A11,评分与用量!$B$2:$B$634,"第二轮",评分与用量!$C$2:$C$634,"S分项",评分与用量!$J$2:$J$634,"D*")=0,"",SUMIFS(评分与用量!$E$2:$E$634,评分与用量!$A$2:$A$634,$A11,评分与用量!$B$2:$B$634,"第二轮",评分与用量!$C$2:$C$634,"S分项",评分与用量!$J$2:$J$634,"D*")),IF(OR(IF(COUNTIFS(评分与用量!$A$2:$A$634,$A11,评分与用量!$B$2:$B$634,"第一轮",评分与用量!$C$2:$C$634,"S分项",评分与用量!$J$2:$J$634,"D*")=0,"",SUMIFS(评分与用量!$E$2:$E$634,评分与用量!$A$2:$A$634,$A11,评分与用量!$B$2:$B$634,"第一轮",评分与用量!$C$2:$C$634,"S分项",评分与用量!$J$2:$J$634,"D*"))="",IF(COUNTIFS(评分与用量!$A$2:$A$634,$A11,评分与用量!$B$2:$B$634,"第二轮",评分与用量!$C$2:$C$634,"S分项",评分与用量!$J$2:$J$634,"D*")=0,"",SUMIFS(评分与用量!$E$2:$E$634,评分与用量!$A$2:$A$634,$A11,评分与用量!$B$2:$B$634,"第二轮",评分与用量!$C$2:$C$634,"S分项",评分与用量!$J$2:$J$634,"D*"))=""),"",(IF(COUNTIFS(评分与用量!$A$2:$A$634,$A11,评分与用量!$B$2:$B$634,"第二轮",评分与用量!$C$2:$C$634,"S分项",评分与用量!$J$2:$J$634,"D*")=0,"",SUMIFS(评分与用量!$E$2:$E$634,评分与用量!$A$2:$A$634,$A11,评分与用量!$B$2:$B$634,"第二轮",评分与用量!$C$2:$C$634,"S分项",评分与用量!$J$2:$J$634,"D*")))-(IF(COUNTIFS(评分与用量!$A$2:$A$634,$A11,评分与用量!$B$2:$B$634,"第一轮",评分与用量!$C$2:$C$634,"S分项",评分与用量!$J$2:$J$634,"D*")=0,"",SUMIFS(评分与用量!$E$2:$E$634,评分与用量!$A$2:$A$634,$A11,评分与用量!$B$2:$B$634,"第一轮",评分与用量!$C$2:$C$634,"S分项",评分与用量!$J$2:$J$634,"D*")))))))))</f>
        <v>14.25</v>
      </c>
      <c r="F11" s="77">
        <f>IF((IF($B$3="第一轮",IF(COUNTIFS(评分与用量!$A$2:$A$634,$A11,评分与用量!$B$2:$B$634,"第一轮",评分与用量!$C$2:$C$634,"S分项",评分与用量!$J$2:$J$634,"E*")=0,"",SUMIFS(评分与用量!$E$2:$E$634,评分与用量!$A$2:$A$634,$A11,评分与用量!$B$2:$B$634,"第一轮",评分与用量!$C$2:$C$634,"S分项",评分与用量!$J$2:$J$634,"E*")),IF($B$3="第二轮",IF(COUNTIFS(评分与用量!$A$2:$A$634,$A11,评分与用量!$B$2:$B$634,"第二轮",评分与用量!$C$2:$C$634,"S分项",评分与用量!$J$2:$J$634,"E*")=0,"",SUMIFS(评分与用量!$E$2:$E$634,评分与用量!$A$2:$A$634,$A11,评分与用量!$B$2:$B$634,"第二轮",评分与用量!$C$2:$C$634,"S分项",评分与用量!$J$2:$J$634,"E*")),IF(OR(IF(COUNTIFS(评分与用量!$A$2:$A$634,$A11,评分与用量!$B$2:$B$634,"第一轮",评分与用量!$C$2:$C$634,"S分项",评分与用量!$J$2:$J$634,"E*")=0,"",SUMIFS(评分与用量!$E$2:$E$634,评分与用量!$A$2:$A$634,$A11,评分与用量!$B$2:$B$634,"第一轮",评分与用量!$C$2:$C$634,"S分项",评分与用量!$J$2:$J$634,"E*"))="",IF(COUNTIFS(评分与用量!$A$2:$A$634,$A11,评分与用量!$B$2:$B$634,"第二轮",评分与用量!$C$2:$C$634,"S分项",评分与用量!$J$2:$J$634,"E*")=0,"",SUMIFS(评分与用量!$E$2:$E$634,评分与用量!$A$2:$A$634,$A11,评分与用量!$B$2:$B$634,"第二轮",评分与用量!$C$2:$C$634,"S分项",评分与用量!$J$2:$J$634,"E*"))=""),"",(IF(COUNTIFS(评分与用量!$A$2:$A$634,$A11,评分与用量!$B$2:$B$634,"第二轮",评分与用量!$C$2:$C$634,"S分项",评分与用量!$J$2:$J$634,"E*")=0,"",SUMIFS(评分与用量!$E$2:$E$634,评分与用量!$A$2:$A$634,$A11,评分与用量!$B$2:$B$634,"第二轮",评分与用量!$C$2:$C$634,"S分项",评分与用量!$J$2:$J$634,"E*")))-(IF(COUNTIFS(评分与用量!$A$2:$A$634,$A11,评分与用量!$B$2:$B$634,"第一轮",评分与用量!$C$2:$C$634,"S分项",评分与用量!$J$2:$J$634,"E*")=0,"",SUMIFS(评分与用量!$E$2:$E$634,评分与用量!$A$2:$A$634,$A11,评分与用量!$B$2:$B$634,"第一轮",评分与用量!$C$2:$C$634,"S分项",评分与用量!$J$2:$J$634,"E*")))))))="","",IF($F$3="得分率",TEXT((IF($B$3="第一轮",IF(COUNTIFS(评分与用量!$A$2:$A$634,$A11,评分与用量!$B$2:$B$634,"第一轮",评分与用量!$C$2:$C$634,"S分项",评分与用量!$J$2:$J$634,"E*")=0,"",SUMIFS(评分与用量!$E$2:$E$634,评分与用量!$A$2:$A$634,$A11,评分与用量!$B$2:$B$634,"第一轮",评分与用量!$C$2:$C$634,"S分项",评分与用量!$J$2:$J$634,"E*")),IF($B$3="第二轮",IF(COUNTIFS(评分与用量!$A$2:$A$634,$A11,评分与用量!$B$2:$B$634,"第二轮",评分与用量!$C$2:$C$634,"S分项",评分与用量!$J$2:$J$634,"E*")=0,"",SUMIFS(评分与用量!$E$2:$E$634,评分与用量!$A$2:$A$634,$A11,评分与用量!$B$2:$B$634,"第二轮",评分与用量!$C$2:$C$634,"S分项",评分与用量!$J$2:$J$634,"E*")),IF(OR(IF(COUNTIFS(评分与用量!$A$2:$A$634,$A11,评分与用量!$B$2:$B$634,"第一轮",评分与用量!$C$2:$C$634,"S分项",评分与用量!$J$2:$J$634,"E*")=0,"",SUMIFS(评分与用量!$E$2:$E$634,评分与用量!$A$2:$A$634,$A11,评分与用量!$B$2:$B$634,"第一轮",评分与用量!$C$2:$C$634,"S分项",评分与用量!$J$2:$J$634,"E*"))="",IF(COUNTIFS(评分与用量!$A$2:$A$634,$A11,评分与用量!$B$2:$B$634,"第二轮",评分与用量!$C$2:$C$634,"S分项",评分与用量!$J$2:$J$634,"E*")=0,"",SUMIFS(评分与用量!$E$2:$E$634,评分与用量!$A$2:$A$634,$A11,评分与用量!$B$2:$B$634,"第二轮",评分与用量!$C$2:$C$634,"S分项",评分与用量!$J$2:$J$634,"E*"))=""),"",(IF(COUNTIFS(评分与用量!$A$2:$A$634,$A11,评分与用量!$B$2:$B$634,"第二轮",评分与用量!$C$2:$C$634,"S分项",评分与用量!$J$2:$J$634,"E*")=0,"",SUMIFS(评分与用量!$E$2:$E$634,评分与用量!$A$2:$A$634,$A11,评分与用量!$B$2:$B$634,"第二轮",评分与用量!$C$2:$C$634,"S分项",评分与用量!$J$2:$J$634,"E*")))-(IF(COUNTIFS(评分与用量!$A$2:$A$634,$A11,评分与用量!$B$2:$B$634,"第一轮",评分与用量!$C$2:$C$634,"S分项",评分与用量!$J$2:$J$634,"E*")=0,"",SUMIFS(评分与用量!$E$2:$E$634,评分与用量!$A$2:$A$634,$A11,评分与用量!$B$2:$B$634,"第一轮",评分与用量!$C$2:$C$634,"S分项",评分与用量!$J$2:$J$634,"E*")))))))/10,IF($B$3="两轮变化","+0.0%;-0.0%;0.0%","0.0%")),(IF($B$3="第一轮",IF(COUNTIFS(评分与用量!$A$2:$A$634,$A11,评分与用量!$B$2:$B$634,"第一轮",评分与用量!$C$2:$C$634,"S分项",评分与用量!$J$2:$J$634,"E*")=0,"",SUMIFS(评分与用量!$E$2:$E$634,评分与用量!$A$2:$A$634,$A11,评分与用量!$B$2:$B$634,"第一轮",评分与用量!$C$2:$C$634,"S分项",评分与用量!$J$2:$J$634,"E*")),IF($B$3="第二轮",IF(COUNTIFS(评分与用量!$A$2:$A$634,$A11,评分与用量!$B$2:$B$634,"第二轮",评分与用量!$C$2:$C$634,"S分项",评分与用量!$J$2:$J$634,"E*")=0,"",SUMIFS(评分与用量!$E$2:$E$634,评分与用量!$A$2:$A$634,$A11,评分与用量!$B$2:$B$634,"第二轮",评分与用量!$C$2:$C$634,"S分项",评分与用量!$J$2:$J$634,"E*")),IF(OR(IF(COUNTIFS(评分与用量!$A$2:$A$634,$A11,评分与用量!$B$2:$B$634,"第一轮",评分与用量!$C$2:$C$634,"S分项",评分与用量!$J$2:$J$634,"E*")=0,"",SUMIFS(评分与用量!$E$2:$E$634,评分与用量!$A$2:$A$634,$A11,评分与用量!$B$2:$B$634,"第一轮",评分与用量!$C$2:$C$634,"S分项",评分与用量!$J$2:$J$634,"E*"))="",IF(COUNTIFS(评分与用量!$A$2:$A$634,$A11,评分与用量!$B$2:$B$634,"第二轮",评分与用量!$C$2:$C$634,"S分项",评分与用量!$J$2:$J$634,"E*")=0,"",SUMIFS(评分与用量!$E$2:$E$634,评分与用量!$A$2:$A$634,$A11,评分与用量!$B$2:$B$634,"第二轮",评分与用量!$C$2:$C$634,"S分项",评分与用量!$J$2:$J$634,"E*"))=""),"",(IF(COUNTIFS(评分与用量!$A$2:$A$634,$A11,评分与用量!$B$2:$B$634,"第二轮",评分与用量!$C$2:$C$634,"S分项",评分与用量!$J$2:$J$634,"E*")=0,"",SUMIFS(评分与用量!$E$2:$E$634,评分与用量!$A$2:$A$634,$A11,评分与用量!$B$2:$B$634,"第二轮",评分与用量!$C$2:$C$634,"S分项",评分与用量!$J$2:$J$634,"E*")))-(IF(COUNTIFS(评分与用量!$A$2:$A$634,$A11,评分与用量!$B$2:$B$634,"第一轮",评分与用量!$C$2:$C$634,"S分项",评分与用量!$J$2:$J$634,"E*")=0,"",SUMIFS(评分与用量!$E$2:$E$634,评分与用量!$A$2:$A$634,$A11,评分与用量!$B$2:$B$634,"第一轮",评分与用量!$C$2:$C$634,"S分项",评分与用量!$J$2:$J$634,"E*")))))))))</f>
        <v>6</v>
      </c>
      <c r="G11" s="77">
        <f>IF((IF($B$3="第一轮",IF(COUNTIFS(评分与用量!$A$2:$A$634,$A11,评分与用量!$B$2:$B$634,"第一轮",评分与用量!$C$2:$C$634,"S分项",评分与用量!$J$2:$J$634,"F*")=0,"",SUMIFS(评分与用量!$E$2:$E$634,评分与用量!$A$2:$A$634,$A11,评分与用量!$B$2:$B$634,"第一轮",评分与用量!$C$2:$C$634,"S分项",评分与用量!$J$2:$J$634,"F*")),IF($B$3="第二轮",IF(COUNTIFS(评分与用量!$A$2:$A$634,$A11,评分与用量!$B$2:$B$634,"第二轮",评分与用量!$C$2:$C$634,"S分项",评分与用量!$J$2:$J$634,"F*")=0,"",SUMIFS(评分与用量!$E$2:$E$634,评分与用量!$A$2:$A$634,$A11,评分与用量!$B$2:$B$634,"第二轮",评分与用量!$C$2:$C$634,"S分项",评分与用量!$J$2:$J$634,"F*")),IF(OR(IF(COUNTIFS(评分与用量!$A$2:$A$634,$A11,评分与用量!$B$2:$B$634,"第一轮",评分与用量!$C$2:$C$634,"S分项",评分与用量!$J$2:$J$634,"F*")=0,"",SUMIFS(评分与用量!$E$2:$E$634,评分与用量!$A$2:$A$634,$A11,评分与用量!$B$2:$B$634,"第一轮",评分与用量!$C$2:$C$634,"S分项",评分与用量!$J$2:$J$634,"F*"))="",IF(COUNTIFS(评分与用量!$A$2:$A$634,$A11,评分与用量!$B$2:$B$634,"第二轮",评分与用量!$C$2:$C$634,"S分项",评分与用量!$J$2:$J$634,"F*")=0,"",SUMIFS(评分与用量!$E$2:$E$634,评分与用量!$A$2:$A$634,$A11,评分与用量!$B$2:$B$634,"第二轮",评分与用量!$C$2:$C$634,"S分项",评分与用量!$J$2:$J$634,"F*"))=""),"",(IF(COUNTIFS(评分与用量!$A$2:$A$634,$A11,评分与用量!$B$2:$B$634,"第二轮",评分与用量!$C$2:$C$634,"S分项",评分与用量!$J$2:$J$634,"F*")=0,"",SUMIFS(评分与用量!$E$2:$E$634,评分与用量!$A$2:$A$634,$A11,评分与用量!$B$2:$B$634,"第二轮",评分与用量!$C$2:$C$634,"S分项",评分与用量!$J$2:$J$634,"F*")))-(IF(COUNTIFS(评分与用量!$A$2:$A$634,$A11,评分与用量!$B$2:$B$634,"第一轮",评分与用量!$C$2:$C$634,"S分项",评分与用量!$J$2:$J$634,"F*")=0,"",SUMIFS(评分与用量!$E$2:$E$634,评分与用量!$A$2:$A$634,$A11,评分与用量!$B$2:$B$634,"第一轮",评分与用量!$C$2:$C$634,"S分项",评分与用量!$J$2:$J$634,"F*")))))))="","",IF($F$3="得分率",TEXT((IF($B$3="第一轮",IF(COUNTIFS(评分与用量!$A$2:$A$634,$A11,评分与用量!$B$2:$B$634,"第一轮",评分与用量!$C$2:$C$634,"S分项",评分与用量!$J$2:$J$634,"F*")=0,"",SUMIFS(评分与用量!$E$2:$E$634,评分与用量!$A$2:$A$634,$A11,评分与用量!$B$2:$B$634,"第一轮",评分与用量!$C$2:$C$634,"S分项",评分与用量!$J$2:$J$634,"F*")),IF($B$3="第二轮",IF(COUNTIFS(评分与用量!$A$2:$A$634,$A11,评分与用量!$B$2:$B$634,"第二轮",评分与用量!$C$2:$C$634,"S分项",评分与用量!$J$2:$J$634,"F*")=0,"",SUMIFS(评分与用量!$E$2:$E$634,评分与用量!$A$2:$A$634,$A11,评分与用量!$B$2:$B$634,"第二轮",评分与用量!$C$2:$C$634,"S分项",评分与用量!$J$2:$J$634,"F*")),IF(OR(IF(COUNTIFS(评分与用量!$A$2:$A$634,$A11,评分与用量!$B$2:$B$634,"第一轮",评分与用量!$C$2:$C$634,"S分项",评分与用量!$J$2:$J$634,"F*")=0,"",SUMIFS(评分与用量!$E$2:$E$634,评分与用量!$A$2:$A$634,$A11,评分与用量!$B$2:$B$634,"第一轮",评分与用量!$C$2:$C$634,"S分项",评分与用量!$J$2:$J$634,"F*"))="",IF(COUNTIFS(评分与用量!$A$2:$A$634,$A11,评分与用量!$B$2:$B$634,"第二轮",评分与用量!$C$2:$C$634,"S分项",评分与用量!$J$2:$J$634,"F*")=0,"",SUMIFS(评分与用量!$E$2:$E$634,评分与用量!$A$2:$A$634,$A11,评分与用量!$B$2:$B$634,"第二轮",评分与用量!$C$2:$C$634,"S分项",评分与用量!$J$2:$J$634,"F*"))=""),"",(IF(COUNTIFS(评分与用量!$A$2:$A$634,$A11,评分与用量!$B$2:$B$634,"第二轮",评分与用量!$C$2:$C$634,"S分项",评分与用量!$J$2:$J$634,"F*")=0,"",SUMIFS(评分与用量!$E$2:$E$634,评分与用量!$A$2:$A$634,$A11,评分与用量!$B$2:$B$634,"第二轮",评分与用量!$C$2:$C$634,"S分项",评分与用量!$J$2:$J$634,"F*")))-(IF(COUNTIFS(评分与用量!$A$2:$A$634,$A11,评分与用量!$B$2:$B$634,"第一轮",评分与用量!$C$2:$C$634,"S分项",评分与用量!$J$2:$J$634,"F*")=0,"",SUMIFS(评分与用量!$E$2:$E$634,评分与用量!$A$2:$A$634,$A11,评分与用量!$B$2:$B$634,"第一轮",评分与用量!$C$2:$C$634,"S分项",评分与用量!$J$2:$J$634,"F*")))))))/10,IF($B$3="两轮变化","+0.0%;-0.0%;0.0%","0.0%")),(IF($B$3="第一轮",IF(COUNTIFS(评分与用量!$A$2:$A$634,$A11,评分与用量!$B$2:$B$634,"第一轮",评分与用量!$C$2:$C$634,"S分项",评分与用量!$J$2:$J$634,"F*")=0,"",SUMIFS(评分与用量!$E$2:$E$634,评分与用量!$A$2:$A$634,$A11,评分与用量!$B$2:$B$634,"第一轮",评分与用量!$C$2:$C$634,"S分项",评分与用量!$J$2:$J$634,"F*")),IF($B$3="第二轮",IF(COUNTIFS(评分与用量!$A$2:$A$634,$A11,评分与用量!$B$2:$B$634,"第二轮",评分与用量!$C$2:$C$634,"S分项",评分与用量!$J$2:$J$634,"F*")=0,"",SUMIFS(评分与用量!$E$2:$E$634,评分与用量!$A$2:$A$634,$A11,评分与用量!$B$2:$B$634,"第二轮",评分与用量!$C$2:$C$634,"S分项",评分与用量!$J$2:$J$634,"F*")),IF(OR(IF(COUNTIFS(评分与用量!$A$2:$A$634,$A11,评分与用量!$B$2:$B$634,"第一轮",评分与用量!$C$2:$C$634,"S分项",评分与用量!$J$2:$J$634,"F*")=0,"",SUMIFS(评分与用量!$E$2:$E$634,评分与用量!$A$2:$A$634,$A11,评分与用量!$B$2:$B$634,"第一轮",评分与用量!$C$2:$C$634,"S分项",评分与用量!$J$2:$J$634,"F*"))="",IF(COUNTIFS(评分与用量!$A$2:$A$634,$A11,评分与用量!$B$2:$B$634,"第二轮",评分与用量!$C$2:$C$634,"S分项",评分与用量!$J$2:$J$634,"F*")=0,"",SUMIFS(评分与用量!$E$2:$E$634,评分与用量!$A$2:$A$634,$A11,评分与用量!$B$2:$B$634,"第二轮",评分与用量!$C$2:$C$634,"S分项",评分与用量!$J$2:$J$634,"F*"))=""),"",(IF(COUNTIFS(评分与用量!$A$2:$A$634,$A11,评分与用量!$B$2:$B$634,"第二轮",评分与用量!$C$2:$C$634,"S分项",评分与用量!$J$2:$J$634,"F*")=0,"",SUMIFS(评分与用量!$E$2:$E$634,评分与用量!$A$2:$A$634,$A11,评分与用量!$B$2:$B$634,"第二轮",评分与用量!$C$2:$C$634,"S分项",评分与用量!$J$2:$J$634,"F*")))-(IF(COUNTIFS(评分与用量!$A$2:$A$634,$A11,评分与用量!$B$2:$B$634,"第一轮",评分与用量!$C$2:$C$634,"S分项",评分与用量!$J$2:$J$634,"F*")=0,"",SUMIFS(评分与用量!$E$2:$E$634,评分与用量!$A$2:$A$634,$A11,评分与用量!$B$2:$B$634,"第一轮",评分与用量!$C$2:$C$634,"S分项",评分与用量!$J$2:$J$634,"F*")))))))))</f>
        <v>7</v>
      </c>
      <c r="H11" s="77">
        <f>IF((IF($B$3="第一轮",IF(COUNTIFS(评分与用量!$A$2:$A$634,$A11,评分与用量!$B$2:$B$634,"第一轮",评分与用量!$C$2:$C$634,"S分项")=0,"",SUMIFS(评分与用量!$E$2:$E$634,评分与用量!$A$2:$A$634,$A11,评分与用量!$B$2:$B$634,"第一轮",评分与用量!$C$2:$C$634,"S分项")),IF($B$3="第二轮",IF(COUNTIFS(评分与用量!$A$2:$A$634,$A11,评分与用量!$B$2:$B$634,"第二轮",评分与用量!$C$2:$C$634,"S分项")=0,"",SUMIFS(评分与用量!$E$2:$E$634,评分与用量!$A$2:$A$634,$A11,评分与用量!$B$2:$B$634,"第二轮",评分与用量!$C$2:$C$634,"S分项")),IF(OR(IF(COUNTIFS(评分与用量!$A$2:$A$634,$A11,评分与用量!$B$2:$B$634,"第一轮",评分与用量!$C$2:$C$634,"S分项")=0,"",SUMIFS(评分与用量!$E$2:$E$634,评分与用量!$A$2:$A$634,$A11,评分与用量!$B$2:$B$634,"第一轮",评分与用量!$C$2:$C$634,"S分项"))="",IF(COUNTIFS(评分与用量!$A$2:$A$634,$A11,评分与用量!$B$2:$B$634,"第二轮",评分与用量!$C$2:$C$634,"S分项")=0,"",SUMIFS(评分与用量!$E$2:$E$634,评分与用量!$A$2:$A$634,$A11,评分与用量!$B$2:$B$634,"第二轮",评分与用量!$C$2:$C$634,"S分项"))=""),"",(IF(COUNTIFS(评分与用量!$A$2:$A$634,$A11,评分与用量!$B$2:$B$634,"第二轮",评分与用量!$C$2:$C$634,"S分项")=0,"",SUMIFS(评分与用量!$E$2:$E$634,评分与用量!$A$2:$A$634,$A11,评分与用量!$B$2:$B$634,"第二轮",评分与用量!$C$2:$C$634,"S分项")))-(IF(COUNTIFS(评分与用量!$A$2:$A$634,$A11,评分与用量!$B$2:$B$634,"第一轮",评分与用量!$C$2:$C$634,"S分项")=0,"",SUMIFS(评分与用量!$E$2:$E$634,评分与用量!$A$2:$A$634,$A11,评分与用量!$B$2:$B$634,"第一轮",评分与用量!$C$2:$C$634,"S分项")))))))="","",IF($F$3="得分率",TEXT((IF($B$3="第一轮",IF(COUNTIFS(评分与用量!$A$2:$A$634,$A11,评分与用量!$B$2:$B$634,"第一轮",评分与用量!$C$2:$C$634,"S分项")=0,"",SUMIFS(评分与用量!$E$2:$E$634,评分与用量!$A$2:$A$634,$A11,评分与用量!$B$2:$B$634,"第一轮",评分与用量!$C$2:$C$634,"S分项")),IF($B$3="第二轮",IF(COUNTIFS(评分与用量!$A$2:$A$634,$A11,评分与用量!$B$2:$B$634,"第二轮",评分与用量!$C$2:$C$634,"S分项")=0,"",SUMIFS(评分与用量!$E$2:$E$634,评分与用量!$A$2:$A$634,$A11,评分与用量!$B$2:$B$634,"第二轮",评分与用量!$C$2:$C$634,"S分项")),IF(OR(IF(COUNTIFS(评分与用量!$A$2:$A$634,$A11,评分与用量!$B$2:$B$634,"第一轮",评分与用量!$C$2:$C$634,"S分项")=0,"",SUMIFS(评分与用量!$E$2:$E$634,评分与用量!$A$2:$A$634,$A11,评分与用量!$B$2:$B$634,"第一轮",评分与用量!$C$2:$C$634,"S分项"))="",IF(COUNTIFS(评分与用量!$A$2:$A$634,$A11,评分与用量!$B$2:$B$634,"第二轮",评分与用量!$C$2:$C$634,"S分项")=0,"",SUMIFS(评分与用量!$E$2:$E$634,评分与用量!$A$2:$A$634,$A11,评分与用量!$B$2:$B$634,"第二轮",评分与用量!$C$2:$C$634,"S分项"))=""),"",(IF(COUNTIFS(评分与用量!$A$2:$A$634,$A11,评分与用量!$B$2:$B$634,"第二轮",评分与用量!$C$2:$C$634,"S分项")=0,"",SUMIFS(评分与用量!$E$2:$E$634,评分与用量!$A$2:$A$634,$A11,评分与用量!$B$2:$B$634,"第二轮",评分与用量!$C$2:$C$634,"S分项")))-(IF(COUNTIFS(评分与用量!$A$2:$A$634,$A11,评分与用量!$B$2:$B$634,"第一轮",评分与用量!$C$2:$C$634,"S分项")=0,"",SUMIFS(评分与用量!$E$2:$E$634,评分与用量!$A$2:$A$634,$A11,评分与用量!$B$2:$B$634,"第一轮",评分与用量!$C$2:$C$634,"S分项")))))))/100,IF($B$3="两轮变化","+0.0%;-0.0%;0.0%","0.0%")),(IF($B$3="第一轮",IF(COUNTIFS(评分与用量!$A$2:$A$634,$A11,评分与用量!$B$2:$B$634,"第一轮",评分与用量!$C$2:$C$634,"S分项")=0,"",SUMIFS(评分与用量!$E$2:$E$634,评分与用量!$A$2:$A$634,$A11,评分与用量!$B$2:$B$634,"第一轮",评分与用量!$C$2:$C$634,"S分项")),IF($B$3="第二轮",IF(COUNTIFS(评分与用量!$A$2:$A$634,$A11,评分与用量!$B$2:$B$634,"第二轮",评分与用量!$C$2:$C$634,"S分项")=0,"",SUMIFS(评分与用量!$E$2:$E$634,评分与用量!$A$2:$A$634,$A11,评分与用量!$B$2:$B$634,"第二轮",评分与用量!$C$2:$C$634,"S分项")),IF(OR(IF(COUNTIFS(评分与用量!$A$2:$A$634,$A11,评分与用量!$B$2:$B$634,"第一轮",评分与用量!$C$2:$C$634,"S分项")=0,"",SUMIFS(评分与用量!$E$2:$E$634,评分与用量!$A$2:$A$634,$A11,评分与用量!$B$2:$B$634,"第一轮",评分与用量!$C$2:$C$634,"S分项"))="",IF(COUNTIFS(评分与用量!$A$2:$A$634,$A11,评分与用量!$B$2:$B$634,"第二轮",评分与用量!$C$2:$C$634,"S分项")=0,"",SUMIFS(评分与用量!$E$2:$E$634,评分与用量!$A$2:$A$634,$A11,评分与用量!$B$2:$B$634,"第二轮",评分与用量!$C$2:$C$634,"S分项"))=""),"",(IF(COUNTIFS(评分与用量!$A$2:$A$634,$A11,评分与用量!$B$2:$B$634,"第二轮",评分与用量!$C$2:$C$634,"S分项")=0,"",SUMIFS(评分与用量!$E$2:$E$634,评分与用量!$A$2:$A$634,$A11,评分与用量!$B$2:$B$634,"第二轮",评分与用量!$C$2:$C$634,"S分项")))-(IF(COUNTIFS(评分与用量!$A$2:$A$634,$A11,评分与用量!$B$2:$B$634,"第一轮",评分与用量!$C$2:$C$634,"S分项")=0,"",SUMIFS(评分与用量!$E$2:$E$634,评分与用量!$A$2:$A$634,$A11,评分与用量!$B$2:$B$634,"第一轮",评分与用量!$C$2:$C$634,"S分项")))))))))</f>
        <v>59.5</v>
      </c>
    </row>
    <row r="12" spans="1:8" ht="22.05" customHeight="1">
      <c r="A12" s="76" t="s">
        <v>21</v>
      </c>
      <c r="B12" s="77" t="str">
        <f>IF((IF($B$3="第一轮",IF(COUNTIFS(评分与用量!$A$2:$A$634,$A12,评分与用量!$B$2:$B$634,"第一轮",评分与用量!$C$2:$C$634,"S分项",评分与用量!$J$2:$J$634,"A*")=0,"",SUMIFS(评分与用量!$E$2:$E$634,评分与用量!$A$2:$A$634,$A12,评分与用量!$B$2:$B$634,"第一轮",评分与用量!$C$2:$C$634,"S分项",评分与用量!$J$2:$J$634,"A*")),IF($B$3="第二轮",IF(COUNTIFS(评分与用量!$A$2:$A$634,$A12,评分与用量!$B$2:$B$634,"第二轮",评分与用量!$C$2:$C$634,"S分项",评分与用量!$J$2:$J$634,"A*")=0,"",SUMIFS(评分与用量!$E$2:$E$634,评分与用量!$A$2:$A$634,$A12,评分与用量!$B$2:$B$634,"第二轮",评分与用量!$C$2:$C$634,"S分项",评分与用量!$J$2:$J$634,"A*")),IF(OR(IF(COUNTIFS(评分与用量!$A$2:$A$634,$A12,评分与用量!$B$2:$B$634,"第一轮",评分与用量!$C$2:$C$634,"S分项",评分与用量!$J$2:$J$634,"A*")=0,"",SUMIFS(评分与用量!$E$2:$E$634,评分与用量!$A$2:$A$634,$A12,评分与用量!$B$2:$B$634,"第一轮",评分与用量!$C$2:$C$634,"S分项",评分与用量!$J$2:$J$634,"A*"))="",IF(COUNTIFS(评分与用量!$A$2:$A$634,$A12,评分与用量!$B$2:$B$634,"第二轮",评分与用量!$C$2:$C$634,"S分项",评分与用量!$J$2:$J$634,"A*")=0,"",SUMIFS(评分与用量!$E$2:$E$634,评分与用量!$A$2:$A$634,$A12,评分与用量!$B$2:$B$634,"第二轮",评分与用量!$C$2:$C$634,"S分项",评分与用量!$J$2:$J$634,"A*"))=""),"",(IF(COUNTIFS(评分与用量!$A$2:$A$634,$A12,评分与用量!$B$2:$B$634,"第二轮",评分与用量!$C$2:$C$634,"S分项",评分与用量!$J$2:$J$634,"A*")=0,"",SUMIFS(评分与用量!$E$2:$E$634,评分与用量!$A$2:$A$634,$A12,评分与用量!$B$2:$B$634,"第二轮",评分与用量!$C$2:$C$634,"S分项",评分与用量!$J$2:$J$634,"A*")))-(IF(COUNTIFS(评分与用量!$A$2:$A$634,$A12,评分与用量!$B$2:$B$634,"第一轮",评分与用量!$C$2:$C$634,"S分项",评分与用量!$J$2:$J$634,"A*")=0,"",SUMIFS(评分与用量!$E$2:$E$634,评分与用量!$A$2:$A$634,$A12,评分与用量!$B$2:$B$634,"第一轮",评分与用量!$C$2:$C$634,"S分项",评分与用量!$J$2:$J$634,"A*")))))))="","",IF($F$3="得分率",TEXT((IF($B$3="第一轮",IF(COUNTIFS(评分与用量!$A$2:$A$634,$A12,评分与用量!$B$2:$B$634,"第一轮",评分与用量!$C$2:$C$634,"S分项",评分与用量!$J$2:$J$634,"A*")=0,"",SUMIFS(评分与用量!$E$2:$E$634,评分与用量!$A$2:$A$634,$A12,评分与用量!$B$2:$B$634,"第一轮",评分与用量!$C$2:$C$634,"S分项",评分与用量!$J$2:$J$634,"A*")),IF($B$3="第二轮",IF(COUNTIFS(评分与用量!$A$2:$A$634,$A12,评分与用量!$B$2:$B$634,"第二轮",评分与用量!$C$2:$C$634,"S分项",评分与用量!$J$2:$J$634,"A*")=0,"",SUMIFS(评分与用量!$E$2:$E$634,评分与用量!$A$2:$A$634,$A12,评分与用量!$B$2:$B$634,"第二轮",评分与用量!$C$2:$C$634,"S分项",评分与用量!$J$2:$J$634,"A*")),IF(OR(IF(COUNTIFS(评分与用量!$A$2:$A$634,$A12,评分与用量!$B$2:$B$634,"第一轮",评分与用量!$C$2:$C$634,"S分项",评分与用量!$J$2:$J$634,"A*")=0,"",SUMIFS(评分与用量!$E$2:$E$634,评分与用量!$A$2:$A$634,$A12,评分与用量!$B$2:$B$634,"第一轮",评分与用量!$C$2:$C$634,"S分项",评分与用量!$J$2:$J$634,"A*"))="",IF(COUNTIFS(评分与用量!$A$2:$A$634,$A12,评分与用量!$B$2:$B$634,"第二轮",评分与用量!$C$2:$C$634,"S分项",评分与用量!$J$2:$J$634,"A*")=0,"",SUMIFS(评分与用量!$E$2:$E$634,评分与用量!$A$2:$A$634,$A12,评分与用量!$B$2:$B$634,"第二轮",评分与用量!$C$2:$C$634,"S分项",评分与用量!$J$2:$J$634,"A*"))=""),"",(IF(COUNTIFS(评分与用量!$A$2:$A$634,$A12,评分与用量!$B$2:$B$634,"第二轮",评分与用量!$C$2:$C$634,"S分项",评分与用量!$J$2:$J$634,"A*")=0,"",SUMIFS(评分与用量!$E$2:$E$634,评分与用量!$A$2:$A$634,$A12,评分与用量!$B$2:$B$634,"第二轮",评分与用量!$C$2:$C$634,"S分项",评分与用量!$J$2:$J$634,"A*")))-(IF(COUNTIFS(评分与用量!$A$2:$A$634,$A12,评分与用量!$B$2:$B$634,"第一轮",评分与用量!$C$2:$C$634,"S分项",评分与用量!$J$2:$J$634,"A*")=0,"",SUMIFS(评分与用量!$E$2:$E$634,评分与用量!$A$2:$A$634,$A12,评分与用量!$B$2:$B$634,"第一轮",评分与用量!$C$2:$C$634,"S分项",评分与用量!$J$2:$J$634,"A*")))))))/15,IF($B$3="两轮变化","+0.0%;-0.0%;0.0%","0.0%")),(IF($B$3="第一轮",IF(COUNTIFS(评分与用量!$A$2:$A$634,$A12,评分与用量!$B$2:$B$634,"第一轮",评分与用量!$C$2:$C$634,"S分项",评分与用量!$J$2:$J$634,"A*")=0,"",SUMIFS(评分与用量!$E$2:$E$634,评分与用量!$A$2:$A$634,$A12,评分与用量!$B$2:$B$634,"第一轮",评分与用量!$C$2:$C$634,"S分项",评分与用量!$J$2:$J$634,"A*")),IF($B$3="第二轮",IF(COUNTIFS(评分与用量!$A$2:$A$634,$A12,评分与用量!$B$2:$B$634,"第二轮",评分与用量!$C$2:$C$634,"S分项",评分与用量!$J$2:$J$634,"A*")=0,"",SUMIFS(评分与用量!$E$2:$E$634,评分与用量!$A$2:$A$634,$A12,评分与用量!$B$2:$B$634,"第二轮",评分与用量!$C$2:$C$634,"S分项",评分与用量!$J$2:$J$634,"A*")),IF(OR(IF(COUNTIFS(评分与用量!$A$2:$A$634,$A12,评分与用量!$B$2:$B$634,"第一轮",评分与用量!$C$2:$C$634,"S分项",评分与用量!$J$2:$J$634,"A*")=0,"",SUMIFS(评分与用量!$E$2:$E$634,评分与用量!$A$2:$A$634,$A12,评分与用量!$B$2:$B$634,"第一轮",评分与用量!$C$2:$C$634,"S分项",评分与用量!$J$2:$J$634,"A*"))="",IF(COUNTIFS(评分与用量!$A$2:$A$634,$A12,评分与用量!$B$2:$B$634,"第二轮",评分与用量!$C$2:$C$634,"S分项",评分与用量!$J$2:$J$634,"A*")=0,"",SUMIFS(评分与用量!$E$2:$E$634,评分与用量!$A$2:$A$634,$A12,评分与用量!$B$2:$B$634,"第二轮",评分与用量!$C$2:$C$634,"S分项",评分与用量!$J$2:$J$634,"A*"))=""),"",(IF(COUNTIFS(评分与用量!$A$2:$A$634,$A12,评分与用量!$B$2:$B$634,"第二轮",评分与用量!$C$2:$C$634,"S分项",评分与用量!$J$2:$J$634,"A*")=0,"",SUMIFS(评分与用量!$E$2:$E$634,评分与用量!$A$2:$A$634,$A12,评分与用量!$B$2:$B$634,"第二轮",评分与用量!$C$2:$C$634,"S分项",评分与用量!$J$2:$J$634,"A*")))-(IF(COUNTIFS(评分与用量!$A$2:$A$634,$A12,评分与用量!$B$2:$B$634,"第一轮",评分与用量!$C$2:$C$634,"S分项",评分与用量!$J$2:$J$634,"A*")=0,"",SUMIFS(评分与用量!$E$2:$E$634,评分与用量!$A$2:$A$634,$A12,评分与用量!$B$2:$B$634,"第一轮",评分与用量!$C$2:$C$634,"S分项",评分与用量!$J$2:$J$634,"A*")))))))))</f>
        <v/>
      </c>
      <c r="C12" s="77" t="str">
        <f>IF((IF($B$3="第一轮",IF(COUNTIFS(评分与用量!$A$2:$A$634,$A12,评分与用量!$B$2:$B$634,"第一轮",评分与用量!$C$2:$C$634,"S分项",评分与用量!$J$2:$J$634,"B*")=0,"",SUMIFS(评分与用量!$E$2:$E$634,评分与用量!$A$2:$A$634,$A12,评分与用量!$B$2:$B$634,"第一轮",评分与用量!$C$2:$C$634,"S分项",评分与用量!$J$2:$J$634,"B*")),IF($B$3="第二轮",IF(COUNTIFS(评分与用量!$A$2:$A$634,$A12,评分与用量!$B$2:$B$634,"第二轮",评分与用量!$C$2:$C$634,"S分项",评分与用量!$J$2:$J$634,"B*")=0,"",SUMIFS(评分与用量!$E$2:$E$634,评分与用量!$A$2:$A$634,$A12,评分与用量!$B$2:$B$634,"第二轮",评分与用量!$C$2:$C$634,"S分项",评分与用量!$J$2:$J$634,"B*")),IF(OR(IF(COUNTIFS(评分与用量!$A$2:$A$634,$A12,评分与用量!$B$2:$B$634,"第一轮",评分与用量!$C$2:$C$634,"S分项",评分与用量!$J$2:$J$634,"B*")=0,"",SUMIFS(评分与用量!$E$2:$E$634,评分与用量!$A$2:$A$634,$A12,评分与用量!$B$2:$B$634,"第一轮",评分与用量!$C$2:$C$634,"S分项",评分与用量!$J$2:$J$634,"B*"))="",IF(COUNTIFS(评分与用量!$A$2:$A$634,$A12,评分与用量!$B$2:$B$634,"第二轮",评分与用量!$C$2:$C$634,"S分项",评分与用量!$J$2:$J$634,"B*")=0,"",SUMIFS(评分与用量!$E$2:$E$634,评分与用量!$A$2:$A$634,$A12,评分与用量!$B$2:$B$634,"第二轮",评分与用量!$C$2:$C$634,"S分项",评分与用量!$J$2:$J$634,"B*"))=""),"",(IF(COUNTIFS(评分与用量!$A$2:$A$634,$A12,评分与用量!$B$2:$B$634,"第二轮",评分与用量!$C$2:$C$634,"S分项",评分与用量!$J$2:$J$634,"B*")=0,"",SUMIFS(评分与用量!$E$2:$E$634,评分与用量!$A$2:$A$634,$A12,评分与用量!$B$2:$B$634,"第二轮",评分与用量!$C$2:$C$634,"S分项",评分与用量!$J$2:$J$634,"B*")))-(IF(COUNTIFS(评分与用量!$A$2:$A$634,$A12,评分与用量!$B$2:$B$634,"第一轮",评分与用量!$C$2:$C$634,"S分项",评分与用量!$J$2:$J$634,"B*")=0,"",SUMIFS(评分与用量!$E$2:$E$634,评分与用量!$A$2:$A$634,$A12,评分与用量!$B$2:$B$634,"第一轮",评分与用量!$C$2:$C$634,"S分项",评分与用量!$J$2:$J$634,"B*")))))))="","",IF($F$3="得分率",TEXT((IF($B$3="第一轮",IF(COUNTIFS(评分与用量!$A$2:$A$634,$A12,评分与用量!$B$2:$B$634,"第一轮",评分与用量!$C$2:$C$634,"S分项",评分与用量!$J$2:$J$634,"B*")=0,"",SUMIFS(评分与用量!$E$2:$E$634,评分与用量!$A$2:$A$634,$A12,评分与用量!$B$2:$B$634,"第一轮",评分与用量!$C$2:$C$634,"S分项",评分与用量!$J$2:$J$634,"B*")),IF($B$3="第二轮",IF(COUNTIFS(评分与用量!$A$2:$A$634,$A12,评分与用量!$B$2:$B$634,"第二轮",评分与用量!$C$2:$C$634,"S分项",评分与用量!$J$2:$J$634,"B*")=0,"",SUMIFS(评分与用量!$E$2:$E$634,评分与用量!$A$2:$A$634,$A12,评分与用量!$B$2:$B$634,"第二轮",评分与用量!$C$2:$C$634,"S分项",评分与用量!$J$2:$J$634,"B*")),IF(OR(IF(COUNTIFS(评分与用量!$A$2:$A$634,$A12,评分与用量!$B$2:$B$634,"第一轮",评分与用量!$C$2:$C$634,"S分项",评分与用量!$J$2:$J$634,"B*")=0,"",SUMIFS(评分与用量!$E$2:$E$634,评分与用量!$A$2:$A$634,$A12,评分与用量!$B$2:$B$634,"第一轮",评分与用量!$C$2:$C$634,"S分项",评分与用量!$J$2:$J$634,"B*"))="",IF(COUNTIFS(评分与用量!$A$2:$A$634,$A12,评分与用量!$B$2:$B$634,"第二轮",评分与用量!$C$2:$C$634,"S分项",评分与用量!$J$2:$J$634,"B*")=0,"",SUMIFS(评分与用量!$E$2:$E$634,评分与用量!$A$2:$A$634,$A12,评分与用量!$B$2:$B$634,"第二轮",评分与用量!$C$2:$C$634,"S分项",评分与用量!$J$2:$J$634,"B*"))=""),"",(IF(COUNTIFS(评分与用量!$A$2:$A$634,$A12,评分与用量!$B$2:$B$634,"第二轮",评分与用量!$C$2:$C$634,"S分项",评分与用量!$J$2:$J$634,"B*")=0,"",SUMIFS(评分与用量!$E$2:$E$634,评分与用量!$A$2:$A$634,$A12,评分与用量!$B$2:$B$634,"第二轮",评分与用量!$C$2:$C$634,"S分项",评分与用量!$J$2:$J$634,"B*")))-(IF(COUNTIFS(评分与用量!$A$2:$A$634,$A12,评分与用量!$B$2:$B$634,"第一轮",评分与用量!$C$2:$C$634,"S分项",评分与用量!$J$2:$J$634,"B*")=0,"",SUMIFS(评分与用量!$E$2:$E$634,评分与用量!$A$2:$A$634,$A12,评分与用量!$B$2:$B$634,"第一轮",评分与用量!$C$2:$C$634,"S分项",评分与用量!$J$2:$J$634,"B*")))))))/20,IF($B$3="两轮变化","+0.0%;-0.0%;0.0%","0.0%")),(IF($B$3="第一轮",IF(COUNTIFS(评分与用量!$A$2:$A$634,$A12,评分与用量!$B$2:$B$634,"第一轮",评分与用量!$C$2:$C$634,"S分项",评分与用量!$J$2:$J$634,"B*")=0,"",SUMIFS(评分与用量!$E$2:$E$634,评分与用量!$A$2:$A$634,$A12,评分与用量!$B$2:$B$634,"第一轮",评分与用量!$C$2:$C$634,"S分项",评分与用量!$J$2:$J$634,"B*")),IF($B$3="第二轮",IF(COUNTIFS(评分与用量!$A$2:$A$634,$A12,评分与用量!$B$2:$B$634,"第二轮",评分与用量!$C$2:$C$634,"S分项",评分与用量!$J$2:$J$634,"B*")=0,"",SUMIFS(评分与用量!$E$2:$E$634,评分与用量!$A$2:$A$634,$A12,评分与用量!$B$2:$B$634,"第二轮",评分与用量!$C$2:$C$634,"S分项",评分与用量!$J$2:$J$634,"B*")),IF(OR(IF(COUNTIFS(评分与用量!$A$2:$A$634,$A12,评分与用量!$B$2:$B$634,"第一轮",评分与用量!$C$2:$C$634,"S分项",评分与用量!$J$2:$J$634,"B*")=0,"",SUMIFS(评分与用量!$E$2:$E$634,评分与用量!$A$2:$A$634,$A12,评分与用量!$B$2:$B$634,"第一轮",评分与用量!$C$2:$C$634,"S分项",评分与用量!$J$2:$J$634,"B*"))="",IF(COUNTIFS(评分与用量!$A$2:$A$634,$A12,评分与用量!$B$2:$B$634,"第二轮",评分与用量!$C$2:$C$634,"S分项",评分与用量!$J$2:$J$634,"B*")=0,"",SUMIFS(评分与用量!$E$2:$E$634,评分与用量!$A$2:$A$634,$A12,评分与用量!$B$2:$B$634,"第二轮",评分与用量!$C$2:$C$634,"S分项",评分与用量!$J$2:$J$634,"B*"))=""),"",(IF(COUNTIFS(评分与用量!$A$2:$A$634,$A12,评分与用量!$B$2:$B$634,"第二轮",评分与用量!$C$2:$C$634,"S分项",评分与用量!$J$2:$J$634,"B*")=0,"",SUMIFS(评分与用量!$E$2:$E$634,评分与用量!$A$2:$A$634,$A12,评分与用量!$B$2:$B$634,"第二轮",评分与用量!$C$2:$C$634,"S分项",评分与用量!$J$2:$J$634,"B*")))-(IF(COUNTIFS(评分与用量!$A$2:$A$634,$A12,评分与用量!$B$2:$B$634,"第一轮",评分与用量!$C$2:$C$634,"S分项",评分与用量!$J$2:$J$634,"B*")=0,"",SUMIFS(评分与用量!$E$2:$E$634,评分与用量!$A$2:$A$634,$A12,评分与用量!$B$2:$B$634,"第一轮",评分与用量!$C$2:$C$634,"S分项",评分与用量!$J$2:$J$634,"B*")))))))))</f>
        <v/>
      </c>
      <c r="D12" s="77" t="str">
        <f>IF((IF($B$3="第一轮",IF(COUNTIFS(评分与用量!$A$2:$A$634,$A12,评分与用量!$B$2:$B$634,"第一轮",评分与用量!$C$2:$C$634,"S分项",评分与用量!$J$2:$J$634,"C*")=0,"",SUMIFS(评分与用量!$E$2:$E$634,评分与用量!$A$2:$A$634,$A12,评分与用量!$B$2:$B$634,"第一轮",评分与用量!$C$2:$C$634,"S分项",评分与用量!$J$2:$J$634,"C*")),IF($B$3="第二轮",IF(COUNTIFS(评分与用量!$A$2:$A$634,$A12,评分与用量!$B$2:$B$634,"第二轮",评分与用量!$C$2:$C$634,"S分项",评分与用量!$J$2:$J$634,"C*")=0,"",SUMIFS(评分与用量!$E$2:$E$634,评分与用量!$A$2:$A$634,$A12,评分与用量!$B$2:$B$634,"第二轮",评分与用量!$C$2:$C$634,"S分项",评分与用量!$J$2:$J$634,"C*")),IF(OR(IF(COUNTIFS(评分与用量!$A$2:$A$634,$A12,评分与用量!$B$2:$B$634,"第一轮",评分与用量!$C$2:$C$634,"S分项",评分与用量!$J$2:$J$634,"C*")=0,"",SUMIFS(评分与用量!$E$2:$E$634,评分与用量!$A$2:$A$634,$A12,评分与用量!$B$2:$B$634,"第一轮",评分与用量!$C$2:$C$634,"S分项",评分与用量!$J$2:$J$634,"C*"))="",IF(COUNTIFS(评分与用量!$A$2:$A$634,$A12,评分与用量!$B$2:$B$634,"第二轮",评分与用量!$C$2:$C$634,"S分项",评分与用量!$J$2:$J$634,"C*")=0,"",SUMIFS(评分与用量!$E$2:$E$634,评分与用量!$A$2:$A$634,$A12,评分与用量!$B$2:$B$634,"第二轮",评分与用量!$C$2:$C$634,"S分项",评分与用量!$J$2:$J$634,"C*"))=""),"",(IF(COUNTIFS(评分与用量!$A$2:$A$634,$A12,评分与用量!$B$2:$B$634,"第二轮",评分与用量!$C$2:$C$634,"S分项",评分与用量!$J$2:$J$634,"C*")=0,"",SUMIFS(评分与用量!$E$2:$E$634,评分与用量!$A$2:$A$634,$A12,评分与用量!$B$2:$B$634,"第二轮",评分与用量!$C$2:$C$634,"S分项",评分与用量!$J$2:$J$634,"C*")))-(IF(COUNTIFS(评分与用量!$A$2:$A$634,$A12,评分与用量!$B$2:$B$634,"第一轮",评分与用量!$C$2:$C$634,"S分项",评分与用量!$J$2:$J$634,"C*")=0,"",SUMIFS(评分与用量!$E$2:$E$634,评分与用量!$A$2:$A$634,$A12,评分与用量!$B$2:$B$634,"第一轮",评分与用量!$C$2:$C$634,"S分项",评分与用量!$J$2:$J$634,"C*")))))))="","",IF($F$3="得分率",TEXT((IF($B$3="第一轮",IF(COUNTIFS(评分与用量!$A$2:$A$634,$A12,评分与用量!$B$2:$B$634,"第一轮",评分与用量!$C$2:$C$634,"S分项",评分与用量!$J$2:$J$634,"C*")=0,"",SUMIFS(评分与用量!$E$2:$E$634,评分与用量!$A$2:$A$634,$A12,评分与用量!$B$2:$B$634,"第一轮",评分与用量!$C$2:$C$634,"S分项",评分与用量!$J$2:$J$634,"C*")),IF($B$3="第二轮",IF(COUNTIFS(评分与用量!$A$2:$A$634,$A12,评分与用量!$B$2:$B$634,"第二轮",评分与用量!$C$2:$C$634,"S分项",评分与用量!$J$2:$J$634,"C*")=0,"",SUMIFS(评分与用量!$E$2:$E$634,评分与用量!$A$2:$A$634,$A12,评分与用量!$B$2:$B$634,"第二轮",评分与用量!$C$2:$C$634,"S分项",评分与用量!$J$2:$J$634,"C*")),IF(OR(IF(COUNTIFS(评分与用量!$A$2:$A$634,$A12,评分与用量!$B$2:$B$634,"第一轮",评分与用量!$C$2:$C$634,"S分项",评分与用量!$J$2:$J$634,"C*")=0,"",SUMIFS(评分与用量!$E$2:$E$634,评分与用量!$A$2:$A$634,$A12,评分与用量!$B$2:$B$634,"第一轮",评分与用量!$C$2:$C$634,"S分项",评分与用量!$J$2:$J$634,"C*"))="",IF(COUNTIFS(评分与用量!$A$2:$A$634,$A12,评分与用量!$B$2:$B$634,"第二轮",评分与用量!$C$2:$C$634,"S分项",评分与用量!$J$2:$J$634,"C*")=0,"",SUMIFS(评分与用量!$E$2:$E$634,评分与用量!$A$2:$A$634,$A12,评分与用量!$B$2:$B$634,"第二轮",评分与用量!$C$2:$C$634,"S分项",评分与用量!$J$2:$J$634,"C*"))=""),"",(IF(COUNTIFS(评分与用量!$A$2:$A$634,$A12,评分与用量!$B$2:$B$634,"第二轮",评分与用量!$C$2:$C$634,"S分项",评分与用量!$J$2:$J$634,"C*")=0,"",SUMIFS(评分与用量!$E$2:$E$634,评分与用量!$A$2:$A$634,$A12,评分与用量!$B$2:$B$634,"第二轮",评分与用量!$C$2:$C$634,"S分项",评分与用量!$J$2:$J$634,"C*")))-(IF(COUNTIFS(评分与用量!$A$2:$A$634,$A12,评分与用量!$B$2:$B$634,"第一轮",评分与用量!$C$2:$C$634,"S分项",评分与用量!$J$2:$J$634,"C*")=0,"",SUMIFS(评分与用量!$E$2:$E$634,评分与用量!$A$2:$A$634,$A12,评分与用量!$B$2:$B$634,"第一轮",评分与用量!$C$2:$C$634,"S分项",评分与用量!$J$2:$J$634,"C*")))))))/20,IF($B$3="两轮变化","+0.0%;-0.0%;0.0%","0.0%")),(IF($B$3="第一轮",IF(COUNTIFS(评分与用量!$A$2:$A$634,$A12,评分与用量!$B$2:$B$634,"第一轮",评分与用量!$C$2:$C$634,"S分项",评分与用量!$J$2:$J$634,"C*")=0,"",SUMIFS(评分与用量!$E$2:$E$634,评分与用量!$A$2:$A$634,$A12,评分与用量!$B$2:$B$634,"第一轮",评分与用量!$C$2:$C$634,"S分项",评分与用量!$J$2:$J$634,"C*")),IF($B$3="第二轮",IF(COUNTIFS(评分与用量!$A$2:$A$634,$A12,评分与用量!$B$2:$B$634,"第二轮",评分与用量!$C$2:$C$634,"S分项",评分与用量!$J$2:$J$634,"C*")=0,"",SUMIFS(评分与用量!$E$2:$E$634,评分与用量!$A$2:$A$634,$A12,评分与用量!$B$2:$B$634,"第二轮",评分与用量!$C$2:$C$634,"S分项",评分与用量!$J$2:$J$634,"C*")),IF(OR(IF(COUNTIFS(评分与用量!$A$2:$A$634,$A12,评分与用量!$B$2:$B$634,"第一轮",评分与用量!$C$2:$C$634,"S分项",评分与用量!$J$2:$J$634,"C*")=0,"",SUMIFS(评分与用量!$E$2:$E$634,评分与用量!$A$2:$A$634,$A12,评分与用量!$B$2:$B$634,"第一轮",评分与用量!$C$2:$C$634,"S分项",评分与用量!$J$2:$J$634,"C*"))="",IF(COUNTIFS(评分与用量!$A$2:$A$634,$A12,评分与用量!$B$2:$B$634,"第二轮",评分与用量!$C$2:$C$634,"S分项",评分与用量!$J$2:$J$634,"C*")=0,"",SUMIFS(评分与用量!$E$2:$E$634,评分与用量!$A$2:$A$634,$A12,评分与用量!$B$2:$B$634,"第二轮",评分与用量!$C$2:$C$634,"S分项",评分与用量!$J$2:$J$634,"C*"))=""),"",(IF(COUNTIFS(评分与用量!$A$2:$A$634,$A12,评分与用量!$B$2:$B$634,"第二轮",评分与用量!$C$2:$C$634,"S分项",评分与用量!$J$2:$J$634,"C*")=0,"",SUMIFS(评分与用量!$E$2:$E$634,评分与用量!$A$2:$A$634,$A12,评分与用量!$B$2:$B$634,"第二轮",评分与用量!$C$2:$C$634,"S分项",评分与用量!$J$2:$J$634,"C*")))-(IF(COUNTIFS(评分与用量!$A$2:$A$634,$A12,评分与用量!$B$2:$B$634,"第一轮",评分与用量!$C$2:$C$634,"S分项",评分与用量!$J$2:$J$634,"C*")=0,"",SUMIFS(评分与用量!$E$2:$E$634,评分与用量!$A$2:$A$634,$A12,评分与用量!$B$2:$B$634,"第一轮",评分与用量!$C$2:$C$634,"S分项",评分与用量!$J$2:$J$634,"C*")))))))))</f>
        <v/>
      </c>
      <c r="E12" s="77" t="str">
        <f>IF((IF($B$3="第一轮",IF(COUNTIFS(评分与用量!$A$2:$A$634,$A12,评分与用量!$B$2:$B$634,"第一轮",评分与用量!$C$2:$C$634,"S分项",评分与用量!$J$2:$J$634,"D*")=0,"",SUMIFS(评分与用量!$E$2:$E$634,评分与用量!$A$2:$A$634,$A12,评分与用量!$B$2:$B$634,"第一轮",评分与用量!$C$2:$C$634,"S分项",评分与用量!$J$2:$J$634,"D*")),IF($B$3="第二轮",IF(COUNTIFS(评分与用量!$A$2:$A$634,$A12,评分与用量!$B$2:$B$634,"第二轮",评分与用量!$C$2:$C$634,"S分项",评分与用量!$J$2:$J$634,"D*")=0,"",SUMIFS(评分与用量!$E$2:$E$634,评分与用量!$A$2:$A$634,$A12,评分与用量!$B$2:$B$634,"第二轮",评分与用量!$C$2:$C$634,"S分项",评分与用量!$J$2:$J$634,"D*")),IF(OR(IF(COUNTIFS(评分与用量!$A$2:$A$634,$A12,评分与用量!$B$2:$B$634,"第一轮",评分与用量!$C$2:$C$634,"S分项",评分与用量!$J$2:$J$634,"D*")=0,"",SUMIFS(评分与用量!$E$2:$E$634,评分与用量!$A$2:$A$634,$A12,评分与用量!$B$2:$B$634,"第一轮",评分与用量!$C$2:$C$634,"S分项",评分与用量!$J$2:$J$634,"D*"))="",IF(COUNTIFS(评分与用量!$A$2:$A$634,$A12,评分与用量!$B$2:$B$634,"第二轮",评分与用量!$C$2:$C$634,"S分项",评分与用量!$J$2:$J$634,"D*")=0,"",SUMIFS(评分与用量!$E$2:$E$634,评分与用量!$A$2:$A$634,$A12,评分与用量!$B$2:$B$634,"第二轮",评分与用量!$C$2:$C$634,"S分项",评分与用量!$J$2:$J$634,"D*"))=""),"",(IF(COUNTIFS(评分与用量!$A$2:$A$634,$A12,评分与用量!$B$2:$B$634,"第二轮",评分与用量!$C$2:$C$634,"S分项",评分与用量!$J$2:$J$634,"D*")=0,"",SUMIFS(评分与用量!$E$2:$E$634,评分与用量!$A$2:$A$634,$A12,评分与用量!$B$2:$B$634,"第二轮",评分与用量!$C$2:$C$634,"S分项",评分与用量!$J$2:$J$634,"D*")))-(IF(COUNTIFS(评分与用量!$A$2:$A$634,$A12,评分与用量!$B$2:$B$634,"第一轮",评分与用量!$C$2:$C$634,"S分项",评分与用量!$J$2:$J$634,"D*")=0,"",SUMIFS(评分与用量!$E$2:$E$634,评分与用量!$A$2:$A$634,$A12,评分与用量!$B$2:$B$634,"第一轮",评分与用量!$C$2:$C$634,"S分项",评分与用量!$J$2:$J$634,"D*")))))))="","",IF($F$3="得分率",TEXT((IF($B$3="第一轮",IF(COUNTIFS(评分与用量!$A$2:$A$634,$A12,评分与用量!$B$2:$B$634,"第一轮",评分与用量!$C$2:$C$634,"S分项",评分与用量!$J$2:$J$634,"D*")=0,"",SUMIFS(评分与用量!$E$2:$E$634,评分与用量!$A$2:$A$634,$A12,评分与用量!$B$2:$B$634,"第一轮",评分与用量!$C$2:$C$634,"S分项",评分与用量!$J$2:$J$634,"D*")),IF($B$3="第二轮",IF(COUNTIFS(评分与用量!$A$2:$A$634,$A12,评分与用量!$B$2:$B$634,"第二轮",评分与用量!$C$2:$C$634,"S分项",评分与用量!$J$2:$J$634,"D*")=0,"",SUMIFS(评分与用量!$E$2:$E$634,评分与用量!$A$2:$A$634,$A12,评分与用量!$B$2:$B$634,"第二轮",评分与用量!$C$2:$C$634,"S分项",评分与用量!$J$2:$J$634,"D*")),IF(OR(IF(COUNTIFS(评分与用量!$A$2:$A$634,$A12,评分与用量!$B$2:$B$634,"第一轮",评分与用量!$C$2:$C$634,"S分项",评分与用量!$J$2:$J$634,"D*")=0,"",SUMIFS(评分与用量!$E$2:$E$634,评分与用量!$A$2:$A$634,$A12,评分与用量!$B$2:$B$634,"第一轮",评分与用量!$C$2:$C$634,"S分项",评分与用量!$J$2:$J$634,"D*"))="",IF(COUNTIFS(评分与用量!$A$2:$A$634,$A12,评分与用量!$B$2:$B$634,"第二轮",评分与用量!$C$2:$C$634,"S分项",评分与用量!$J$2:$J$634,"D*")=0,"",SUMIFS(评分与用量!$E$2:$E$634,评分与用量!$A$2:$A$634,$A12,评分与用量!$B$2:$B$634,"第二轮",评分与用量!$C$2:$C$634,"S分项",评分与用量!$J$2:$J$634,"D*"))=""),"",(IF(COUNTIFS(评分与用量!$A$2:$A$634,$A12,评分与用量!$B$2:$B$634,"第二轮",评分与用量!$C$2:$C$634,"S分项",评分与用量!$J$2:$J$634,"D*")=0,"",SUMIFS(评分与用量!$E$2:$E$634,评分与用量!$A$2:$A$634,$A12,评分与用量!$B$2:$B$634,"第二轮",评分与用量!$C$2:$C$634,"S分项",评分与用量!$J$2:$J$634,"D*")))-(IF(COUNTIFS(评分与用量!$A$2:$A$634,$A12,评分与用量!$B$2:$B$634,"第一轮",评分与用量!$C$2:$C$634,"S分项",评分与用量!$J$2:$J$634,"D*")=0,"",SUMIFS(评分与用量!$E$2:$E$634,评分与用量!$A$2:$A$634,$A12,评分与用量!$B$2:$B$634,"第一轮",评分与用量!$C$2:$C$634,"S分项",评分与用量!$J$2:$J$634,"D*")))))))/25,IF($B$3="两轮变化","+0.0%;-0.0%;0.0%","0.0%")),(IF($B$3="第一轮",IF(COUNTIFS(评分与用量!$A$2:$A$634,$A12,评分与用量!$B$2:$B$634,"第一轮",评分与用量!$C$2:$C$634,"S分项",评分与用量!$J$2:$J$634,"D*")=0,"",SUMIFS(评分与用量!$E$2:$E$634,评分与用量!$A$2:$A$634,$A12,评分与用量!$B$2:$B$634,"第一轮",评分与用量!$C$2:$C$634,"S分项",评分与用量!$J$2:$J$634,"D*")),IF($B$3="第二轮",IF(COUNTIFS(评分与用量!$A$2:$A$634,$A12,评分与用量!$B$2:$B$634,"第二轮",评分与用量!$C$2:$C$634,"S分项",评分与用量!$J$2:$J$634,"D*")=0,"",SUMIFS(评分与用量!$E$2:$E$634,评分与用量!$A$2:$A$634,$A12,评分与用量!$B$2:$B$634,"第二轮",评分与用量!$C$2:$C$634,"S分项",评分与用量!$J$2:$J$634,"D*")),IF(OR(IF(COUNTIFS(评分与用量!$A$2:$A$634,$A12,评分与用量!$B$2:$B$634,"第一轮",评分与用量!$C$2:$C$634,"S分项",评分与用量!$J$2:$J$634,"D*")=0,"",SUMIFS(评分与用量!$E$2:$E$634,评分与用量!$A$2:$A$634,$A12,评分与用量!$B$2:$B$634,"第一轮",评分与用量!$C$2:$C$634,"S分项",评分与用量!$J$2:$J$634,"D*"))="",IF(COUNTIFS(评分与用量!$A$2:$A$634,$A12,评分与用量!$B$2:$B$634,"第二轮",评分与用量!$C$2:$C$634,"S分项",评分与用量!$J$2:$J$634,"D*")=0,"",SUMIFS(评分与用量!$E$2:$E$634,评分与用量!$A$2:$A$634,$A12,评分与用量!$B$2:$B$634,"第二轮",评分与用量!$C$2:$C$634,"S分项",评分与用量!$J$2:$J$634,"D*"))=""),"",(IF(COUNTIFS(评分与用量!$A$2:$A$634,$A12,评分与用量!$B$2:$B$634,"第二轮",评分与用量!$C$2:$C$634,"S分项",评分与用量!$J$2:$J$634,"D*")=0,"",SUMIFS(评分与用量!$E$2:$E$634,评分与用量!$A$2:$A$634,$A12,评分与用量!$B$2:$B$634,"第二轮",评分与用量!$C$2:$C$634,"S分项",评分与用量!$J$2:$J$634,"D*")))-(IF(COUNTIFS(评分与用量!$A$2:$A$634,$A12,评分与用量!$B$2:$B$634,"第一轮",评分与用量!$C$2:$C$634,"S分项",评分与用量!$J$2:$J$634,"D*")=0,"",SUMIFS(评分与用量!$E$2:$E$634,评分与用量!$A$2:$A$634,$A12,评分与用量!$B$2:$B$634,"第一轮",评分与用量!$C$2:$C$634,"S分项",评分与用量!$J$2:$J$634,"D*")))))))))</f>
        <v/>
      </c>
      <c r="F12" s="77" t="str">
        <f>IF((IF($B$3="第一轮",IF(COUNTIFS(评分与用量!$A$2:$A$634,$A12,评分与用量!$B$2:$B$634,"第一轮",评分与用量!$C$2:$C$634,"S分项",评分与用量!$J$2:$J$634,"E*")=0,"",SUMIFS(评分与用量!$E$2:$E$634,评分与用量!$A$2:$A$634,$A12,评分与用量!$B$2:$B$634,"第一轮",评分与用量!$C$2:$C$634,"S分项",评分与用量!$J$2:$J$634,"E*")),IF($B$3="第二轮",IF(COUNTIFS(评分与用量!$A$2:$A$634,$A12,评分与用量!$B$2:$B$634,"第二轮",评分与用量!$C$2:$C$634,"S分项",评分与用量!$J$2:$J$634,"E*")=0,"",SUMIFS(评分与用量!$E$2:$E$634,评分与用量!$A$2:$A$634,$A12,评分与用量!$B$2:$B$634,"第二轮",评分与用量!$C$2:$C$634,"S分项",评分与用量!$J$2:$J$634,"E*")),IF(OR(IF(COUNTIFS(评分与用量!$A$2:$A$634,$A12,评分与用量!$B$2:$B$634,"第一轮",评分与用量!$C$2:$C$634,"S分项",评分与用量!$J$2:$J$634,"E*")=0,"",SUMIFS(评分与用量!$E$2:$E$634,评分与用量!$A$2:$A$634,$A12,评分与用量!$B$2:$B$634,"第一轮",评分与用量!$C$2:$C$634,"S分项",评分与用量!$J$2:$J$634,"E*"))="",IF(COUNTIFS(评分与用量!$A$2:$A$634,$A12,评分与用量!$B$2:$B$634,"第二轮",评分与用量!$C$2:$C$634,"S分项",评分与用量!$J$2:$J$634,"E*")=0,"",SUMIFS(评分与用量!$E$2:$E$634,评分与用量!$A$2:$A$634,$A12,评分与用量!$B$2:$B$634,"第二轮",评分与用量!$C$2:$C$634,"S分项",评分与用量!$J$2:$J$634,"E*"))=""),"",(IF(COUNTIFS(评分与用量!$A$2:$A$634,$A12,评分与用量!$B$2:$B$634,"第二轮",评分与用量!$C$2:$C$634,"S分项",评分与用量!$J$2:$J$634,"E*")=0,"",SUMIFS(评分与用量!$E$2:$E$634,评分与用量!$A$2:$A$634,$A12,评分与用量!$B$2:$B$634,"第二轮",评分与用量!$C$2:$C$634,"S分项",评分与用量!$J$2:$J$634,"E*")))-(IF(COUNTIFS(评分与用量!$A$2:$A$634,$A12,评分与用量!$B$2:$B$634,"第一轮",评分与用量!$C$2:$C$634,"S分项",评分与用量!$J$2:$J$634,"E*")=0,"",SUMIFS(评分与用量!$E$2:$E$634,评分与用量!$A$2:$A$634,$A12,评分与用量!$B$2:$B$634,"第一轮",评分与用量!$C$2:$C$634,"S分项",评分与用量!$J$2:$J$634,"E*")))))))="","",IF($F$3="得分率",TEXT((IF($B$3="第一轮",IF(COUNTIFS(评分与用量!$A$2:$A$634,$A12,评分与用量!$B$2:$B$634,"第一轮",评分与用量!$C$2:$C$634,"S分项",评分与用量!$J$2:$J$634,"E*")=0,"",SUMIFS(评分与用量!$E$2:$E$634,评分与用量!$A$2:$A$634,$A12,评分与用量!$B$2:$B$634,"第一轮",评分与用量!$C$2:$C$634,"S分项",评分与用量!$J$2:$J$634,"E*")),IF($B$3="第二轮",IF(COUNTIFS(评分与用量!$A$2:$A$634,$A12,评分与用量!$B$2:$B$634,"第二轮",评分与用量!$C$2:$C$634,"S分项",评分与用量!$J$2:$J$634,"E*")=0,"",SUMIFS(评分与用量!$E$2:$E$634,评分与用量!$A$2:$A$634,$A12,评分与用量!$B$2:$B$634,"第二轮",评分与用量!$C$2:$C$634,"S分项",评分与用量!$J$2:$J$634,"E*")),IF(OR(IF(COUNTIFS(评分与用量!$A$2:$A$634,$A12,评分与用量!$B$2:$B$634,"第一轮",评分与用量!$C$2:$C$634,"S分项",评分与用量!$J$2:$J$634,"E*")=0,"",SUMIFS(评分与用量!$E$2:$E$634,评分与用量!$A$2:$A$634,$A12,评分与用量!$B$2:$B$634,"第一轮",评分与用量!$C$2:$C$634,"S分项",评分与用量!$J$2:$J$634,"E*"))="",IF(COUNTIFS(评分与用量!$A$2:$A$634,$A12,评分与用量!$B$2:$B$634,"第二轮",评分与用量!$C$2:$C$634,"S分项",评分与用量!$J$2:$J$634,"E*")=0,"",SUMIFS(评分与用量!$E$2:$E$634,评分与用量!$A$2:$A$634,$A12,评分与用量!$B$2:$B$634,"第二轮",评分与用量!$C$2:$C$634,"S分项",评分与用量!$J$2:$J$634,"E*"))=""),"",(IF(COUNTIFS(评分与用量!$A$2:$A$634,$A12,评分与用量!$B$2:$B$634,"第二轮",评分与用量!$C$2:$C$634,"S分项",评分与用量!$J$2:$J$634,"E*")=0,"",SUMIFS(评分与用量!$E$2:$E$634,评分与用量!$A$2:$A$634,$A12,评分与用量!$B$2:$B$634,"第二轮",评分与用量!$C$2:$C$634,"S分项",评分与用量!$J$2:$J$634,"E*")))-(IF(COUNTIFS(评分与用量!$A$2:$A$634,$A12,评分与用量!$B$2:$B$634,"第一轮",评分与用量!$C$2:$C$634,"S分项",评分与用量!$J$2:$J$634,"E*")=0,"",SUMIFS(评分与用量!$E$2:$E$634,评分与用量!$A$2:$A$634,$A12,评分与用量!$B$2:$B$634,"第一轮",评分与用量!$C$2:$C$634,"S分项",评分与用量!$J$2:$J$634,"E*")))))))/10,IF($B$3="两轮变化","+0.0%;-0.0%;0.0%","0.0%")),(IF($B$3="第一轮",IF(COUNTIFS(评分与用量!$A$2:$A$634,$A12,评分与用量!$B$2:$B$634,"第一轮",评分与用量!$C$2:$C$634,"S分项",评分与用量!$J$2:$J$634,"E*")=0,"",SUMIFS(评分与用量!$E$2:$E$634,评分与用量!$A$2:$A$634,$A12,评分与用量!$B$2:$B$634,"第一轮",评分与用量!$C$2:$C$634,"S分项",评分与用量!$J$2:$J$634,"E*")),IF($B$3="第二轮",IF(COUNTIFS(评分与用量!$A$2:$A$634,$A12,评分与用量!$B$2:$B$634,"第二轮",评分与用量!$C$2:$C$634,"S分项",评分与用量!$J$2:$J$634,"E*")=0,"",SUMIFS(评分与用量!$E$2:$E$634,评分与用量!$A$2:$A$634,$A12,评分与用量!$B$2:$B$634,"第二轮",评分与用量!$C$2:$C$634,"S分项",评分与用量!$J$2:$J$634,"E*")),IF(OR(IF(COUNTIFS(评分与用量!$A$2:$A$634,$A12,评分与用量!$B$2:$B$634,"第一轮",评分与用量!$C$2:$C$634,"S分项",评分与用量!$J$2:$J$634,"E*")=0,"",SUMIFS(评分与用量!$E$2:$E$634,评分与用量!$A$2:$A$634,$A12,评分与用量!$B$2:$B$634,"第一轮",评分与用量!$C$2:$C$634,"S分项",评分与用量!$J$2:$J$634,"E*"))="",IF(COUNTIFS(评分与用量!$A$2:$A$634,$A12,评分与用量!$B$2:$B$634,"第二轮",评分与用量!$C$2:$C$634,"S分项",评分与用量!$J$2:$J$634,"E*")=0,"",SUMIFS(评分与用量!$E$2:$E$634,评分与用量!$A$2:$A$634,$A12,评分与用量!$B$2:$B$634,"第二轮",评分与用量!$C$2:$C$634,"S分项",评分与用量!$J$2:$J$634,"E*"))=""),"",(IF(COUNTIFS(评分与用量!$A$2:$A$634,$A12,评分与用量!$B$2:$B$634,"第二轮",评分与用量!$C$2:$C$634,"S分项",评分与用量!$J$2:$J$634,"E*")=0,"",SUMIFS(评分与用量!$E$2:$E$634,评分与用量!$A$2:$A$634,$A12,评分与用量!$B$2:$B$634,"第二轮",评分与用量!$C$2:$C$634,"S分项",评分与用量!$J$2:$J$634,"E*")))-(IF(COUNTIFS(评分与用量!$A$2:$A$634,$A12,评分与用量!$B$2:$B$634,"第一轮",评分与用量!$C$2:$C$634,"S分项",评分与用量!$J$2:$J$634,"E*")=0,"",SUMIFS(评分与用量!$E$2:$E$634,评分与用量!$A$2:$A$634,$A12,评分与用量!$B$2:$B$634,"第一轮",评分与用量!$C$2:$C$634,"S分项",评分与用量!$J$2:$J$634,"E*")))))))))</f>
        <v/>
      </c>
      <c r="G12" s="77" t="str">
        <f>IF((IF($B$3="第一轮",IF(COUNTIFS(评分与用量!$A$2:$A$634,$A12,评分与用量!$B$2:$B$634,"第一轮",评分与用量!$C$2:$C$634,"S分项",评分与用量!$J$2:$J$634,"F*")=0,"",SUMIFS(评分与用量!$E$2:$E$634,评分与用量!$A$2:$A$634,$A12,评分与用量!$B$2:$B$634,"第一轮",评分与用量!$C$2:$C$634,"S分项",评分与用量!$J$2:$J$634,"F*")),IF($B$3="第二轮",IF(COUNTIFS(评分与用量!$A$2:$A$634,$A12,评分与用量!$B$2:$B$634,"第二轮",评分与用量!$C$2:$C$634,"S分项",评分与用量!$J$2:$J$634,"F*")=0,"",SUMIFS(评分与用量!$E$2:$E$634,评分与用量!$A$2:$A$634,$A12,评分与用量!$B$2:$B$634,"第二轮",评分与用量!$C$2:$C$634,"S分项",评分与用量!$J$2:$J$634,"F*")),IF(OR(IF(COUNTIFS(评分与用量!$A$2:$A$634,$A12,评分与用量!$B$2:$B$634,"第一轮",评分与用量!$C$2:$C$634,"S分项",评分与用量!$J$2:$J$634,"F*")=0,"",SUMIFS(评分与用量!$E$2:$E$634,评分与用量!$A$2:$A$634,$A12,评分与用量!$B$2:$B$634,"第一轮",评分与用量!$C$2:$C$634,"S分项",评分与用量!$J$2:$J$634,"F*"))="",IF(COUNTIFS(评分与用量!$A$2:$A$634,$A12,评分与用量!$B$2:$B$634,"第二轮",评分与用量!$C$2:$C$634,"S分项",评分与用量!$J$2:$J$634,"F*")=0,"",SUMIFS(评分与用量!$E$2:$E$634,评分与用量!$A$2:$A$634,$A12,评分与用量!$B$2:$B$634,"第二轮",评分与用量!$C$2:$C$634,"S分项",评分与用量!$J$2:$J$634,"F*"))=""),"",(IF(COUNTIFS(评分与用量!$A$2:$A$634,$A12,评分与用量!$B$2:$B$634,"第二轮",评分与用量!$C$2:$C$634,"S分项",评分与用量!$J$2:$J$634,"F*")=0,"",SUMIFS(评分与用量!$E$2:$E$634,评分与用量!$A$2:$A$634,$A12,评分与用量!$B$2:$B$634,"第二轮",评分与用量!$C$2:$C$634,"S分项",评分与用量!$J$2:$J$634,"F*")))-(IF(COUNTIFS(评分与用量!$A$2:$A$634,$A12,评分与用量!$B$2:$B$634,"第一轮",评分与用量!$C$2:$C$634,"S分项",评分与用量!$J$2:$J$634,"F*")=0,"",SUMIFS(评分与用量!$E$2:$E$634,评分与用量!$A$2:$A$634,$A12,评分与用量!$B$2:$B$634,"第一轮",评分与用量!$C$2:$C$634,"S分项",评分与用量!$J$2:$J$634,"F*")))))))="","",IF($F$3="得分率",TEXT((IF($B$3="第一轮",IF(COUNTIFS(评分与用量!$A$2:$A$634,$A12,评分与用量!$B$2:$B$634,"第一轮",评分与用量!$C$2:$C$634,"S分项",评分与用量!$J$2:$J$634,"F*")=0,"",SUMIFS(评分与用量!$E$2:$E$634,评分与用量!$A$2:$A$634,$A12,评分与用量!$B$2:$B$634,"第一轮",评分与用量!$C$2:$C$634,"S分项",评分与用量!$J$2:$J$634,"F*")),IF($B$3="第二轮",IF(COUNTIFS(评分与用量!$A$2:$A$634,$A12,评分与用量!$B$2:$B$634,"第二轮",评分与用量!$C$2:$C$634,"S分项",评分与用量!$J$2:$J$634,"F*")=0,"",SUMIFS(评分与用量!$E$2:$E$634,评分与用量!$A$2:$A$634,$A12,评分与用量!$B$2:$B$634,"第二轮",评分与用量!$C$2:$C$634,"S分项",评分与用量!$J$2:$J$634,"F*")),IF(OR(IF(COUNTIFS(评分与用量!$A$2:$A$634,$A12,评分与用量!$B$2:$B$634,"第一轮",评分与用量!$C$2:$C$634,"S分项",评分与用量!$J$2:$J$634,"F*")=0,"",SUMIFS(评分与用量!$E$2:$E$634,评分与用量!$A$2:$A$634,$A12,评分与用量!$B$2:$B$634,"第一轮",评分与用量!$C$2:$C$634,"S分项",评分与用量!$J$2:$J$634,"F*"))="",IF(COUNTIFS(评分与用量!$A$2:$A$634,$A12,评分与用量!$B$2:$B$634,"第二轮",评分与用量!$C$2:$C$634,"S分项",评分与用量!$J$2:$J$634,"F*")=0,"",SUMIFS(评分与用量!$E$2:$E$634,评分与用量!$A$2:$A$634,$A12,评分与用量!$B$2:$B$634,"第二轮",评分与用量!$C$2:$C$634,"S分项",评分与用量!$J$2:$J$634,"F*"))=""),"",(IF(COUNTIFS(评分与用量!$A$2:$A$634,$A12,评分与用量!$B$2:$B$634,"第二轮",评分与用量!$C$2:$C$634,"S分项",评分与用量!$J$2:$J$634,"F*")=0,"",SUMIFS(评分与用量!$E$2:$E$634,评分与用量!$A$2:$A$634,$A12,评分与用量!$B$2:$B$634,"第二轮",评分与用量!$C$2:$C$634,"S分项",评分与用量!$J$2:$J$634,"F*")))-(IF(COUNTIFS(评分与用量!$A$2:$A$634,$A12,评分与用量!$B$2:$B$634,"第一轮",评分与用量!$C$2:$C$634,"S分项",评分与用量!$J$2:$J$634,"F*")=0,"",SUMIFS(评分与用量!$E$2:$E$634,评分与用量!$A$2:$A$634,$A12,评分与用量!$B$2:$B$634,"第一轮",评分与用量!$C$2:$C$634,"S分项",评分与用量!$J$2:$J$634,"F*")))))))/10,IF($B$3="两轮变化","+0.0%;-0.0%;0.0%","0.0%")),(IF($B$3="第一轮",IF(COUNTIFS(评分与用量!$A$2:$A$634,$A12,评分与用量!$B$2:$B$634,"第一轮",评分与用量!$C$2:$C$634,"S分项",评分与用量!$J$2:$J$634,"F*")=0,"",SUMIFS(评分与用量!$E$2:$E$634,评分与用量!$A$2:$A$634,$A12,评分与用量!$B$2:$B$634,"第一轮",评分与用量!$C$2:$C$634,"S分项",评分与用量!$J$2:$J$634,"F*")),IF($B$3="第二轮",IF(COUNTIFS(评分与用量!$A$2:$A$634,$A12,评分与用量!$B$2:$B$634,"第二轮",评分与用量!$C$2:$C$634,"S分项",评分与用量!$J$2:$J$634,"F*")=0,"",SUMIFS(评分与用量!$E$2:$E$634,评分与用量!$A$2:$A$634,$A12,评分与用量!$B$2:$B$634,"第二轮",评分与用量!$C$2:$C$634,"S分项",评分与用量!$J$2:$J$634,"F*")),IF(OR(IF(COUNTIFS(评分与用量!$A$2:$A$634,$A12,评分与用量!$B$2:$B$634,"第一轮",评分与用量!$C$2:$C$634,"S分项",评分与用量!$J$2:$J$634,"F*")=0,"",SUMIFS(评分与用量!$E$2:$E$634,评分与用量!$A$2:$A$634,$A12,评分与用量!$B$2:$B$634,"第一轮",评分与用量!$C$2:$C$634,"S分项",评分与用量!$J$2:$J$634,"F*"))="",IF(COUNTIFS(评分与用量!$A$2:$A$634,$A12,评分与用量!$B$2:$B$634,"第二轮",评分与用量!$C$2:$C$634,"S分项",评分与用量!$J$2:$J$634,"F*")=0,"",SUMIFS(评分与用量!$E$2:$E$634,评分与用量!$A$2:$A$634,$A12,评分与用量!$B$2:$B$634,"第二轮",评分与用量!$C$2:$C$634,"S分项",评分与用量!$J$2:$J$634,"F*"))=""),"",(IF(COUNTIFS(评分与用量!$A$2:$A$634,$A12,评分与用量!$B$2:$B$634,"第二轮",评分与用量!$C$2:$C$634,"S分项",评分与用量!$J$2:$J$634,"F*")=0,"",SUMIFS(评分与用量!$E$2:$E$634,评分与用量!$A$2:$A$634,$A12,评分与用量!$B$2:$B$634,"第二轮",评分与用量!$C$2:$C$634,"S分项",评分与用量!$J$2:$J$634,"F*")))-(IF(COUNTIFS(评分与用量!$A$2:$A$634,$A12,评分与用量!$B$2:$B$634,"第一轮",评分与用量!$C$2:$C$634,"S分项",评分与用量!$J$2:$J$634,"F*")=0,"",SUMIFS(评分与用量!$E$2:$E$634,评分与用量!$A$2:$A$634,$A12,评分与用量!$B$2:$B$634,"第一轮",评分与用量!$C$2:$C$634,"S分项",评分与用量!$J$2:$J$634,"F*")))))))))</f>
        <v/>
      </c>
      <c r="H12" s="77" t="str">
        <f>IF((IF($B$3="第一轮",IF(COUNTIFS(评分与用量!$A$2:$A$634,$A12,评分与用量!$B$2:$B$634,"第一轮",评分与用量!$C$2:$C$634,"S分项")=0,"",SUMIFS(评分与用量!$E$2:$E$634,评分与用量!$A$2:$A$634,$A12,评分与用量!$B$2:$B$634,"第一轮",评分与用量!$C$2:$C$634,"S分项")),IF($B$3="第二轮",IF(COUNTIFS(评分与用量!$A$2:$A$634,$A12,评分与用量!$B$2:$B$634,"第二轮",评分与用量!$C$2:$C$634,"S分项")=0,"",SUMIFS(评分与用量!$E$2:$E$634,评分与用量!$A$2:$A$634,$A12,评分与用量!$B$2:$B$634,"第二轮",评分与用量!$C$2:$C$634,"S分项")),IF(OR(IF(COUNTIFS(评分与用量!$A$2:$A$634,$A12,评分与用量!$B$2:$B$634,"第一轮",评分与用量!$C$2:$C$634,"S分项")=0,"",SUMIFS(评分与用量!$E$2:$E$634,评分与用量!$A$2:$A$634,$A12,评分与用量!$B$2:$B$634,"第一轮",评分与用量!$C$2:$C$634,"S分项"))="",IF(COUNTIFS(评分与用量!$A$2:$A$634,$A12,评分与用量!$B$2:$B$634,"第二轮",评分与用量!$C$2:$C$634,"S分项")=0,"",SUMIFS(评分与用量!$E$2:$E$634,评分与用量!$A$2:$A$634,$A12,评分与用量!$B$2:$B$634,"第二轮",评分与用量!$C$2:$C$634,"S分项"))=""),"",(IF(COUNTIFS(评分与用量!$A$2:$A$634,$A12,评分与用量!$B$2:$B$634,"第二轮",评分与用量!$C$2:$C$634,"S分项")=0,"",SUMIFS(评分与用量!$E$2:$E$634,评分与用量!$A$2:$A$634,$A12,评分与用量!$B$2:$B$634,"第二轮",评分与用量!$C$2:$C$634,"S分项")))-(IF(COUNTIFS(评分与用量!$A$2:$A$634,$A12,评分与用量!$B$2:$B$634,"第一轮",评分与用量!$C$2:$C$634,"S分项")=0,"",SUMIFS(评分与用量!$E$2:$E$634,评分与用量!$A$2:$A$634,$A12,评分与用量!$B$2:$B$634,"第一轮",评分与用量!$C$2:$C$634,"S分项")))))))="","",IF($F$3="得分率",TEXT((IF($B$3="第一轮",IF(COUNTIFS(评分与用量!$A$2:$A$634,$A12,评分与用量!$B$2:$B$634,"第一轮",评分与用量!$C$2:$C$634,"S分项")=0,"",SUMIFS(评分与用量!$E$2:$E$634,评分与用量!$A$2:$A$634,$A12,评分与用量!$B$2:$B$634,"第一轮",评分与用量!$C$2:$C$634,"S分项")),IF($B$3="第二轮",IF(COUNTIFS(评分与用量!$A$2:$A$634,$A12,评分与用量!$B$2:$B$634,"第二轮",评分与用量!$C$2:$C$634,"S分项")=0,"",SUMIFS(评分与用量!$E$2:$E$634,评分与用量!$A$2:$A$634,$A12,评分与用量!$B$2:$B$634,"第二轮",评分与用量!$C$2:$C$634,"S分项")),IF(OR(IF(COUNTIFS(评分与用量!$A$2:$A$634,$A12,评分与用量!$B$2:$B$634,"第一轮",评分与用量!$C$2:$C$634,"S分项")=0,"",SUMIFS(评分与用量!$E$2:$E$634,评分与用量!$A$2:$A$634,$A12,评分与用量!$B$2:$B$634,"第一轮",评分与用量!$C$2:$C$634,"S分项"))="",IF(COUNTIFS(评分与用量!$A$2:$A$634,$A12,评分与用量!$B$2:$B$634,"第二轮",评分与用量!$C$2:$C$634,"S分项")=0,"",SUMIFS(评分与用量!$E$2:$E$634,评分与用量!$A$2:$A$634,$A12,评分与用量!$B$2:$B$634,"第二轮",评分与用量!$C$2:$C$634,"S分项"))=""),"",(IF(COUNTIFS(评分与用量!$A$2:$A$634,$A12,评分与用量!$B$2:$B$634,"第二轮",评分与用量!$C$2:$C$634,"S分项")=0,"",SUMIFS(评分与用量!$E$2:$E$634,评分与用量!$A$2:$A$634,$A12,评分与用量!$B$2:$B$634,"第二轮",评分与用量!$C$2:$C$634,"S分项")))-(IF(COUNTIFS(评分与用量!$A$2:$A$634,$A12,评分与用量!$B$2:$B$634,"第一轮",评分与用量!$C$2:$C$634,"S分项")=0,"",SUMIFS(评分与用量!$E$2:$E$634,评分与用量!$A$2:$A$634,$A12,评分与用量!$B$2:$B$634,"第一轮",评分与用量!$C$2:$C$634,"S分项")))))))/100,IF($B$3="两轮变化","+0.0%;-0.0%;0.0%","0.0%")),(IF($B$3="第一轮",IF(COUNTIFS(评分与用量!$A$2:$A$634,$A12,评分与用量!$B$2:$B$634,"第一轮",评分与用量!$C$2:$C$634,"S分项")=0,"",SUMIFS(评分与用量!$E$2:$E$634,评分与用量!$A$2:$A$634,$A12,评分与用量!$B$2:$B$634,"第一轮",评分与用量!$C$2:$C$634,"S分项")),IF($B$3="第二轮",IF(COUNTIFS(评分与用量!$A$2:$A$634,$A12,评分与用量!$B$2:$B$634,"第二轮",评分与用量!$C$2:$C$634,"S分项")=0,"",SUMIFS(评分与用量!$E$2:$E$634,评分与用量!$A$2:$A$634,$A12,评分与用量!$B$2:$B$634,"第二轮",评分与用量!$C$2:$C$634,"S分项")),IF(OR(IF(COUNTIFS(评分与用量!$A$2:$A$634,$A12,评分与用量!$B$2:$B$634,"第一轮",评分与用量!$C$2:$C$634,"S分项")=0,"",SUMIFS(评分与用量!$E$2:$E$634,评分与用量!$A$2:$A$634,$A12,评分与用量!$B$2:$B$634,"第一轮",评分与用量!$C$2:$C$634,"S分项"))="",IF(COUNTIFS(评分与用量!$A$2:$A$634,$A12,评分与用量!$B$2:$B$634,"第二轮",评分与用量!$C$2:$C$634,"S分项")=0,"",SUMIFS(评分与用量!$E$2:$E$634,评分与用量!$A$2:$A$634,$A12,评分与用量!$B$2:$B$634,"第二轮",评分与用量!$C$2:$C$634,"S分项"))=""),"",(IF(COUNTIFS(评分与用量!$A$2:$A$634,$A12,评分与用量!$B$2:$B$634,"第二轮",评分与用量!$C$2:$C$634,"S分项")=0,"",SUMIFS(评分与用量!$E$2:$E$634,评分与用量!$A$2:$A$634,$A12,评分与用量!$B$2:$B$634,"第二轮",评分与用量!$C$2:$C$634,"S分项")))-(IF(COUNTIFS(评分与用量!$A$2:$A$634,$A12,评分与用量!$B$2:$B$634,"第一轮",评分与用量!$C$2:$C$634,"S分项")=0,"",SUMIFS(评分与用量!$E$2:$E$634,评分与用量!$A$2:$A$634,$A12,评分与用量!$B$2:$B$634,"第一轮",评分与用量!$C$2:$C$634,"S分项")))))))))</f>
        <v/>
      </c>
    </row>
    <row r="13" spans="1:8" ht="22.05" customHeight="1">
      <c r="A13" s="76" t="s">
        <v>20</v>
      </c>
      <c r="B13" s="77" t="str">
        <f>IF((IF($B$3="第一轮",IF(COUNTIFS(评分与用量!$A$2:$A$634,$A13,评分与用量!$B$2:$B$634,"第一轮",评分与用量!$C$2:$C$634,"S分项",评分与用量!$J$2:$J$634,"A*")=0,"",SUMIFS(评分与用量!$E$2:$E$634,评分与用量!$A$2:$A$634,$A13,评分与用量!$B$2:$B$634,"第一轮",评分与用量!$C$2:$C$634,"S分项",评分与用量!$J$2:$J$634,"A*")),IF($B$3="第二轮",IF(COUNTIFS(评分与用量!$A$2:$A$634,$A13,评分与用量!$B$2:$B$634,"第二轮",评分与用量!$C$2:$C$634,"S分项",评分与用量!$J$2:$J$634,"A*")=0,"",SUMIFS(评分与用量!$E$2:$E$634,评分与用量!$A$2:$A$634,$A13,评分与用量!$B$2:$B$634,"第二轮",评分与用量!$C$2:$C$634,"S分项",评分与用量!$J$2:$J$634,"A*")),IF(OR(IF(COUNTIFS(评分与用量!$A$2:$A$634,$A13,评分与用量!$B$2:$B$634,"第一轮",评分与用量!$C$2:$C$634,"S分项",评分与用量!$J$2:$J$634,"A*")=0,"",SUMIFS(评分与用量!$E$2:$E$634,评分与用量!$A$2:$A$634,$A13,评分与用量!$B$2:$B$634,"第一轮",评分与用量!$C$2:$C$634,"S分项",评分与用量!$J$2:$J$634,"A*"))="",IF(COUNTIFS(评分与用量!$A$2:$A$634,$A13,评分与用量!$B$2:$B$634,"第二轮",评分与用量!$C$2:$C$634,"S分项",评分与用量!$J$2:$J$634,"A*")=0,"",SUMIFS(评分与用量!$E$2:$E$634,评分与用量!$A$2:$A$634,$A13,评分与用量!$B$2:$B$634,"第二轮",评分与用量!$C$2:$C$634,"S分项",评分与用量!$J$2:$J$634,"A*"))=""),"",(IF(COUNTIFS(评分与用量!$A$2:$A$634,$A13,评分与用量!$B$2:$B$634,"第二轮",评分与用量!$C$2:$C$634,"S分项",评分与用量!$J$2:$J$634,"A*")=0,"",SUMIFS(评分与用量!$E$2:$E$634,评分与用量!$A$2:$A$634,$A13,评分与用量!$B$2:$B$634,"第二轮",评分与用量!$C$2:$C$634,"S分项",评分与用量!$J$2:$J$634,"A*")))-(IF(COUNTIFS(评分与用量!$A$2:$A$634,$A13,评分与用量!$B$2:$B$634,"第一轮",评分与用量!$C$2:$C$634,"S分项",评分与用量!$J$2:$J$634,"A*")=0,"",SUMIFS(评分与用量!$E$2:$E$634,评分与用量!$A$2:$A$634,$A13,评分与用量!$B$2:$B$634,"第一轮",评分与用量!$C$2:$C$634,"S分项",评分与用量!$J$2:$J$634,"A*")))))))="","",IF($F$3="得分率",TEXT((IF($B$3="第一轮",IF(COUNTIFS(评分与用量!$A$2:$A$634,$A13,评分与用量!$B$2:$B$634,"第一轮",评分与用量!$C$2:$C$634,"S分项",评分与用量!$J$2:$J$634,"A*")=0,"",SUMIFS(评分与用量!$E$2:$E$634,评分与用量!$A$2:$A$634,$A13,评分与用量!$B$2:$B$634,"第一轮",评分与用量!$C$2:$C$634,"S分项",评分与用量!$J$2:$J$634,"A*")),IF($B$3="第二轮",IF(COUNTIFS(评分与用量!$A$2:$A$634,$A13,评分与用量!$B$2:$B$634,"第二轮",评分与用量!$C$2:$C$634,"S分项",评分与用量!$J$2:$J$634,"A*")=0,"",SUMIFS(评分与用量!$E$2:$E$634,评分与用量!$A$2:$A$634,$A13,评分与用量!$B$2:$B$634,"第二轮",评分与用量!$C$2:$C$634,"S分项",评分与用量!$J$2:$J$634,"A*")),IF(OR(IF(COUNTIFS(评分与用量!$A$2:$A$634,$A13,评分与用量!$B$2:$B$634,"第一轮",评分与用量!$C$2:$C$634,"S分项",评分与用量!$J$2:$J$634,"A*")=0,"",SUMIFS(评分与用量!$E$2:$E$634,评分与用量!$A$2:$A$634,$A13,评分与用量!$B$2:$B$634,"第一轮",评分与用量!$C$2:$C$634,"S分项",评分与用量!$J$2:$J$634,"A*"))="",IF(COUNTIFS(评分与用量!$A$2:$A$634,$A13,评分与用量!$B$2:$B$634,"第二轮",评分与用量!$C$2:$C$634,"S分项",评分与用量!$J$2:$J$634,"A*")=0,"",SUMIFS(评分与用量!$E$2:$E$634,评分与用量!$A$2:$A$634,$A13,评分与用量!$B$2:$B$634,"第二轮",评分与用量!$C$2:$C$634,"S分项",评分与用量!$J$2:$J$634,"A*"))=""),"",(IF(COUNTIFS(评分与用量!$A$2:$A$634,$A13,评分与用量!$B$2:$B$634,"第二轮",评分与用量!$C$2:$C$634,"S分项",评分与用量!$J$2:$J$634,"A*")=0,"",SUMIFS(评分与用量!$E$2:$E$634,评分与用量!$A$2:$A$634,$A13,评分与用量!$B$2:$B$634,"第二轮",评分与用量!$C$2:$C$634,"S分项",评分与用量!$J$2:$J$634,"A*")))-(IF(COUNTIFS(评分与用量!$A$2:$A$634,$A13,评分与用量!$B$2:$B$634,"第一轮",评分与用量!$C$2:$C$634,"S分项",评分与用量!$J$2:$J$634,"A*")=0,"",SUMIFS(评分与用量!$E$2:$E$634,评分与用量!$A$2:$A$634,$A13,评分与用量!$B$2:$B$634,"第一轮",评分与用量!$C$2:$C$634,"S分项",评分与用量!$J$2:$J$634,"A*")))))))/15,IF($B$3="两轮变化","+0.0%;-0.0%;0.0%","0.0%")),(IF($B$3="第一轮",IF(COUNTIFS(评分与用量!$A$2:$A$634,$A13,评分与用量!$B$2:$B$634,"第一轮",评分与用量!$C$2:$C$634,"S分项",评分与用量!$J$2:$J$634,"A*")=0,"",SUMIFS(评分与用量!$E$2:$E$634,评分与用量!$A$2:$A$634,$A13,评分与用量!$B$2:$B$634,"第一轮",评分与用量!$C$2:$C$634,"S分项",评分与用量!$J$2:$J$634,"A*")),IF($B$3="第二轮",IF(COUNTIFS(评分与用量!$A$2:$A$634,$A13,评分与用量!$B$2:$B$634,"第二轮",评分与用量!$C$2:$C$634,"S分项",评分与用量!$J$2:$J$634,"A*")=0,"",SUMIFS(评分与用量!$E$2:$E$634,评分与用量!$A$2:$A$634,$A13,评分与用量!$B$2:$B$634,"第二轮",评分与用量!$C$2:$C$634,"S分项",评分与用量!$J$2:$J$634,"A*")),IF(OR(IF(COUNTIFS(评分与用量!$A$2:$A$634,$A13,评分与用量!$B$2:$B$634,"第一轮",评分与用量!$C$2:$C$634,"S分项",评分与用量!$J$2:$J$634,"A*")=0,"",SUMIFS(评分与用量!$E$2:$E$634,评分与用量!$A$2:$A$634,$A13,评分与用量!$B$2:$B$634,"第一轮",评分与用量!$C$2:$C$634,"S分项",评分与用量!$J$2:$J$634,"A*"))="",IF(COUNTIFS(评分与用量!$A$2:$A$634,$A13,评分与用量!$B$2:$B$634,"第二轮",评分与用量!$C$2:$C$634,"S分项",评分与用量!$J$2:$J$634,"A*")=0,"",SUMIFS(评分与用量!$E$2:$E$634,评分与用量!$A$2:$A$634,$A13,评分与用量!$B$2:$B$634,"第二轮",评分与用量!$C$2:$C$634,"S分项",评分与用量!$J$2:$J$634,"A*"))=""),"",(IF(COUNTIFS(评分与用量!$A$2:$A$634,$A13,评分与用量!$B$2:$B$634,"第二轮",评分与用量!$C$2:$C$634,"S分项",评分与用量!$J$2:$J$634,"A*")=0,"",SUMIFS(评分与用量!$E$2:$E$634,评分与用量!$A$2:$A$634,$A13,评分与用量!$B$2:$B$634,"第二轮",评分与用量!$C$2:$C$634,"S分项",评分与用量!$J$2:$J$634,"A*")))-(IF(COUNTIFS(评分与用量!$A$2:$A$634,$A13,评分与用量!$B$2:$B$634,"第一轮",评分与用量!$C$2:$C$634,"S分项",评分与用量!$J$2:$J$634,"A*")=0,"",SUMIFS(评分与用量!$E$2:$E$634,评分与用量!$A$2:$A$634,$A13,评分与用量!$B$2:$B$634,"第一轮",评分与用量!$C$2:$C$634,"S分项",评分与用量!$J$2:$J$634,"A*")))))))))</f>
        <v/>
      </c>
      <c r="C13" s="77" t="str">
        <f>IF((IF($B$3="第一轮",IF(COUNTIFS(评分与用量!$A$2:$A$634,$A13,评分与用量!$B$2:$B$634,"第一轮",评分与用量!$C$2:$C$634,"S分项",评分与用量!$J$2:$J$634,"B*")=0,"",SUMIFS(评分与用量!$E$2:$E$634,评分与用量!$A$2:$A$634,$A13,评分与用量!$B$2:$B$634,"第一轮",评分与用量!$C$2:$C$634,"S分项",评分与用量!$J$2:$J$634,"B*")),IF($B$3="第二轮",IF(COUNTIFS(评分与用量!$A$2:$A$634,$A13,评分与用量!$B$2:$B$634,"第二轮",评分与用量!$C$2:$C$634,"S分项",评分与用量!$J$2:$J$634,"B*")=0,"",SUMIFS(评分与用量!$E$2:$E$634,评分与用量!$A$2:$A$634,$A13,评分与用量!$B$2:$B$634,"第二轮",评分与用量!$C$2:$C$634,"S分项",评分与用量!$J$2:$J$634,"B*")),IF(OR(IF(COUNTIFS(评分与用量!$A$2:$A$634,$A13,评分与用量!$B$2:$B$634,"第一轮",评分与用量!$C$2:$C$634,"S分项",评分与用量!$J$2:$J$634,"B*")=0,"",SUMIFS(评分与用量!$E$2:$E$634,评分与用量!$A$2:$A$634,$A13,评分与用量!$B$2:$B$634,"第一轮",评分与用量!$C$2:$C$634,"S分项",评分与用量!$J$2:$J$634,"B*"))="",IF(COUNTIFS(评分与用量!$A$2:$A$634,$A13,评分与用量!$B$2:$B$634,"第二轮",评分与用量!$C$2:$C$634,"S分项",评分与用量!$J$2:$J$634,"B*")=0,"",SUMIFS(评分与用量!$E$2:$E$634,评分与用量!$A$2:$A$634,$A13,评分与用量!$B$2:$B$634,"第二轮",评分与用量!$C$2:$C$634,"S分项",评分与用量!$J$2:$J$634,"B*"))=""),"",(IF(COUNTIFS(评分与用量!$A$2:$A$634,$A13,评分与用量!$B$2:$B$634,"第二轮",评分与用量!$C$2:$C$634,"S分项",评分与用量!$J$2:$J$634,"B*")=0,"",SUMIFS(评分与用量!$E$2:$E$634,评分与用量!$A$2:$A$634,$A13,评分与用量!$B$2:$B$634,"第二轮",评分与用量!$C$2:$C$634,"S分项",评分与用量!$J$2:$J$634,"B*")))-(IF(COUNTIFS(评分与用量!$A$2:$A$634,$A13,评分与用量!$B$2:$B$634,"第一轮",评分与用量!$C$2:$C$634,"S分项",评分与用量!$J$2:$J$634,"B*")=0,"",SUMIFS(评分与用量!$E$2:$E$634,评分与用量!$A$2:$A$634,$A13,评分与用量!$B$2:$B$634,"第一轮",评分与用量!$C$2:$C$634,"S分项",评分与用量!$J$2:$J$634,"B*")))))))="","",IF($F$3="得分率",TEXT((IF($B$3="第一轮",IF(COUNTIFS(评分与用量!$A$2:$A$634,$A13,评分与用量!$B$2:$B$634,"第一轮",评分与用量!$C$2:$C$634,"S分项",评分与用量!$J$2:$J$634,"B*")=0,"",SUMIFS(评分与用量!$E$2:$E$634,评分与用量!$A$2:$A$634,$A13,评分与用量!$B$2:$B$634,"第一轮",评分与用量!$C$2:$C$634,"S分项",评分与用量!$J$2:$J$634,"B*")),IF($B$3="第二轮",IF(COUNTIFS(评分与用量!$A$2:$A$634,$A13,评分与用量!$B$2:$B$634,"第二轮",评分与用量!$C$2:$C$634,"S分项",评分与用量!$J$2:$J$634,"B*")=0,"",SUMIFS(评分与用量!$E$2:$E$634,评分与用量!$A$2:$A$634,$A13,评分与用量!$B$2:$B$634,"第二轮",评分与用量!$C$2:$C$634,"S分项",评分与用量!$J$2:$J$634,"B*")),IF(OR(IF(COUNTIFS(评分与用量!$A$2:$A$634,$A13,评分与用量!$B$2:$B$634,"第一轮",评分与用量!$C$2:$C$634,"S分项",评分与用量!$J$2:$J$634,"B*")=0,"",SUMIFS(评分与用量!$E$2:$E$634,评分与用量!$A$2:$A$634,$A13,评分与用量!$B$2:$B$634,"第一轮",评分与用量!$C$2:$C$634,"S分项",评分与用量!$J$2:$J$634,"B*"))="",IF(COUNTIFS(评分与用量!$A$2:$A$634,$A13,评分与用量!$B$2:$B$634,"第二轮",评分与用量!$C$2:$C$634,"S分项",评分与用量!$J$2:$J$634,"B*")=0,"",SUMIFS(评分与用量!$E$2:$E$634,评分与用量!$A$2:$A$634,$A13,评分与用量!$B$2:$B$634,"第二轮",评分与用量!$C$2:$C$634,"S分项",评分与用量!$J$2:$J$634,"B*"))=""),"",(IF(COUNTIFS(评分与用量!$A$2:$A$634,$A13,评分与用量!$B$2:$B$634,"第二轮",评分与用量!$C$2:$C$634,"S分项",评分与用量!$J$2:$J$634,"B*")=0,"",SUMIFS(评分与用量!$E$2:$E$634,评分与用量!$A$2:$A$634,$A13,评分与用量!$B$2:$B$634,"第二轮",评分与用量!$C$2:$C$634,"S分项",评分与用量!$J$2:$J$634,"B*")))-(IF(COUNTIFS(评分与用量!$A$2:$A$634,$A13,评分与用量!$B$2:$B$634,"第一轮",评分与用量!$C$2:$C$634,"S分项",评分与用量!$J$2:$J$634,"B*")=0,"",SUMIFS(评分与用量!$E$2:$E$634,评分与用量!$A$2:$A$634,$A13,评分与用量!$B$2:$B$634,"第一轮",评分与用量!$C$2:$C$634,"S分项",评分与用量!$J$2:$J$634,"B*")))))))/20,IF($B$3="两轮变化","+0.0%;-0.0%;0.0%","0.0%")),(IF($B$3="第一轮",IF(COUNTIFS(评分与用量!$A$2:$A$634,$A13,评分与用量!$B$2:$B$634,"第一轮",评分与用量!$C$2:$C$634,"S分项",评分与用量!$J$2:$J$634,"B*")=0,"",SUMIFS(评分与用量!$E$2:$E$634,评分与用量!$A$2:$A$634,$A13,评分与用量!$B$2:$B$634,"第一轮",评分与用量!$C$2:$C$634,"S分项",评分与用量!$J$2:$J$634,"B*")),IF($B$3="第二轮",IF(COUNTIFS(评分与用量!$A$2:$A$634,$A13,评分与用量!$B$2:$B$634,"第二轮",评分与用量!$C$2:$C$634,"S分项",评分与用量!$J$2:$J$634,"B*")=0,"",SUMIFS(评分与用量!$E$2:$E$634,评分与用量!$A$2:$A$634,$A13,评分与用量!$B$2:$B$634,"第二轮",评分与用量!$C$2:$C$634,"S分项",评分与用量!$J$2:$J$634,"B*")),IF(OR(IF(COUNTIFS(评分与用量!$A$2:$A$634,$A13,评分与用量!$B$2:$B$634,"第一轮",评分与用量!$C$2:$C$634,"S分项",评分与用量!$J$2:$J$634,"B*")=0,"",SUMIFS(评分与用量!$E$2:$E$634,评分与用量!$A$2:$A$634,$A13,评分与用量!$B$2:$B$634,"第一轮",评分与用量!$C$2:$C$634,"S分项",评分与用量!$J$2:$J$634,"B*"))="",IF(COUNTIFS(评分与用量!$A$2:$A$634,$A13,评分与用量!$B$2:$B$634,"第二轮",评分与用量!$C$2:$C$634,"S分项",评分与用量!$J$2:$J$634,"B*")=0,"",SUMIFS(评分与用量!$E$2:$E$634,评分与用量!$A$2:$A$634,$A13,评分与用量!$B$2:$B$634,"第二轮",评分与用量!$C$2:$C$634,"S分项",评分与用量!$J$2:$J$634,"B*"))=""),"",(IF(COUNTIFS(评分与用量!$A$2:$A$634,$A13,评分与用量!$B$2:$B$634,"第二轮",评分与用量!$C$2:$C$634,"S分项",评分与用量!$J$2:$J$634,"B*")=0,"",SUMIFS(评分与用量!$E$2:$E$634,评分与用量!$A$2:$A$634,$A13,评分与用量!$B$2:$B$634,"第二轮",评分与用量!$C$2:$C$634,"S分项",评分与用量!$J$2:$J$634,"B*")))-(IF(COUNTIFS(评分与用量!$A$2:$A$634,$A13,评分与用量!$B$2:$B$634,"第一轮",评分与用量!$C$2:$C$634,"S分项",评分与用量!$J$2:$J$634,"B*")=0,"",SUMIFS(评分与用量!$E$2:$E$634,评分与用量!$A$2:$A$634,$A13,评分与用量!$B$2:$B$634,"第一轮",评分与用量!$C$2:$C$634,"S分项",评分与用量!$J$2:$J$634,"B*")))))))))</f>
        <v/>
      </c>
      <c r="D13" s="77" t="str">
        <f>IF((IF($B$3="第一轮",IF(COUNTIFS(评分与用量!$A$2:$A$634,$A13,评分与用量!$B$2:$B$634,"第一轮",评分与用量!$C$2:$C$634,"S分项",评分与用量!$J$2:$J$634,"C*")=0,"",SUMIFS(评分与用量!$E$2:$E$634,评分与用量!$A$2:$A$634,$A13,评分与用量!$B$2:$B$634,"第一轮",评分与用量!$C$2:$C$634,"S分项",评分与用量!$J$2:$J$634,"C*")),IF($B$3="第二轮",IF(COUNTIFS(评分与用量!$A$2:$A$634,$A13,评分与用量!$B$2:$B$634,"第二轮",评分与用量!$C$2:$C$634,"S分项",评分与用量!$J$2:$J$634,"C*")=0,"",SUMIFS(评分与用量!$E$2:$E$634,评分与用量!$A$2:$A$634,$A13,评分与用量!$B$2:$B$634,"第二轮",评分与用量!$C$2:$C$634,"S分项",评分与用量!$J$2:$J$634,"C*")),IF(OR(IF(COUNTIFS(评分与用量!$A$2:$A$634,$A13,评分与用量!$B$2:$B$634,"第一轮",评分与用量!$C$2:$C$634,"S分项",评分与用量!$J$2:$J$634,"C*")=0,"",SUMIFS(评分与用量!$E$2:$E$634,评分与用量!$A$2:$A$634,$A13,评分与用量!$B$2:$B$634,"第一轮",评分与用量!$C$2:$C$634,"S分项",评分与用量!$J$2:$J$634,"C*"))="",IF(COUNTIFS(评分与用量!$A$2:$A$634,$A13,评分与用量!$B$2:$B$634,"第二轮",评分与用量!$C$2:$C$634,"S分项",评分与用量!$J$2:$J$634,"C*")=0,"",SUMIFS(评分与用量!$E$2:$E$634,评分与用量!$A$2:$A$634,$A13,评分与用量!$B$2:$B$634,"第二轮",评分与用量!$C$2:$C$634,"S分项",评分与用量!$J$2:$J$634,"C*"))=""),"",(IF(COUNTIFS(评分与用量!$A$2:$A$634,$A13,评分与用量!$B$2:$B$634,"第二轮",评分与用量!$C$2:$C$634,"S分项",评分与用量!$J$2:$J$634,"C*")=0,"",SUMIFS(评分与用量!$E$2:$E$634,评分与用量!$A$2:$A$634,$A13,评分与用量!$B$2:$B$634,"第二轮",评分与用量!$C$2:$C$634,"S分项",评分与用量!$J$2:$J$634,"C*")))-(IF(COUNTIFS(评分与用量!$A$2:$A$634,$A13,评分与用量!$B$2:$B$634,"第一轮",评分与用量!$C$2:$C$634,"S分项",评分与用量!$J$2:$J$634,"C*")=0,"",SUMIFS(评分与用量!$E$2:$E$634,评分与用量!$A$2:$A$634,$A13,评分与用量!$B$2:$B$634,"第一轮",评分与用量!$C$2:$C$634,"S分项",评分与用量!$J$2:$J$634,"C*")))))))="","",IF($F$3="得分率",TEXT((IF($B$3="第一轮",IF(COUNTIFS(评分与用量!$A$2:$A$634,$A13,评分与用量!$B$2:$B$634,"第一轮",评分与用量!$C$2:$C$634,"S分项",评分与用量!$J$2:$J$634,"C*")=0,"",SUMIFS(评分与用量!$E$2:$E$634,评分与用量!$A$2:$A$634,$A13,评分与用量!$B$2:$B$634,"第一轮",评分与用量!$C$2:$C$634,"S分项",评分与用量!$J$2:$J$634,"C*")),IF($B$3="第二轮",IF(COUNTIFS(评分与用量!$A$2:$A$634,$A13,评分与用量!$B$2:$B$634,"第二轮",评分与用量!$C$2:$C$634,"S分项",评分与用量!$J$2:$J$634,"C*")=0,"",SUMIFS(评分与用量!$E$2:$E$634,评分与用量!$A$2:$A$634,$A13,评分与用量!$B$2:$B$634,"第二轮",评分与用量!$C$2:$C$634,"S分项",评分与用量!$J$2:$J$634,"C*")),IF(OR(IF(COUNTIFS(评分与用量!$A$2:$A$634,$A13,评分与用量!$B$2:$B$634,"第一轮",评分与用量!$C$2:$C$634,"S分项",评分与用量!$J$2:$J$634,"C*")=0,"",SUMIFS(评分与用量!$E$2:$E$634,评分与用量!$A$2:$A$634,$A13,评分与用量!$B$2:$B$634,"第一轮",评分与用量!$C$2:$C$634,"S分项",评分与用量!$J$2:$J$634,"C*"))="",IF(COUNTIFS(评分与用量!$A$2:$A$634,$A13,评分与用量!$B$2:$B$634,"第二轮",评分与用量!$C$2:$C$634,"S分项",评分与用量!$J$2:$J$634,"C*")=0,"",SUMIFS(评分与用量!$E$2:$E$634,评分与用量!$A$2:$A$634,$A13,评分与用量!$B$2:$B$634,"第二轮",评分与用量!$C$2:$C$634,"S分项",评分与用量!$J$2:$J$634,"C*"))=""),"",(IF(COUNTIFS(评分与用量!$A$2:$A$634,$A13,评分与用量!$B$2:$B$634,"第二轮",评分与用量!$C$2:$C$634,"S分项",评分与用量!$J$2:$J$634,"C*")=0,"",SUMIFS(评分与用量!$E$2:$E$634,评分与用量!$A$2:$A$634,$A13,评分与用量!$B$2:$B$634,"第二轮",评分与用量!$C$2:$C$634,"S分项",评分与用量!$J$2:$J$634,"C*")))-(IF(COUNTIFS(评分与用量!$A$2:$A$634,$A13,评分与用量!$B$2:$B$634,"第一轮",评分与用量!$C$2:$C$634,"S分项",评分与用量!$J$2:$J$634,"C*")=0,"",SUMIFS(评分与用量!$E$2:$E$634,评分与用量!$A$2:$A$634,$A13,评分与用量!$B$2:$B$634,"第一轮",评分与用量!$C$2:$C$634,"S分项",评分与用量!$J$2:$J$634,"C*")))))))/20,IF($B$3="两轮变化","+0.0%;-0.0%;0.0%","0.0%")),(IF($B$3="第一轮",IF(COUNTIFS(评分与用量!$A$2:$A$634,$A13,评分与用量!$B$2:$B$634,"第一轮",评分与用量!$C$2:$C$634,"S分项",评分与用量!$J$2:$J$634,"C*")=0,"",SUMIFS(评分与用量!$E$2:$E$634,评分与用量!$A$2:$A$634,$A13,评分与用量!$B$2:$B$634,"第一轮",评分与用量!$C$2:$C$634,"S分项",评分与用量!$J$2:$J$634,"C*")),IF($B$3="第二轮",IF(COUNTIFS(评分与用量!$A$2:$A$634,$A13,评分与用量!$B$2:$B$634,"第二轮",评分与用量!$C$2:$C$634,"S分项",评分与用量!$J$2:$J$634,"C*")=0,"",SUMIFS(评分与用量!$E$2:$E$634,评分与用量!$A$2:$A$634,$A13,评分与用量!$B$2:$B$634,"第二轮",评分与用量!$C$2:$C$634,"S分项",评分与用量!$J$2:$J$634,"C*")),IF(OR(IF(COUNTIFS(评分与用量!$A$2:$A$634,$A13,评分与用量!$B$2:$B$634,"第一轮",评分与用量!$C$2:$C$634,"S分项",评分与用量!$J$2:$J$634,"C*")=0,"",SUMIFS(评分与用量!$E$2:$E$634,评分与用量!$A$2:$A$634,$A13,评分与用量!$B$2:$B$634,"第一轮",评分与用量!$C$2:$C$634,"S分项",评分与用量!$J$2:$J$634,"C*"))="",IF(COUNTIFS(评分与用量!$A$2:$A$634,$A13,评分与用量!$B$2:$B$634,"第二轮",评分与用量!$C$2:$C$634,"S分项",评分与用量!$J$2:$J$634,"C*")=0,"",SUMIFS(评分与用量!$E$2:$E$634,评分与用量!$A$2:$A$634,$A13,评分与用量!$B$2:$B$634,"第二轮",评分与用量!$C$2:$C$634,"S分项",评分与用量!$J$2:$J$634,"C*"))=""),"",(IF(COUNTIFS(评分与用量!$A$2:$A$634,$A13,评分与用量!$B$2:$B$634,"第二轮",评分与用量!$C$2:$C$634,"S分项",评分与用量!$J$2:$J$634,"C*")=0,"",SUMIFS(评分与用量!$E$2:$E$634,评分与用量!$A$2:$A$634,$A13,评分与用量!$B$2:$B$634,"第二轮",评分与用量!$C$2:$C$634,"S分项",评分与用量!$J$2:$J$634,"C*")))-(IF(COUNTIFS(评分与用量!$A$2:$A$634,$A13,评分与用量!$B$2:$B$634,"第一轮",评分与用量!$C$2:$C$634,"S分项",评分与用量!$J$2:$J$634,"C*")=0,"",SUMIFS(评分与用量!$E$2:$E$634,评分与用量!$A$2:$A$634,$A13,评分与用量!$B$2:$B$634,"第一轮",评分与用量!$C$2:$C$634,"S分项",评分与用量!$J$2:$J$634,"C*")))))))))</f>
        <v/>
      </c>
      <c r="E13" s="77" t="str">
        <f>IF((IF($B$3="第一轮",IF(COUNTIFS(评分与用量!$A$2:$A$634,$A13,评分与用量!$B$2:$B$634,"第一轮",评分与用量!$C$2:$C$634,"S分项",评分与用量!$J$2:$J$634,"D*")=0,"",SUMIFS(评分与用量!$E$2:$E$634,评分与用量!$A$2:$A$634,$A13,评分与用量!$B$2:$B$634,"第一轮",评分与用量!$C$2:$C$634,"S分项",评分与用量!$J$2:$J$634,"D*")),IF($B$3="第二轮",IF(COUNTIFS(评分与用量!$A$2:$A$634,$A13,评分与用量!$B$2:$B$634,"第二轮",评分与用量!$C$2:$C$634,"S分项",评分与用量!$J$2:$J$634,"D*")=0,"",SUMIFS(评分与用量!$E$2:$E$634,评分与用量!$A$2:$A$634,$A13,评分与用量!$B$2:$B$634,"第二轮",评分与用量!$C$2:$C$634,"S分项",评分与用量!$J$2:$J$634,"D*")),IF(OR(IF(COUNTIFS(评分与用量!$A$2:$A$634,$A13,评分与用量!$B$2:$B$634,"第一轮",评分与用量!$C$2:$C$634,"S分项",评分与用量!$J$2:$J$634,"D*")=0,"",SUMIFS(评分与用量!$E$2:$E$634,评分与用量!$A$2:$A$634,$A13,评分与用量!$B$2:$B$634,"第一轮",评分与用量!$C$2:$C$634,"S分项",评分与用量!$J$2:$J$634,"D*"))="",IF(COUNTIFS(评分与用量!$A$2:$A$634,$A13,评分与用量!$B$2:$B$634,"第二轮",评分与用量!$C$2:$C$634,"S分项",评分与用量!$J$2:$J$634,"D*")=0,"",SUMIFS(评分与用量!$E$2:$E$634,评分与用量!$A$2:$A$634,$A13,评分与用量!$B$2:$B$634,"第二轮",评分与用量!$C$2:$C$634,"S分项",评分与用量!$J$2:$J$634,"D*"))=""),"",(IF(COUNTIFS(评分与用量!$A$2:$A$634,$A13,评分与用量!$B$2:$B$634,"第二轮",评分与用量!$C$2:$C$634,"S分项",评分与用量!$J$2:$J$634,"D*")=0,"",SUMIFS(评分与用量!$E$2:$E$634,评分与用量!$A$2:$A$634,$A13,评分与用量!$B$2:$B$634,"第二轮",评分与用量!$C$2:$C$634,"S分项",评分与用量!$J$2:$J$634,"D*")))-(IF(COUNTIFS(评分与用量!$A$2:$A$634,$A13,评分与用量!$B$2:$B$634,"第一轮",评分与用量!$C$2:$C$634,"S分项",评分与用量!$J$2:$J$634,"D*")=0,"",SUMIFS(评分与用量!$E$2:$E$634,评分与用量!$A$2:$A$634,$A13,评分与用量!$B$2:$B$634,"第一轮",评分与用量!$C$2:$C$634,"S分项",评分与用量!$J$2:$J$634,"D*")))))))="","",IF($F$3="得分率",TEXT((IF($B$3="第一轮",IF(COUNTIFS(评分与用量!$A$2:$A$634,$A13,评分与用量!$B$2:$B$634,"第一轮",评分与用量!$C$2:$C$634,"S分项",评分与用量!$J$2:$J$634,"D*")=0,"",SUMIFS(评分与用量!$E$2:$E$634,评分与用量!$A$2:$A$634,$A13,评分与用量!$B$2:$B$634,"第一轮",评分与用量!$C$2:$C$634,"S分项",评分与用量!$J$2:$J$634,"D*")),IF($B$3="第二轮",IF(COUNTIFS(评分与用量!$A$2:$A$634,$A13,评分与用量!$B$2:$B$634,"第二轮",评分与用量!$C$2:$C$634,"S分项",评分与用量!$J$2:$J$634,"D*")=0,"",SUMIFS(评分与用量!$E$2:$E$634,评分与用量!$A$2:$A$634,$A13,评分与用量!$B$2:$B$634,"第二轮",评分与用量!$C$2:$C$634,"S分项",评分与用量!$J$2:$J$634,"D*")),IF(OR(IF(COUNTIFS(评分与用量!$A$2:$A$634,$A13,评分与用量!$B$2:$B$634,"第一轮",评分与用量!$C$2:$C$634,"S分项",评分与用量!$J$2:$J$634,"D*")=0,"",SUMIFS(评分与用量!$E$2:$E$634,评分与用量!$A$2:$A$634,$A13,评分与用量!$B$2:$B$634,"第一轮",评分与用量!$C$2:$C$634,"S分项",评分与用量!$J$2:$J$634,"D*"))="",IF(COUNTIFS(评分与用量!$A$2:$A$634,$A13,评分与用量!$B$2:$B$634,"第二轮",评分与用量!$C$2:$C$634,"S分项",评分与用量!$J$2:$J$634,"D*")=0,"",SUMIFS(评分与用量!$E$2:$E$634,评分与用量!$A$2:$A$634,$A13,评分与用量!$B$2:$B$634,"第二轮",评分与用量!$C$2:$C$634,"S分项",评分与用量!$J$2:$J$634,"D*"))=""),"",(IF(COUNTIFS(评分与用量!$A$2:$A$634,$A13,评分与用量!$B$2:$B$634,"第二轮",评分与用量!$C$2:$C$634,"S分项",评分与用量!$J$2:$J$634,"D*")=0,"",SUMIFS(评分与用量!$E$2:$E$634,评分与用量!$A$2:$A$634,$A13,评分与用量!$B$2:$B$634,"第二轮",评分与用量!$C$2:$C$634,"S分项",评分与用量!$J$2:$J$634,"D*")))-(IF(COUNTIFS(评分与用量!$A$2:$A$634,$A13,评分与用量!$B$2:$B$634,"第一轮",评分与用量!$C$2:$C$634,"S分项",评分与用量!$J$2:$J$634,"D*")=0,"",SUMIFS(评分与用量!$E$2:$E$634,评分与用量!$A$2:$A$634,$A13,评分与用量!$B$2:$B$634,"第一轮",评分与用量!$C$2:$C$634,"S分项",评分与用量!$J$2:$J$634,"D*")))))))/25,IF($B$3="两轮变化","+0.0%;-0.0%;0.0%","0.0%")),(IF($B$3="第一轮",IF(COUNTIFS(评分与用量!$A$2:$A$634,$A13,评分与用量!$B$2:$B$634,"第一轮",评分与用量!$C$2:$C$634,"S分项",评分与用量!$J$2:$J$634,"D*")=0,"",SUMIFS(评分与用量!$E$2:$E$634,评分与用量!$A$2:$A$634,$A13,评分与用量!$B$2:$B$634,"第一轮",评分与用量!$C$2:$C$634,"S分项",评分与用量!$J$2:$J$634,"D*")),IF($B$3="第二轮",IF(COUNTIFS(评分与用量!$A$2:$A$634,$A13,评分与用量!$B$2:$B$634,"第二轮",评分与用量!$C$2:$C$634,"S分项",评分与用量!$J$2:$J$634,"D*")=0,"",SUMIFS(评分与用量!$E$2:$E$634,评分与用量!$A$2:$A$634,$A13,评分与用量!$B$2:$B$634,"第二轮",评分与用量!$C$2:$C$634,"S分项",评分与用量!$J$2:$J$634,"D*")),IF(OR(IF(COUNTIFS(评分与用量!$A$2:$A$634,$A13,评分与用量!$B$2:$B$634,"第一轮",评分与用量!$C$2:$C$634,"S分项",评分与用量!$J$2:$J$634,"D*")=0,"",SUMIFS(评分与用量!$E$2:$E$634,评分与用量!$A$2:$A$634,$A13,评分与用量!$B$2:$B$634,"第一轮",评分与用量!$C$2:$C$634,"S分项",评分与用量!$J$2:$J$634,"D*"))="",IF(COUNTIFS(评分与用量!$A$2:$A$634,$A13,评分与用量!$B$2:$B$634,"第二轮",评分与用量!$C$2:$C$634,"S分项",评分与用量!$J$2:$J$634,"D*")=0,"",SUMIFS(评分与用量!$E$2:$E$634,评分与用量!$A$2:$A$634,$A13,评分与用量!$B$2:$B$634,"第二轮",评分与用量!$C$2:$C$634,"S分项",评分与用量!$J$2:$J$634,"D*"))=""),"",(IF(COUNTIFS(评分与用量!$A$2:$A$634,$A13,评分与用量!$B$2:$B$634,"第二轮",评分与用量!$C$2:$C$634,"S分项",评分与用量!$J$2:$J$634,"D*")=0,"",SUMIFS(评分与用量!$E$2:$E$634,评分与用量!$A$2:$A$634,$A13,评分与用量!$B$2:$B$634,"第二轮",评分与用量!$C$2:$C$634,"S分项",评分与用量!$J$2:$J$634,"D*")))-(IF(COUNTIFS(评分与用量!$A$2:$A$634,$A13,评分与用量!$B$2:$B$634,"第一轮",评分与用量!$C$2:$C$634,"S分项",评分与用量!$J$2:$J$634,"D*")=0,"",SUMIFS(评分与用量!$E$2:$E$634,评分与用量!$A$2:$A$634,$A13,评分与用量!$B$2:$B$634,"第一轮",评分与用量!$C$2:$C$634,"S分项",评分与用量!$J$2:$J$634,"D*")))))))))</f>
        <v/>
      </c>
      <c r="F13" s="77" t="str">
        <f>IF((IF($B$3="第一轮",IF(COUNTIFS(评分与用量!$A$2:$A$634,$A13,评分与用量!$B$2:$B$634,"第一轮",评分与用量!$C$2:$C$634,"S分项",评分与用量!$J$2:$J$634,"E*")=0,"",SUMIFS(评分与用量!$E$2:$E$634,评分与用量!$A$2:$A$634,$A13,评分与用量!$B$2:$B$634,"第一轮",评分与用量!$C$2:$C$634,"S分项",评分与用量!$J$2:$J$634,"E*")),IF($B$3="第二轮",IF(COUNTIFS(评分与用量!$A$2:$A$634,$A13,评分与用量!$B$2:$B$634,"第二轮",评分与用量!$C$2:$C$634,"S分项",评分与用量!$J$2:$J$634,"E*")=0,"",SUMIFS(评分与用量!$E$2:$E$634,评分与用量!$A$2:$A$634,$A13,评分与用量!$B$2:$B$634,"第二轮",评分与用量!$C$2:$C$634,"S分项",评分与用量!$J$2:$J$634,"E*")),IF(OR(IF(COUNTIFS(评分与用量!$A$2:$A$634,$A13,评分与用量!$B$2:$B$634,"第一轮",评分与用量!$C$2:$C$634,"S分项",评分与用量!$J$2:$J$634,"E*")=0,"",SUMIFS(评分与用量!$E$2:$E$634,评分与用量!$A$2:$A$634,$A13,评分与用量!$B$2:$B$634,"第一轮",评分与用量!$C$2:$C$634,"S分项",评分与用量!$J$2:$J$634,"E*"))="",IF(COUNTIFS(评分与用量!$A$2:$A$634,$A13,评分与用量!$B$2:$B$634,"第二轮",评分与用量!$C$2:$C$634,"S分项",评分与用量!$J$2:$J$634,"E*")=0,"",SUMIFS(评分与用量!$E$2:$E$634,评分与用量!$A$2:$A$634,$A13,评分与用量!$B$2:$B$634,"第二轮",评分与用量!$C$2:$C$634,"S分项",评分与用量!$J$2:$J$634,"E*"))=""),"",(IF(COUNTIFS(评分与用量!$A$2:$A$634,$A13,评分与用量!$B$2:$B$634,"第二轮",评分与用量!$C$2:$C$634,"S分项",评分与用量!$J$2:$J$634,"E*")=0,"",SUMIFS(评分与用量!$E$2:$E$634,评分与用量!$A$2:$A$634,$A13,评分与用量!$B$2:$B$634,"第二轮",评分与用量!$C$2:$C$634,"S分项",评分与用量!$J$2:$J$634,"E*")))-(IF(COUNTIFS(评分与用量!$A$2:$A$634,$A13,评分与用量!$B$2:$B$634,"第一轮",评分与用量!$C$2:$C$634,"S分项",评分与用量!$J$2:$J$634,"E*")=0,"",SUMIFS(评分与用量!$E$2:$E$634,评分与用量!$A$2:$A$634,$A13,评分与用量!$B$2:$B$634,"第一轮",评分与用量!$C$2:$C$634,"S分项",评分与用量!$J$2:$J$634,"E*")))))))="","",IF($F$3="得分率",TEXT((IF($B$3="第一轮",IF(COUNTIFS(评分与用量!$A$2:$A$634,$A13,评分与用量!$B$2:$B$634,"第一轮",评分与用量!$C$2:$C$634,"S分项",评分与用量!$J$2:$J$634,"E*")=0,"",SUMIFS(评分与用量!$E$2:$E$634,评分与用量!$A$2:$A$634,$A13,评分与用量!$B$2:$B$634,"第一轮",评分与用量!$C$2:$C$634,"S分项",评分与用量!$J$2:$J$634,"E*")),IF($B$3="第二轮",IF(COUNTIFS(评分与用量!$A$2:$A$634,$A13,评分与用量!$B$2:$B$634,"第二轮",评分与用量!$C$2:$C$634,"S分项",评分与用量!$J$2:$J$634,"E*")=0,"",SUMIFS(评分与用量!$E$2:$E$634,评分与用量!$A$2:$A$634,$A13,评分与用量!$B$2:$B$634,"第二轮",评分与用量!$C$2:$C$634,"S分项",评分与用量!$J$2:$J$634,"E*")),IF(OR(IF(COUNTIFS(评分与用量!$A$2:$A$634,$A13,评分与用量!$B$2:$B$634,"第一轮",评分与用量!$C$2:$C$634,"S分项",评分与用量!$J$2:$J$634,"E*")=0,"",SUMIFS(评分与用量!$E$2:$E$634,评分与用量!$A$2:$A$634,$A13,评分与用量!$B$2:$B$634,"第一轮",评分与用量!$C$2:$C$634,"S分项",评分与用量!$J$2:$J$634,"E*"))="",IF(COUNTIFS(评分与用量!$A$2:$A$634,$A13,评分与用量!$B$2:$B$634,"第二轮",评分与用量!$C$2:$C$634,"S分项",评分与用量!$J$2:$J$634,"E*")=0,"",SUMIFS(评分与用量!$E$2:$E$634,评分与用量!$A$2:$A$634,$A13,评分与用量!$B$2:$B$634,"第二轮",评分与用量!$C$2:$C$634,"S分项",评分与用量!$J$2:$J$634,"E*"))=""),"",(IF(COUNTIFS(评分与用量!$A$2:$A$634,$A13,评分与用量!$B$2:$B$634,"第二轮",评分与用量!$C$2:$C$634,"S分项",评分与用量!$J$2:$J$634,"E*")=0,"",SUMIFS(评分与用量!$E$2:$E$634,评分与用量!$A$2:$A$634,$A13,评分与用量!$B$2:$B$634,"第二轮",评分与用量!$C$2:$C$634,"S分项",评分与用量!$J$2:$J$634,"E*")))-(IF(COUNTIFS(评分与用量!$A$2:$A$634,$A13,评分与用量!$B$2:$B$634,"第一轮",评分与用量!$C$2:$C$634,"S分项",评分与用量!$J$2:$J$634,"E*")=0,"",SUMIFS(评分与用量!$E$2:$E$634,评分与用量!$A$2:$A$634,$A13,评分与用量!$B$2:$B$634,"第一轮",评分与用量!$C$2:$C$634,"S分项",评分与用量!$J$2:$J$634,"E*")))))))/10,IF($B$3="两轮变化","+0.0%;-0.0%;0.0%","0.0%")),(IF($B$3="第一轮",IF(COUNTIFS(评分与用量!$A$2:$A$634,$A13,评分与用量!$B$2:$B$634,"第一轮",评分与用量!$C$2:$C$634,"S分项",评分与用量!$J$2:$J$634,"E*")=0,"",SUMIFS(评分与用量!$E$2:$E$634,评分与用量!$A$2:$A$634,$A13,评分与用量!$B$2:$B$634,"第一轮",评分与用量!$C$2:$C$634,"S分项",评分与用量!$J$2:$J$634,"E*")),IF($B$3="第二轮",IF(COUNTIFS(评分与用量!$A$2:$A$634,$A13,评分与用量!$B$2:$B$634,"第二轮",评分与用量!$C$2:$C$634,"S分项",评分与用量!$J$2:$J$634,"E*")=0,"",SUMIFS(评分与用量!$E$2:$E$634,评分与用量!$A$2:$A$634,$A13,评分与用量!$B$2:$B$634,"第二轮",评分与用量!$C$2:$C$634,"S分项",评分与用量!$J$2:$J$634,"E*")),IF(OR(IF(COUNTIFS(评分与用量!$A$2:$A$634,$A13,评分与用量!$B$2:$B$634,"第一轮",评分与用量!$C$2:$C$634,"S分项",评分与用量!$J$2:$J$634,"E*")=0,"",SUMIFS(评分与用量!$E$2:$E$634,评分与用量!$A$2:$A$634,$A13,评分与用量!$B$2:$B$634,"第一轮",评分与用量!$C$2:$C$634,"S分项",评分与用量!$J$2:$J$634,"E*"))="",IF(COUNTIFS(评分与用量!$A$2:$A$634,$A13,评分与用量!$B$2:$B$634,"第二轮",评分与用量!$C$2:$C$634,"S分项",评分与用量!$J$2:$J$634,"E*")=0,"",SUMIFS(评分与用量!$E$2:$E$634,评分与用量!$A$2:$A$634,$A13,评分与用量!$B$2:$B$634,"第二轮",评分与用量!$C$2:$C$634,"S分项",评分与用量!$J$2:$J$634,"E*"))=""),"",(IF(COUNTIFS(评分与用量!$A$2:$A$634,$A13,评分与用量!$B$2:$B$634,"第二轮",评分与用量!$C$2:$C$634,"S分项",评分与用量!$J$2:$J$634,"E*")=0,"",SUMIFS(评分与用量!$E$2:$E$634,评分与用量!$A$2:$A$634,$A13,评分与用量!$B$2:$B$634,"第二轮",评分与用量!$C$2:$C$634,"S分项",评分与用量!$J$2:$J$634,"E*")))-(IF(COUNTIFS(评分与用量!$A$2:$A$634,$A13,评分与用量!$B$2:$B$634,"第一轮",评分与用量!$C$2:$C$634,"S分项",评分与用量!$J$2:$J$634,"E*")=0,"",SUMIFS(评分与用量!$E$2:$E$634,评分与用量!$A$2:$A$634,$A13,评分与用量!$B$2:$B$634,"第一轮",评分与用量!$C$2:$C$634,"S分项",评分与用量!$J$2:$J$634,"E*")))))))))</f>
        <v/>
      </c>
      <c r="G13" s="77" t="str">
        <f>IF((IF($B$3="第一轮",IF(COUNTIFS(评分与用量!$A$2:$A$634,$A13,评分与用量!$B$2:$B$634,"第一轮",评分与用量!$C$2:$C$634,"S分项",评分与用量!$J$2:$J$634,"F*")=0,"",SUMIFS(评分与用量!$E$2:$E$634,评分与用量!$A$2:$A$634,$A13,评分与用量!$B$2:$B$634,"第一轮",评分与用量!$C$2:$C$634,"S分项",评分与用量!$J$2:$J$634,"F*")),IF($B$3="第二轮",IF(COUNTIFS(评分与用量!$A$2:$A$634,$A13,评分与用量!$B$2:$B$634,"第二轮",评分与用量!$C$2:$C$634,"S分项",评分与用量!$J$2:$J$634,"F*")=0,"",SUMIFS(评分与用量!$E$2:$E$634,评分与用量!$A$2:$A$634,$A13,评分与用量!$B$2:$B$634,"第二轮",评分与用量!$C$2:$C$634,"S分项",评分与用量!$J$2:$J$634,"F*")),IF(OR(IF(COUNTIFS(评分与用量!$A$2:$A$634,$A13,评分与用量!$B$2:$B$634,"第一轮",评分与用量!$C$2:$C$634,"S分项",评分与用量!$J$2:$J$634,"F*")=0,"",SUMIFS(评分与用量!$E$2:$E$634,评分与用量!$A$2:$A$634,$A13,评分与用量!$B$2:$B$634,"第一轮",评分与用量!$C$2:$C$634,"S分项",评分与用量!$J$2:$J$634,"F*"))="",IF(COUNTIFS(评分与用量!$A$2:$A$634,$A13,评分与用量!$B$2:$B$634,"第二轮",评分与用量!$C$2:$C$634,"S分项",评分与用量!$J$2:$J$634,"F*")=0,"",SUMIFS(评分与用量!$E$2:$E$634,评分与用量!$A$2:$A$634,$A13,评分与用量!$B$2:$B$634,"第二轮",评分与用量!$C$2:$C$634,"S分项",评分与用量!$J$2:$J$634,"F*"))=""),"",(IF(COUNTIFS(评分与用量!$A$2:$A$634,$A13,评分与用量!$B$2:$B$634,"第二轮",评分与用量!$C$2:$C$634,"S分项",评分与用量!$J$2:$J$634,"F*")=0,"",SUMIFS(评分与用量!$E$2:$E$634,评分与用量!$A$2:$A$634,$A13,评分与用量!$B$2:$B$634,"第二轮",评分与用量!$C$2:$C$634,"S分项",评分与用量!$J$2:$J$634,"F*")))-(IF(COUNTIFS(评分与用量!$A$2:$A$634,$A13,评分与用量!$B$2:$B$634,"第一轮",评分与用量!$C$2:$C$634,"S分项",评分与用量!$J$2:$J$634,"F*")=0,"",SUMIFS(评分与用量!$E$2:$E$634,评分与用量!$A$2:$A$634,$A13,评分与用量!$B$2:$B$634,"第一轮",评分与用量!$C$2:$C$634,"S分项",评分与用量!$J$2:$J$634,"F*")))))))="","",IF($F$3="得分率",TEXT((IF($B$3="第一轮",IF(COUNTIFS(评分与用量!$A$2:$A$634,$A13,评分与用量!$B$2:$B$634,"第一轮",评分与用量!$C$2:$C$634,"S分项",评分与用量!$J$2:$J$634,"F*")=0,"",SUMIFS(评分与用量!$E$2:$E$634,评分与用量!$A$2:$A$634,$A13,评分与用量!$B$2:$B$634,"第一轮",评分与用量!$C$2:$C$634,"S分项",评分与用量!$J$2:$J$634,"F*")),IF($B$3="第二轮",IF(COUNTIFS(评分与用量!$A$2:$A$634,$A13,评分与用量!$B$2:$B$634,"第二轮",评分与用量!$C$2:$C$634,"S分项",评分与用量!$J$2:$J$634,"F*")=0,"",SUMIFS(评分与用量!$E$2:$E$634,评分与用量!$A$2:$A$634,$A13,评分与用量!$B$2:$B$634,"第二轮",评分与用量!$C$2:$C$634,"S分项",评分与用量!$J$2:$J$634,"F*")),IF(OR(IF(COUNTIFS(评分与用量!$A$2:$A$634,$A13,评分与用量!$B$2:$B$634,"第一轮",评分与用量!$C$2:$C$634,"S分项",评分与用量!$J$2:$J$634,"F*")=0,"",SUMIFS(评分与用量!$E$2:$E$634,评分与用量!$A$2:$A$634,$A13,评分与用量!$B$2:$B$634,"第一轮",评分与用量!$C$2:$C$634,"S分项",评分与用量!$J$2:$J$634,"F*"))="",IF(COUNTIFS(评分与用量!$A$2:$A$634,$A13,评分与用量!$B$2:$B$634,"第二轮",评分与用量!$C$2:$C$634,"S分项",评分与用量!$J$2:$J$634,"F*")=0,"",SUMIFS(评分与用量!$E$2:$E$634,评分与用量!$A$2:$A$634,$A13,评分与用量!$B$2:$B$634,"第二轮",评分与用量!$C$2:$C$634,"S分项",评分与用量!$J$2:$J$634,"F*"))=""),"",(IF(COUNTIFS(评分与用量!$A$2:$A$634,$A13,评分与用量!$B$2:$B$634,"第二轮",评分与用量!$C$2:$C$634,"S分项",评分与用量!$J$2:$J$634,"F*")=0,"",SUMIFS(评分与用量!$E$2:$E$634,评分与用量!$A$2:$A$634,$A13,评分与用量!$B$2:$B$634,"第二轮",评分与用量!$C$2:$C$634,"S分项",评分与用量!$J$2:$J$634,"F*")))-(IF(COUNTIFS(评分与用量!$A$2:$A$634,$A13,评分与用量!$B$2:$B$634,"第一轮",评分与用量!$C$2:$C$634,"S分项",评分与用量!$J$2:$J$634,"F*")=0,"",SUMIFS(评分与用量!$E$2:$E$634,评分与用量!$A$2:$A$634,$A13,评分与用量!$B$2:$B$634,"第一轮",评分与用量!$C$2:$C$634,"S分项",评分与用量!$J$2:$J$634,"F*")))))))/10,IF($B$3="两轮变化","+0.0%;-0.0%;0.0%","0.0%")),(IF($B$3="第一轮",IF(COUNTIFS(评分与用量!$A$2:$A$634,$A13,评分与用量!$B$2:$B$634,"第一轮",评分与用量!$C$2:$C$634,"S分项",评分与用量!$J$2:$J$634,"F*")=0,"",SUMIFS(评分与用量!$E$2:$E$634,评分与用量!$A$2:$A$634,$A13,评分与用量!$B$2:$B$634,"第一轮",评分与用量!$C$2:$C$634,"S分项",评分与用量!$J$2:$J$634,"F*")),IF($B$3="第二轮",IF(COUNTIFS(评分与用量!$A$2:$A$634,$A13,评分与用量!$B$2:$B$634,"第二轮",评分与用量!$C$2:$C$634,"S分项",评分与用量!$J$2:$J$634,"F*")=0,"",SUMIFS(评分与用量!$E$2:$E$634,评分与用量!$A$2:$A$634,$A13,评分与用量!$B$2:$B$634,"第二轮",评分与用量!$C$2:$C$634,"S分项",评分与用量!$J$2:$J$634,"F*")),IF(OR(IF(COUNTIFS(评分与用量!$A$2:$A$634,$A13,评分与用量!$B$2:$B$634,"第一轮",评分与用量!$C$2:$C$634,"S分项",评分与用量!$J$2:$J$634,"F*")=0,"",SUMIFS(评分与用量!$E$2:$E$634,评分与用量!$A$2:$A$634,$A13,评分与用量!$B$2:$B$634,"第一轮",评分与用量!$C$2:$C$634,"S分项",评分与用量!$J$2:$J$634,"F*"))="",IF(COUNTIFS(评分与用量!$A$2:$A$634,$A13,评分与用量!$B$2:$B$634,"第二轮",评分与用量!$C$2:$C$634,"S分项",评分与用量!$J$2:$J$634,"F*")=0,"",SUMIFS(评分与用量!$E$2:$E$634,评分与用量!$A$2:$A$634,$A13,评分与用量!$B$2:$B$634,"第二轮",评分与用量!$C$2:$C$634,"S分项",评分与用量!$J$2:$J$634,"F*"))=""),"",(IF(COUNTIFS(评分与用量!$A$2:$A$634,$A13,评分与用量!$B$2:$B$634,"第二轮",评分与用量!$C$2:$C$634,"S分项",评分与用量!$J$2:$J$634,"F*")=0,"",SUMIFS(评分与用量!$E$2:$E$634,评分与用量!$A$2:$A$634,$A13,评分与用量!$B$2:$B$634,"第二轮",评分与用量!$C$2:$C$634,"S分项",评分与用量!$J$2:$J$634,"F*")))-(IF(COUNTIFS(评分与用量!$A$2:$A$634,$A13,评分与用量!$B$2:$B$634,"第一轮",评分与用量!$C$2:$C$634,"S分项",评分与用量!$J$2:$J$634,"F*")=0,"",SUMIFS(评分与用量!$E$2:$E$634,评分与用量!$A$2:$A$634,$A13,评分与用量!$B$2:$B$634,"第一轮",评分与用量!$C$2:$C$634,"S分项",评分与用量!$J$2:$J$634,"F*")))))))))</f>
        <v/>
      </c>
      <c r="H13" s="77" t="str">
        <f>IF((IF($B$3="第一轮",IF(COUNTIFS(评分与用量!$A$2:$A$634,$A13,评分与用量!$B$2:$B$634,"第一轮",评分与用量!$C$2:$C$634,"S分项")=0,"",SUMIFS(评分与用量!$E$2:$E$634,评分与用量!$A$2:$A$634,$A13,评分与用量!$B$2:$B$634,"第一轮",评分与用量!$C$2:$C$634,"S分项")),IF($B$3="第二轮",IF(COUNTIFS(评分与用量!$A$2:$A$634,$A13,评分与用量!$B$2:$B$634,"第二轮",评分与用量!$C$2:$C$634,"S分项")=0,"",SUMIFS(评分与用量!$E$2:$E$634,评分与用量!$A$2:$A$634,$A13,评分与用量!$B$2:$B$634,"第二轮",评分与用量!$C$2:$C$634,"S分项")),IF(OR(IF(COUNTIFS(评分与用量!$A$2:$A$634,$A13,评分与用量!$B$2:$B$634,"第一轮",评分与用量!$C$2:$C$634,"S分项")=0,"",SUMIFS(评分与用量!$E$2:$E$634,评分与用量!$A$2:$A$634,$A13,评分与用量!$B$2:$B$634,"第一轮",评分与用量!$C$2:$C$634,"S分项"))="",IF(COUNTIFS(评分与用量!$A$2:$A$634,$A13,评分与用量!$B$2:$B$634,"第二轮",评分与用量!$C$2:$C$634,"S分项")=0,"",SUMIFS(评分与用量!$E$2:$E$634,评分与用量!$A$2:$A$634,$A13,评分与用量!$B$2:$B$634,"第二轮",评分与用量!$C$2:$C$634,"S分项"))=""),"",(IF(COUNTIFS(评分与用量!$A$2:$A$634,$A13,评分与用量!$B$2:$B$634,"第二轮",评分与用量!$C$2:$C$634,"S分项")=0,"",SUMIFS(评分与用量!$E$2:$E$634,评分与用量!$A$2:$A$634,$A13,评分与用量!$B$2:$B$634,"第二轮",评分与用量!$C$2:$C$634,"S分项")))-(IF(COUNTIFS(评分与用量!$A$2:$A$634,$A13,评分与用量!$B$2:$B$634,"第一轮",评分与用量!$C$2:$C$634,"S分项")=0,"",SUMIFS(评分与用量!$E$2:$E$634,评分与用量!$A$2:$A$634,$A13,评分与用量!$B$2:$B$634,"第一轮",评分与用量!$C$2:$C$634,"S分项")))))))="","",IF($F$3="得分率",TEXT((IF($B$3="第一轮",IF(COUNTIFS(评分与用量!$A$2:$A$634,$A13,评分与用量!$B$2:$B$634,"第一轮",评分与用量!$C$2:$C$634,"S分项")=0,"",SUMIFS(评分与用量!$E$2:$E$634,评分与用量!$A$2:$A$634,$A13,评分与用量!$B$2:$B$634,"第一轮",评分与用量!$C$2:$C$634,"S分项")),IF($B$3="第二轮",IF(COUNTIFS(评分与用量!$A$2:$A$634,$A13,评分与用量!$B$2:$B$634,"第二轮",评分与用量!$C$2:$C$634,"S分项")=0,"",SUMIFS(评分与用量!$E$2:$E$634,评分与用量!$A$2:$A$634,$A13,评分与用量!$B$2:$B$634,"第二轮",评分与用量!$C$2:$C$634,"S分项")),IF(OR(IF(COUNTIFS(评分与用量!$A$2:$A$634,$A13,评分与用量!$B$2:$B$634,"第一轮",评分与用量!$C$2:$C$634,"S分项")=0,"",SUMIFS(评分与用量!$E$2:$E$634,评分与用量!$A$2:$A$634,$A13,评分与用量!$B$2:$B$634,"第一轮",评分与用量!$C$2:$C$634,"S分项"))="",IF(COUNTIFS(评分与用量!$A$2:$A$634,$A13,评分与用量!$B$2:$B$634,"第二轮",评分与用量!$C$2:$C$634,"S分项")=0,"",SUMIFS(评分与用量!$E$2:$E$634,评分与用量!$A$2:$A$634,$A13,评分与用量!$B$2:$B$634,"第二轮",评分与用量!$C$2:$C$634,"S分项"))=""),"",(IF(COUNTIFS(评分与用量!$A$2:$A$634,$A13,评分与用量!$B$2:$B$634,"第二轮",评分与用量!$C$2:$C$634,"S分项")=0,"",SUMIFS(评分与用量!$E$2:$E$634,评分与用量!$A$2:$A$634,$A13,评分与用量!$B$2:$B$634,"第二轮",评分与用量!$C$2:$C$634,"S分项")))-(IF(COUNTIFS(评分与用量!$A$2:$A$634,$A13,评分与用量!$B$2:$B$634,"第一轮",评分与用量!$C$2:$C$634,"S分项")=0,"",SUMIFS(评分与用量!$E$2:$E$634,评分与用量!$A$2:$A$634,$A13,评分与用量!$B$2:$B$634,"第一轮",评分与用量!$C$2:$C$634,"S分项")))))))/100,IF($B$3="两轮变化","+0.0%;-0.0%;0.0%","0.0%")),(IF($B$3="第一轮",IF(COUNTIFS(评分与用量!$A$2:$A$634,$A13,评分与用量!$B$2:$B$634,"第一轮",评分与用量!$C$2:$C$634,"S分项")=0,"",SUMIFS(评分与用量!$E$2:$E$634,评分与用量!$A$2:$A$634,$A13,评分与用量!$B$2:$B$634,"第一轮",评分与用量!$C$2:$C$634,"S分项")),IF($B$3="第二轮",IF(COUNTIFS(评分与用量!$A$2:$A$634,$A13,评分与用量!$B$2:$B$634,"第二轮",评分与用量!$C$2:$C$634,"S分项")=0,"",SUMIFS(评分与用量!$E$2:$E$634,评分与用量!$A$2:$A$634,$A13,评分与用量!$B$2:$B$634,"第二轮",评分与用量!$C$2:$C$634,"S分项")),IF(OR(IF(COUNTIFS(评分与用量!$A$2:$A$634,$A13,评分与用量!$B$2:$B$634,"第一轮",评分与用量!$C$2:$C$634,"S分项")=0,"",SUMIFS(评分与用量!$E$2:$E$634,评分与用量!$A$2:$A$634,$A13,评分与用量!$B$2:$B$634,"第一轮",评分与用量!$C$2:$C$634,"S分项"))="",IF(COUNTIFS(评分与用量!$A$2:$A$634,$A13,评分与用量!$B$2:$B$634,"第二轮",评分与用量!$C$2:$C$634,"S分项")=0,"",SUMIFS(评分与用量!$E$2:$E$634,评分与用量!$A$2:$A$634,$A13,评分与用量!$B$2:$B$634,"第二轮",评分与用量!$C$2:$C$634,"S分项"))=""),"",(IF(COUNTIFS(评分与用量!$A$2:$A$634,$A13,评分与用量!$B$2:$B$634,"第二轮",评分与用量!$C$2:$C$634,"S分项")=0,"",SUMIFS(评分与用量!$E$2:$E$634,评分与用量!$A$2:$A$634,$A13,评分与用量!$B$2:$B$634,"第二轮",评分与用量!$C$2:$C$634,"S分项")))-(IF(COUNTIFS(评分与用量!$A$2:$A$634,$A13,评分与用量!$B$2:$B$634,"第一轮",评分与用量!$C$2:$C$634,"S分项")=0,"",SUMIFS(评分与用量!$E$2:$E$634,评分与用量!$A$2:$A$634,$A13,评分与用量!$B$2:$B$634,"第一轮",评分与用量!$C$2:$C$634,"S分项")))))))))</f>
        <v/>
      </c>
    </row>
    <row r="15" spans="1:8" ht="22.05" customHeight="1">
      <c r="A15" s="79" t="s">
        <v>3741</v>
      </c>
      <c r="B15" s="82">
        <f>IF($F$3="得分率",TEXT((IF($B$3="第一轮",SUMIFS(评分与用量!$E$2:$E$634,评分与用量!$A$2:$A$634,"&lt;&gt;Claude",评分与用量!$A$2:$A$634,"&lt;&gt;Kimi",评分与用量!$B$2:$B$634,"第一轮",评分与用量!$C$2:$C$634,"S分项",评分与用量!$J$2:$J$634,"A*")/6,IF($B$3="第二轮",SUMIFS(评分与用量!$E$2:$E$634,评分与用量!$A$2:$A$634,"&lt;&gt;Claude",评分与用量!$A$2:$A$634,"&lt;&gt;Kimi",评分与用量!$B$2:$B$634,"第二轮",评分与用量!$C$2:$C$634,"S分项",评分与用量!$J$2:$J$634,"A*")/6,(SUMIFS(评分与用量!$E$2:$E$634,评分与用量!$A$2:$A$634,"&lt;&gt;Claude",评分与用量!$A$2:$A$634,"&lt;&gt;Kimi",评分与用量!$B$2:$B$634,"第二轮",评分与用量!$C$2:$C$634,"S分项",评分与用量!$J$2:$J$634,"A*")/6)-(SUMIFS(评分与用量!$E$2:$E$634,评分与用量!$A$2:$A$634,"&lt;&gt;Claude",评分与用量!$A$2:$A$634,"&lt;&gt;Kimi",评分与用量!$B$2:$B$634,"第一轮",评分与用量!$C$2:$C$634,"S分项",评分与用量!$J$2:$J$634,"A*")/6))))/15,IF($B$3="两轮变化","+0.0%;-0.0%;0.0%","0.0%")),(IF($B$3="第一轮",SUMIFS(评分与用量!$E$2:$E$634,评分与用量!$A$2:$A$634,"&lt;&gt;Claude",评分与用量!$A$2:$A$634,"&lt;&gt;Kimi",评分与用量!$B$2:$B$634,"第一轮",评分与用量!$C$2:$C$634,"S分项",评分与用量!$J$2:$J$634,"A*")/6,IF($B$3="第二轮",SUMIFS(评分与用量!$E$2:$E$634,评分与用量!$A$2:$A$634,"&lt;&gt;Claude",评分与用量!$A$2:$A$634,"&lt;&gt;Kimi",评分与用量!$B$2:$B$634,"第二轮",评分与用量!$C$2:$C$634,"S分项",评分与用量!$J$2:$J$634,"A*")/6,(SUMIFS(评分与用量!$E$2:$E$634,评分与用量!$A$2:$A$634,"&lt;&gt;Claude",评分与用量!$A$2:$A$634,"&lt;&gt;Kimi",评分与用量!$B$2:$B$634,"第二轮",评分与用量!$C$2:$C$634,"S分项",评分与用量!$J$2:$J$634,"A*")/6)-(SUMIFS(评分与用量!$E$2:$E$634,评分与用量!$A$2:$A$634,"&lt;&gt;Claude",评分与用量!$A$2:$A$634,"&lt;&gt;Kimi",评分与用量!$B$2:$B$634,"第一轮",评分与用量!$C$2:$C$634,"S分项",评分与用量!$J$2:$J$634,"A*")/6)))))</f>
        <v>13.333333333333334</v>
      </c>
      <c r="C15" s="82">
        <f>IF($F$3="得分率",TEXT((IF($B$3="第一轮",SUMIFS(评分与用量!$E$2:$E$634,评分与用量!$A$2:$A$634,"&lt;&gt;Claude",评分与用量!$A$2:$A$634,"&lt;&gt;Kimi",评分与用量!$B$2:$B$634,"第一轮",评分与用量!$C$2:$C$634,"S分项",评分与用量!$J$2:$J$634,"B*")/6,IF($B$3="第二轮",SUMIFS(评分与用量!$E$2:$E$634,评分与用量!$A$2:$A$634,"&lt;&gt;Claude",评分与用量!$A$2:$A$634,"&lt;&gt;Kimi",评分与用量!$B$2:$B$634,"第二轮",评分与用量!$C$2:$C$634,"S分项",评分与用量!$J$2:$J$634,"B*")/6,(SUMIFS(评分与用量!$E$2:$E$634,评分与用量!$A$2:$A$634,"&lt;&gt;Claude",评分与用量!$A$2:$A$634,"&lt;&gt;Kimi",评分与用量!$B$2:$B$634,"第二轮",评分与用量!$C$2:$C$634,"S分项",评分与用量!$J$2:$J$634,"B*")/6)-(SUMIFS(评分与用量!$E$2:$E$634,评分与用量!$A$2:$A$634,"&lt;&gt;Claude",评分与用量!$A$2:$A$634,"&lt;&gt;Kimi",评分与用量!$B$2:$B$634,"第一轮",评分与用量!$C$2:$C$634,"S分项",评分与用量!$J$2:$J$634,"B*")/6))))/20,IF($B$3="两轮变化","+0.0%;-0.0%;0.0%","0.0%")),(IF($B$3="第一轮",SUMIFS(评分与用量!$E$2:$E$634,评分与用量!$A$2:$A$634,"&lt;&gt;Claude",评分与用量!$A$2:$A$634,"&lt;&gt;Kimi",评分与用量!$B$2:$B$634,"第一轮",评分与用量!$C$2:$C$634,"S分项",评分与用量!$J$2:$J$634,"B*")/6,IF($B$3="第二轮",SUMIFS(评分与用量!$E$2:$E$634,评分与用量!$A$2:$A$634,"&lt;&gt;Claude",评分与用量!$A$2:$A$634,"&lt;&gt;Kimi",评分与用量!$B$2:$B$634,"第二轮",评分与用量!$C$2:$C$634,"S分项",评分与用量!$J$2:$J$634,"B*")/6,(SUMIFS(评分与用量!$E$2:$E$634,评分与用量!$A$2:$A$634,"&lt;&gt;Claude",评分与用量!$A$2:$A$634,"&lt;&gt;Kimi",评分与用量!$B$2:$B$634,"第二轮",评分与用量!$C$2:$C$634,"S分项",评分与用量!$J$2:$J$634,"B*")/6)-(SUMIFS(评分与用量!$E$2:$E$634,评分与用量!$A$2:$A$634,"&lt;&gt;Claude",评分与用量!$A$2:$A$634,"&lt;&gt;Kimi",评分与用量!$B$2:$B$634,"第一轮",评分与用量!$C$2:$C$634,"S分项",评分与用量!$J$2:$J$634,"B*")/6)))))</f>
        <v>16</v>
      </c>
      <c r="D15" s="82">
        <f>IF($F$3="得分率",TEXT((IF($B$3="第一轮",SUMIFS(评分与用量!$E$2:$E$634,评分与用量!$A$2:$A$634,"&lt;&gt;Claude",评分与用量!$A$2:$A$634,"&lt;&gt;Kimi",评分与用量!$B$2:$B$634,"第一轮",评分与用量!$C$2:$C$634,"S分项",评分与用量!$J$2:$J$634,"C*")/6,IF($B$3="第二轮",SUMIFS(评分与用量!$E$2:$E$634,评分与用量!$A$2:$A$634,"&lt;&gt;Claude",评分与用量!$A$2:$A$634,"&lt;&gt;Kimi",评分与用量!$B$2:$B$634,"第二轮",评分与用量!$C$2:$C$634,"S分项",评分与用量!$J$2:$J$634,"C*")/6,(SUMIFS(评分与用量!$E$2:$E$634,评分与用量!$A$2:$A$634,"&lt;&gt;Claude",评分与用量!$A$2:$A$634,"&lt;&gt;Kimi",评分与用量!$B$2:$B$634,"第二轮",评分与用量!$C$2:$C$634,"S分项",评分与用量!$J$2:$J$634,"C*")/6)-(SUMIFS(评分与用量!$E$2:$E$634,评分与用量!$A$2:$A$634,"&lt;&gt;Claude",评分与用量!$A$2:$A$634,"&lt;&gt;Kimi",评分与用量!$B$2:$B$634,"第一轮",评分与用量!$C$2:$C$634,"S分项",评分与用量!$J$2:$J$634,"C*")/6))))/20,IF($B$3="两轮变化","+0.0%;-0.0%;0.0%","0.0%")),(IF($B$3="第一轮",SUMIFS(评分与用量!$E$2:$E$634,评分与用量!$A$2:$A$634,"&lt;&gt;Claude",评分与用量!$A$2:$A$634,"&lt;&gt;Kimi",评分与用量!$B$2:$B$634,"第一轮",评分与用量!$C$2:$C$634,"S分项",评分与用量!$J$2:$J$634,"C*")/6,IF($B$3="第二轮",SUMIFS(评分与用量!$E$2:$E$634,评分与用量!$A$2:$A$634,"&lt;&gt;Claude",评分与用量!$A$2:$A$634,"&lt;&gt;Kimi",评分与用量!$B$2:$B$634,"第二轮",评分与用量!$C$2:$C$634,"S分项",评分与用量!$J$2:$J$634,"C*")/6,(SUMIFS(评分与用量!$E$2:$E$634,评分与用量!$A$2:$A$634,"&lt;&gt;Claude",评分与用量!$A$2:$A$634,"&lt;&gt;Kimi",评分与用量!$B$2:$B$634,"第二轮",评分与用量!$C$2:$C$634,"S分项",评分与用量!$J$2:$J$634,"C*")/6)-(SUMIFS(评分与用量!$E$2:$E$634,评分与用量!$A$2:$A$634,"&lt;&gt;Claude",评分与用量!$A$2:$A$634,"&lt;&gt;Kimi",评分与用量!$B$2:$B$634,"第一轮",评分与用量!$C$2:$C$634,"S分项",评分与用量!$J$2:$J$634,"C*")/6)))))</f>
        <v>17.041666666666668</v>
      </c>
      <c r="E15" s="82">
        <f>IF($F$3="得分率",TEXT((IF($B$3="第一轮",SUMIFS(评分与用量!$E$2:$E$634,评分与用量!$A$2:$A$634,"&lt;&gt;Claude",评分与用量!$A$2:$A$634,"&lt;&gt;Kimi",评分与用量!$B$2:$B$634,"第一轮",评分与用量!$C$2:$C$634,"S分项",评分与用量!$J$2:$J$634,"D*")/6,IF($B$3="第二轮",SUMIFS(评分与用量!$E$2:$E$634,评分与用量!$A$2:$A$634,"&lt;&gt;Claude",评分与用量!$A$2:$A$634,"&lt;&gt;Kimi",评分与用量!$B$2:$B$634,"第二轮",评分与用量!$C$2:$C$634,"S分项",评分与用量!$J$2:$J$634,"D*")/6,(SUMIFS(评分与用量!$E$2:$E$634,评分与用量!$A$2:$A$634,"&lt;&gt;Claude",评分与用量!$A$2:$A$634,"&lt;&gt;Kimi",评分与用量!$B$2:$B$634,"第二轮",评分与用量!$C$2:$C$634,"S分项",评分与用量!$J$2:$J$634,"D*")/6)-(SUMIFS(评分与用量!$E$2:$E$634,评分与用量!$A$2:$A$634,"&lt;&gt;Claude",评分与用量!$A$2:$A$634,"&lt;&gt;Kimi",评分与用量!$B$2:$B$634,"第一轮",评分与用量!$C$2:$C$634,"S分项",评分与用量!$J$2:$J$634,"D*")/6))))/25,IF($B$3="两轮变化","+0.0%;-0.0%;0.0%","0.0%")),(IF($B$3="第一轮",SUMIFS(评分与用量!$E$2:$E$634,评分与用量!$A$2:$A$634,"&lt;&gt;Claude",评分与用量!$A$2:$A$634,"&lt;&gt;Kimi",评分与用量!$B$2:$B$634,"第一轮",评分与用量!$C$2:$C$634,"S分项",评分与用量!$J$2:$J$634,"D*")/6,IF($B$3="第二轮",SUMIFS(评分与用量!$E$2:$E$634,评分与用量!$A$2:$A$634,"&lt;&gt;Claude",评分与用量!$A$2:$A$634,"&lt;&gt;Kimi",评分与用量!$B$2:$B$634,"第二轮",评分与用量!$C$2:$C$634,"S分项",评分与用量!$J$2:$J$634,"D*")/6,(SUMIFS(评分与用量!$E$2:$E$634,评分与用量!$A$2:$A$634,"&lt;&gt;Claude",评分与用量!$A$2:$A$634,"&lt;&gt;Kimi",评分与用量!$B$2:$B$634,"第二轮",评分与用量!$C$2:$C$634,"S分项",评分与用量!$J$2:$J$634,"D*")/6)-(SUMIFS(评分与用量!$E$2:$E$634,评分与用量!$A$2:$A$634,"&lt;&gt;Claude",评分与用量!$A$2:$A$634,"&lt;&gt;Kimi",评分与用量!$B$2:$B$634,"第一轮",评分与用量!$C$2:$C$634,"S分项",评分与用量!$J$2:$J$634,"D*")/6)))))</f>
        <v>18.541666666666668</v>
      </c>
      <c r="F15" s="82">
        <f>IF($F$3="得分率",TEXT((IF($B$3="第一轮",SUMIFS(评分与用量!$E$2:$E$634,评分与用量!$A$2:$A$634,"&lt;&gt;Claude",评分与用量!$A$2:$A$634,"&lt;&gt;Kimi",评分与用量!$B$2:$B$634,"第一轮",评分与用量!$C$2:$C$634,"S分项",评分与用量!$J$2:$J$634,"E*")/6,IF($B$3="第二轮",SUMIFS(评分与用量!$E$2:$E$634,评分与用量!$A$2:$A$634,"&lt;&gt;Claude",评分与用量!$A$2:$A$634,"&lt;&gt;Kimi",评分与用量!$B$2:$B$634,"第二轮",评分与用量!$C$2:$C$634,"S分项",评分与用量!$J$2:$J$634,"E*")/6,(SUMIFS(评分与用量!$E$2:$E$634,评分与用量!$A$2:$A$634,"&lt;&gt;Claude",评分与用量!$A$2:$A$634,"&lt;&gt;Kimi",评分与用量!$B$2:$B$634,"第二轮",评分与用量!$C$2:$C$634,"S分项",评分与用量!$J$2:$J$634,"E*")/6)-(SUMIFS(评分与用量!$E$2:$E$634,评分与用量!$A$2:$A$634,"&lt;&gt;Claude",评分与用量!$A$2:$A$634,"&lt;&gt;Kimi",评分与用量!$B$2:$B$634,"第一轮",评分与用量!$C$2:$C$634,"S分项",评分与用量!$J$2:$J$634,"E*")/6))))/10,IF($B$3="两轮变化","+0.0%;-0.0%;0.0%","0.0%")),(IF($B$3="第一轮",SUMIFS(评分与用量!$E$2:$E$634,评分与用量!$A$2:$A$634,"&lt;&gt;Claude",评分与用量!$A$2:$A$634,"&lt;&gt;Kimi",评分与用量!$B$2:$B$634,"第一轮",评分与用量!$C$2:$C$634,"S分项",评分与用量!$J$2:$J$634,"E*")/6,IF($B$3="第二轮",SUMIFS(评分与用量!$E$2:$E$634,评分与用量!$A$2:$A$634,"&lt;&gt;Claude",评分与用量!$A$2:$A$634,"&lt;&gt;Kimi",评分与用量!$B$2:$B$634,"第二轮",评分与用量!$C$2:$C$634,"S分项",评分与用量!$J$2:$J$634,"E*")/6,(SUMIFS(评分与用量!$E$2:$E$634,评分与用量!$A$2:$A$634,"&lt;&gt;Claude",评分与用量!$A$2:$A$634,"&lt;&gt;Kimi",评分与用量!$B$2:$B$634,"第二轮",评分与用量!$C$2:$C$634,"S分项",评分与用量!$J$2:$J$634,"E*")/6)-(SUMIFS(评分与用量!$E$2:$E$634,评分与用量!$A$2:$A$634,"&lt;&gt;Claude",评分与用量!$A$2:$A$634,"&lt;&gt;Kimi",评分与用量!$B$2:$B$634,"第一轮",评分与用量!$C$2:$C$634,"S分项",评分与用量!$J$2:$J$634,"E*")/6)))))</f>
        <v>7.458333333333333</v>
      </c>
      <c r="G15" s="82">
        <f>IF($F$3="得分率",TEXT((IF($B$3="第一轮",SUMIFS(评分与用量!$E$2:$E$634,评分与用量!$A$2:$A$634,"&lt;&gt;Claude",评分与用量!$A$2:$A$634,"&lt;&gt;Kimi",评分与用量!$B$2:$B$634,"第一轮",评分与用量!$C$2:$C$634,"S分项",评分与用量!$J$2:$J$634,"F*")/6,IF($B$3="第二轮",SUMIFS(评分与用量!$E$2:$E$634,评分与用量!$A$2:$A$634,"&lt;&gt;Claude",评分与用量!$A$2:$A$634,"&lt;&gt;Kimi",评分与用量!$B$2:$B$634,"第二轮",评分与用量!$C$2:$C$634,"S分项",评分与用量!$J$2:$J$634,"F*")/6,(SUMIFS(评分与用量!$E$2:$E$634,评分与用量!$A$2:$A$634,"&lt;&gt;Claude",评分与用量!$A$2:$A$634,"&lt;&gt;Kimi",评分与用量!$B$2:$B$634,"第二轮",评分与用量!$C$2:$C$634,"S分项",评分与用量!$J$2:$J$634,"F*")/6)-(SUMIFS(评分与用量!$E$2:$E$634,评分与用量!$A$2:$A$634,"&lt;&gt;Claude",评分与用量!$A$2:$A$634,"&lt;&gt;Kimi",评分与用量!$B$2:$B$634,"第一轮",评分与用量!$C$2:$C$634,"S分项",评分与用量!$J$2:$J$634,"F*")/6))))/10,IF($B$3="两轮变化","+0.0%;-0.0%;0.0%","0.0%")),(IF($B$3="第一轮",SUMIFS(评分与用量!$E$2:$E$634,评分与用量!$A$2:$A$634,"&lt;&gt;Claude",评分与用量!$A$2:$A$634,"&lt;&gt;Kimi",评分与用量!$B$2:$B$634,"第一轮",评分与用量!$C$2:$C$634,"S分项",评分与用量!$J$2:$J$634,"F*")/6,IF($B$3="第二轮",SUMIFS(评分与用量!$E$2:$E$634,评分与用量!$A$2:$A$634,"&lt;&gt;Claude",评分与用量!$A$2:$A$634,"&lt;&gt;Kimi",评分与用量!$B$2:$B$634,"第二轮",评分与用量!$C$2:$C$634,"S分项",评分与用量!$J$2:$J$634,"F*")/6,(SUMIFS(评分与用量!$E$2:$E$634,评分与用量!$A$2:$A$634,"&lt;&gt;Claude",评分与用量!$A$2:$A$634,"&lt;&gt;Kimi",评分与用量!$B$2:$B$634,"第二轮",评分与用量!$C$2:$C$634,"S分项",评分与用量!$J$2:$J$634,"F*")/6)-(SUMIFS(评分与用量!$E$2:$E$634,评分与用量!$A$2:$A$634,"&lt;&gt;Claude",评分与用量!$A$2:$A$634,"&lt;&gt;Kimi",评分与用量!$B$2:$B$634,"第一轮",评分与用量!$C$2:$C$634,"S分项",评分与用量!$J$2:$J$634,"F*")/6)))))</f>
        <v>8.75</v>
      </c>
      <c r="H15" s="82">
        <f>IF($F$3="得分率",TEXT((IF($B$3="第一轮",SUMIFS(评分与用量!$E$2:$E$634,评分与用量!$A$2:$A$634,"&lt;&gt;Claude",评分与用量!$A$2:$A$634,"&lt;&gt;Kimi",评分与用量!$B$2:$B$634,"第一轮",评分与用量!$C$2:$C$634,"S分项")/6,IF($B$3="第二轮",SUMIFS(评分与用量!$E$2:$E$634,评分与用量!$A$2:$A$634,"&lt;&gt;Claude",评分与用量!$A$2:$A$634,"&lt;&gt;Kimi",评分与用量!$B$2:$B$634,"第二轮",评分与用量!$C$2:$C$634,"S分项")/6,(SUMIFS(评分与用量!$E$2:$E$634,评分与用量!$A$2:$A$634,"&lt;&gt;Claude",评分与用量!$A$2:$A$634,"&lt;&gt;Kimi",评分与用量!$B$2:$B$634,"第二轮",评分与用量!$C$2:$C$634,"S分项")/6)-(SUMIFS(评分与用量!$E$2:$E$634,评分与用量!$A$2:$A$634,"&lt;&gt;Claude",评分与用量!$A$2:$A$634,"&lt;&gt;Kimi",评分与用量!$B$2:$B$634,"第一轮",评分与用量!$C$2:$C$634,"S分项")/6))))/100,IF($B$3="两轮变化","+0.0%;-0.0%;0.0%","0.0%")),(IF($B$3="第一轮",SUMIFS(评分与用量!$E$2:$E$634,评分与用量!$A$2:$A$634,"&lt;&gt;Claude",评分与用量!$A$2:$A$634,"&lt;&gt;Kimi",评分与用量!$B$2:$B$634,"第一轮",评分与用量!$C$2:$C$634,"S分项")/6,IF($B$3="第二轮",SUMIFS(评分与用量!$E$2:$E$634,评分与用量!$A$2:$A$634,"&lt;&gt;Claude",评分与用量!$A$2:$A$634,"&lt;&gt;Kimi",评分与用量!$B$2:$B$634,"第二轮",评分与用量!$C$2:$C$634,"S分项")/6,(SUMIFS(评分与用量!$E$2:$E$634,评分与用量!$A$2:$A$634,"&lt;&gt;Claude",评分与用量!$A$2:$A$634,"&lt;&gt;Kimi",评分与用量!$B$2:$B$634,"第二轮",评分与用量!$C$2:$C$634,"S分项")/6)-(SUMIFS(评分与用量!$E$2:$E$634,评分与用量!$A$2:$A$634,"&lt;&gt;Claude",评分与用量!$A$2:$A$634,"&lt;&gt;Kimi",评分与用量!$B$2:$B$634,"第一轮",评分与用量!$C$2:$C$634,"S分项")/6)))))</f>
        <v>81.125</v>
      </c>
    </row>
    <row r="17" spans="1:8" ht="36" customHeight="1">
      <c r="A17" s="93" t="s">
        <v>4751</v>
      </c>
      <c r="B17" s="93"/>
      <c r="C17" s="93"/>
      <c r="D17" s="93"/>
      <c r="E17" s="93"/>
      <c r="F17" s="93"/>
      <c r="G17" s="93"/>
      <c r="H17" s="93"/>
    </row>
  </sheetData>
  <mergeCells count="2">
    <mergeCell ref="A1:H1"/>
    <mergeCell ref="A17:H17"/>
  </mergeCells>
  <phoneticPr fontId="1" type="noConversion"/>
  <dataValidations count="2">
    <dataValidation type="list" showErrorMessage="1" sqref="B3" xr:uid="{00000000-0002-0000-0300-000000000000}">
      <formula1>"第一轮,第二轮,两轮变化"</formula1>
    </dataValidation>
    <dataValidation type="list" showErrorMessage="1" sqref="F3" xr:uid="{00000000-0002-0000-0300-000001000000}">
      <formula1>"得分,得分率"</formula1>
    </dataValidation>
  </dataValidations>
  <pageMargins left="0.7" right="0.7" top="0.75" bottom="0.75" header="0.3" footer="0.3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6"/>
  <sheetViews>
    <sheetView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4" outlineLevelCol="1"/>
  <cols>
    <col min="1" max="1" width="13.77734375" customWidth="1"/>
    <col min="2" max="2" width="12.77734375" customWidth="1"/>
    <col min="3" max="4" width="18.77734375" customWidth="1"/>
    <col min="5" max="5" width="30.77734375" customWidth="1"/>
    <col min="6" max="6" width="18.77734375" customWidth="1"/>
    <col min="7" max="7" width="30.77734375" customWidth="1"/>
    <col min="8" max="8" width="18.77734375" customWidth="1"/>
    <col min="9" max="9" width="30.77734375" customWidth="1"/>
    <col min="10" max="10" width="43.77734375" customWidth="1" outlineLevel="1"/>
    <col min="11" max="11" width="36.77734375" customWidth="1" outlineLevel="1"/>
    <col min="12" max="12" width="43.77734375" customWidth="1" outlineLevel="1"/>
    <col min="13" max="16" width="18.77734375" customWidth="1"/>
    <col min="17" max="18" width="22.77734375" customWidth="1"/>
  </cols>
  <sheetData>
    <row r="1" spans="1:18" ht="36" customHeight="1">
      <c r="A1" s="57" t="s">
        <v>36</v>
      </c>
      <c r="B1" s="57" t="s">
        <v>37</v>
      </c>
      <c r="C1" s="57" t="s">
        <v>38</v>
      </c>
      <c r="D1" s="57" t="s">
        <v>39</v>
      </c>
      <c r="E1" s="57" t="s">
        <v>40</v>
      </c>
      <c r="F1" s="57" t="s">
        <v>41</v>
      </c>
      <c r="G1" s="57" t="s">
        <v>42</v>
      </c>
      <c r="H1" s="57" t="s">
        <v>43</v>
      </c>
      <c r="I1" s="57" t="s">
        <v>44</v>
      </c>
      <c r="J1" s="57" t="s">
        <v>45</v>
      </c>
      <c r="K1" s="57" t="s">
        <v>46</v>
      </c>
      <c r="L1" s="57" t="s">
        <v>47</v>
      </c>
      <c r="M1" s="57" t="s">
        <v>121</v>
      </c>
      <c r="N1" s="57" t="s">
        <v>3743</v>
      </c>
      <c r="O1" s="57" t="s">
        <v>3742</v>
      </c>
      <c r="P1" s="57" t="s">
        <v>122</v>
      </c>
      <c r="Q1" s="57" t="s">
        <v>123</v>
      </c>
      <c r="R1" s="57" t="s">
        <v>124</v>
      </c>
    </row>
    <row r="2" spans="1:18" ht="31.2">
      <c r="A2" s="58" t="s">
        <v>34</v>
      </c>
      <c r="B2" s="58" t="s">
        <v>48</v>
      </c>
      <c r="C2" s="58" t="s">
        <v>49</v>
      </c>
      <c r="D2" s="58" t="s">
        <v>50</v>
      </c>
      <c r="E2" s="58" t="s">
        <v>51</v>
      </c>
      <c r="F2" s="58" t="s">
        <v>48</v>
      </c>
      <c r="G2" s="58" t="s">
        <v>52</v>
      </c>
      <c r="H2" s="59">
        <v>876.76800000000003</v>
      </c>
      <c r="I2" s="58" t="s">
        <v>53</v>
      </c>
      <c r="J2" s="58" t="s">
        <v>54</v>
      </c>
      <c r="K2" s="58" t="s">
        <v>55</v>
      </c>
      <c r="L2" s="58" t="s">
        <v>56</v>
      </c>
      <c r="M2" s="60">
        <f t="shared" ref="M2:M16" si="0">IF(ISNUMBER(H2),H2/60,"")</f>
        <v>14.6128</v>
      </c>
      <c r="N2" s="61">
        <f>IF(COUNTIFS(评分与用量!$A$2:$A$634,A2,评分与用量!$B$2:$B$634,B2,评分与用量!$C$2:$C$634,"S分项")=0,"",SUMIFS(评分与用量!$E$2:$E$634,评分与用量!$A$2:$A$634,A2,评分与用量!$B$2:$B$634,B2,评分与用量!$C$2:$C$634,"S分项"))</f>
        <v>88</v>
      </c>
      <c r="O2" s="61">
        <f>IF(N2="","",COUNTIFS(评分与用量!$A$2:$A$634,A2,评分与用量!$B$2:$B$634,B2,评分与用量!$C$2:$C$634,"S分项"))</f>
        <v>25</v>
      </c>
      <c r="P2" s="62">
        <f>IF(COUNTIFS(评分与用量!$H:$H,J2,评分与用量!$C:$C,"Token用量",评分与用量!$D:$D,"&lt;&gt;推理Token（输出子集）")=4,SUMIFS(评分与用量!$E:$E,评分与用量!$H:$H,J2,评分与用量!$C:$C,"Token用量",评分与用量!$D:$D,"&lt;&gt;推理Token（输出子集）"),"")</f>
        <v>1987026</v>
      </c>
      <c r="Q2" s="63">
        <f>IF(COUNTIFS(API计价!$L:$L,J2,API计价!$D:$D,"低")=4,SUMIFS(API计价!$J:$J,API计价!$L:$L,J2,API计价!$D:$D,"低"),"")</f>
        <v>24.950214449600004</v>
      </c>
      <c r="R2" s="63">
        <f>IF(COUNTIFS(API计价!$L:$L,J2,API计价!$D:$D,"高")=4,SUMIFS(API计价!$J:$J,API计价!$L:$L,J2,API计价!$D:$D,"高"),"")</f>
        <v>24.950214449600004</v>
      </c>
    </row>
    <row r="3" spans="1:18" ht="31.2">
      <c r="A3" s="58" t="s">
        <v>57</v>
      </c>
      <c r="B3" s="58" t="s">
        <v>48</v>
      </c>
      <c r="C3" s="58" t="s">
        <v>49</v>
      </c>
      <c r="D3" s="58" t="s">
        <v>50</v>
      </c>
      <c r="E3" s="58" t="s">
        <v>58</v>
      </c>
      <c r="F3" s="58" t="s">
        <v>48</v>
      </c>
      <c r="G3" s="58" t="s">
        <v>3660</v>
      </c>
      <c r="H3" s="59">
        <v>606.44100000000003</v>
      </c>
      <c r="I3" s="58" t="s">
        <v>3634</v>
      </c>
      <c r="J3" s="58" t="s">
        <v>60</v>
      </c>
      <c r="K3" s="58" t="s">
        <v>61</v>
      </c>
      <c r="L3" s="58" t="s">
        <v>62</v>
      </c>
      <c r="M3" s="60">
        <f t="shared" si="0"/>
        <v>10.10735</v>
      </c>
      <c r="N3" s="61">
        <f>IF(COUNTIFS(评分与用量!$A$2:$A$634,A3,评分与用量!$B$2:$B$634,B3,评分与用量!$C$2:$C$634,"S分项")=0,"",SUMIFS(评分与用量!$E$2:$E$634,评分与用量!$A$2:$A$634,A3,评分与用量!$B$2:$B$634,B3,评分与用量!$C$2:$C$634,"S分项"))</f>
        <v>84.5</v>
      </c>
      <c r="O3" s="61">
        <f>IF(N3="","",COUNTIFS(评分与用量!$A$2:$A$634,A3,评分与用量!$B$2:$B$634,B3,评分与用量!$C$2:$C$634,"S分项"))</f>
        <v>25</v>
      </c>
      <c r="P3" s="62">
        <v>867814</v>
      </c>
      <c r="Q3" s="63">
        <v>6.4791140656000001</v>
      </c>
      <c r="R3" s="63">
        <v>6.4791140656000001</v>
      </c>
    </row>
    <row r="4" spans="1:18" ht="31.2">
      <c r="A4" s="58" t="s">
        <v>63</v>
      </c>
      <c r="B4" s="58" t="s">
        <v>48</v>
      </c>
      <c r="C4" s="58" t="s">
        <v>49</v>
      </c>
      <c r="D4" s="58" t="s">
        <v>50</v>
      </c>
      <c r="E4" s="58" t="s">
        <v>64</v>
      </c>
      <c r="F4" s="58" t="s">
        <v>48</v>
      </c>
      <c r="G4" s="58" t="s">
        <v>65</v>
      </c>
      <c r="H4" s="59">
        <v>1945.7339999999999</v>
      </c>
      <c r="I4" s="58" t="s">
        <v>66</v>
      </c>
      <c r="J4" s="58" t="s">
        <v>67</v>
      </c>
      <c r="K4" s="58" t="s">
        <v>68</v>
      </c>
      <c r="L4" s="58" t="s">
        <v>69</v>
      </c>
      <c r="M4" s="60">
        <f t="shared" si="0"/>
        <v>32.428899999999999</v>
      </c>
      <c r="N4" s="61">
        <f>IF(COUNTIFS(评分与用量!$A$2:$A$634,A4,评分与用量!$B$2:$B$634,B4,评分与用量!$C$2:$C$634,"S分项")=0,"",SUMIFS(评分与用量!$E$2:$E$634,评分与用量!$A$2:$A$634,A4,评分与用量!$B$2:$B$634,B4,评分与用量!$C$2:$C$634,"S分项"))</f>
        <v>76.5</v>
      </c>
      <c r="O4" s="61">
        <f>IF(N4="","",COUNTIFS(评分与用量!$A$2:$A$634,A4,评分与用量!$B$2:$B$634,B4,评分与用量!$C$2:$C$634,"S分项"))</f>
        <v>25</v>
      </c>
      <c r="P4" s="62">
        <f>IF(COUNTIFS(评分与用量!$H:$H,J4,评分与用量!$C:$C,"Token用量",评分与用量!$D:$D,"&lt;&gt;推理Token（输出子集）")=4,SUMIFS(评分与用量!$E:$E,评分与用量!$H:$H,J4,评分与用量!$C:$C,"Token用量",评分与用量!$D:$D,"&lt;&gt;推理Token（输出子集）"),"")</f>
        <v>13245696</v>
      </c>
      <c r="Q4" s="63">
        <f>IF(COUNTIFS(API计价!$L:$L,J4,API计价!$D:$D,"低")=4,SUMIFS(API计价!$J:$J,API计价!$L:$L,J4,API计价!$D:$D,"低"),"")</f>
        <v>1.9789110000000001</v>
      </c>
      <c r="R4" s="63">
        <f>IF(COUNTIFS(API计价!$L:$L,J4,API计价!$D:$D,"高")=4,SUMIFS(API计价!$J:$J,API计价!$L:$L,J4,API计价!$D:$D,"高"),"")</f>
        <v>3.9578220000000002</v>
      </c>
    </row>
    <row r="5" spans="1:18" ht="31.2">
      <c r="A5" s="58" t="s">
        <v>70</v>
      </c>
      <c r="B5" s="58" t="s">
        <v>48</v>
      </c>
      <c r="C5" s="58" t="s">
        <v>49</v>
      </c>
      <c r="D5" s="58" t="s">
        <v>50</v>
      </c>
      <c r="E5" s="58" t="s">
        <v>71</v>
      </c>
      <c r="F5" s="58" t="s">
        <v>48</v>
      </c>
      <c r="G5" s="58" t="s">
        <v>3661</v>
      </c>
      <c r="H5" s="59">
        <v>920</v>
      </c>
      <c r="I5" s="58" t="inlineStr">
        <is>
          <t>gemini-3.8-flash</t>
        </is>
      </c>
      <c r="J5" s="58" t="s">
        <v>73</v>
      </c>
      <c r="K5" s="58" t="s">
        <v>74</v>
      </c>
      <c r="L5" s="58" t="s">
        <v>75</v>
      </c>
      <c r="M5" s="60">
        <f t="shared" si="0"/>
        <v>15.333333333333334</v>
      </c>
      <c r="N5" s="61">
        <f>IF(COUNTIFS(评分与用量!$A$2:$A$634,A5,评分与用量!$B$2:$B$634,B5,评分与用量!$C$2:$C$634,"S分项")=0,"",SUMIFS(评分与用量!$E$2:$E$634,评分与用量!$A$2:$A$634,A5,评分与用量!$B$2:$B$634,B5,评分与用量!$C$2:$C$634,"S分项"))</f>
        <v>39.5</v>
      </c>
      <c r="O5" s="61">
        <f>IF(N5="","",COUNTIFS(评分与用量!$A$2:$A$634,A5,评分与用量!$B$2:$B$634,B5,评分与用量!$C$2:$C$634,"S分项"))</f>
        <v>25</v>
      </c>
      <c r="P5" s="62">
        <v>6819569</v>
      </c>
      <c r="Q5" s="63">
        <v>10.918918640519999</v>
      </c>
      <c r="R5" s="63">
        <v>10.918918640519999</v>
      </c>
    </row>
    <row r="6" spans="1:18" ht="31.2">
      <c r="A6" s="58" t="s">
        <v>76</v>
      </c>
      <c r="B6" s="58" t="s">
        <v>48</v>
      </c>
      <c r="C6" s="58" t="s">
        <v>49</v>
      </c>
      <c r="D6" s="58" t="s">
        <v>50</v>
      </c>
      <c r="E6" s="58" t="s">
        <v>64</v>
      </c>
      <c r="F6" s="58" t="s">
        <v>48</v>
      </c>
      <c r="G6" s="58" t="s">
        <v>77</v>
      </c>
      <c r="H6" s="59">
        <v>859.197</v>
      </c>
      <c r="I6" s="58" t="s">
        <v>78</v>
      </c>
      <c r="J6" s="58" t="s">
        <v>79</v>
      </c>
      <c r="K6" s="58" t="s">
        <v>80</v>
      </c>
      <c r="L6" s="58" t="s">
        <v>81</v>
      </c>
      <c r="M6" s="60">
        <f t="shared" si="0"/>
        <v>14.31995</v>
      </c>
      <c r="N6" s="61">
        <f>IF(COUNTIFS(评分与用量!$A$2:$A$634,A6,评分与用量!$B$2:$B$634,B6,评分与用量!$C$2:$C$634,"S分项")=0,"",SUMIFS(评分与用量!$E$2:$E$634,评分与用量!$A$2:$A$634,A6,评分与用量!$B$2:$B$634,B6,评分与用量!$C$2:$C$634,"S分项"))</f>
        <v>67.5</v>
      </c>
      <c r="O6" s="61">
        <f>IF(N6="","",COUNTIFS(评分与用量!$A$2:$A$634,A6,评分与用量!$B$2:$B$634,B6,评分与用量!$C$2:$C$634,"S分项"))</f>
        <v>25</v>
      </c>
      <c r="P6" s="62">
        <f>IF(COUNTIFS(评分与用量!$H:$H,J6,评分与用量!$C:$C,"Token用量",评分与用量!$D:$D,"&lt;&gt;推理Token（输出子集）")=4,SUMIFS(评分与用量!$E:$E,评分与用量!$H:$H,J6,评分与用量!$C:$C,"Token用量",评分与用量!$D:$D,"&lt;&gt;推理Token（输出子集）"),"")</f>
        <v>1836650</v>
      </c>
      <c r="Q6" s="63">
        <f>IF(COUNTIFS(API计价!$L:$L,J6,API计价!$D:$D,"低")=4,SUMIFS(API计价!$J:$J,API计价!$L:$L,J6,API计价!$D:$D,"低"),"")</f>
        <v>4.089162</v>
      </c>
      <c r="R6" s="63">
        <f>IF(COUNTIFS(API计价!$L:$L,J6,API计价!$D:$D,"高")=4,SUMIFS(API计价!$J:$J,API计价!$L:$L,J6,API计价!$D:$D,"高"),"")</f>
        <v>4.089162</v>
      </c>
    </row>
    <row r="7" spans="1:18" ht="31.2">
      <c r="A7" s="58" t="s">
        <v>82</v>
      </c>
      <c r="B7" s="58" t="s">
        <v>48</v>
      </c>
      <c r="C7" s="58" t="s">
        <v>49</v>
      </c>
      <c r="D7" s="58" t="s">
        <v>50</v>
      </c>
      <c r="E7" s="58" t="s">
        <v>64</v>
      </c>
      <c r="F7" s="58" t="s">
        <v>48</v>
      </c>
      <c r="G7" s="58" t="s">
        <v>83</v>
      </c>
      <c r="H7" s="59">
        <v>332.95400000000001</v>
      </c>
      <c r="I7" s="58" t="s">
        <v>84</v>
      </c>
      <c r="J7" s="58" t="s">
        <v>85</v>
      </c>
      <c r="K7" s="58" t="s">
        <v>86</v>
      </c>
      <c r="L7" s="58" t="s">
        <v>87</v>
      </c>
      <c r="M7" s="60">
        <f t="shared" si="0"/>
        <v>5.5492333333333335</v>
      </c>
      <c r="N7" s="61">
        <f>IF(COUNTIFS(评分与用量!$A$2:$A$634,A7,评分与用量!$B$2:$B$634,B7,评分与用量!$C$2:$C$634,"S分项")=0,"",SUMIFS(评分与用量!$E$2:$E$634,评分与用量!$A$2:$A$634,A7,评分与用量!$B$2:$B$634,B7,评分与用量!$C$2:$C$634,"S分项"))</f>
        <v>74</v>
      </c>
      <c r="O7" s="61">
        <f>IF(N7="","",COUNTIFS(评分与用量!$A$2:$A$634,A7,评分与用量!$B$2:$B$634,B7,评分与用量!$C$2:$C$634,"S分项"))</f>
        <v>25</v>
      </c>
      <c r="P7" s="62">
        <f>IF(COUNTIFS(评分与用量!$H:$H,J7,评分与用量!$C:$C,"Token用量",评分与用量!$D:$D,"&lt;&gt;推理Token（输出子集）")=4,SUMIFS(评分与用量!$E:$E,评分与用量!$H:$H,J7,评分与用量!$C:$C,"Token用量",评分与用量!$D:$D,"&lt;&gt;推理Token（输出子集）"),"")</f>
        <v>1964484</v>
      </c>
      <c r="Q7" s="63">
        <f>IF(COUNTIFS(API计价!$L:$L,J7,API计价!$D:$D,"低")=4,SUMIFS(API计价!$J:$J,API计价!$L:$L,J7,API计价!$D:$D,"低"),"")</f>
        <v>4.9715319999999998</v>
      </c>
      <c r="R7" s="63">
        <f>IF(COUNTIFS(API计价!$L:$L,J7,API计价!$D:$D,"高")=4,SUMIFS(API计价!$J:$J,API计价!$L:$L,J7,API计价!$D:$D,"高"),"")</f>
        <v>4.9715319999999998</v>
      </c>
    </row>
    <row r="8" spans="1:18" ht="31.2">
      <c r="A8" s="58" t="s">
        <v>63</v>
      </c>
      <c r="B8" s="58" t="s">
        <v>35</v>
      </c>
      <c r="C8" s="58" t="s">
        <v>49</v>
      </c>
      <c r="D8" s="58" t="s">
        <v>88</v>
      </c>
      <c r="E8" s="58" t="s">
        <v>64</v>
      </c>
      <c r="F8" s="58" t="s">
        <v>35</v>
      </c>
      <c r="G8" s="58" t="s">
        <v>65</v>
      </c>
      <c r="H8" s="59">
        <v>1302.0740000000001</v>
      </c>
      <c r="I8" s="58" t="s">
        <v>66</v>
      </c>
      <c r="J8" s="58" t="s">
        <v>89</v>
      </c>
      <c r="K8" s="58" t="s">
        <v>90</v>
      </c>
      <c r="L8" s="58" t="s">
        <v>91</v>
      </c>
      <c r="M8" s="60">
        <f t="shared" si="0"/>
        <v>21.701233333333334</v>
      </c>
      <c r="N8" s="61">
        <f>IF(COUNTIFS(评分与用量!$A$2:$A$634,A8,评分与用量!$B$2:$B$634,B8,评分与用量!$C$2:$C$634,"S分项")=0,"",SUMIFS(评分与用量!$E$2:$E$634,评分与用量!$A$2:$A$634,A8,评分与用量!$B$2:$B$634,B8,评分与用量!$C$2:$C$634,"S分项"))</f>
        <v>87.25</v>
      </c>
      <c r="O8" s="61">
        <f>IF(N8="","",COUNTIFS(评分与用量!$A$2:$A$634,A8,评分与用量!$B$2:$B$634,B8,评分与用量!$C$2:$C$634,"S分项"))</f>
        <v>25</v>
      </c>
      <c r="P8" s="62">
        <f>IF(COUNTIFS(评分与用量!$H:$H,J8,评分与用量!$C:$C,"Token用量",评分与用量!$D:$D,"&lt;&gt;推理Token（输出子集）")=4,SUMIFS(评分与用量!$E:$E,评分与用量!$H:$H,J8,评分与用量!$C:$C,"Token用量",评分与用量!$D:$D,"&lt;&gt;推理Token（输出子集）"),"")</f>
        <v>8980596</v>
      </c>
      <c r="Q8" s="63">
        <f>IF(COUNTIFS(API计价!$L:$L,J8,API计价!$D:$D,"低")=4,SUMIFS(API计价!$J:$J,API计价!$L:$L,J8,API计价!$D:$D,"低"),"")</f>
        <v>1.3686114</v>
      </c>
      <c r="R8" s="63">
        <f>IF(COUNTIFS(API计价!$L:$L,J8,API计价!$D:$D,"高")=4,SUMIFS(API计价!$J:$J,API计价!$L:$L,J8,API计价!$D:$D,"高"),"")</f>
        <v>2.7372228000000001</v>
      </c>
    </row>
    <row r="9" spans="1:18" ht="31.2">
      <c r="A9" s="58" t="s">
        <v>34</v>
      </c>
      <c r="B9" s="58" t="s">
        <v>35</v>
      </c>
      <c r="C9" s="58" t="s">
        <v>49</v>
      </c>
      <c r="D9" s="58" t="s">
        <v>88</v>
      </c>
      <c r="E9" s="58" t="s">
        <v>51</v>
      </c>
      <c r="F9" s="58" t="s">
        <v>35</v>
      </c>
      <c r="G9" s="58" t="s">
        <v>52</v>
      </c>
      <c r="H9" s="59">
        <v>1066.884</v>
      </c>
      <c r="I9" s="58" t="s">
        <v>53</v>
      </c>
      <c r="J9" s="58" t="s">
        <v>92</v>
      </c>
      <c r="K9" s="58" t="s">
        <v>93</v>
      </c>
      <c r="L9" s="58" t="s">
        <v>94</v>
      </c>
      <c r="M9" s="60">
        <f t="shared" si="0"/>
        <v>17.781400000000001</v>
      </c>
      <c r="N9" s="61">
        <f>IF(COUNTIFS(评分与用量!$A$2:$A$634,A9,评分与用量!$B$2:$B$634,B9,评分与用量!$C$2:$C$634,"S分项")=0,"",SUMIFS(评分与用量!$E$2:$E$634,评分与用量!$A$2:$A$634,A9,评分与用量!$B$2:$B$634,B9,评分与用量!$C$2:$C$634,"S分项"))</f>
        <v>98.5</v>
      </c>
      <c r="O9" s="61">
        <f>IF(N9="","",COUNTIFS(评分与用量!$A$2:$A$634,A9,评分与用量!$B$2:$B$634,B9,评分与用量!$C$2:$C$634,"S分项"))</f>
        <v>25</v>
      </c>
      <c r="P9" s="62">
        <f>IF(COUNTIFS(评分与用量!$H:$H,J9,评分与用量!$C:$C,"Token用量",评分与用量!$D:$D,"&lt;&gt;推理Token（输出子集）")=4,SUMIFS(评分与用量!$E:$E,评分与用量!$H:$H,J9,评分与用量!$C:$C,"Token用量",评分与用量!$D:$D,"&lt;&gt;推理Token（输出子集）"),"")</f>
        <v>3244918</v>
      </c>
      <c r="Q9" s="63">
        <f>IF(COUNTIFS(API计价!$L:$L,J9,API计价!$D:$D,"低")=4,SUMIFS(API计价!$J:$J,API计价!$L:$L,J9,API计价!$D:$D,"低"),"")</f>
        <v>38.958407857600001</v>
      </c>
      <c r="R9" s="63">
        <f>IF(COUNTIFS(API计价!$L:$L,J9,API计价!$D:$D,"高")=4,SUMIFS(API计价!$J:$J,API计价!$L:$L,J9,API计价!$D:$D,"高"),"")</f>
        <v>38.958407857600001</v>
      </c>
    </row>
    <row r="10" spans="1:18" ht="31.2">
      <c r="A10" s="58" t="s">
        <v>82</v>
      </c>
      <c r="B10" s="58" t="s">
        <v>35</v>
      </c>
      <c r="C10" s="58" t="s">
        <v>49</v>
      </c>
      <c r="D10" s="58" t="s">
        <v>88</v>
      </c>
      <c r="E10" s="58" t="s">
        <v>64</v>
      </c>
      <c r="F10" s="58" t="s">
        <v>35</v>
      </c>
      <c r="G10" s="58" t="s">
        <v>83</v>
      </c>
      <c r="H10" s="59">
        <v>575.495</v>
      </c>
      <c r="I10" s="58" t="s">
        <v>84</v>
      </c>
      <c r="J10" s="58" t="s">
        <v>95</v>
      </c>
      <c r="K10" s="58" t="s">
        <v>96</v>
      </c>
      <c r="L10" s="58" t="s">
        <v>97</v>
      </c>
      <c r="M10" s="60">
        <f t="shared" si="0"/>
        <v>9.5915833333333342</v>
      </c>
      <c r="N10" s="61">
        <f>IF(COUNTIFS(评分与用量!$A$2:$A$634,A10,评分与用量!$B$2:$B$634,B10,评分与用量!$C$2:$C$634,"S分项")=0,"",SUMIFS(评分与用量!$E$2:$E$634,评分与用量!$A$2:$A$634,A10,评分与用量!$B$2:$B$634,B10,评分与用量!$C$2:$C$634,"S分项"))</f>
        <v>81</v>
      </c>
      <c r="O10" s="61">
        <f>IF(N10="","",COUNTIFS(评分与用量!$A$2:$A$634,A10,评分与用量!$B$2:$B$634,B10,评分与用量!$C$2:$C$634,"S分项"))</f>
        <v>25</v>
      </c>
      <c r="P10" s="62">
        <f>IF(COUNTIFS(评分与用量!$H:$H,J10,评分与用量!$C:$C,"Token用量",评分与用量!$D:$D,"&lt;&gt;推理Token（输出子集）")=4,SUMIFS(评分与用量!$E:$E,评分与用量!$H:$H,J10,评分与用量!$C:$C,"Token用量",评分与用量!$D:$D,"&lt;&gt;推理Token（输出子集）"),"")</f>
        <v>2456581</v>
      </c>
      <c r="Q10" s="63">
        <f>IF(COUNTIFS(API计价!$L:$L,J10,API计价!$D:$D,"低")=4,SUMIFS(API计价!$J:$J,API计价!$L:$L,J10,API计价!$D:$D,"低"),"")</f>
        <v>6.4802759999999999</v>
      </c>
      <c r="R10" s="63">
        <f>IF(COUNTIFS(API计价!$L:$L,J10,API计价!$D:$D,"高")=4,SUMIFS(API计价!$J:$J,API计价!$L:$L,J10,API计价!$D:$D,"高"),"")</f>
        <v>6.4802759999999999</v>
      </c>
    </row>
    <row r="11" spans="1:18" ht="31.2">
      <c r="A11" s="58" t="s">
        <v>98</v>
      </c>
      <c r="B11" s="58" t="s">
        <v>35</v>
      </c>
      <c r="C11" s="58" t="s">
        <v>99</v>
      </c>
      <c r="D11" s="58" t="s">
        <v>100</v>
      </c>
      <c r="E11" s="58" t="s">
        <v>64</v>
      </c>
      <c r="F11" s="58" t="s">
        <v>101</v>
      </c>
      <c r="G11" s="58" t="s">
        <v>83</v>
      </c>
      <c r="H11" s="59">
        <v>158.73699999999999</v>
      </c>
      <c r="I11" s="58" t="s">
        <v>102</v>
      </c>
      <c r="J11" s="58" t="s">
        <v>103</v>
      </c>
      <c r="K11" s="58" t="s">
        <v>104</v>
      </c>
      <c r="L11" s="58" t="s">
        <v>105</v>
      </c>
      <c r="M11" s="60">
        <f t="shared" si="0"/>
        <v>2.6456166666666667</v>
      </c>
      <c r="N11" s="61" t="str">
        <f>IF(COUNTIFS(评分与用量!$A$2:$A$634,A11,评分与用量!$B$2:$B$634,B11,评分与用量!$C$2:$C$634,"S分项")=0,"",SUMIFS(评分与用量!$E$2:$E$634,评分与用量!$A$2:$A$634,A11,评分与用量!$B$2:$B$634,B11,评分与用量!$C$2:$C$634,"S分项"))</f>
        <v/>
      </c>
      <c r="O11" s="61" t="str">
        <f>IF(N11="","",COUNTIFS(评分与用量!$A$2:$A$634,A11,评分与用量!$B$2:$B$634,B11,评分与用量!$C$2:$C$634,"S分项"))</f>
        <v/>
      </c>
      <c r="P11" s="62">
        <f>IF(COUNTIFS(评分与用量!$H:$H,J11,评分与用量!$C:$C,"Token用量",评分与用量!$D:$D,"&lt;&gt;推理Token（输出子集）")=4,SUMIFS(评分与用量!$E:$E,评分与用量!$H:$H,J11,评分与用量!$C:$C,"Token用量",评分与用量!$D:$D,"&lt;&gt;推理Token（输出子集）"),"")</f>
        <v>499485</v>
      </c>
      <c r="Q11" s="63">
        <f>IF(COUNTIFS(API计价!$L:$L,J11,API计价!$D:$D,"低")=4,SUMIFS(API计价!$J:$J,API计价!$L:$L,J11,API计价!$D:$D,"低"),"")</f>
        <v>1.4756520000000002</v>
      </c>
      <c r="R11" s="63">
        <f>IF(COUNTIFS(API计价!$L:$L,J11,API计价!$D:$D,"高")=4,SUMIFS(API计价!$J:$J,API计价!$L:$L,J11,API计价!$D:$D,"高"),"")</f>
        <v>1.4756520000000002</v>
      </c>
    </row>
    <row r="12" spans="1:18" ht="31.2">
      <c r="A12" s="58" t="s">
        <v>76</v>
      </c>
      <c r="B12" s="58" t="s">
        <v>35</v>
      </c>
      <c r="C12" s="58" t="s">
        <v>49</v>
      </c>
      <c r="D12" s="58" t="s">
        <v>88</v>
      </c>
      <c r="E12" s="58" t="s">
        <v>64</v>
      </c>
      <c r="F12" s="58" t="s">
        <v>35</v>
      </c>
      <c r="G12" s="58" t="s">
        <v>77</v>
      </c>
      <c r="H12" s="59">
        <v>3612.3589999999999</v>
      </c>
      <c r="I12" s="58" t="s">
        <v>78</v>
      </c>
      <c r="J12" s="58" t="s">
        <v>106</v>
      </c>
      <c r="K12" s="58" t="s">
        <v>107</v>
      </c>
      <c r="L12" s="58" t="s">
        <v>108</v>
      </c>
      <c r="M12" s="60">
        <f t="shared" si="0"/>
        <v>60.205983333333329</v>
      </c>
      <c r="N12" s="61">
        <f>IF(COUNTIFS(评分与用量!$A$2:$A$634,A12,评分与用量!$B$2:$B$634,B12,评分与用量!$C$2:$C$634,"S分项")=0,"",SUMIFS(评分与用量!$E$2:$E$634,评分与用量!$A$2:$A$634,A12,评分与用量!$B$2:$B$634,B12,评分与用量!$C$2:$C$634,"S分项"))</f>
        <v>75.25</v>
      </c>
      <c r="O12" s="61">
        <f>IF(N12="","",COUNTIFS(评分与用量!$A$2:$A$634,A12,评分与用量!$B$2:$B$634,B12,评分与用量!$C$2:$C$634,"S分项"))</f>
        <v>25</v>
      </c>
      <c r="P12" s="62">
        <f>IF(COUNTIFS(评分与用量!$H:$H,J12,评分与用量!$C:$C,"Token用量",评分与用量!$D:$D,"&lt;&gt;推理Token（输出子集）")=4,SUMIFS(评分与用量!$E:$E,评分与用量!$H:$H,J12,评分与用量!$C:$C,"Token用量",评分与用量!$D:$D,"&lt;&gt;推理Token（输出子集）"),"")</f>
        <v>8288450</v>
      </c>
      <c r="Q12" s="63">
        <f>IF(COUNTIFS(API计价!$L:$L,J12,API计价!$D:$D,"低")=4,SUMIFS(API计价!$J:$J,API计价!$L:$L,J12,API计价!$D:$D,"低"),"")</f>
        <v>14.328685</v>
      </c>
      <c r="R12" s="63">
        <f>IF(COUNTIFS(API计价!$L:$L,J12,API计价!$D:$D,"高")=4,SUMIFS(API计价!$J:$J,API计价!$L:$L,J12,API计价!$D:$D,"高"),"")</f>
        <v>14.328685</v>
      </c>
    </row>
    <row r="13" spans="1:18" ht="31.2">
      <c r="A13" s="58" t="s">
        <v>70</v>
      </c>
      <c r="B13" s="58" t="s">
        <v>35</v>
      </c>
      <c r="C13" s="58" t="s">
        <v>49</v>
      </c>
      <c r="D13" s="58" t="s">
        <v>3653</v>
      </c>
      <c r="E13" s="58" t="s">
        <v>71</v>
      </c>
      <c r="F13" s="58" t="s">
        <v>3</v>
      </c>
      <c r="G13" s="58" t="s">
        <v>3661</v>
      </c>
      <c r="H13" s="59">
        <v>364.18410299999999</v>
      </c>
      <c r="I13" s="58" t="inlineStr">
        <is>
          <t>gemini-3.8-flash</t>
        </is>
      </c>
      <c r="J13" s="58" t="s">
        <v>109</v>
      </c>
      <c r="K13" s="58" t="s">
        <v>110</v>
      </c>
      <c r="L13" s="58" t="s">
        <v>111</v>
      </c>
      <c r="M13" s="60">
        <f t="shared" si="0"/>
        <v>6.0697350500000002</v>
      </c>
      <c r="N13" s="61">
        <f>IF(COUNTIFS(评分与用量!$A$2:$A$634,A13,评分与用量!$B$2:$B$634,B13,评分与用量!$C$2:$C$634,"S分项")=0,"",SUMIFS(评分与用量!$E$2:$E$634,评分与用量!$A$2:$A$634,A13,评分与用量!$B$2:$B$634,B13,评分与用量!$C$2:$C$634,"S分项"))</f>
        <v>59.5</v>
      </c>
      <c r="O13" s="61">
        <f>IF(N13="","",COUNTIFS(评分与用量!$A$2:$A$634,A13,评分与用量!$B$2:$B$634,B13,评分与用量!$C$2:$C$634,"S分项"))</f>
        <v>25</v>
      </c>
      <c r="P13" s="62">
        <v>2502140</v>
      </c>
      <c r="Q13" s="63">
        <v>5.1199395399900007</v>
      </c>
      <c r="R13" s="63">
        <v>5.1199395399900007</v>
      </c>
    </row>
    <row r="14" spans="1:18" ht="31.2">
      <c r="A14" s="58" t="s">
        <v>57</v>
      </c>
      <c r="B14" s="58" t="s">
        <v>35</v>
      </c>
      <c r="C14" s="58" t="s">
        <v>49</v>
      </c>
      <c r="D14" s="58" t="s">
        <v>88</v>
      </c>
      <c r="E14" s="58" t="s">
        <v>58</v>
      </c>
      <c r="F14" s="58" t="s">
        <v>35</v>
      </c>
      <c r="G14" s="58" t="s">
        <v>3660</v>
      </c>
      <c r="H14" s="59">
        <v>702.44500000000005</v>
      </c>
      <c r="I14" s="58" t="s">
        <v>3634</v>
      </c>
      <c r="J14" s="58" t="s">
        <v>112</v>
      </c>
      <c r="K14" s="58" t="s">
        <v>113</v>
      </c>
      <c r="L14" s="58" t="s">
        <v>114</v>
      </c>
      <c r="M14" s="60">
        <f t="shared" si="0"/>
        <v>11.707416666666667</v>
      </c>
      <c r="N14" s="61">
        <f>IF(COUNTIFS(评分与用量!$A$2:$A$634,A14,评分与用量!$B$2:$B$634,B14,评分与用量!$C$2:$C$634,"S分项")=0,"",SUMIFS(评分与用量!$E$2:$E$634,评分与用量!$A$2:$A$634,A14,评分与用量!$B$2:$B$634,B14,评分与用量!$C$2:$C$634,"S分项"))</f>
        <v>85.25</v>
      </c>
      <c r="O14" s="61">
        <f>IF(N14="","",COUNTIFS(评分与用量!$A$2:$A$634,A14,评分与用量!$B$2:$B$634,B14,评分与用量!$C$2:$C$634,"S分项"))</f>
        <v>25</v>
      </c>
      <c r="P14" s="62">
        <v>1597244</v>
      </c>
      <c r="Q14" s="63">
        <v>9.8583229184000007</v>
      </c>
      <c r="R14" s="63">
        <v>9.8583229184000007</v>
      </c>
    </row>
    <row r="15" spans="1:18" ht="25.95" customHeight="1">
      <c r="A15" s="58" t="s">
        <v>115</v>
      </c>
      <c r="B15" s="58" t="s">
        <v>48</v>
      </c>
      <c r="C15" s="58" t="s">
        <v>116</v>
      </c>
      <c r="D15" s="58" t="s">
        <v>117</v>
      </c>
      <c r="E15" s="58" t="s">
        <v>58</v>
      </c>
      <c r="F15" s="58" t="s">
        <v>118</v>
      </c>
      <c r="G15" s="58" t="s">
        <v>3660</v>
      </c>
      <c r="H15" s="59"/>
      <c r="I15" s="58" t="s">
        <v>3745</v>
      </c>
      <c r="J15" s="58" t="s">
        <v>119</v>
      </c>
      <c r="K15" s="58"/>
      <c r="L15" s="58" t="s">
        <v>120</v>
      </c>
      <c r="M15" s="60" t="str">
        <f t="shared" si="0"/>
        <v/>
      </c>
      <c r="N15" s="61">
        <f>IF(COUNTIFS(评分与用量!$A$2:$A$634,A15,评分与用量!$B$2:$B$634,B15,评分与用量!$C$2:$C$634,"S分项")=0,"",SUMIFS(评分与用量!$E$2:$E$634,评分与用量!$A$2:$A$634,A15,评分与用量!$B$2:$B$634,B15,评分与用量!$C$2:$C$634,"S分项"))</f>
        <v>72</v>
      </c>
      <c r="O15" s="61">
        <f>IF(N15="","",COUNTIFS(评分与用量!$A$2:$A$634,A15,评分与用量!$B$2:$B$634,B15,评分与用量!$C$2:$C$634,"S分项"))</f>
        <v>25</v>
      </c>
      <c r="P15" s="62">
        <v>35012115</v>
      </c>
      <c r="Q15" s="63">
        <v>165.69349761976</v>
      </c>
      <c r="R15" s="63">
        <v>165.69349761976</v>
      </c>
    </row>
    <row r="16" spans="1:18" ht="25.95" customHeight="1">
      <c r="A16" s="58" t="s">
        <v>98</v>
      </c>
      <c r="B16" s="58" t="s">
        <v>48</v>
      </c>
      <c r="C16" s="58" t="s">
        <v>3586</v>
      </c>
      <c r="D16" s="58" t="s">
        <v>3587</v>
      </c>
      <c r="E16" s="58"/>
      <c r="F16" s="58" t="s">
        <v>101</v>
      </c>
      <c r="G16" s="58" t="s">
        <v>59</v>
      </c>
      <c r="H16" s="59"/>
      <c r="I16" s="58" t="inlineStr">
        <is>
          <t>kimi-k3</t>
        </is>
      </c>
      <c r="J16" s="58" t="s">
        <v>3588</v>
      </c>
      <c r="K16" s="58"/>
      <c r="L16" s="58" t="s">
        <v>3589</v>
      </c>
      <c r="M16" s="60" t="str">
        <f t="shared" si="0"/>
        <v/>
      </c>
      <c r="N16" s="61" t="str">
        <f>IF(COUNTIFS(评分与用量!$A$2:$A$634,A16,评分与用量!$B$2:$B$634,B16,评分与用量!$C$2:$C$634,"S分项")=0,"",SUMIFS(评分与用量!$E$2:$E$634,评分与用量!$A$2:$A$634,A16,评分与用量!$B$2:$B$634,B16,评分与用量!$C$2:$C$634,"S分项"))</f>
        <v/>
      </c>
      <c r="O16" s="61" t="str">
        <f>IF(N16="","",COUNTIFS(评分与用量!$A$2:$A$634,A16,评分与用量!$B$2:$B$634,B16,评分与用量!$C$2:$C$634,"S分项"))</f>
        <v/>
      </c>
      <c r="P16" s="62" t="str">
        <f>IF(COUNTIFS(评分与用量!$H:$H,J16,评分与用量!$C:$C,"Token用量",评分与用量!$D:$D,"&lt;&gt;推理Token（输出子集）")=4,SUMIFS(评分与用量!$E:$E,评分与用量!$H:$H,J16,评分与用量!$C:$C,"Token用量",评分与用量!$D:$D,"&lt;&gt;推理Token（输出子集）"),"")</f>
        <v/>
      </c>
      <c r="Q16" s="63" t="str">
        <f>IF(COUNTIFS(API计价!$L:$L,J16,API计价!$D:$D,"低")=4,SUMIFS(API计价!$J:$J,API计价!$L:$L,J16,API计价!$D:$D,"低"),"")</f>
        <v/>
      </c>
      <c r="R16" s="63" t="str">
        <f>IF(COUNTIFS(API计价!$L:$L,J16,API计价!$D:$D,"高")=4,SUMIFS(API计价!$J:$J,API计价!$L:$L,J16,API计价!$D:$D,"高"),"")</f>
        <v/>
      </c>
    </row>
  </sheetData>
  <phoneticPr fontId="1" type="noConversion"/>
  <pageMargins left="0.25" right="0.25" top="0.25" bottom="0.25" header="0.5" footer="0.5"/>
  <pageSetup paperSize="8" scale="8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53"/>
  <sheetViews>
    <sheetView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4"/>
  <cols>
    <col min="1" max="1" width="13.77734375" customWidth="1"/>
    <col min="2" max="2" width="12.77734375" customWidth="1"/>
    <col min="3" max="3" width="18.77734375" customWidth="1"/>
    <col min="4" max="4" width="30.77734375" customWidth="1"/>
    <col min="5" max="5" width="18.77734375" customWidth="1"/>
    <col min="6" max="6" width="12.77734375" customWidth="1"/>
    <col min="7" max="7" width="24.77734375" customWidth="1"/>
    <col min="8" max="8" width="43.77734375" customWidth="1"/>
    <col min="9" max="10" width="36.77734375" customWidth="1"/>
    <col min="11" max="11" width="43.77734375" customWidth="1"/>
  </cols>
  <sheetData>
    <row r="1" spans="1:11" ht="36" customHeight="1">
      <c r="A1" s="57" t="s">
        <v>36</v>
      </c>
      <c r="B1" s="57" t="s">
        <v>37</v>
      </c>
      <c r="C1" s="57" t="s">
        <v>125</v>
      </c>
      <c r="D1" s="57" t="s">
        <v>126</v>
      </c>
      <c r="E1" s="57" t="s">
        <v>127</v>
      </c>
      <c r="F1" s="57" t="s">
        <v>128</v>
      </c>
      <c r="G1" s="57" t="s">
        <v>129</v>
      </c>
      <c r="H1" s="57" t="s">
        <v>45</v>
      </c>
      <c r="I1" s="57" t="s">
        <v>46</v>
      </c>
      <c r="J1" s="57" t="s">
        <v>130</v>
      </c>
      <c r="K1" s="57" t="s">
        <v>47</v>
      </c>
    </row>
    <row r="2" spans="1:11" ht="25.95" customHeight="1">
      <c r="A2" s="58" t="s">
        <v>34</v>
      </c>
      <c r="B2" s="58" t="s">
        <v>48</v>
      </c>
      <c r="C2" s="58" t="s">
        <v>131</v>
      </c>
      <c r="D2" s="58" t="s">
        <v>132</v>
      </c>
      <c r="E2" s="58">
        <v>2101</v>
      </c>
      <c r="F2" s="58" t="s">
        <v>133</v>
      </c>
      <c r="G2" s="58" t="s">
        <v>134</v>
      </c>
      <c r="H2" s="58" t="s">
        <v>54</v>
      </c>
      <c r="I2" s="58" t="s">
        <v>55</v>
      </c>
      <c r="J2" s="58" t="s">
        <v>135</v>
      </c>
      <c r="K2" s="58" t="s">
        <v>136</v>
      </c>
    </row>
    <row r="3" spans="1:11" ht="25.95" customHeight="1">
      <c r="A3" s="58" t="s">
        <v>34</v>
      </c>
      <c r="B3" s="58" t="s">
        <v>48</v>
      </c>
      <c r="C3" s="58" t="s">
        <v>131</v>
      </c>
      <c r="D3" s="58" t="s">
        <v>137</v>
      </c>
      <c r="E3" s="58">
        <v>95370</v>
      </c>
      <c r="F3" s="58" t="s">
        <v>133</v>
      </c>
      <c r="G3" s="58" t="s">
        <v>134</v>
      </c>
      <c r="H3" s="58" t="s">
        <v>54</v>
      </c>
      <c r="I3" s="58" t="s">
        <v>55</v>
      </c>
      <c r="J3" s="58" t="s">
        <v>138</v>
      </c>
      <c r="K3" s="58" t="s">
        <v>139</v>
      </c>
    </row>
    <row r="4" spans="1:11" ht="25.95" customHeight="1">
      <c r="A4" s="58" t="s">
        <v>34</v>
      </c>
      <c r="B4" s="58" t="s">
        <v>48</v>
      </c>
      <c r="C4" s="58" t="s">
        <v>131</v>
      </c>
      <c r="D4" s="58" t="s">
        <v>140</v>
      </c>
      <c r="E4" s="58">
        <v>0</v>
      </c>
      <c r="F4" s="58" t="s">
        <v>133</v>
      </c>
      <c r="G4" s="58" t="s">
        <v>134</v>
      </c>
      <c r="H4" s="58" t="s">
        <v>54</v>
      </c>
      <c r="I4" s="58" t="s">
        <v>55</v>
      </c>
      <c r="J4" s="58" t="s">
        <v>141</v>
      </c>
      <c r="K4" s="58" t="s">
        <v>142</v>
      </c>
    </row>
    <row r="5" spans="1:11" ht="25.95" customHeight="1">
      <c r="A5" s="58" t="s">
        <v>34</v>
      </c>
      <c r="B5" s="58" t="s">
        <v>48</v>
      </c>
      <c r="C5" s="58" t="s">
        <v>131</v>
      </c>
      <c r="D5" s="58" t="s">
        <v>143</v>
      </c>
      <c r="E5" s="58">
        <v>1874432</v>
      </c>
      <c r="F5" s="58" t="s">
        <v>133</v>
      </c>
      <c r="G5" s="58" t="s">
        <v>134</v>
      </c>
      <c r="H5" s="58" t="s">
        <v>54</v>
      </c>
      <c r="I5" s="58" t="s">
        <v>55</v>
      </c>
      <c r="J5" s="58" t="s">
        <v>144</v>
      </c>
      <c r="K5" s="58" t="s">
        <v>145</v>
      </c>
    </row>
    <row r="6" spans="1:11" ht="25.95" customHeight="1">
      <c r="A6" s="58" t="s">
        <v>34</v>
      </c>
      <c r="B6" s="58" t="s">
        <v>48</v>
      </c>
      <c r="C6" s="58" t="s">
        <v>131</v>
      </c>
      <c r="D6" s="58" t="s">
        <v>146</v>
      </c>
      <c r="E6" s="58">
        <v>17224</v>
      </c>
      <c r="F6" s="58" t="s">
        <v>133</v>
      </c>
      <c r="G6" s="58" t="s">
        <v>134</v>
      </c>
      <c r="H6" s="58" t="s">
        <v>54</v>
      </c>
      <c r="I6" s="58" t="s">
        <v>55</v>
      </c>
      <c r="J6" s="58" t="s">
        <v>147</v>
      </c>
      <c r="K6" s="58" t="s">
        <v>148</v>
      </c>
    </row>
    <row r="7" spans="1:11" ht="25.95" customHeight="1">
      <c r="A7" s="58" t="s">
        <v>34</v>
      </c>
      <c r="B7" s="58" t="s">
        <v>48</v>
      </c>
      <c r="C7" s="58" t="s">
        <v>149</v>
      </c>
      <c r="D7" s="58" t="s">
        <v>150</v>
      </c>
      <c r="E7" s="58">
        <v>0</v>
      </c>
      <c r="F7" s="58" t="s">
        <v>151</v>
      </c>
      <c r="G7" s="58" t="s">
        <v>152</v>
      </c>
      <c r="H7" s="58" t="s">
        <v>54</v>
      </c>
      <c r="I7" s="58" t="s">
        <v>55</v>
      </c>
      <c r="J7" s="58" t="s">
        <v>153</v>
      </c>
      <c r="K7" s="58" t="s">
        <v>154</v>
      </c>
    </row>
    <row r="8" spans="1:11" ht="25.95" customHeight="1">
      <c r="A8" s="58" t="s">
        <v>34</v>
      </c>
      <c r="B8" s="58" t="s">
        <v>48</v>
      </c>
      <c r="C8" s="58" t="s">
        <v>149</v>
      </c>
      <c r="D8" s="58" t="s">
        <v>155</v>
      </c>
      <c r="E8" s="58">
        <v>0</v>
      </c>
      <c r="F8" s="58" t="s">
        <v>151</v>
      </c>
      <c r="G8" s="58" t="s">
        <v>152</v>
      </c>
      <c r="H8" s="58" t="s">
        <v>54</v>
      </c>
      <c r="I8" s="58" t="s">
        <v>55</v>
      </c>
      <c r="J8" s="58" t="s">
        <v>156</v>
      </c>
      <c r="K8" s="58" t="s">
        <v>157</v>
      </c>
    </row>
    <row r="9" spans="1:11" ht="25.95" customHeight="1">
      <c r="A9" s="58" t="s">
        <v>34</v>
      </c>
      <c r="B9" s="58" t="s">
        <v>48</v>
      </c>
      <c r="C9" s="58" t="s">
        <v>3746</v>
      </c>
      <c r="D9" s="58" t="s">
        <v>3747</v>
      </c>
      <c r="E9" s="58">
        <v>28</v>
      </c>
      <c r="F9" s="58" t="s">
        <v>3748</v>
      </c>
      <c r="G9" s="58" t="s">
        <v>3749</v>
      </c>
      <c r="H9" s="58" t="s">
        <v>54</v>
      </c>
      <c r="I9" s="58" t="s">
        <v>55</v>
      </c>
      <c r="J9" s="58" t="s">
        <v>3750</v>
      </c>
      <c r="K9" s="58" t="s">
        <v>3751</v>
      </c>
    </row>
    <row r="10" spans="1:11" ht="25.95" customHeight="1">
      <c r="A10" s="58" t="s">
        <v>34</v>
      </c>
      <c r="B10" s="58" t="s">
        <v>48</v>
      </c>
      <c r="C10" s="58" t="s">
        <v>3746</v>
      </c>
      <c r="D10" s="58" t="s">
        <v>3752</v>
      </c>
      <c r="E10" s="58">
        <v>1</v>
      </c>
      <c r="F10" s="58" t="s">
        <v>3753</v>
      </c>
      <c r="G10" s="58" t="s">
        <v>3749</v>
      </c>
      <c r="H10" s="58" t="s">
        <v>54</v>
      </c>
      <c r="I10" s="58" t="s">
        <v>55</v>
      </c>
      <c r="J10" s="58" t="s">
        <v>3754</v>
      </c>
      <c r="K10" s="58" t="s">
        <v>3755</v>
      </c>
    </row>
    <row r="11" spans="1:11" ht="25.95" customHeight="1">
      <c r="A11" s="58" t="s">
        <v>34</v>
      </c>
      <c r="B11" s="58" t="s">
        <v>48</v>
      </c>
      <c r="C11" s="58" t="s">
        <v>3746</v>
      </c>
      <c r="D11" s="58" t="s">
        <v>3756</v>
      </c>
      <c r="E11" s="58">
        <v>0</v>
      </c>
      <c r="F11" s="58" t="s">
        <v>3753</v>
      </c>
      <c r="G11" s="58" t="s">
        <v>3749</v>
      </c>
      <c r="H11" s="58" t="s">
        <v>54</v>
      </c>
      <c r="I11" s="58" t="s">
        <v>55</v>
      </c>
      <c r="J11" s="58" t="s">
        <v>3757</v>
      </c>
      <c r="K11" s="58" t="s">
        <v>3758</v>
      </c>
    </row>
    <row r="12" spans="1:11" ht="25.95" customHeight="1">
      <c r="A12" s="58" t="s">
        <v>34</v>
      </c>
      <c r="B12" s="58" t="s">
        <v>48</v>
      </c>
      <c r="C12" s="58" t="s">
        <v>3746</v>
      </c>
      <c r="D12" s="58" t="s">
        <v>3759</v>
      </c>
      <c r="E12" s="58">
        <v>0</v>
      </c>
      <c r="F12" s="58" t="s">
        <v>3753</v>
      </c>
      <c r="G12" s="58" t="s">
        <v>3760</v>
      </c>
      <c r="H12" s="58" t="s">
        <v>54</v>
      </c>
      <c r="I12" s="58" t="s">
        <v>55</v>
      </c>
      <c r="J12" s="58" t="s">
        <v>3761</v>
      </c>
      <c r="K12" s="58" t="s">
        <v>3762</v>
      </c>
    </row>
    <row r="13" spans="1:11" ht="25.95" customHeight="1">
      <c r="A13" s="58" t="s">
        <v>34</v>
      </c>
      <c r="B13" s="58" t="s">
        <v>48</v>
      </c>
      <c r="C13" s="58" t="s">
        <v>3746</v>
      </c>
      <c r="D13" s="58" t="s">
        <v>3763</v>
      </c>
      <c r="E13" s="58">
        <v>0</v>
      </c>
      <c r="F13" s="58" t="s">
        <v>3753</v>
      </c>
      <c r="G13" s="58" t="s">
        <v>3749</v>
      </c>
      <c r="H13" s="58" t="s">
        <v>54</v>
      </c>
      <c r="I13" s="58" t="s">
        <v>55</v>
      </c>
      <c r="J13" s="58" t="s">
        <v>3764</v>
      </c>
      <c r="K13" s="58" t="s">
        <v>3765</v>
      </c>
    </row>
    <row r="14" spans="1:11" ht="25.95" customHeight="1">
      <c r="A14" s="58" t="s">
        <v>34</v>
      </c>
      <c r="B14" s="58" t="s">
        <v>48</v>
      </c>
      <c r="C14" s="58" t="s">
        <v>3766</v>
      </c>
      <c r="D14" s="58" t="s">
        <v>3767</v>
      </c>
      <c r="E14" s="58">
        <v>0</v>
      </c>
      <c r="F14" s="58" t="s">
        <v>3768</v>
      </c>
      <c r="G14" s="58" t="s">
        <v>3769</v>
      </c>
      <c r="H14" s="58" t="s">
        <v>54</v>
      </c>
      <c r="I14" s="58" t="s">
        <v>55</v>
      </c>
      <c r="J14" s="58" t="s">
        <v>3770</v>
      </c>
      <c r="K14" s="58" t="s">
        <v>3771</v>
      </c>
    </row>
    <row r="15" spans="1:11" ht="25.95" customHeight="1">
      <c r="A15" s="58" t="s">
        <v>34</v>
      </c>
      <c r="B15" s="58" t="s">
        <v>48</v>
      </c>
      <c r="C15" s="58" t="s">
        <v>3766</v>
      </c>
      <c r="D15" s="58" t="s">
        <v>3772</v>
      </c>
      <c r="E15" s="58">
        <v>0</v>
      </c>
      <c r="F15" s="58" t="s">
        <v>3768</v>
      </c>
      <c r="G15" s="58" t="s">
        <v>3769</v>
      </c>
      <c r="H15" s="58" t="s">
        <v>54</v>
      </c>
      <c r="I15" s="58" t="s">
        <v>55</v>
      </c>
      <c r="J15" s="58" t="s">
        <v>3773</v>
      </c>
      <c r="K15" s="58" t="s">
        <v>3774</v>
      </c>
    </row>
    <row r="16" spans="1:11" ht="25.95" customHeight="1">
      <c r="A16" s="58" t="s">
        <v>34</v>
      </c>
      <c r="B16" s="58" t="s">
        <v>48</v>
      </c>
      <c r="C16" s="58" t="s">
        <v>3766</v>
      </c>
      <c r="D16" s="58" t="s">
        <v>3775</v>
      </c>
      <c r="E16" s="58">
        <v>1</v>
      </c>
      <c r="F16" s="58" t="s">
        <v>3768</v>
      </c>
      <c r="G16" s="58" t="s">
        <v>3769</v>
      </c>
      <c r="H16" s="58" t="s">
        <v>54</v>
      </c>
      <c r="I16" s="58" t="s">
        <v>55</v>
      </c>
      <c r="J16" s="58" t="s">
        <v>3776</v>
      </c>
      <c r="K16" s="58" t="s">
        <v>3777</v>
      </c>
    </row>
    <row r="17" spans="1:11" ht="25.95" customHeight="1">
      <c r="A17" s="58" t="s">
        <v>34</v>
      </c>
      <c r="B17" s="58" t="s">
        <v>48</v>
      </c>
      <c r="C17" s="58" t="s">
        <v>3766</v>
      </c>
      <c r="D17" s="58" t="s">
        <v>3778</v>
      </c>
      <c r="E17" s="58">
        <v>27</v>
      </c>
      <c r="F17" s="58" t="s">
        <v>3779</v>
      </c>
      <c r="G17" s="58" t="s">
        <v>3769</v>
      </c>
      <c r="H17" s="58" t="s">
        <v>54</v>
      </c>
      <c r="I17" s="58" t="s">
        <v>55</v>
      </c>
      <c r="J17" s="58" t="s">
        <v>3780</v>
      </c>
      <c r="K17" s="58" t="s">
        <v>3781</v>
      </c>
    </row>
    <row r="18" spans="1:11" ht="25.95" customHeight="1">
      <c r="A18" s="58" t="s">
        <v>34</v>
      </c>
      <c r="B18" s="58" t="s">
        <v>48</v>
      </c>
      <c r="C18" s="58" t="s">
        <v>3766</v>
      </c>
      <c r="D18" s="58" t="s">
        <v>3782</v>
      </c>
      <c r="E18" s="58">
        <v>1</v>
      </c>
      <c r="F18" s="58" t="s">
        <v>3768</v>
      </c>
      <c r="G18" s="58" t="s">
        <v>3769</v>
      </c>
      <c r="H18" s="58" t="s">
        <v>54</v>
      </c>
      <c r="I18" s="58" t="s">
        <v>55</v>
      </c>
      <c r="J18" s="58" t="s">
        <v>3783</v>
      </c>
      <c r="K18" s="58" t="s">
        <v>3784</v>
      </c>
    </row>
    <row r="19" spans="1:11" ht="15.6">
      <c r="A19" s="58" t="s">
        <v>34</v>
      </c>
      <c r="B19" s="58" t="s">
        <v>48</v>
      </c>
      <c r="C19" s="58" t="s">
        <v>162</v>
      </c>
      <c r="D19" s="58" t="s">
        <v>3785</v>
      </c>
      <c r="E19" s="58">
        <v>0</v>
      </c>
      <c r="F19" s="58" t="s">
        <v>3779</v>
      </c>
      <c r="G19" s="58" t="s">
        <v>164</v>
      </c>
      <c r="H19" s="58" t="s">
        <v>54</v>
      </c>
      <c r="I19" s="58" t="s">
        <v>55</v>
      </c>
      <c r="J19" s="58" t="s">
        <v>3786</v>
      </c>
      <c r="K19" s="58" t="s">
        <v>3787</v>
      </c>
    </row>
    <row r="20" spans="1:11" ht="15.6">
      <c r="A20" s="58" t="s">
        <v>34</v>
      </c>
      <c r="B20" s="58" t="s">
        <v>48</v>
      </c>
      <c r="C20" s="58" t="s">
        <v>162</v>
      </c>
      <c r="D20" s="58" t="s">
        <v>3788</v>
      </c>
      <c r="E20" s="58">
        <v>0</v>
      </c>
      <c r="F20" s="58" t="s">
        <v>3779</v>
      </c>
      <c r="G20" s="58" t="s">
        <v>164</v>
      </c>
      <c r="H20" s="58" t="s">
        <v>54</v>
      </c>
      <c r="I20" s="58" t="s">
        <v>55</v>
      </c>
      <c r="J20" s="58" t="s">
        <v>3789</v>
      </c>
      <c r="K20" s="58" t="s">
        <v>3790</v>
      </c>
    </row>
    <row r="21" spans="1:11" ht="15.6">
      <c r="A21" s="58" t="s">
        <v>34</v>
      </c>
      <c r="B21" s="58" t="s">
        <v>48</v>
      </c>
      <c r="C21" s="58" t="s">
        <v>3791</v>
      </c>
      <c r="D21" s="58" t="s">
        <v>3792</v>
      </c>
      <c r="E21" s="58">
        <v>27</v>
      </c>
      <c r="F21" s="58" t="s">
        <v>3779</v>
      </c>
      <c r="G21" s="58" t="s">
        <v>3793</v>
      </c>
      <c r="H21" s="58" t="s">
        <v>54</v>
      </c>
      <c r="I21" s="58" t="s">
        <v>55</v>
      </c>
      <c r="J21" s="58" t="s">
        <v>3794</v>
      </c>
      <c r="K21" s="58" t="s">
        <v>3795</v>
      </c>
    </row>
    <row r="22" spans="1:11" ht="25.95" customHeight="1">
      <c r="A22" s="58" t="s">
        <v>34</v>
      </c>
      <c r="B22" s="58" t="s">
        <v>48</v>
      </c>
      <c r="C22" s="58" t="s">
        <v>3791</v>
      </c>
      <c r="D22" s="58" t="s">
        <v>3796</v>
      </c>
      <c r="E22" s="58">
        <v>993.56940099999997</v>
      </c>
      <c r="F22" s="58" t="s">
        <v>3797</v>
      </c>
      <c r="G22" s="58" t="s">
        <v>3793</v>
      </c>
      <c r="H22" s="58" t="s">
        <v>54</v>
      </c>
      <c r="I22" s="58" t="s">
        <v>55</v>
      </c>
      <c r="J22" s="58" t="s">
        <v>3798</v>
      </c>
      <c r="K22" s="58" t="s">
        <v>3799</v>
      </c>
    </row>
    <row r="23" spans="1:11" ht="15.6">
      <c r="A23" s="58" t="s">
        <v>34</v>
      </c>
      <c r="B23" s="58" t="s">
        <v>48</v>
      </c>
      <c r="C23" s="58" t="s">
        <v>3791</v>
      </c>
      <c r="D23" s="58" t="s">
        <v>3800</v>
      </c>
      <c r="E23" s="58">
        <v>27</v>
      </c>
      <c r="F23" s="58" t="s">
        <v>3779</v>
      </c>
      <c r="G23" s="58" t="s">
        <v>3793</v>
      </c>
      <c r="H23" s="58" t="s">
        <v>54</v>
      </c>
      <c r="I23" s="58" t="s">
        <v>55</v>
      </c>
      <c r="J23" s="58" t="s">
        <v>3801</v>
      </c>
      <c r="K23" s="58" t="s">
        <v>3802</v>
      </c>
    </row>
    <row r="24" spans="1:11" ht="25.95" customHeight="1">
      <c r="A24" s="58" t="s">
        <v>34</v>
      </c>
      <c r="B24" s="58" t="s">
        <v>48</v>
      </c>
      <c r="C24" s="58" t="s">
        <v>3791</v>
      </c>
      <c r="D24" s="58" t="s">
        <v>3803</v>
      </c>
      <c r="E24" s="58">
        <v>0</v>
      </c>
      <c r="F24" s="58" t="s">
        <v>165</v>
      </c>
      <c r="G24" s="58" t="s">
        <v>3793</v>
      </c>
      <c r="H24" s="58" t="s">
        <v>54</v>
      </c>
      <c r="I24" s="58" t="s">
        <v>55</v>
      </c>
      <c r="J24" s="58" t="s">
        <v>3804</v>
      </c>
      <c r="K24" s="58" t="s">
        <v>3805</v>
      </c>
    </row>
    <row r="25" spans="1:11" ht="25.95" customHeight="1">
      <c r="A25" s="58" t="s">
        <v>34</v>
      </c>
      <c r="B25" s="58" t="s">
        <v>48</v>
      </c>
      <c r="C25" s="58" t="s">
        <v>3791</v>
      </c>
      <c r="D25" s="58" t="s">
        <v>3806</v>
      </c>
      <c r="E25" s="58">
        <v>0</v>
      </c>
      <c r="F25" s="58" t="s">
        <v>3753</v>
      </c>
      <c r="G25" s="58" t="s">
        <v>3793</v>
      </c>
      <c r="H25" s="58" t="s">
        <v>54</v>
      </c>
      <c r="I25" s="58" t="s">
        <v>55</v>
      </c>
      <c r="J25" s="58" t="s">
        <v>3807</v>
      </c>
      <c r="K25" s="58" t="s">
        <v>3808</v>
      </c>
    </row>
    <row r="26" spans="1:11" ht="25.95" customHeight="1">
      <c r="A26" s="58" t="s">
        <v>13</v>
      </c>
      <c r="B26" s="58" t="s">
        <v>48</v>
      </c>
      <c r="C26" s="58" t="s">
        <v>3809</v>
      </c>
      <c r="D26" s="58" t="s">
        <v>3810</v>
      </c>
      <c r="E26" s="58">
        <v>1</v>
      </c>
      <c r="F26" s="58" t="s">
        <v>3811</v>
      </c>
      <c r="G26" s="58" t="s">
        <v>3812</v>
      </c>
      <c r="H26" s="58" t="s">
        <v>3813</v>
      </c>
      <c r="I26" s="58" t="s">
        <v>3814</v>
      </c>
      <c r="J26" s="58" t="s">
        <v>3815</v>
      </c>
      <c r="K26" s="58" t="s">
        <v>3816</v>
      </c>
    </row>
    <row r="27" spans="1:11" ht="25.95" customHeight="1">
      <c r="A27" s="58" t="s">
        <v>13</v>
      </c>
      <c r="B27" s="58" t="s">
        <v>48</v>
      </c>
      <c r="C27" s="58" t="s">
        <v>3809</v>
      </c>
      <c r="D27" s="58" t="s">
        <v>3817</v>
      </c>
      <c r="E27" s="58">
        <v>0</v>
      </c>
      <c r="F27" s="58" t="s">
        <v>3811</v>
      </c>
      <c r="G27" s="58" t="s">
        <v>3812</v>
      </c>
      <c r="H27" s="58" t="s">
        <v>3813</v>
      </c>
      <c r="I27" s="58" t="s">
        <v>3814</v>
      </c>
      <c r="J27" s="58" t="s">
        <v>3818</v>
      </c>
      <c r="K27" s="58" t="s">
        <v>3819</v>
      </c>
    </row>
    <row r="28" spans="1:11" ht="25.95" customHeight="1">
      <c r="A28" s="58" t="s">
        <v>13</v>
      </c>
      <c r="B28" s="58" t="s">
        <v>48</v>
      </c>
      <c r="C28" s="58" t="s">
        <v>3746</v>
      </c>
      <c r="D28" s="58" t="s">
        <v>3747</v>
      </c>
      <c r="E28" s="58">
        <v>1269</v>
      </c>
      <c r="F28" s="58" t="s">
        <v>3748</v>
      </c>
      <c r="G28" s="58" t="s">
        <v>3749</v>
      </c>
      <c r="H28" s="58" t="s">
        <v>3813</v>
      </c>
      <c r="I28" s="58" t="s">
        <v>3814</v>
      </c>
      <c r="J28" s="58" t="s">
        <v>3820</v>
      </c>
      <c r="K28" s="58" t="s">
        <v>3821</v>
      </c>
    </row>
    <row r="29" spans="1:11" ht="25.95" customHeight="1">
      <c r="A29" s="58" t="s">
        <v>13</v>
      </c>
      <c r="B29" s="58" t="s">
        <v>48</v>
      </c>
      <c r="C29" s="58" t="s">
        <v>3746</v>
      </c>
      <c r="D29" s="58" t="s">
        <v>3752</v>
      </c>
      <c r="E29" s="58">
        <v>1</v>
      </c>
      <c r="F29" s="58" t="s">
        <v>3753</v>
      </c>
      <c r="G29" s="58" t="s">
        <v>3749</v>
      </c>
      <c r="H29" s="58" t="s">
        <v>3813</v>
      </c>
      <c r="I29" s="58" t="s">
        <v>3814</v>
      </c>
      <c r="J29" s="58" t="s">
        <v>3822</v>
      </c>
      <c r="K29" s="58" t="s">
        <v>3823</v>
      </c>
    </row>
    <row r="30" spans="1:11" ht="25.95" customHeight="1">
      <c r="A30" s="58" t="s">
        <v>13</v>
      </c>
      <c r="B30" s="58" t="s">
        <v>48</v>
      </c>
      <c r="C30" s="58" t="s">
        <v>3746</v>
      </c>
      <c r="D30" s="58" t="s">
        <v>3756</v>
      </c>
      <c r="E30" s="58">
        <v>0</v>
      </c>
      <c r="F30" s="58" t="s">
        <v>3753</v>
      </c>
      <c r="G30" s="58" t="s">
        <v>3749</v>
      </c>
      <c r="H30" s="58" t="s">
        <v>3813</v>
      </c>
      <c r="I30" s="58" t="s">
        <v>3814</v>
      </c>
      <c r="J30" s="58" t="s">
        <v>3824</v>
      </c>
      <c r="K30" s="58" t="s">
        <v>3825</v>
      </c>
    </row>
    <row r="31" spans="1:11" ht="25.95" customHeight="1">
      <c r="A31" s="58" t="s">
        <v>13</v>
      </c>
      <c r="B31" s="58" t="s">
        <v>48</v>
      </c>
      <c r="C31" s="58" t="s">
        <v>3746</v>
      </c>
      <c r="D31" s="58" t="s">
        <v>3759</v>
      </c>
      <c r="E31" s="58">
        <v>0</v>
      </c>
      <c r="F31" s="58" t="s">
        <v>3753</v>
      </c>
      <c r="G31" s="58" t="s">
        <v>3760</v>
      </c>
      <c r="H31" s="58" t="s">
        <v>3813</v>
      </c>
      <c r="I31" s="58" t="s">
        <v>3814</v>
      </c>
      <c r="J31" s="58" t="s">
        <v>3826</v>
      </c>
      <c r="K31" s="58" t="s">
        <v>3827</v>
      </c>
    </row>
    <row r="32" spans="1:11" ht="25.95" customHeight="1">
      <c r="A32" s="58" t="s">
        <v>13</v>
      </c>
      <c r="B32" s="58" t="s">
        <v>48</v>
      </c>
      <c r="C32" s="58" t="s">
        <v>3746</v>
      </c>
      <c r="D32" s="58" t="s">
        <v>3763</v>
      </c>
      <c r="E32" s="58">
        <v>0</v>
      </c>
      <c r="F32" s="58" t="s">
        <v>3753</v>
      </c>
      <c r="G32" s="58" t="s">
        <v>3749</v>
      </c>
      <c r="H32" s="58" t="s">
        <v>3813</v>
      </c>
      <c r="I32" s="58" t="s">
        <v>3814</v>
      </c>
      <c r="J32" s="58" t="s">
        <v>3828</v>
      </c>
      <c r="K32" s="58" t="s">
        <v>3829</v>
      </c>
    </row>
    <row r="33" spans="1:11" ht="25.95" customHeight="1">
      <c r="A33" s="58" t="s">
        <v>13</v>
      </c>
      <c r="B33" s="58" t="s">
        <v>48</v>
      </c>
      <c r="C33" s="58" t="s">
        <v>3766</v>
      </c>
      <c r="D33" s="58" t="s">
        <v>3767</v>
      </c>
      <c r="E33" s="58">
        <v>0</v>
      </c>
      <c r="F33" s="58" t="s">
        <v>3768</v>
      </c>
      <c r="G33" s="58" t="s">
        <v>3769</v>
      </c>
      <c r="H33" s="58" t="s">
        <v>3813</v>
      </c>
      <c r="I33" s="58" t="s">
        <v>3814</v>
      </c>
      <c r="J33" s="58" t="s">
        <v>3830</v>
      </c>
      <c r="K33" s="58" t="s">
        <v>3831</v>
      </c>
    </row>
    <row r="34" spans="1:11" ht="25.95" customHeight="1">
      <c r="A34" s="58" t="s">
        <v>13</v>
      </c>
      <c r="B34" s="58" t="s">
        <v>48</v>
      </c>
      <c r="C34" s="58" t="s">
        <v>3766</v>
      </c>
      <c r="D34" s="58" t="s">
        <v>3772</v>
      </c>
      <c r="E34" s="58">
        <v>0</v>
      </c>
      <c r="F34" s="58" t="s">
        <v>3768</v>
      </c>
      <c r="G34" s="58" t="s">
        <v>3769</v>
      </c>
      <c r="H34" s="58" t="s">
        <v>3813</v>
      </c>
      <c r="I34" s="58" t="s">
        <v>3814</v>
      </c>
      <c r="J34" s="58" t="s">
        <v>3832</v>
      </c>
      <c r="K34" s="58" t="s">
        <v>3833</v>
      </c>
    </row>
    <row r="35" spans="1:11" ht="25.95" customHeight="1">
      <c r="A35" s="58" t="s">
        <v>13</v>
      </c>
      <c r="B35" s="58" t="s">
        <v>48</v>
      </c>
      <c r="C35" s="58" t="s">
        <v>3766</v>
      </c>
      <c r="D35" s="58" t="s">
        <v>3775</v>
      </c>
      <c r="E35" s="58">
        <v>1</v>
      </c>
      <c r="F35" s="58" t="s">
        <v>3768</v>
      </c>
      <c r="G35" s="58" t="s">
        <v>3769</v>
      </c>
      <c r="H35" s="58" t="s">
        <v>3813</v>
      </c>
      <c r="I35" s="58" t="s">
        <v>3814</v>
      </c>
      <c r="J35" s="58" t="s">
        <v>3834</v>
      </c>
      <c r="K35" s="58" t="s">
        <v>3835</v>
      </c>
    </row>
    <row r="36" spans="1:11" ht="25.95" customHeight="1">
      <c r="A36" s="58" t="s">
        <v>13</v>
      </c>
      <c r="B36" s="58" t="s">
        <v>48</v>
      </c>
      <c r="C36" s="58" t="s">
        <v>3766</v>
      </c>
      <c r="D36" s="58" t="s">
        <v>3778</v>
      </c>
      <c r="E36" s="58">
        <v>49</v>
      </c>
      <c r="F36" s="58" t="s">
        <v>3779</v>
      </c>
      <c r="G36" s="58" t="s">
        <v>3769</v>
      </c>
      <c r="H36" s="58" t="s">
        <v>3813</v>
      </c>
      <c r="I36" s="58" t="s">
        <v>3814</v>
      </c>
      <c r="J36" s="58" t="s">
        <v>3836</v>
      </c>
      <c r="K36" s="58" t="s">
        <v>3837</v>
      </c>
    </row>
    <row r="37" spans="1:11" ht="25.95" customHeight="1">
      <c r="A37" s="58" t="s">
        <v>13</v>
      </c>
      <c r="B37" s="58" t="s">
        <v>48</v>
      </c>
      <c r="C37" s="58" t="s">
        <v>3766</v>
      </c>
      <c r="D37" s="58" t="s">
        <v>3782</v>
      </c>
      <c r="E37" s="58">
        <v>1</v>
      </c>
      <c r="F37" s="58" t="s">
        <v>3768</v>
      </c>
      <c r="G37" s="58" t="s">
        <v>3769</v>
      </c>
      <c r="H37" s="58" t="s">
        <v>3813</v>
      </c>
      <c r="I37" s="58" t="s">
        <v>3814</v>
      </c>
      <c r="J37" s="58" t="s">
        <v>3838</v>
      </c>
      <c r="K37" s="58" t="s">
        <v>3839</v>
      </c>
    </row>
    <row r="38" spans="1:11" ht="25.95" customHeight="1">
      <c r="A38" s="58" t="s">
        <v>13</v>
      </c>
      <c r="B38" s="58" t="s">
        <v>48</v>
      </c>
      <c r="C38" s="58" t="s">
        <v>3766</v>
      </c>
      <c r="D38" s="58" t="s">
        <v>3785</v>
      </c>
      <c r="E38" s="58">
        <v>0</v>
      </c>
      <c r="F38" s="58" t="s">
        <v>3779</v>
      </c>
      <c r="G38" s="58" t="s">
        <v>3769</v>
      </c>
      <c r="H38" s="58" t="s">
        <v>3813</v>
      </c>
      <c r="I38" s="58" t="s">
        <v>3814</v>
      </c>
      <c r="J38" s="58" t="s">
        <v>3840</v>
      </c>
      <c r="K38" s="58" t="s">
        <v>3841</v>
      </c>
    </row>
    <row r="39" spans="1:11" ht="25.95" customHeight="1">
      <c r="A39" s="58" t="s">
        <v>13</v>
      </c>
      <c r="B39" s="58" t="s">
        <v>48</v>
      </c>
      <c r="C39" s="58" t="s">
        <v>3766</v>
      </c>
      <c r="D39" s="58" t="s">
        <v>3788</v>
      </c>
      <c r="E39" s="58">
        <v>0</v>
      </c>
      <c r="F39" s="58" t="s">
        <v>3779</v>
      </c>
      <c r="G39" s="58" t="s">
        <v>3769</v>
      </c>
      <c r="H39" s="58" t="s">
        <v>3813</v>
      </c>
      <c r="I39" s="58" t="s">
        <v>3814</v>
      </c>
      <c r="J39" s="58" t="s">
        <v>3842</v>
      </c>
      <c r="K39" s="58" t="s">
        <v>3843</v>
      </c>
    </row>
    <row r="40" spans="1:11" ht="25.95" customHeight="1">
      <c r="A40" s="58" t="s">
        <v>13</v>
      </c>
      <c r="B40" s="58" t="s">
        <v>48</v>
      </c>
      <c r="C40" s="58" t="s">
        <v>3791</v>
      </c>
      <c r="D40" s="58" t="s">
        <v>3792</v>
      </c>
      <c r="E40" s="58">
        <v>50</v>
      </c>
      <c r="F40" s="58" t="s">
        <v>3779</v>
      </c>
      <c r="G40" s="58" t="s">
        <v>3793</v>
      </c>
      <c r="H40" s="58" t="s">
        <v>3813</v>
      </c>
      <c r="I40" s="58" t="s">
        <v>3814</v>
      </c>
      <c r="J40" s="58" t="s">
        <v>3844</v>
      </c>
      <c r="K40" s="58" t="s">
        <v>3845</v>
      </c>
    </row>
    <row r="41" spans="1:11" ht="25.95" customHeight="1">
      <c r="A41" s="58" t="s">
        <v>13</v>
      </c>
      <c r="B41" s="58" t="s">
        <v>48</v>
      </c>
      <c r="C41" s="58" t="s">
        <v>3791</v>
      </c>
      <c r="D41" s="58" t="s">
        <v>3800</v>
      </c>
      <c r="E41" s="58">
        <v>0</v>
      </c>
      <c r="F41" s="58" t="s">
        <v>3779</v>
      </c>
      <c r="G41" s="58" t="s">
        <v>3793</v>
      </c>
      <c r="H41" s="58" t="s">
        <v>3813</v>
      </c>
      <c r="I41" s="58" t="s">
        <v>3814</v>
      </c>
      <c r="J41" s="58" t="s">
        <v>3846</v>
      </c>
      <c r="K41" s="58" t="s">
        <v>3847</v>
      </c>
    </row>
    <row r="42" spans="1:11" ht="25.95" customHeight="1">
      <c r="A42" s="58" t="s">
        <v>13</v>
      </c>
      <c r="B42" s="58" t="s">
        <v>48</v>
      </c>
      <c r="C42" s="58" t="s">
        <v>3791</v>
      </c>
      <c r="D42" s="58" t="s">
        <v>3803</v>
      </c>
      <c r="E42" s="58">
        <v>0</v>
      </c>
      <c r="F42" s="58" t="s">
        <v>3779</v>
      </c>
      <c r="G42" s="58" t="s">
        <v>3793</v>
      </c>
      <c r="H42" s="58" t="s">
        <v>3813</v>
      </c>
      <c r="I42" s="58" t="s">
        <v>3814</v>
      </c>
      <c r="J42" s="58" t="s">
        <v>3848</v>
      </c>
      <c r="K42" s="58" t="s">
        <v>3849</v>
      </c>
    </row>
    <row r="43" spans="1:11" ht="25.95" customHeight="1">
      <c r="A43" s="58" t="s">
        <v>13</v>
      </c>
      <c r="B43" s="58" t="s">
        <v>48</v>
      </c>
      <c r="C43" s="58" t="s">
        <v>3791</v>
      </c>
      <c r="D43" s="58" t="s">
        <v>3806</v>
      </c>
      <c r="E43" s="58">
        <v>0</v>
      </c>
      <c r="F43" s="58" t="s">
        <v>3753</v>
      </c>
      <c r="G43" s="58" t="s">
        <v>3793</v>
      </c>
      <c r="H43" s="58" t="s">
        <v>3813</v>
      </c>
      <c r="I43" s="58" t="s">
        <v>3814</v>
      </c>
      <c r="J43" s="58" t="s">
        <v>3850</v>
      </c>
      <c r="K43" s="58" t="s">
        <v>3851</v>
      </c>
    </row>
    <row r="44" spans="1:11" ht="25.95" customHeight="1">
      <c r="A44" s="58" t="s">
        <v>14</v>
      </c>
      <c r="B44" s="58" t="s">
        <v>48</v>
      </c>
      <c r="C44" s="58" t="s">
        <v>3852</v>
      </c>
      <c r="D44" s="58" t="s">
        <v>3853</v>
      </c>
      <c r="E44" s="58">
        <v>311371</v>
      </c>
      <c r="F44" s="58" t="s">
        <v>3854</v>
      </c>
      <c r="G44" s="58" t="s">
        <v>3855</v>
      </c>
      <c r="H44" s="58" t="s">
        <v>3856</v>
      </c>
      <c r="I44" s="58" t="s">
        <v>3857</v>
      </c>
      <c r="J44" s="58" t="s">
        <v>3858</v>
      </c>
      <c r="K44" s="58" t="s">
        <v>3859</v>
      </c>
    </row>
    <row r="45" spans="1:11" ht="25.95" customHeight="1">
      <c r="A45" s="58" t="s">
        <v>14</v>
      </c>
      <c r="B45" s="58" t="s">
        <v>48</v>
      </c>
      <c r="C45" s="58" t="s">
        <v>3852</v>
      </c>
      <c r="D45" s="58" t="s">
        <v>3860</v>
      </c>
      <c r="E45" s="58">
        <v>0</v>
      </c>
      <c r="F45" s="58" t="s">
        <v>3854</v>
      </c>
      <c r="G45" s="58" t="s">
        <v>3855</v>
      </c>
      <c r="H45" s="58" t="s">
        <v>3856</v>
      </c>
      <c r="I45" s="58" t="s">
        <v>3857</v>
      </c>
      <c r="J45" s="58" t="s">
        <v>3861</v>
      </c>
      <c r="K45" s="58" t="s">
        <v>3862</v>
      </c>
    </row>
    <row r="46" spans="1:11" ht="25.95" customHeight="1">
      <c r="A46" s="58" t="s">
        <v>14</v>
      </c>
      <c r="B46" s="58" t="s">
        <v>48</v>
      </c>
      <c r="C46" s="58" t="s">
        <v>3852</v>
      </c>
      <c r="D46" s="58" t="s">
        <v>3863</v>
      </c>
      <c r="E46" s="58">
        <v>12838400</v>
      </c>
      <c r="F46" s="58" t="s">
        <v>3854</v>
      </c>
      <c r="G46" s="58" t="s">
        <v>3855</v>
      </c>
      <c r="H46" s="58" t="s">
        <v>3856</v>
      </c>
      <c r="I46" s="58" t="s">
        <v>3857</v>
      </c>
      <c r="J46" s="58" t="s">
        <v>3864</v>
      </c>
      <c r="K46" s="58" t="s">
        <v>3865</v>
      </c>
    </row>
    <row r="47" spans="1:11" ht="25.95" customHeight="1">
      <c r="A47" s="58" t="s">
        <v>14</v>
      </c>
      <c r="B47" s="58" t="s">
        <v>48</v>
      </c>
      <c r="C47" s="58" t="s">
        <v>3852</v>
      </c>
      <c r="D47" s="58" t="s">
        <v>3866</v>
      </c>
      <c r="E47" s="58">
        <v>95925</v>
      </c>
      <c r="F47" s="58" t="s">
        <v>3854</v>
      </c>
      <c r="G47" s="58" t="s">
        <v>3855</v>
      </c>
      <c r="H47" s="58" t="s">
        <v>3856</v>
      </c>
      <c r="I47" s="58" t="s">
        <v>3857</v>
      </c>
      <c r="J47" s="58" t="s">
        <v>3867</v>
      </c>
      <c r="K47" s="58" t="s">
        <v>3868</v>
      </c>
    </row>
    <row r="48" spans="1:11" ht="25.95" customHeight="1">
      <c r="A48" s="58" t="s">
        <v>14</v>
      </c>
      <c r="B48" s="58" t="s">
        <v>48</v>
      </c>
      <c r="C48" s="58" t="s">
        <v>3809</v>
      </c>
      <c r="D48" s="58" t="s">
        <v>3810</v>
      </c>
      <c r="E48" s="58">
        <v>0</v>
      </c>
      <c r="F48" s="58" t="s">
        <v>3811</v>
      </c>
      <c r="G48" s="58" t="s">
        <v>3812</v>
      </c>
      <c r="H48" s="58" t="s">
        <v>3856</v>
      </c>
      <c r="I48" s="58" t="s">
        <v>3857</v>
      </c>
      <c r="J48" s="58" t="s">
        <v>3869</v>
      </c>
      <c r="K48" s="58" t="s">
        <v>3870</v>
      </c>
    </row>
    <row r="49" spans="1:11" ht="25.95" customHeight="1">
      <c r="A49" s="58" t="s">
        <v>14</v>
      </c>
      <c r="B49" s="58" t="s">
        <v>48</v>
      </c>
      <c r="C49" s="58" t="s">
        <v>3809</v>
      </c>
      <c r="D49" s="58" t="s">
        <v>3817</v>
      </c>
      <c r="E49" s="58">
        <v>2</v>
      </c>
      <c r="F49" s="58" t="s">
        <v>3811</v>
      </c>
      <c r="G49" s="58" t="s">
        <v>3812</v>
      </c>
      <c r="H49" s="58" t="s">
        <v>3856</v>
      </c>
      <c r="I49" s="58" t="s">
        <v>3857</v>
      </c>
      <c r="J49" s="58" t="s">
        <v>3871</v>
      </c>
      <c r="K49" s="58" t="s">
        <v>3872</v>
      </c>
    </row>
    <row r="50" spans="1:11" ht="25.95" customHeight="1">
      <c r="A50" s="58" t="s">
        <v>14</v>
      </c>
      <c r="B50" s="58" t="s">
        <v>48</v>
      </c>
      <c r="C50" s="58" t="s">
        <v>3746</v>
      </c>
      <c r="D50" s="58" t="s">
        <v>3747</v>
      </c>
      <c r="E50" s="58">
        <v>1197</v>
      </c>
      <c r="F50" s="58" t="s">
        <v>3748</v>
      </c>
      <c r="G50" s="58" t="s">
        <v>3749</v>
      </c>
      <c r="H50" s="58" t="s">
        <v>3856</v>
      </c>
      <c r="I50" s="58" t="s">
        <v>3857</v>
      </c>
      <c r="J50" s="58" t="s">
        <v>3873</v>
      </c>
      <c r="K50" s="58" t="s">
        <v>3874</v>
      </c>
    </row>
    <row r="51" spans="1:11" ht="25.95" customHeight="1">
      <c r="A51" s="58" t="s">
        <v>14</v>
      </c>
      <c r="B51" s="58" t="s">
        <v>48</v>
      </c>
      <c r="C51" s="58" t="s">
        <v>3746</v>
      </c>
      <c r="D51" s="58" t="s">
        <v>3752</v>
      </c>
      <c r="E51" s="58">
        <v>1</v>
      </c>
      <c r="F51" s="58" t="s">
        <v>161</v>
      </c>
      <c r="G51" s="58" t="s">
        <v>3749</v>
      </c>
      <c r="H51" s="58" t="s">
        <v>3856</v>
      </c>
      <c r="I51" s="58" t="s">
        <v>3857</v>
      </c>
      <c r="J51" s="58" t="s">
        <v>3875</v>
      </c>
      <c r="K51" s="58" t="s">
        <v>3876</v>
      </c>
    </row>
    <row r="52" spans="1:11" ht="25.95" customHeight="1">
      <c r="A52" s="58" t="s">
        <v>14</v>
      </c>
      <c r="B52" s="58" t="s">
        <v>48</v>
      </c>
      <c r="C52" s="58" t="s">
        <v>3746</v>
      </c>
      <c r="D52" s="58" t="s">
        <v>3756</v>
      </c>
      <c r="E52" s="58">
        <v>0</v>
      </c>
      <c r="F52" s="58" t="s">
        <v>3753</v>
      </c>
      <c r="G52" s="58" t="s">
        <v>3749</v>
      </c>
      <c r="H52" s="58" t="s">
        <v>3856</v>
      </c>
      <c r="I52" s="58" t="s">
        <v>3857</v>
      </c>
      <c r="J52" s="58" t="s">
        <v>3877</v>
      </c>
      <c r="K52" s="58" t="s">
        <v>3878</v>
      </c>
    </row>
    <row r="53" spans="1:11" ht="25.95" customHeight="1">
      <c r="A53" s="58" t="s">
        <v>14</v>
      </c>
      <c r="B53" s="58" t="s">
        <v>48</v>
      </c>
      <c r="C53" s="58" t="s">
        <v>3746</v>
      </c>
      <c r="D53" s="58" t="s">
        <v>3759</v>
      </c>
      <c r="E53" s="58">
        <v>0</v>
      </c>
      <c r="F53" s="58" t="s">
        <v>3753</v>
      </c>
      <c r="G53" s="58" t="s">
        <v>3760</v>
      </c>
      <c r="H53" s="58" t="s">
        <v>3856</v>
      </c>
      <c r="I53" s="58" t="s">
        <v>3857</v>
      </c>
      <c r="J53" s="58" t="s">
        <v>3879</v>
      </c>
      <c r="K53" s="58" t="s">
        <v>3880</v>
      </c>
    </row>
    <row r="54" spans="1:11" ht="25.95" customHeight="1">
      <c r="A54" s="58" t="s">
        <v>14</v>
      </c>
      <c r="B54" s="58" t="s">
        <v>48</v>
      </c>
      <c r="C54" s="58" t="s">
        <v>3746</v>
      </c>
      <c r="D54" s="58" t="s">
        <v>3763</v>
      </c>
      <c r="E54" s="58">
        <v>0</v>
      </c>
      <c r="F54" s="58" t="s">
        <v>3753</v>
      </c>
      <c r="G54" s="58" t="s">
        <v>3749</v>
      </c>
      <c r="H54" s="58" t="s">
        <v>3856</v>
      </c>
      <c r="I54" s="58" t="s">
        <v>3857</v>
      </c>
      <c r="J54" s="58" t="s">
        <v>3881</v>
      </c>
      <c r="K54" s="58" t="s">
        <v>3882</v>
      </c>
    </row>
    <row r="55" spans="1:11" ht="25.95" customHeight="1">
      <c r="A55" s="58" t="s">
        <v>14</v>
      </c>
      <c r="B55" s="58" t="s">
        <v>48</v>
      </c>
      <c r="C55" s="58" t="s">
        <v>3766</v>
      </c>
      <c r="D55" s="58" t="s">
        <v>3767</v>
      </c>
      <c r="E55" s="58">
        <v>5.5045871559633031E-2</v>
      </c>
      <c r="F55" s="58" t="s">
        <v>3768</v>
      </c>
      <c r="G55" s="58" t="s">
        <v>3769</v>
      </c>
      <c r="H55" s="58" t="s">
        <v>3856</v>
      </c>
      <c r="I55" s="58" t="s">
        <v>3857</v>
      </c>
      <c r="J55" s="58" t="s">
        <v>3883</v>
      </c>
      <c r="K55" s="58" t="s">
        <v>3884</v>
      </c>
    </row>
    <row r="56" spans="1:11" ht="25.95" customHeight="1">
      <c r="A56" s="58" t="s">
        <v>14</v>
      </c>
      <c r="B56" s="58" t="s">
        <v>48</v>
      </c>
      <c r="C56" s="58" t="s">
        <v>3766</v>
      </c>
      <c r="D56" s="58" t="s">
        <v>3772</v>
      </c>
      <c r="E56" s="58">
        <v>7.1550953226454453E-2</v>
      </c>
      <c r="F56" s="58" t="s">
        <v>3768</v>
      </c>
      <c r="G56" s="58" t="s">
        <v>3769</v>
      </c>
      <c r="H56" s="58" t="s">
        <v>3856</v>
      </c>
      <c r="I56" s="58" t="s">
        <v>3857</v>
      </c>
      <c r="J56" s="58" t="s">
        <v>3885</v>
      </c>
      <c r="K56" s="58" t="s">
        <v>3886</v>
      </c>
    </row>
    <row r="57" spans="1:11" ht="25.95" customHeight="1">
      <c r="A57" s="58" t="s">
        <v>14</v>
      </c>
      <c r="B57" s="58" t="s">
        <v>48</v>
      </c>
      <c r="C57" s="58" t="s">
        <v>3766</v>
      </c>
      <c r="D57" s="58" t="s">
        <v>3775</v>
      </c>
      <c r="E57" s="58">
        <v>1</v>
      </c>
      <c r="F57" s="58" t="s">
        <v>3768</v>
      </c>
      <c r="G57" s="58" t="s">
        <v>3769</v>
      </c>
      <c r="H57" s="58" t="s">
        <v>3856</v>
      </c>
      <c r="I57" s="58" t="s">
        <v>3857</v>
      </c>
      <c r="J57" s="58" t="s">
        <v>3887</v>
      </c>
      <c r="K57" s="58" t="s">
        <v>3888</v>
      </c>
    </row>
    <row r="58" spans="1:11" ht="25.95" customHeight="1">
      <c r="A58" s="58" t="s">
        <v>14</v>
      </c>
      <c r="B58" s="58" t="s">
        <v>48</v>
      </c>
      <c r="C58" s="58" t="s">
        <v>3766</v>
      </c>
      <c r="D58" s="58" t="s">
        <v>3778</v>
      </c>
      <c r="E58" s="58">
        <v>109</v>
      </c>
      <c r="F58" s="58" t="s">
        <v>3779</v>
      </c>
      <c r="G58" s="58" t="s">
        <v>3769</v>
      </c>
      <c r="H58" s="58" t="s">
        <v>3856</v>
      </c>
      <c r="I58" s="58" t="s">
        <v>3857</v>
      </c>
      <c r="J58" s="58" t="s">
        <v>3889</v>
      </c>
      <c r="K58" s="58" t="s">
        <v>3890</v>
      </c>
    </row>
    <row r="59" spans="1:11" ht="25.95" customHeight="1">
      <c r="A59" s="58" t="s">
        <v>14</v>
      </c>
      <c r="B59" s="58" t="s">
        <v>48</v>
      </c>
      <c r="C59" s="58" t="s">
        <v>3766</v>
      </c>
      <c r="D59" s="58" t="s">
        <v>3782</v>
      </c>
      <c r="E59" s="58">
        <v>1</v>
      </c>
      <c r="F59" s="58" t="s">
        <v>3768</v>
      </c>
      <c r="G59" s="58" t="s">
        <v>3769</v>
      </c>
      <c r="H59" s="58" t="s">
        <v>3856</v>
      </c>
      <c r="I59" s="58" t="s">
        <v>3857</v>
      </c>
      <c r="J59" s="58" t="s">
        <v>3891</v>
      </c>
      <c r="K59" s="58" t="s">
        <v>3892</v>
      </c>
    </row>
    <row r="60" spans="1:11" ht="25.95" customHeight="1">
      <c r="A60" s="58" t="s">
        <v>14</v>
      </c>
      <c r="B60" s="58" t="s">
        <v>48</v>
      </c>
      <c r="C60" s="58" t="s">
        <v>3766</v>
      </c>
      <c r="D60" s="58" t="s">
        <v>3785</v>
      </c>
      <c r="E60" s="58">
        <v>1</v>
      </c>
      <c r="F60" s="58" t="s">
        <v>3779</v>
      </c>
      <c r="G60" s="58" t="s">
        <v>3769</v>
      </c>
      <c r="H60" s="58" t="s">
        <v>3856</v>
      </c>
      <c r="I60" s="58" t="s">
        <v>3857</v>
      </c>
      <c r="J60" s="58" t="s">
        <v>3893</v>
      </c>
      <c r="K60" s="58" t="s">
        <v>3894</v>
      </c>
    </row>
    <row r="61" spans="1:11" ht="25.95" customHeight="1">
      <c r="A61" s="58" t="s">
        <v>14</v>
      </c>
      <c r="B61" s="58" t="s">
        <v>48</v>
      </c>
      <c r="C61" s="58" t="s">
        <v>3766</v>
      </c>
      <c r="D61" s="58" t="s">
        <v>3788</v>
      </c>
      <c r="E61" s="58">
        <v>6</v>
      </c>
      <c r="F61" s="58" t="s">
        <v>3779</v>
      </c>
      <c r="G61" s="58" t="s">
        <v>3769</v>
      </c>
      <c r="H61" s="58" t="s">
        <v>3856</v>
      </c>
      <c r="I61" s="58" t="s">
        <v>3857</v>
      </c>
      <c r="J61" s="58" t="s">
        <v>3895</v>
      </c>
      <c r="K61" s="58" t="s">
        <v>3896</v>
      </c>
    </row>
    <row r="62" spans="1:11" ht="25.95" customHeight="1">
      <c r="A62" s="58" t="s">
        <v>14</v>
      </c>
      <c r="B62" s="58" t="s">
        <v>48</v>
      </c>
      <c r="C62" s="58" t="s">
        <v>3791</v>
      </c>
      <c r="D62" s="58" t="s">
        <v>3792</v>
      </c>
      <c r="E62" s="58">
        <v>123</v>
      </c>
      <c r="F62" s="58" t="s">
        <v>3779</v>
      </c>
      <c r="G62" s="58" t="s">
        <v>3793</v>
      </c>
      <c r="H62" s="58" t="s">
        <v>3856</v>
      </c>
      <c r="I62" s="58" t="s">
        <v>3857</v>
      </c>
      <c r="J62" s="58" t="s">
        <v>3897</v>
      </c>
      <c r="K62" s="58" t="s">
        <v>3898</v>
      </c>
    </row>
    <row r="63" spans="1:11" ht="25.95" customHeight="1">
      <c r="A63" s="58" t="s">
        <v>14</v>
      </c>
      <c r="B63" s="58" t="s">
        <v>48</v>
      </c>
      <c r="C63" s="58" t="s">
        <v>3791</v>
      </c>
      <c r="D63" s="58" t="s">
        <v>3800</v>
      </c>
      <c r="E63" s="58">
        <v>123</v>
      </c>
      <c r="F63" s="58" t="s">
        <v>3779</v>
      </c>
      <c r="G63" s="58" t="s">
        <v>3793</v>
      </c>
      <c r="H63" s="58" t="s">
        <v>3856</v>
      </c>
      <c r="I63" s="58" t="s">
        <v>3857</v>
      </c>
      <c r="J63" s="58" t="s">
        <v>3899</v>
      </c>
      <c r="K63" s="58" t="s">
        <v>3900</v>
      </c>
    </row>
    <row r="64" spans="1:11" ht="31.2">
      <c r="A64" s="58" t="s">
        <v>14</v>
      </c>
      <c r="B64" s="58" t="s">
        <v>48</v>
      </c>
      <c r="C64" s="58" t="s">
        <v>3791</v>
      </c>
      <c r="D64" s="58" t="s">
        <v>3803</v>
      </c>
      <c r="E64" s="58">
        <v>0</v>
      </c>
      <c r="F64" s="58" t="s">
        <v>3779</v>
      </c>
      <c r="G64" s="58" t="s">
        <v>3793</v>
      </c>
      <c r="H64" s="58" t="s">
        <v>3856</v>
      </c>
      <c r="I64" s="58" t="s">
        <v>3857</v>
      </c>
      <c r="J64" s="58" t="s">
        <v>3901</v>
      </c>
      <c r="K64" s="58" t="s">
        <v>3902</v>
      </c>
    </row>
    <row r="65" spans="1:11" ht="31.2">
      <c r="A65" s="58" t="s">
        <v>14</v>
      </c>
      <c r="B65" s="58" t="s">
        <v>48</v>
      </c>
      <c r="C65" s="58" t="s">
        <v>3791</v>
      </c>
      <c r="D65" s="58" t="s">
        <v>3806</v>
      </c>
      <c r="E65" s="58">
        <v>0</v>
      </c>
      <c r="F65" s="58" t="s">
        <v>3753</v>
      </c>
      <c r="G65" s="58" t="s">
        <v>3793</v>
      </c>
      <c r="H65" s="58" t="s">
        <v>3856</v>
      </c>
      <c r="I65" s="58" t="s">
        <v>3857</v>
      </c>
      <c r="J65" s="58" t="s">
        <v>3903</v>
      </c>
      <c r="K65" s="58" t="s">
        <v>3904</v>
      </c>
    </row>
    <row r="66" spans="1:11" ht="31.2">
      <c r="A66" s="58" t="s">
        <v>17</v>
      </c>
      <c r="B66" s="58" t="s">
        <v>48</v>
      </c>
      <c r="C66" s="58" t="s">
        <v>3809</v>
      </c>
      <c r="D66" s="58" t="s">
        <v>3810</v>
      </c>
      <c r="E66" s="58">
        <v>0</v>
      </c>
      <c r="F66" s="58" t="s">
        <v>3811</v>
      </c>
      <c r="G66" s="58" t="s">
        <v>3812</v>
      </c>
      <c r="H66" s="58" t="s">
        <v>3905</v>
      </c>
      <c r="I66" s="58" t="s">
        <v>3906</v>
      </c>
      <c r="J66" s="58" t="s">
        <v>3907</v>
      </c>
      <c r="K66" s="58" t="s">
        <v>3908</v>
      </c>
    </row>
    <row r="67" spans="1:11" ht="25.95" customHeight="1">
      <c r="A67" s="58" t="s">
        <v>17</v>
      </c>
      <c r="B67" s="58" t="s">
        <v>48</v>
      </c>
      <c r="C67" s="58" t="s">
        <v>3809</v>
      </c>
      <c r="D67" s="58" t="s">
        <v>3817</v>
      </c>
      <c r="E67" s="58">
        <v>3</v>
      </c>
      <c r="F67" s="58" t="s">
        <v>3811</v>
      </c>
      <c r="G67" s="58" t="s">
        <v>3812</v>
      </c>
      <c r="H67" s="58" t="s">
        <v>3905</v>
      </c>
      <c r="I67" s="58" t="s">
        <v>3906</v>
      </c>
      <c r="J67" s="58" t="s">
        <v>3909</v>
      </c>
      <c r="K67" s="58" t="s">
        <v>3910</v>
      </c>
    </row>
    <row r="68" spans="1:11" ht="31.2">
      <c r="A68" s="58" t="s">
        <v>17</v>
      </c>
      <c r="B68" s="58" t="s">
        <v>48</v>
      </c>
      <c r="C68" s="58" t="s">
        <v>3746</v>
      </c>
      <c r="D68" s="58" t="s">
        <v>3747</v>
      </c>
      <c r="E68" s="58">
        <v>1645</v>
      </c>
      <c r="F68" s="58" t="s">
        <v>3748</v>
      </c>
      <c r="G68" s="58" t="s">
        <v>3749</v>
      </c>
      <c r="H68" s="58" t="s">
        <v>3905</v>
      </c>
      <c r="I68" s="58" t="s">
        <v>3906</v>
      </c>
      <c r="J68" s="58" t="s">
        <v>3911</v>
      </c>
      <c r="K68" s="58" t="s">
        <v>3912</v>
      </c>
    </row>
    <row r="69" spans="1:11" ht="25.95" customHeight="1">
      <c r="A69" s="58" t="s">
        <v>17</v>
      </c>
      <c r="B69" s="58" t="s">
        <v>48</v>
      </c>
      <c r="C69" s="58" t="s">
        <v>3746</v>
      </c>
      <c r="D69" s="58" t="s">
        <v>3752</v>
      </c>
      <c r="E69" s="58">
        <v>1</v>
      </c>
      <c r="F69" s="58" t="s">
        <v>3753</v>
      </c>
      <c r="G69" s="58" t="s">
        <v>3749</v>
      </c>
      <c r="H69" s="58" t="s">
        <v>3905</v>
      </c>
      <c r="I69" s="58" t="s">
        <v>3906</v>
      </c>
      <c r="J69" s="58" t="s">
        <v>3913</v>
      </c>
      <c r="K69" s="58" t="s">
        <v>3914</v>
      </c>
    </row>
    <row r="70" spans="1:11" ht="25.95" customHeight="1">
      <c r="A70" s="58" t="s">
        <v>17</v>
      </c>
      <c r="B70" s="58" t="s">
        <v>48</v>
      </c>
      <c r="C70" s="58" t="s">
        <v>3746</v>
      </c>
      <c r="D70" s="58" t="s">
        <v>3756</v>
      </c>
      <c r="E70" s="58">
        <v>0</v>
      </c>
      <c r="F70" s="58" t="s">
        <v>3753</v>
      </c>
      <c r="G70" s="58" t="s">
        <v>3749</v>
      </c>
      <c r="H70" s="58" t="s">
        <v>3905</v>
      </c>
      <c r="I70" s="58" t="s">
        <v>3906</v>
      </c>
      <c r="J70" s="58" t="s">
        <v>3915</v>
      </c>
      <c r="K70" s="58" t="s">
        <v>3916</v>
      </c>
    </row>
    <row r="71" spans="1:11" ht="25.95" customHeight="1">
      <c r="A71" s="58" t="s">
        <v>17</v>
      </c>
      <c r="B71" s="58" t="s">
        <v>48</v>
      </c>
      <c r="C71" s="58" t="s">
        <v>3746</v>
      </c>
      <c r="D71" s="58" t="s">
        <v>3759</v>
      </c>
      <c r="E71" s="58">
        <v>0</v>
      </c>
      <c r="F71" s="58" t="s">
        <v>3753</v>
      </c>
      <c r="G71" s="58" t="s">
        <v>3760</v>
      </c>
      <c r="H71" s="58" t="s">
        <v>3905</v>
      </c>
      <c r="I71" s="58" t="s">
        <v>3906</v>
      </c>
      <c r="J71" s="58" t="s">
        <v>3917</v>
      </c>
      <c r="K71" s="58" t="s">
        <v>3918</v>
      </c>
    </row>
    <row r="72" spans="1:11" ht="25.95" customHeight="1">
      <c r="A72" s="58" t="s">
        <v>17</v>
      </c>
      <c r="B72" s="58" t="s">
        <v>48</v>
      </c>
      <c r="C72" s="58" t="s">
        <v>3746</v>
      </c>
      <c r="D72" s="58" t="s">
        <v>3763</v>
      </c>
      <c r="E72" s="58">
        <v>0</v>
      </c>
      <c r="F72" s="58" t="s">
        <v>3753</v>
      </c>
      <c r="G72" s="58" t="s">
        <v>3749</v>
      </c>
      <c r="H72" s="58" t="s">
        <v>3905</v>
      </c>
      <c r="I72" s="58" t="s">
        <v>3906</v>
      </c>
      <c r="J72" s="58" t="s">
        <v>3919</v>
      </c>
      <c r="K72" s="58" t="s">
        <v>3920</v>
      </c>
    </row>
    <row r="73" spans="1:11" ht="25.95" customHeight="1">
      <c r="A73" s="58" t="s">
        <v>17</v>
      </c>
      <c r="B73" s="58" t="s">
        <v>48</v>
      </c>
      <c r="C73" s="58" t="s">
        <v>3766</v>
      </c>
      <c r="D73" s="58" t="s">
        <v>3767</v>
      </c>
      <c r="E73" s="58">
        <v>0.140625</v>
      </c>
      <c r="F73" s="58" t="s">
        <v>3768</v>
      </c>
      <c r="G73" s="58" t="s">
        <v>3769</v>
      </c>
      <c r="H73" s="58" t="s">
        <v>3905</v>
      </c>
      <c r="I73" s="58" t="s">
        <v>3906</v>
      </c>
      <c r="J73" s="58" t="s">
        <v>3921</v>
      </c>
      <c r="K73" s="58" t="s">
        <v>3922</v>
      </c>
    </row>
    <row r="74" spans="1:11" ht="25.95" customHeight="1">
      <c r="A74" s="58" t="s">
        <v>17</v>
      </c>
      <c r="B74" s="58" t="s">
        <v>48</v>
      </c>
      <c r="C74" s="58" t="s">
        <v>3766</v>
      </c>
      <c r="D74" s="58" t="s">
        <v>3775</v>
      </c>
      <c r="E74" s="58">
        <v>1</v>
      </c>
      <c r="F74" s="58" t="s">
        <v>3768</v>
      </c>
      <c r="G74" s="58" t="s">
        <v>3769</v>
      </c>
      <c r="H74" s="58" t="s">
        <v>3905</v>
      </c>
      <c r="I74" s="58" t="s">
        <v>3906</v>
      </c>
      <c r="J74" s="58" t="s">
        <v>3923</v>
      </c>
      <c r="K74" s="58" t="s">
        <v>3924</v>
      </c>
    </row>
    <row r="75" spans="1:11" ht="25.95" customHeight="1">
      <c r="A75" s="58" t="s">
        <v>17</v>
      </c>
      <c r="B75" s="58" t="s">
        <v>48</v>
      </c>
      <c r="C75" s="58" t="s">
        <v>3766</v>
      </c>
      <c r="D75" s="58" t="s">
        <v>3778</v>
      </c>
      <c r="E75" s="58">
        <v>64</v>
      </c>
      <c r="F75" s="58" t="s">
        <v>3779</v>
      </c>
      <c r="G75" s="58" t="s">
        <v>3769</v>
      </c>
      <c r="H75" s="58" t="s">
        <v>3905</v>
      </c>
      <c r="I75" s="58" t="s">
        <v>3906</v>
      </c>
      <c r="J75" s="58" t="s">
        <v>3925</v>
      </c>
      <c r="K75" s="58" t="s">
        <v>3926</v>
      </c>
    </row>
    <row r="76" spans="1:11" ht="25.95" customHeight="1">
      <c r="A76" s="58" t="s">
        <v>17</v>
      </c>
      <c r="B76" s="58" t="s">
        <v>48</v>
      </c>
      <c r="C76" s="58" t="s">
        <v>3766</v>
      </c>
      <c r="D76" s="58" t="s">
        <v>3782</v>
      </c>
      <c r="E76" s="58">
        <v>0.96875</v>
      </c>
      <c r="F76" s="58" t="s">
        <v>3768</v>
      </c>
      <c r="G76" s="58" t="s">
        <v>3769</v>
      </c>
      <c r="H76" s="58" t="s">
        <v>3905</v>
      </c>
      <c r="I76" s="58" t="s">
        <v>3906</v>
      </c>
      <c r="J76" s="58" t="s">
        <v>3927</v>
      </c>
      <c r="K76" s="58" t="s">
        <v>3928</v>
      </c>
    </row>
    <row r="77" spans="1:11" ht="25.95" customHeight="1">
      <c r="A77" s="58" t="s">
        <v>17</v>
      </c>
      <c r="B77" s="58" t="s">
        <v>48</v>
      </c>
      <c r="C77" s="58" t="s">
        <v>3766</v>
      </c>
      <c r="D77" s="58" t="s">
        <v>3785</v>
      </c>
      <c r="E77" s="58">
        <v>3</v>
      </c>
      <c r="F77" s="58" t="s">
        <v>3779</v>
      </c>
      <c r="G77" s="58" t="s">
        <v>3769</v>
      </c>
      <c r="H77" s="58" t="s">
        <v>3905</v>
      </c>
      <c r="I77" s="58" t="s">
        <v>3906</v>
      </c>
      <c r="J77" s="58" t="s">
        <v>3929</v>
      </c>
      <c r="K77" s="58" t="s">
        <v>3930</v>
      </c>
    </row>
    <row r="78" spans="1:11" ht="25.95" customHeight="1">
      <c r="A78" s="58" t="s">
        <v>17</v>
      </c>
      <c r="B78" s="58" t="s">
        <v>48</v>
      </c>
      <c r="C78" s="58" t="s">
        <v>3766</v>
      </c>
      <c r="D78" s="58" t="s">
        <v>3788</v>
      </c>
      <c r="E78" s="58">
        <v>9</v>
      </c>
      <c r="F78" s="58" t="s">
        <v>3779</v>
      </c>
      <c r="G78" s="58" t="s">
        <v>3769</v>
      </c>
      <c r="H78" s="58" t="s">
        <v>3905</v>
      </c>
      <c r="I78" s="58" t="s">
        <v>3906</v>
      </c>
      <c r="J78" s="58" t="s">
        <v>3931</v>
      </c>
      <c r="K78" s="58" t="s">
        <v>3932</v>
      </c>
    </row>
    <row r="79" spans="1:11" ht="25.95" customHeight="1">
      <c r="A79" s="58" t="s">
        <v>17</v>
      </c>
      <c r="B79" s="58" t="s">
        <v>48</v>
      </c>
      <c r="C79" s="58" t="s">
        <v>3791</v>
      </c>
      <c r="D79" s="58" t="s">
        <v>3792</v>
      </c>
      <c r="E79" s="58">
        <v>64</v>
      </c>
      <c r="F79" s="58" t="s">
        <v>3779</v>
      </c>
      <c r="G79" s="58" t="s">
        <v>3793</v>
      </c>
      <c r="H79" s="58" t="s">
        <v>3905</v>
      </c>
      <c r="I79" s="58" t="s">
        <v>3906</v>
      </c>
      <c r="J79" s="58" t="s">
        <v>3933</v>
      </c>
      <c r="K79" s="58" t="s">
        <v>3934</v>
      </c>
    </row>
    <row r="80" spans="1:11" ht="25.95" customHeight="1">
      <c r="A80" s="58" t="s">
        <v>17</v>
      </c>
      <c r="B80" s="58" t="s">
        <v>48</v>
      </c>
      <c r="C80" s="58" t="s">
        <v>3791</v>
      </c>
      <c r="D80" s="58" t="s">
        <v>3800</v>
      </c>
      <c r="E80" s="58">
        <v>62</v>
      </c>
      <c r="F80" s="58" t="s">
        <v>3779</v>
      </c>
      <c r="G80" s="58" t="s">
        <v>3793</v>
      </c>
      <c r="H80" s="58" t="s">
        <v>3905</v>
      </c>
      <c r="I80" s="58" t="s">
        <v>3906</v>
      </c>
      <c r="J80" s="58" t="s">
        <v>3935</v>
      </c>
      <c r="K80" s="58" t="s">
        <v>3936</v>
      </c>
    </row>
    <row r="81" spans="1:11" ht="25.95" customHeight="1">
      <c r="A81" s="58" t="s">
        <v>17</v>
      </c>
      <c r="B81" s="58" t="s">
        <v>48</v>
      </c>
      <c r="C81" s="58" t="s">
        <v>3791</v>
      </c>
      <c r="D81" s="58" t="s">
        <v>3803</v>
      </c>
      <c r="E81" s="58">
        <v>0</v>
      </c>
      <c r="F81" s="58" t="s">
        <v>3779</v>
      </c>
      <c r="G81" s="58" t="s">
        <v>3793</v>
      </c>
      <c r="H81" s="58" t="s">
        <v>3905</v>
      </c>
      <c r="I81" s="58" t="s">
        <v>3906</v>
      </c>
      <c r="J81" s="58" t="s">
        <v>3937</v>
      </c>
      <c r="K81" s="58" t="s">
        <v>3938</v>
      </c>
    </row>
    <row r="82" spans="1:11" ht="25.95" customHeight="1">
      <c r="A82" s="58" t="s">
        <v>17</v>
      </c>
      <c r="B82" s="58" t="s">
        <v>48</v>
      </c>
      <c r="C82" s="58" t="s">
        <v>3791</v>
      </c>
      <c r="D82" s="58" t="s">
        <v>3806</v>
      </c>
      <c r="E82" s="58">
        <v>0</v>
      </c>
      <c r="F82" s="58" t="s">
        <v>3753</v>
      </c>
      <c r="G82" s="58" t="s">
        <v>3793</v>
      </c>
      <c r="H82" s="58" t="s">
        <v>3905</v>
      </c>
      <c r="I82" s="58" t="s">
        <v>3906</v>
      </c>
      <c r="J82" s="58" t="s">
        <v>3939</v>
      </c>
      <c r="K82" s="58" t="s">
        <v>3940</v>
      </c>
    </row>
    <row r="83" spans="1:11" ht="25.95" customHeight="1">
      <c r="A83" s="58" t="s">
        <v>16</v>
      </c>
      <c r="B83" s="58" t="s">
        <v>48</v>
      </c>
      <c r="C83" s="58" t="s">
        <v>3852</v>
      </c>
      <c r="D83" s="58" t="s">
        <v>3853</v>
      </c>
      <c r="E83" s="58">
        <v>2022</v>
      </c>
      <c r="F83" s="58" t="s">
        <v>3854</v>
      </c>
      <c r="G83" s="58" t="s">
        <v>3855</v>
      </c>
      <c r="H83" s="58" t="s">
        <v>3941</v>
      </c>
      <c r="I83" s="58" t="s">
        <v>3942</v>
      </c>
      <c r="J83" s="58" t="s">
        <v>3943</v>
      </c>
      <c r="K83" s="58" t="s">
        <v>3944</v>
      </c>
    </row>
    <row r="84" spans="1:11" ht="25.95" customHeight="1">
      <c r="A84" s="58" t="s">
        <v>16</v>
      </c>
      <c r="B84" s="58" t="s">
        <v>48</v>
      </c>
      <c r="C84" s="58" t="s">
        <v>3852</v>
      </c>
      <c r="D84" s="58" t="s">
        <v>3860</v>
      </c>
      <c r="E84" s="58">
        <v>81580</v>
      </c>
      <c r="F84" s="58" t="s">
        <v>3854</v>
      </c>
      <c r="G84" s="58" t="s">
        <v>3855</v>
      </c>
      <c r="H84" s="58" t="s">
        <v>3941</v>
      </c>
      <c r="I84" s="58" t="s">
        <v>3942</v>
      </c>
      <c r="J84" s="58" t="s">
        <v>3945</v>
      </c>
      <c r="K84" s="58" t="s">
        <v>3946</v>
      </c>
    </row>
    <row r="85" spans="1:11" ht="25.95" customHeight="1">
      <c r="A85" s="58" t="s">
        <v>16</v>
      </c>
      <c r="B85" s="58" t="s">
        <v>48</v>
      </c>
      <c r="C85" s="58" t="s">
        <v>3852</v>
      </c>
      <c r="D85" s="58" t="s">
        <v>3863</v>
      </c>
      <c r="E85" s="58">
        <v>1721958</v>
      </c>
      <c r="F85" s="58" t="s">
        <v>3854</v>
      </c>
      <c r="G85" s="58" t="s">
        <v>3855</v>
      </c>
      <c r="H85" s="58" t="s">
        <v>3941</v>
      </c>
      <c r="I85" s="58" t="s">
        <v>3942</v>
      </c>
      <c r="J85" s="58" t="s">
        <v>3947</v>
      </c>
      <c r="K85" s="58" t="s">
        <v>3948</v>
      </c>
    </row>
    <row r="86" spans="1:11" ht="25.95" customHeight="1">
      <c r="A86" s="58" t="s">
        <v>16</v>
      </c>
      <c r="B86" s="58" t="s">
        <v>48</v>
      </c>
      <c r="C86" s="58" t="s">
        <v>3852</v>
      </c>
      <c r="D86" s="58" t="s">
        <v>3866</v>
      </c>
      <c r="E86" s="58">
        <v>31090</v>
      </c>
      <c r="F86" s="58" t="s">
        <v>3854</v>
      </c>
      <c r="G86" s="58" t="s">
        <v>3855</v>
      </c>
      <c r="H86" s="58" t="s">
        <v>3941</v>
      </c>
      <c r="I86" s="58" t="s">
        <v>3942</v>
      </c>
      <c r="J86" s="58" t="s">
        <v>3949</v>
      </c>
      <c r="K86" s="58" t="s">
        <v>3950</v>
      </c>
    </row>
    <row r="87" spans="1:11" ht="25.95" customHeight="1">
      <c r="A87" s="58" t="s">
        <v>16</v>
      </c>
      <c r="B87" s="58" t="s">
        <v>48</v>
      </c>
      <c r="C87" s="58" t="s">
        <v>3809</v>
      </c>
      <c r="D87" s="58" t="s">
        <v>3810</v>
      </c>
      <c r="E87" s="58">
        <v>0</v>
      </c>
      <c r="F87" s="58" t="s">
        <v>3811</v>
      </c>
      <c r="G87" s="58" t="s">
        <v>3812</v>
      </c>
      <c r="H87" s="58" t="s">
        <v>3941</v>
      </c>
      <c r="I87" s="58" t="s">
        <v>3942</v>
      </c>
      <c r="J87" s="58" t="s">
        <v>3951</v>
      </c>
      <c r="K87" s="58" t="s">
        <v>3952</v>
      </c>
    </row>
    <row r="88" spans="1:11" ht="25.95" customHeight="1">
      <c r="A88" s="58" t="s">
        <v>16</v>
      </c>
      <c r="B88" s="58" t="s">
        <v>48</v>
      </c>
      <c r="C88" s="58" t="s">
        <v>3809</v>
      </c>
      <c r="D88" s="58" t="s">
        <v>3817</v>
      </c>
      <c r="E88" s="58">
        <v>2</v>
      </c>
      <c r="F88" s="58" t="s">
        <v>3811</v>
      </c>
      <c r="G88" s="58" t="s">
        <v>3812</v>
      </c>
      <c r="H88" s="58" t="s">
        <v>3941</v>
      </c>
      <c r="I88" s="58" t="s">
        <v>3942</v>
      </c>
      <c r="J88" s="58" t="s">
        <v>3953</v>
      </c>
      <c r="K88" s="58" t="s">
        <v>3954</v>
      </c>
    </row>
    <row r="89" spans="1:11" ht="25.95" customHeight="1">
      <c r="A89" s="58" t="s">
        <v>16</v>
      </c>
      <c r="B89" s="58" t="s">
        <v>48</v>
      </c>
      <c r="C89" s="58" t="s">
        <v>3746</v>
      </c>
      <c r="D89" s="58" t="s">
        <v>3747</v>
      </c>
      <c r="E89" s="58">
        <v>1177</v>
      </c>
      <c r="F89" s="58" t="s">
        <v>3748</v>
      </c>
      <c r="G89" s="58" t="s">
        <v>3749</v>
      </c>
      <c r="H89" s="58" t="s">
        <v>3941</v>
      </c>
      <c r="I89" s="58" t="s">
        <v>3942</v>
      </c>
      <c r="J89" s="58" t="s">
        <v>3955</v>
      </c>
      <c r="K89" s="58" t="s">
        <v>3956</v>
      </c>
    </row>
    <row r="90" spans="1:11" ht="25.95" customHeight="1">
      <c r="A90" s="58" t="s">
        <v>16</v>
      </c>
      <c r="B90" s="58" t="s">
        <v>48</v>
      </c>
      <c r="C90" s="58" t="s">
        <v>3746</v>
      </c>
      <c r="D90" s="58" t="s">
        <v>3752</v>
      </c>
      <c r="E90" s="58">
        <v>0</v>
      </c>
      <c r="F90" s="58" t="s">
        <v>3753</v>
      </c>
      <c r="G90" s="58" t="s">
        <v>3749</v>
      </c>
      <c r="H90" s="58" t="s">
        <v>3941</v>
      </c>
      <c r="I90" s="58" t="s">
        <v>3942</v>
      </c>
      <c r="J90" s="58" t="s">
        <v>3957</v>
      </c>
      <c r="K90" s="58" t="s">
        <v>3958</v>
      </c>
    </row>
    <row r="91" spans="1:11" ht="25.95" customHeight="1">
      <c r="A91" s="58" t="s">
        <v>16</v>
      </c>
      <c r="B91" s="58" t="s">
        <v>48</v>
      </c>
      <c r="C91" s="58" t="s">
        <v>3746</v>
      </c>
      <c r="D91" s="58" t="s">
        <v>3756</v>
      </c>
      <c r="E91" s="58">
        <v>0</v>
      </c>
      <c r="F91" s="58" t="s">
        <v>3753</v>
      </c>
      <c r="G91" s="58" t="s">
        <v>3749</v>
      </c>
      <c r="H91" s="58" t="s">
        <v>3941</v>
      </c>
      <c r="I91" s="58" t="s">
        <v>3942</v>
      </c>
      <c r="J91" s="58" t="s">
        <v>3959</v>
      </c>
      <c r="K91" s="58" t="s">
        <v>3960</v>
      </c>
    </row>
    <row r="92" spans="1:11" ht="25.95" customHeight="1">
      <c r="A92" s="58" t="s">
        <v>16</v>
      </c>
      <c r="B92" s="58" t="s">
        <v>48</v>
      </c>
      <c r="C92" s="58" t="s">
        <v>3746</v>
      </c>
      <c r="D92" s="58" t="s">
        <v>3759</v>
      </c>
      <c r="E92" s="58">
        <v>0</v>
      </c>
      <c r="F92" s="58" t="s">
        <v>3753</v>
      </c>
      <c r="G92" s="58" t="s">
        <v>3760</v>
      </c>
      <c r="H92" s="58" t="s">
        <v>3941</v>
      </c>
      <c r="I92" s="58" t="s">
        <v>3942</v>
      </c>
      <c r="J92" s="58" t="s">
        <v>3961</v>
      </c>
      <c r="K92" s="58" t="s">
        <v>3962</v>
      </c>
    </row>
    <row r="93" spans="1:11" ht="25.95" customHeight="1">
      <c r="A93" s="58" t="s">
        <v>16</v>
      </c>
      <c r="B93" s="58" t="s">
        <v>48</v>
      </c>
      <c r="C93" s="58" t="s">
        <v>3746</v>
      </c>
      <c r="D93" s="58" t="s">
        <v>3763</v>
      </c>
      <c r="E93" s="58">
        <v>0</v>
      </c>
      <c r="F93" s="58" t="s">
        <v>3753</v>
      </c>
      <c r="G93" s="58" t="s">
        <v>3749</v>
      </c>
      <c r="H93" s="58" t="s">
        <v>3941</v>
      </c>
      <c r="I93" s="58" t="s">
        <v>3942</v>
      </c>
      <c r="J93" s="58" t="s">
        <v>3963</v>
      </c>
      <c r="K93" s="58" t="s">
        <v>3964</v>
      </c>
    </row>
    <row r="94" spans="1:11" ht="25.95" customHeight="1">
      <c r="A94" s="58" t="s">
        <v>16</v>
      </c>
      <c r="B94" s="58" t="s">
        <v>48</v>
      </c>
      <c r="C94" s="58" t="s">
        <v>3766</v>
      </c>
      <c r="D94" s="58" t="s">
        <v>3767</v>
      </c>
      <c r="E94" s="58">
        <v>0</v>
      </c>
      <c r="F94" s="58" t="s">
        <v>3768</v>
      </c>
      <c r="G94" s="58" t="s">
        <v>3769</v>
      </c>
      <c r="H94" s="58" t="s">
        <v>3941</v>
      </c>
      <c r="I94" s="58" t="s">
        <v>3942</v>
      </c>
      <c r="J94" s="58" t="s">
        <v>3965</v>
      </c>
      <c r="K94" s="58" t="s">
        <v>3966</v>
      </c>
    </row>
    <row r="95" spans="1:11" ht="25.95" customHeight="1">
      <c r="A95" s="58" t="s">
        <v>16</v>
      </c>
      <c r="B95" s="58" t="s">
        <v>48</v>
      </c>
      <c r="C95" s="58" t="s">
        <v>3766</v>
      </c>
      <c r="D95" s="58" t="s">
        <v>3772</v>
      </c>
      <c r="E95" s="58">
        <v>0</v>
      </c>
      <c r="F95" s="58" t="s">
        <v>3768</v>
      </c>
      <c r="G95" s="58" t="s">
        <v>3769</v>
      </c>
      <c r="H95" s="58" t="s">
        <v>3941</v>
      </c>
      <c r="I95" s="58" t="s">
        <v>3942</v>
      </c>
      <c r="J95" s="58" t="s">
        <v>3967</v>
      </c>
      <c r="K95" s="58" t="s">
        <v>3968</v>
      </c>
    </row>
    <row r="96" spans="1:11" ht="31.2">
      <c r="A96" s="58" t="s">
        <v>16</v>
      </c>
      <c r="B96" s="58" t="s">
        <v>48</v>
      </c>
      <c r="C96" s="58" t="s">
        <v>3766</v>
      </c>
      <c r="D96" s="58" t="s">
        <v>3775</v>
      </c>
      <c r="E96" s="58">
        <v>1</v>
      </c>
      <c r="F96" s="58" t="s">
        <v>3768</v>
      </c>
      <c r="G96" s="58" t="s">
        <v>3769</v>
      </c>
      <c r="H96" s="58" t="s">
        <v>3941</v>
      </c>
      <c r="I96" s="58" t="s">
        <v>3942</v>
      </c>
      <c r="J96" s="58" t="s">
        <v>3969</v>
      </c>
      <c r="K96" s="58" t="s">
        <v>3970</v>
      </c>
    </row>
    <row r="97" spans="1:11" ht="31.2">
      <c r="A97" s="58" t="s">
        <v>16</v>
      </c>
      <c r="B97" s="58" t="s">
        <v>48</v>
      </c>
      <c r="C97" s="58" t="s">
        <v>3766</v>
      </c>
      <c r="D97" s="58" t="s">
        <v>3778</v>
      </c>
      <c r="E97" s="58">
        <v>32</v>
      </c>
      <c r="F97" s="58" t="s">
        <v>3779</v>
      </c>
      <c r="G97" s="58" t="s">
        <v>3769</v>
      </c>
      <c r="H97" s="58" t="s">
        <v>3941</v>
      </c>
      <c r="I97" s="58" t="s">
        <v>3942</v>
      </c>
      <c r="J97" s="58" t="s">
        <v>3971</v>
      </c>
      <c r="K97" s="58" t="s">
        <v>3972</v>
      </c>
    </row>
    <row r="98" spans="1:11" ht="31.2">
      <c r="A98" s="58" t="s">
        <v>16</v>
      </c>
      <c r="B98" s="58" t="s">
        <v>48</v>
      </c>
      <c r="C98" s="58" t="s">
        <v>3766</v>
      </c>
      <c r="D98" s="58" t="s">
        <v>3782</v>
      </c>
      <c r="E98" s="58">
        <v>1</v>
      </c>
      <c r="F98" s="58" t="s">
        <v>3768</v>
      </c>
      <c r="G98" s="58" t="s">
        <v>3769</v>
      </c>
      <c r="H98" s="58" t="s">
        <v>3941</v>
      </c>
      <c r="I98" s="58" t="s">
        <v>3942</v>
      </c>
      <c r="J98" s="58" t="s">
        <v>3973</v>
      </c>
      <c r="K98" s="58" t="s">
        <v>3974</v>
      </c>
    </row>
    <row r="99" spans="1:11" ht="31.2">
      <c r="A99" s="58" t="s">
        <v>16</v>
      </c>
      <c r="B99" s="58" t="s">
        <v>48</v>
      </c>
      <c r="C99" s="58" t="s">
        <v>3766</v>
      </c>
      <c r="D99" s="58" t="s">
        <v>3785</v>
      </c>
      <c r="E99" s="58">
        <v>0</v>
      </c>
      <c r="F99" s="58" t="s">
        <v>3779</v>
      </c>
      <c r="G99" s="58" t="s">
        <v>3769</v>
      </c>
      <c r="H99" s="58" t="s">
        <v>3941</v>
      </c>
      <c r="I99" s="58" t="s">
        <v>3942</v>
      </c>
      <c r="J99" s="58" t="s">
        <v>3975</v>
      </c>
      <c r="K99" s="58" t="s">
        <v>3976</v>
      </c>
    </row>
    <row r="100" spans="1:11" ht="31.2">
      <c r="A100" s="58" t="s">
        <v>16</v>
      </c>
      <c r="B100" s="58" t="s">
        <v>48</v>
      </c>
      <c r="C100" s="58" t="s">
        <v>3766</v>
      </c>
      <c r="D100" s="58" t="s">
        <v>3788</v>
      </c>
      <c r="E100" s="58">
        <v>0</v>
      </c>
      <c r="F100" s="58" t="s">
        <v>3779</v>
      </c>
      <c r="G100" s="58" t="s">
        <v>3769</v>
      </c>
      <c r="H100" s="58" t="s">
        <v>3941</v>
      </c>
      <c r="I100" s="58" t="s">
        <v>3942</v>
      </c>
      <c r="J100" s="58" t="s">
        <v>3977</v>
      </c>
      <c r="K100" s="58" t="s">
        <v>3978</v>
      </c>
    </row>
    <row r="101" spans="1:11" ht="31.2">
      <c r="A101" s="58" t="s">
        <v>16</v>
      </c>
      <c r="B101" s="58" t="s">
        <v>48</v>
      </c>
      <c r="C101" s="58" t="s">
        <v>3791</v>
      </c>
      <c r="D101" s="58" t="s">
        <v>3792</v>
      </c>
      <c r="E101" s="58">
        <v>42</v>
      </c>
      <c r="F101" s="58" t="s">
        <v>3779</v>
      </c>
      <c r="G101" s="58" t="s">
        <v>3793</v>
      </c>
      <c r="H101" s="58" t="s">
        <v>3941</v>
      </c>
      <c r="I101" s="58" t="s">
        <v>3942</v>
      </c>
      <c r="J101" s="58" t="s">
        <v>3979</v>
      </c>
      <c r="K101" s="58" t="s">
        <v>3980</v>
      </c>
    </row>
    <row r="102" spans="1:11" ht="31.2">
      <c r="A102" s="58" t="s">
        <v>16</v>
      </c>
      <c r="B102" s="58" t="s">
        <v>48</v>
      </c>
      <c r="C102" s="58" t="s">
        <v>3791</v>
      </c>
      <c r="D102" s="58" t="s">
        <v>3800</v>
      </c>
      <c r="E102" s="58">
        <v>42</v>
      </c>
      <c r="F102" s="58" t="s">
        <v>3779</v>
      </c>
      <c r="G102" s="58" t="s">
        <v>3793</v>
      </c>
      <c r="H102" s="58" t="s">
        <v>3941</v>
      </c>
      <c r="I102" s="58" t="s">
        <v>3942</v>
      </c>
      <c r="J102" s="58" t="s">
        <v>3981</v>
      </c>
      <c r="K102" s="58" t="s">
        <v>3982</v>
      </c>
    </row>
    <row r="103" spans="1:11" ht="31.2">
      <c r="A103" s="58" t="s">
        <v>16</v>
      </c>
      <c r="B103" s="58" t="s">
        <v>48</v>
      </c>
      <c r="C103" s="58" t="s">
        <v>3791</v>
      </c>
      <c r="D103" s="58" t="s">
        <v>3803</v>
      </c>
      <c r="E103" s="58">
        <v>0</v>
      </c>
      <c r="F103" s="58" t="s">
        <v>3779</v>
      </c>
      <c r="G103" s="58" t="s">
        <v>3793</v>
      </c>
      <c r="H103" s="58" t="s">
        <v>3941</v>
      </c>
      <c r="I103" s="58" t="s">
        <v>3942</v>
      </c>
      <c r="J103" s="58" t="s">
        <v>3983</v>
      </c>
      <c r="K103" s="58" t="s">
        <v>3984</v>
      </c>
    </row>
    <row r="104" spans="1:11" ht="31.2">
      <c r="A104" s="58" t="s">
        <v>16</v>
      </c>
      <c r="B104" s="58" t="s">
        <v>48</v>
      </c>
      <c r="C104" s="58" t="s">
        <v>3791</v>
      </c>
      <c r="D104" s="58" t="s">
        <v>3806</v>
      </c>
      <c r="E104" s="58">
        <v>0</v>
      </c>
      <c r="F104" s="58" t="s">
        <v>3753</v>
      </c>
      <c r="G104" s="58" t="s">
        <v>3793</v>
      </c>
      <c r="H104" s="58" t="s">
        <v>3941</v>
      </c>
      <c r="I104" s="58" t="s">
        <v>3942</v>
      </c>
      <c r="J104" s="58" t="s">
        <v>3985</v>
      </c>
      <c r="K104" s="58" t="s">
        <v>3986</v>
      </c>
    </row>
    <row r="105" spans="1:11" ht="15.6">
      <c r="A105" s="58" t="s">
        <v>15</v>
      </c>
      <c r="B105" s="58" t="s">
        <v>48</v>
      </c>
      <c r="C105" s="58" t="s">
        <v>3852</v>
      </c>
      <c r="D105" s="58" t="s">
        <v>3853</v>
      </c>
      <c r="E105" s="58">
        <v>73925</v>
      </c>
      <c r="F105" s="58" t="s">
        <v>3854</v>
      </c>
      <c r="G105" s="58" t="s">
        <v>3855</v>
      </c>
      <c r="H105" s="58" t="s">
        <v>3987</v>
      </c>
      <c r="I105" s="58" t="s">
        <v>3988</v>
      </c>
      <c r="J105" s="58" t="s">
        <v>3989</v>
      </c>
      <c r="K105" s="58" t="s">
        <v>3990</v>
      </c>
    </row>
    <row r="106" spans="1:11" ht="15.6">
      <c r="A106" s="58" t="s">
        <v>15</v>
      </c>
      <c r="B106" s="58" t="s">
        <v>48</v>
      </c>
      <c r="C106" s="58" t="s">
        <v>3852</v>
      </c>
      <c r="D106" s="58" t="s">
        <v>3860</v>
      </c>
      <c r="E106" s="58">
        <v>0</v>
      </c>
      <c r="F106" s="58" t="s">
        <v>3854</v>
      </c>
      <c r="G106" s="58" t="s">
        <v>3855</v>
      </c>
      <c r="H106" s="58" t="s">
        <v>3987</v>
      </c>
      <c r="I106" s="58" t="s">
        <v>3988</v>
      </c>
      <c r="J106" s="58" t="s">
        <v>3991</v>
      </c>
      <c r="K106" s="58" t="s">
        <v>3992</v>
      </c>
    </row>
    <row r="107" spans="1:11" ht="15.6">
      <c r="A107" s="58" t="s">
        <v>15</v>
      </c>
      <c r="B107" s="58" t="s">
        <v>48</v>
      </c>
      <c r="C107" s="58" t="s">
        <v>3852</v>
      </c>
      <c r="D107" s="58" t="s">
        <v>3863</v>
      </c>
      <c r="E107" s="58">
        <v>1867520</v>
      </c>
      <c r="F107" s="58" t="s">
        <v>3854</v>
      </c>
      <c r="G107" s="58" t="s">
        <v>3855</v>
      </c>
      <c r="H107" s="58" t="s">
        <v>3987</v>
      </c>
      <c r="I107" s="58" t="s">
        <v>3988</v>
      </c>
      <c r="J107" s="58" t="s">
        <v>3993</v>
      </c>
      <c r="K107" s="58" t="s">
        <v>3994</v>
      </c>
    </row>
    <row r="108" spans="1:11" ht="15.6">
      <c r="A108" s="58" t="s">
        <v>15</v>
      </c>
      <c r="B108" s="58" t="s">
        <v>48</v>
      </c>
      <c r="C108" s="58" t="s">
        <v>3852</v>
      </c>
      <c r="D108" s="58" t="s">
        <v>3866</v>
      </c>
      <c r="E108" s="58">
        <v>23039</v>
      </c>
      <c r="F108" s="58" t="s">
        <v>3854</v>
      </c>
      <c r="G108" s="58" t="s">
        <v>3855</v>
      </c>
      <c r="H108" s="58" t="s">
        <v>3987</v>
      </c>
      <c r="I108" s="58" t="s">
        <v>3988</v>
      </c>
      <c r="J108" s="58" t="s">
        <v>3995</v>
      </c>
      <c r="K108" s="58" t="s">
        <v>3996</v>
      </c>
    </row>
    <row r="109" spans="1:11" ht="15.6">
      <c r="A109" s="58" t="s">
        <v>15</v>
      </c>
      <c r="B109" s="58" t="s">
        <v>48</v>
      </c>
      <c r="C109" s="58" t="s">
        <v>3809</v>
      </c>
      <c r="D109" s="58" t="s">
        <v>3810</v>
      </c>
      <c r="E109" s="58">
        <v>0</v>
      </c>
      <c r="F109" s="58" t="s">
        <v>3811</v>
      </c>
      <c r="G109" s="58" t="s">
        <v>3812</v>
      </c>
      <c r="H109" s="58" t="s">
        <v>3987</v>
      </c>
      <c r="I109" s="58" t="s">
        <v>3988</v>
      </c>
      <c r="J109" s="58" t="s">
        <v>3997</v>
      </c>
      <c r="K109" s="58" t="s">
        <v>3998</v>
      </c>
    </row>
    <row r="110" spans="1:11" ht="15.6">
      <c r="A110" s="58" t="s">
        <v>15</v>
      </c>
      <c r="B110" s="58" t="s">
        <v>48</v>
      </c>
      <c r="C110" s="58" t="s">
        <v>3809</v>
      </c>
      <c r="D110" s="58" t="s">
        <v>3817</v>
      </c>
      <c r="E110" s="58">
        <v>0</v>
      </c>
      <c r="F110" s="58" t="s">
        <v>3811</v>
      </c>
      <c r="G110" s="58" t="s">
        <v>3812</v>
      </c>
      <c r="H110" s="58" t="s">
        <v>3987</v>
      </c>
      <c r="I110" s="58" t="s">
        <v>3988</v>
      </c>
      <c r="J110" s="58" t="s">
        <v>3999</v>
      </c>
      <c r="K110" s="58" t="s">
        <v>4000</v>
      </c>
    </row>
    <row r="111" spans="1:11" ht="15.6">
      <c r="A111" s="58" t="s">
        <v>15</v>
      </c>
      <c r="B111" s="58" t="s">
        <v>48</v>
      </c>
      <c r="C111" s="58" t="s">
        <v>159</v>
      </c>
      <c r="D111" s="58" t="s">
        <v>3747</v>
      </c>
      <c r="E111" s="58">
        <v>1172</v>
      </c>
      <c r="F111" s="58" t="s">
        <v>3748</v>
      </c>
      <c r="G111" s="58" t="s">
        <v>160</v>
      </c>
      <c r="H111" s="58" t="s">
        <v>3987</v>
      </c>
      <c r="I111" s="58" t="s">
        <v>3988</v>
      </c>
      <c r="J111" s="58" t="s">
        <v>4001</v>
      </c>
      <c r="K111" s="58" t="s">
        <v>4002</v>
      </c>
    </row>
    <row r="112" spans="1:11" ht="15.6">
      <c r="A112" s="58" t="s">
        <v>15</v>
      </c>
      <c r="B112" s="58" t="s">
        <v>48</v>
      </c>
      <c r="C112" s="58" t="s">
        <v>3746</v>
      </c>
      <c r="D112" s="58" t="s">
        <v>3752</v>
      </c>
      <c r="E112" s="58">
        <v>0</v>
      </c>
      <c r="F112" s="58" t="s">
        <v>3753</v>
      </c>
      <c r="G112" s="58" t="s">
        <v>3749</v>
      </c>
      <c r="H112" s="58" t="s">
        <v>3987</v>
      </c>
      <c r="I112" s="58" t="s">
        <v>3988</v>
      </c>
      <c r="J112" s="58" t="s">
        <v>4003</v>
      </c>
      <c r="K112" s="58" t="s">
        <v>4004</v>
      </c>
    </row>
    <row r="113" spans="1:11" ht="15.6">
      <c r="A113" s="58" t="s">
        <v>15</v>
      </c>
      <c r="B113" s="58" t="s">
        <v>48</v>
      </c>
      <c r="C113" s="58" t="s">
        <v>3746</v>
      </c>
      <c r="D113" s="58" t="s">
        <v>3756</v>
      </c>
      <c r="E113" s="58">
        <v>0</v>
      </c>
      <c r="F113" s="58" t="s">
        <v>3753</v>
      </c>
      <c r="G113" s="58" t="s">
        <v>3749</v>
      </c>
      <c r="H113" s="58" t="s">
        <v>3987</v>
      </c>
      <c r="I113" s="58" t="s">
        <v>3988</v>
      </c>
      <c r="J113" s="58" t="s">
        <v>4005</v>
      </c>
      <c r="K113" s="58" t="s">
        <v>4006</v>
      </c>
    </row>
    <row r="114" spans="1:11" ht="15.6">
      <c r="A114" s="58" t="s">
        <v>15</v>
      </c>
      <c r="B114" s="58" t="s">
        <v>48</v>
      </c>
      <c r="C114" s="58" t="s">
        <v>3746</v>
      </c>
      <c r="D114" s="58" t="s">
        <v>3759</v>
      </c>
      <c r="E114" s="58">
        <v>0</v>
      </c>
      <c r="F114" s="58" t="s">
        <v>3753</v>
      </c>
      <c r="G114" s="58" t="s">
        <v>3760</v>
      </c>
      <c r="H114" s="58" t="s">
        <v>3987</v>
      </c>
      <c r="I114" s="58" t="s">
        <v>3988</v>
      </c>
      <c r="J114" s="58" t="s">
        <v>4007</v>
      </c>
      <c r="K114" s="58" t="s">
        <v>4008</v>
      </c>
    </row>
    <row r="115" spans="1:11" ht="15.6">
      <c r="A115" s="58" t="s">
        <v>15</v>
      </c>
      <c r="B115" s="58" t="s">
        <v>48</v>
      </c>
      <c r="C115" s="58" t="s">
        <v>3746</v>
      </c>
      <c r="D115" s="58" t="s">
        <v>3763</v>
      </c>
      <c r="E115" s="58">
        <v>0</v>
      </c>
      <c r="F115" s="58" t="s">
        <v>3753</v>
      </c>
      <c r="G115" s="58" t="s">
        <v>3749</v>
      </c>
      <c r="H115" s="58" t="s">
        <v>3987</v>
      </c>
      <c r="I115" s="58" t="s">
        <v>3988</v>
      </c>
      <c r="J115" s="58" t="s">
        <v>4009</v>
      </c>
      <c r="K115" s="58" t="s">
        <v>4010</v>
      </c>
    </row>
    <row r="116" spans="1:11" ht="31.2">
      <c r="A116" s="58" t="s">
        <v>15</v>
      </c>
      <c r="B116" s="58" t="s">
        <v>48</v>
      </c>
      <c r="C116" s="58" t="s">
        <v>162</v>
      </c>
      <c r="D116" s="58" t="s">
        <v>3767</v>
      </c>
      <c r="E116" s="58">
        <v>5.8823529411764712E-2</v>
      </c>
      <c r="F116" s="58" t="s">
        <v>163</v>
      </c>
      <c r="G116" s="58" t="s">
        <v>164</v>
      </c>
      <c r="H116" s="58" t="s">
        <v>3987</v>
      </c>
      <c r="I116" s="58" t="s">
        <v>3988</v>
      </c>
      <c r="J116" s="58" t="s">
        <v>4011</v>
      </c>
      <c r="K116" s="58" t="s">
        <v>4012</v>
      </c>
    </row>
    <row r="117" spans="1:11" ht="31.2">
      <c r="A117" s="58" t="s">
        <v>15</v>
      </c>
      <c r="B117" s="58" t="s">
        <v>48</v>
      </c>
      <c r="C117" s="58" t="s">
        <v>162</v>
      </c>
      <c r="D117" s="58" t="s">
        <v>3772</v>
      </c>
      <c r="E117" s="58">
        <v>2.2320374460046949E-2</v>
      </c>
      <c r="F117" s="58" t="s">
        <v>3768</v>
      </c>
      <c r="G117" s="58" t="s">
        <v>164</v>
      </c>
      <c r="H117" s="58" t="s">
        <v>3987</v>
      </c>
      <c r="I117" s="58" t="s">
        <v>3988</v>
      </c>
      <c r="J117" s="58" t="s">
        <v>4013</v>
      </c>
      <c r="K117" s="58" t="s">
        <v>4014</v>
      </c>
    </row>
    <row r="118" spans="1:11" ht="31.2">
      <c r="A118" s="58" t="s">
        <v>15</v>
      </c>
      <c r="B118" s="58" t="s">
        <v>48</v>
      </c>
      <c r="C118" s="58" t="s">
        <v>162</v>
      </c>
      <c r="D118" s="58" t="s">
        <v>3775</v>
      </c>
      <c r="E118" s="58">
        <v>1</v>
      </c>
      <c r="F118" s="58" t="s">
        <v>3768</v>
      </c>
      <c r="G118" s="58" t="s">
        <v>164</v>
      </c>
      <c r="H118" s="58" t="s">
        <v>3987</v>
      </c>
      <c r="I118" s="58" t="s">
        <v>3988</v>
      </c>
      <c r="J118" s="58" t="s">
        <v>4015</v>
      </c>
      <c r="K118" s="58" t="s">
        <v>4016</v>
      </c>
    </row>
    <row r="119" spans="1:11" ht="15.6">
      <c r="A119" s="58" t="s">
        <v>15</v>
      </c>
      <c r="B119" s="58" t="s">
        <v>48</v>
      </c>
      <c r="C119" s="58" t="s">
        <v>3766</v>
      </c>
      <c r="D119" s="58" t="s">
        <v>3778</v>
      </c>
      <c r="E119" s="58">
        <v>34</v>
      </c>
      <c r="F119" s="58" t="s">
        <v>3779</v>
      </c>
      <c r="G119" s="58" t="s">
        <v>3769</v>
      </c>
      <c r="H119" s="58" t="s">
        <v>3987</v>
      </c>
      <c r="I119" s="58" t="s">
        <v>3988</v>
      </c>
      <c r="J119" s="58" t="s">
        <v>4017</v>
      </c>
      <c r="K119" s="58" t="s">
        <v>4018</v>
      </c>
    </row>
    <row r="120" spans="1:11" ht="31.2">
      <c r="A120" s="58" t="s">
        <v>15</v>
      </c>
      <c r="B120" s="58" t="s">
        <v>48</v>
      </c>
      <c r="C120" s="58" t="s">
        <v>3766</v>
      </c>
      <c r="D120" s="58" t="s">
        <v>3782</v>
      </c>
      <c r="E120" s="58">
        <v>1</v>
      </c>
      <c r="F120" s="58" t="s">
        <v>3768</v>
      </c>
      <c r="G120" s="58" t="s">
        <v>3769</v>
      </c>
      <c r="H120" s="58" t="s">
        <v>3987</v>
      </c>
      <c r="I120" s="58" t="s">
        <v>3988</v>
      </c>
      <c r="J120" s="58" t="s">
        <v>4019</v>
      </c>
      <c r="K120" s="58" t="s">
        <v>4020</v>
      </c>
    </row>
    <row r="121" spans="1:11" ht="15.6">
      <c r="A121" s="58" t="s">
        <v>15</v>
      </c>
      <c r="B121" s="58" t="s">
        <v>48</v>
      </c>
      <c r="C121" s="58" t="s">
        <v>3766</v>
      </c>
      <c r="D121" s="58" t="s">
        <v>3785</v>
      </c>
      <c r="E121" s="58">
        <v>1</v>
      </c>
      <c r="F121" s="58" t="s">
        <v>3779</v>
      </c>
      <c r="G121" s="58" t="s">
        <v>3769</v>
      </c>
      <c r="H121" s="58" t="s">
        <v>3987</v>
      </c>
      <c r="I121" s="58" t="s">
        <v>3988</v>
      </c>
      <c r="J121" s="58" t="s">
        <v>4021</v>
      </c>
      <c r="K121" s="58" t="s">
        <v>4022</v>
      </c>
    </row>
    <row r="122" spans="1:11" ht="15.6">
      <c r="A122" s="58" t="s">
        <v>15</v>
      </c>
      <c r="B122" s="58" t="s">
        <v>48</v>
      </c>
      <c r="C122" s="58" t="s">
        <v>3766</v>
      </c>
      <c r="D122" s="58" t="s">
        <v>3788</v>
      </c>
      <c r="E122" s="58">
        <v>2</v>
      </c>
      <c r="F122" s="58" t="s">
        <v>3779</v>
      </c>
      <c r="G122" s="58" t="s">
        <v>3769</v>
      </c>
      <c r="H122" s="58" t="s">
        <v>3987</v>
      </c>
      <c r="I122" s="58" t="s">
        <v>3988</v>
      </c>
      <c r="J122" s="58" t="s">
        <v>4023</v>
      </c>
      <c r="K122" s="58" t="s">
        <v>4024</v>
      </c>
    </row>
    <row r="123" spans="1:11" ht="15.6">
      <c r="A123" s="58" t="s">
        <v>15</v>
      </c>
      <c r="B123" s="58" t="s">
        <v>48</v>
      </c>
      <c r="C123" s="58" t="s">
        <v>3791</v>
      </c>
      <c r="D123" s="58" t="s">
        <v>3792</v>
      </c>
      <c r="E123" s="58">
        <v>43</v>
      </c>
      <c r="F123" s="58" t="s">
        <v>3779</v>
      </c>
      <c r="G123" s="58" t="s">
        <v>3793</v>
      </c>
      <c r="H123" s="58" t="s">
        <v>3987</v>
      </c>
      <c r="I123" s="58" t="s">
        <v>3988</v>
      </c>
      <c r="J123" s="58" t="s">
        <v>4025</v>
      </c>
      <c r="K123" s="58" t="s">
        <v>4026</v>
      </c>
    </row>
    <row r="124" spans="1:11" ht="15.6">
      <c r="A124" s="58" t="s">
        <v>15</v>
      </c>
      <c r="B124" s="58" t="s">
        <v>48</v>
      </c>
      <c r="C124" s="58" t="s">
        <v>3791</v>
      </c>
      <c r="D124" s="58" t="s">
        <v>3800</v>
      </c>
      <c r="E124" s="58">
        <v>43</v>
      </c>
      <c r="F124" s="58" t="s">
        <v>3779</v>
      </c>
      <c r="G124" s="58" t="s">
        <v>3793</v>
      </c>
      <c r="H124" s="58" t="s">
        <v>3987</v>
      </c>
      <c r="I124" s="58" t="s">
        <v>3988</v>
      </c>
      <c r="J124" s="58" t="s">
        <v>4027</v>
      </c>
      <c r="K124" s="58" t="s">
        <v>4028</v>
      </c>
    </row>
    <row r="125" spans="1:11" ht="15.6">
      <c r="A125" s="58" t="s">
        <v>15</v>
      </c>
      <c r="B125" s="58" t="s">
        <v>48</v>
      </c>
      <c r="C125" s="58" t="s">
        <v>3791</v>
      </c>
      <c r="D125" s="58" t="s">
        <v>3803</v>
      </c>
      <c r="E125" s="58">
        <v>0</v>
      </c>
      <c r="F125" s="58" t="s">
        <v>3779</v>
      </c>
      <c r="G125" s="58" t="s">
        <v>3793</v>
      </c>
      <c r="H125" s="58" t="s">
        <v>3987</v>
      </c>
      <c r="I125" s="58" t="s">
        <v>3988</v>
      </c>
      <c r="J125" s="58" t="s">
        <v>4029</v>
      </c>
      <c r="K125" s="58" t="s">
        <v>4030</v>
      </c>
    </row>
    <row r="126" spans="1:11" ht="15.6">
      <c r="A126" s="58" t="s">
        <v>15</v>
      </c>
      <c r="B126" s="58" t="s">
        <v>48</v>
      </c>
      <c r="C126" s="58" t="s">
        <v>3791</v>
      </c>
      <c r="D126" s="58" t="s">
        <v>3806</v>
      </c>
      <c r="E126" s="58">
        <v>0</v>
      </c>
      <c r="F126" s="58" t="s">
        <v>3753</v>
      </c>
      <c r="G126" s="58" t="s">
        <v>3793</v>
      </c>
      <c r="H126" s="58" t="s">
        <v>3987</v>
      </c>
      <c r="I126" s="58" t="s">
        <v>3988</v>
      </c>
      <c r="J126" s="58" t="s">
        <v>4031</v>
      </c>
      <c r="K126" s="58" t="s">
        <v>4032</v>
      </c>
    </row>
    <row r="127" spans="1:11" ht="31.2">
      <c r="A127" s="58" t="s">
        <v>63</v>
      </c>
      <c r="B127" s="58" t="s">
        <v>3</v>
      </c>
      <c r="C127" s="58" t="s">
        <v>3852</v>
      </c>
      <c r="D127" s="58" t="s">
        <v>3853</v>
      </c>
      <c r="E127" s="58">
        <v>176433</v>
      </c>
      <c r="F127" s="58" t="s">
        <v>3854</v>
      </c>
      <c r="G127" s="58" t="s">
        <v>3855</v>
      </c>
      <c r="H127" s="58" t="s">
        <v>4033</v>
      </c>
      <c r="I127" s="58" t="s">
        <v>4034</v>
      </c>
      <c r="J127" s="58" t="s">
        <v>4035</v>
      </c>
      <c r="K127" s="58" t="s">
        <v>4036</v>
      </c>
    </row>
    <row r="128" spans="1:11" ht="31.2">
      <c r="A128" s="58" t="s">
        <v>63</v>
      </c>
      <c r="B128" s="58" t="s">
        <v>3</v>
      </c>
      <c r="C128" s="58" t="s">
        <v>3852</v>
      </c>
      <c r="D128" s="58" t="s">
        <v>3860</v>
      </c>
      <c r="E128" s="58">
        <v>0</v>
      </c>
      <c r="F128" s="58" t="s">
        <v>3854</v>
      </c>
      <c r="G128" s="58" t="s">
        <v>3855</v>
      </c>
      <c r="H128" s="58" t="s">
        <v>4033</v>
      </c>
      <c r="I128" s="58" t="s">
        <v>4034</v>
      </c>
      <c r="J128" s="58" t="s">
        <v>4037</v>
      </c>
      <c r="K128" s="58" t="s">
        <v>4038</v>
      </c>
    </row>
    <row r="129" spans="1:11" ht="31.2">
      <c r="A129" s="58" t="s">
        <v>63</v>
      </c>
      <c r="B129" s="58" t="s">
        <v>3</v>
      </c>
      <c r="C129" s="58" t="s">
        <v>3852</v>
      </c>
      <c r="D129" s="58" t="s">
        <v>3863</v>
      </c>
      <c r="E129" s="58">
        <v>8724224</v>
      </c>
      <c r="F129" s="58" t="s">
        <v>3854</v>
      </c>
      <c r="G129" s="58" t="s">
        <v>3855</v>
      </c>
      <c r="H129" s="58" t="s">
        <v>4033</v>
      </c>
      <c r="I129" s="58" t="s">
        <v>4034</v>
      </c>
      <c r="J129" s="58" t="s">
        <v>4039</v>
      </c>
      <c r="K129" s="58" t="s">
        <v>4040</v>
      </c>
    </row>
    <row r="130" spans="1:11" ht="31.2">
      <c r="A130" s="58" t="s">
        <v>63</v>
      </c>
      <c r="B130" s="58" t="s">
        <v>3</v>
      </c>
      <c r="C130" s="58" t="s">
        <v>3852</v>
      </c>
      <c r="D130" s="58" t="s">
        <v>3866</v>
      </c>
      <c r="E130" s="58">
        <v>79939</v>
      </c>
      <c r="F130" s="58" t="s">
        <v>3854</v>
      </c>
      <c r="G130" s="58" t="s">
        <v>3855</v>
      </c>
      <c r="H130" s="58" t="s">
        <v>4033</v>
      </c>
      <c r="I130" s="58" t="s">
        <v>4034</v>
      </c>
      <c r="J130" s="58" t="s">
        <v>4041</v>
      </c>
      <c r="K130" s="58" t="s">
        <v>4042</v>
      </c>
    </row>
    <row r="131" spans="1:11" ht="31.2">
      <c r="A131" s="58" t="s">
        <v>63</v>
      </c>
      <c r="B131" s="58" t="s">
        <v>3</v>
      </c>
      <c r="C131" s="58" t="s">
        <v>3809</v>
      </c>
      <c r="D131" s="58" t="s">
        <v>3810</v>
      </c>
      <c r="E131" s="58">
        <v>0</v>
      </c>
      <c r="F131" s="58" t="s">
        <v>3811</v>
      </c>
      <c r="G131" s="58" t="s">
        <v>3812</v>
      </c>
      <c r="H131" s="58" t="s">
        <v>4033</v>
      </c>
      <c r="I131" s="58" t="s">
        <v>4034</v>
      </c>
      <c r="J131" s="58" t="s">
        <v>4043</v>
      </c>
      <c r="K131" s="58" t="s">
        <v>4044</v>
      </c>
    </row>
    <row r="132" spans="1:11" ht="31.2">
      <c r="A132" s="58" t="s">
        <v>63</v>
      </c>
      <c r="B132" s="58" t="s">
        <v>3</v>
      </c>
      <c r="C132" s="58" t="s">
        <v>3809</v>
      </c>
      <c r="D132" s="58" t="s">
        <v>3817</v>
      </c>
      <c r="E132" s="58">
        <v>1</v>
      </c>
      <c r="F132" s="58" t="s">
        <v>3811</v>
      </c>
      <c r="G132" s="58" t="s">
        <v>3812</v>
      </c>
      <c r="H132" s="58" t="s">
        <v>4033</v>
      </c>
      <c r="I132" s="58" t="s">
        <v>4034</v>
      </c>
      <c r="J132" s="58" t="s">
        <v>4045</v>
      </c>
      <c r="K132" s="58" t="s">
        <v>4046</v>
      </c>
    </row>
    <row r="133" spans="1:11" ht="31.2">
      <c r="A133" s="58" t="s">
        <v>63</v>
      </c>
      <c r="B133" s="58" t="s">
        <v>3</v>
      </c>
      <c r="C133" s="58" t="s">
        <v>3746</v>
      </c>
      <c r="D133" s="58" t="s">
        <v>3747</v>
      </c>
      <c r="E133" s="58">
        <v>38</v>
      </c>
      <c r="F133" s="58" t="s">
        <v>3748</v>
      </c>
      <c r="G133" s="58" t="s">
        <v>3749</v>
      </c>
      <c r="H133" s="58" t="s">
        <v>4033</v>
      </c>
      <c r="I133" s="58" t="s">
        <v>4034</v>
      </c>
      <c r="J133" s="58" t="s">
        <v>4047</v>
      </c>
      <c r="K133" s="58" t="s">
        <v>4048</v>
      </c>
    </row>
    <row r="134" spans="1:11" ht="31.2">
      <c r="A134" s="58" t="s">
        <v>63</v>
      </c>
      <c r="B134" s="58" t="s">
        <v>3</v>
      </c>
      <c r="C134" s="58" t="s">
        <v>3746</v>
      </c>
      <c r="D134" s="58" t="s">
        <v>3752</v>
      </c>
      <c r="E134" s="58">
        <v>1</v>
      </c>
      <c r="F134" s="58" t="s">
        <v>3753</v>
      </c>
      <c r="G134" s="58" t="s">
        <v>3749</v>
      </c>
      <c r="H134" s="58" t="s">
        <v>4033</v>
      </c>
      <c r="I134" s="58" t="s">
        <v>4034</v>
      </c>
      <c r="J134" s="58" t="s">
        <v>4049</v>
      </c>
      <c r="K134" s="58" t="s">
        <v>4050</v>
      </c>
    </row>
    <row r="135" spans="1:11" ht="31.2">
      <c r="A135" s="58" t="s">
        <v>63</v>
      </c>
      <c r="B135" s="58" t="s">
        <v>3</v>
      </c>
      <c r="C135" s="58" t="s">
        <v>3746</v>
      </c>
      <c r="D135" s="58" t="s">
        <v>3756</v>
      </c>
      <c r="E135" s="58">
        <v>1</v>
      </c>
      <c r="F135" s="58" t="s">
        <v>3753</v>
      </c>
      <c r="G135" s="58" t="s">
        <v>3749</v>
      </c>
      <c r="H135" s="58" t="s">
        <v>4033</v>
      </c>
      <c r="I135" s="58" t="s">
        <v>4034</v>
      </c>
      <c r="J135" s="58" t="s">
        <v>4051</v>
      </c>
      <c r="K135" s="58" t="s">
        <v>4052</v>
      </c>
    </row>
    <row r="136" spans="1:11" ht="31.2">
      <c r="A136" s="58" t="s">
        <v>63</v>
      </c>
      <c r="B136" s="58" t="s">
        <v>3</v>
      </c>
      <c r="C136" s="58" t="s">
        <v>3746</v>
      </c>
      <c r="D136" s="58" t="s">
        <v>3759</v>
      </c>
      <c r="E136" s="58">
        <v>0</v>
      </c>
      <c r="F136" s="58" t="s">
        <v>3753</v>
      </c>
      <c r="G136" s="58" t="s">
        <v>3760</v>
      </c>
      <c r="H136" s="58" t="s">
        <v>4033</v>
      </c>
      <c r="I136" s="58" t="s">
        <v>4034</v>
      </c>
      <c r="J136" s="58" t="s">
        <v>4053</v>
      </c>
      <c r="K136" s="58" t="s">
        <v>4054</v>
      </c>
    </row>
    <row r="137" spans="1:11" ht="31.2">
      <c r="A137" s="58" t="s">
        <v>63</v>
      </c>
      <c r="B137" s="58" t="s">
        <v>3</v>
      </c>
      <c r="C137" s="58" t="s">
        <v>3746</v>
      </c>
      <c r="D137" s="58" t="s">
        <v>3763</v>
      </c>
      <c r="E137" s="58">
        <v>0</v>
      </c>
      <c r="F137" s="58" t="s">
        <v>3753</v>
      </c>
      <c r="G137" s="58" t="s">
        <v>3749</v>
      </c>
      <c r="H137" s="58" t="s">
        <v>4033</v>
      </c>
      <c r="I137" s="58" t="s">
        <v>4034</v>
      </c>
      <c r="J137" s="58" t="s">
        <v>4055</v>
      </c>
      <c r="K137" s="58" t="s">
        <v>4056</v>
      </c>
    </row>
    <row r="138" spans="1:11" ht="31.2">
      <c r="A138" s="58" t="s">
        <v>63</v>
      </c>
      <c r="B138" s="58" t="s">
        <v>3</v>
      </c>
      <c r="C138" s="58" t="s">
        <v>3766</v>
      </c>
      <c r="D138" s="58" t="s">
        <v>3767</v>
      </c>
      <c r="E138" s="58">
        <v>1.136363636363636E-2</v>
      </c>
      <c r="F138" s="58" t="s">
        <v>3768</v>
      </c>
      <c r="G138" s="58" t="s">
        <v>3769</v>
      </c>
      <c r="H138" s="58" t="s">
        <v>4033</v>
      </c>
      <c r="I138" s="58" t="s">
        <v>4034</v>
      </c>
      <c r="J138" s="58" t="s">
        <v>4057</v>
      </c>
      <c r="K138" s="58" t="s">
        <v>4058</v>
      </c>
    </row>
    <row r="139" spans="1:11" ht="31.2">
      <c r="A139" s="58" t="s">
        <v>63</v>
      </c>
      <c r="B139" s="58" t="s">
        <v>3</v>
      </c>
      <c r="C139" s="58" t="s">
        <v>3766</v>
      </c>
      <c r="D139" s="58" t="s">
        <v>3772</v>
      </c>
      <c r="E139" s="58">
        <v>4.0839871967001377E-5</v>
      </c>
      <c r="F139" s="58" t="s">
        <v>3768</v>
      </c>
      <c r="G139" s="58" t="s">
        <v>3769</v>
      </c>
      <c r="H139" s="58" t="s">
        <v>4033</v>
      </c>
      <c r="I139" s="58" t="s">
        <v>4034</v>
      </c>
      <c r="J139" s="58" t="s">
        <v>4059</v>
      </c>
      <c r="K139" s="58" t="s">
        <v>4060</v>
      </c>
    </row>
    <row r="140" spans="1:11" ht="31.2">
      <c r="A140" s="58" t="s">
        <v>63</v>
      </c>
      <c r="B140" s="58" t="s">
        <v>3</v>
      </c>
      <c r="C140" s="58" t="s">
        <v>3766</v>
      </c>
      <c r="D140" s="58" t="s">
        <v>3775</v>
      </c>
      <c r="E140" s="58">
        <v>1</v>
      </c>
      <c r="F140" s="58" t="s">
        <v>3768</v>
      </c>
      <c r="G140" s="58" t="s">
        <v>3769</v>
      </c>
      <c r="H140" s="58" t="s">
        <v>4033</v>
      </c>
      <c r="I140" s="58" t="s">
        <v>4034</v>
      </c>
      <c r="J140" s="58" t="s">
        <v>4061</v>
      </c>
      <c r="K140" s="58" t="s">
        <v>4062</v>
      </c>
    </row>
    <row r="141" spans="1:11" ht="31.2">
      <c r="A141" s="58" t="s">
        <v>63</v>
      </c>
      <c r="B141" s="58" t="s">
        <v>3</v>
      </c>
      <c r="C141" s="58" t="s">
        <v>3766</v>
      </c>
      <c r="D141" s="58" t="s">
        <v>3778</v>
      </c>
      <c r="E141" s="58">
        <v>88</v>
      </c>
      <c r="F141" s="58" t="s">
        <v>165</v>
      </c>
      <c r="G141" s="58" t="s">
        <v>3769</v>
      </c>
      <c r="H141" s="58" t="s">
        <v>4033</v>
      </c>
      <c r="I141" s="58" t="s">
        <v>4034</v>
      </c>
      <c r="J141" s="58" t="s">
        <v>4063</v>
      </c>
      <c r="K141" s="58" t="s">
        <v>4064</v>
      </c>
    </row>
    <row r="142" spans="1:11" ht="31.2">
      <c r="A142" s="58" t="s">
        <v>63</v>
      </c>
      <c r="B142" s="58" t="s">
        <v>3</v>
      </c>
      <c r="C142" s="58" t="s">
        <v>3766</v>
      </c>
      <c r="D142" s="58" t="s">
        <v>3782</v>
      </c>
      <c r="E142" s="58">
        <v>1</v>
      </c>
      <c r="F142" s="58" t="s">
        <v>3768</v>
      </c>
      <c r="G142" s="58" t="s">
        <v>3769</v>
      </c>
      <c r="H142" s="58" t="s">
        <v>4033</v>
      </c>
      <c r="I142" s="58" t="s">
        <v>4034</v>
      </c>
      <c r="J142" s="58" t="s">
        <v>4065</v>
      </c>
      <c r="K142" s="58" t="s">
        <v>4066</v>
      </c>
    </row>
    <row r="143" spans="1:11" ht="31.2">
      <c r="A143" s="58" t="s">
        <v>63</v>
      </c>
      <c r="B143" s="58" t="s">
        <v>3</v>
      </c>
      <c r="C143" s="58" t="s">
        <v>3766</v>
      </c>
      <c r="D143" s="58" t="s">
        <v>3785</v>
      </c>
      <c r="E143" s="58">
        <v>1</v>
      </c>
      <c r="F143" s="58" t="s">
        <v>3779</v>
      </c>
      <c r="G143" s="58" t="s">
        <v>3769</v>
      </c>
      <c r="H143" s="58" t="s">
        <v>4033</v>
      </c>
      <c r="I143" s="58" t="s">
        <v>4034</v>
      </c>
      <c r="J143" s="58" t="s">
        <v>4067</v>
      </c>
      <c r="K143" s="58" t="s">
        <v>4068</v>
      </c>
    </row>
    <row r="144" spans="1:11" ht="31.2">
      <c r="A144" s="58" t="s">
        <v>14</v>
      </c>
      <c r="B144" s="58" t="s">
        <v>3</v>
      </c>
      <c r="C144" s="58" t="s">
        <v>3766</v>
      </c>
      <c r="D144" s="58" t="s">
        <v>3788</v>
      </c>
      <c r="E144" s="58">
        <v>1</v>
      </c>
      <c r="F144" s="58" t="s">
        <v>3779</v>
      </c>
      <c r="G144" s="58" t="s">
        <v>3769</v>
      </c>
      <c r="H144" s="58" t="s">
        <v>4033</v>
      </c>
      <c r="I144" s="58" t="s">
        <v>4034</v>
      </c>
      <c r="J144" s="58" t="s">
        <v>4069</v>
      </c>
      <c r="K144" s="58" t="s">
        <v>4070</v>
      </c>
    </row>
    <row r="145" spans="1:11" ht="31.2">
      <c r="A145" s="58" t="s">
        <v>14</v>
      </c>
      <c r="B145" s="58" t="s">
        <v>3</v>
      </c>
      <c r="C145" s="58" t="s">
        <v>3791</v>
      </c>
      <c r="D145" s="58" t="s">
        <v>3792</v>
      </c>
      <c r="E145" s="58">
        <v>91</v>
      </c>
      <c r="F145" s="58" t="s">
        <v>3779</v>
      </c>
      <c r="G145" s="58" t="s">
        <v>3793</v>
      </c>
      <c r="H145" s="58" t="s">
        <v>4033</v>
      </c>
      <c r="I145" s="58" t="s">
        <v>4034</v>
      </c>
      <c r="J145" s="58" t="s">
        <v>4071</v>
      </c>
      <c r="K145" s="58" t="s">
        <v>4072</v>
      </c>
    </row>
    <row r="146" spans="1:11" ht="31.2">
      <c r="A146" s="58" t="s">
        <v>14</v>
      </c>
      <c r="B146" s="58" t="s">
        <v>3</v>
      </c>
      <c r="C146" s="58" t="s">
        <v>3791</v>
      </c>
      <c r="D146" s="58" t="s">
        <v>3796</v>
      </c>
      <c r="E146" s="58">
        <v>1310.8443709999999</v>
      </c>
      <c r="F146" s="58" t="s">
        <v>3797</v>
      </c>
      <c r="G146" s="58" t="s">
        <v>3793</v>
      </c>
      <c r="H146" s="58" t="s">
        <v>4033</v>
      </c>
      <c r="I146" s="58" t="s">
        <v>4034</v>
      </c>
      <c r="J146" s="58" t="s">
        <v>4073</v>
      </c>
      <c r="K146" s="58" t="s">
        <v>4074</v>
      </c>
    </row>
    <row r="147" spans="1:11" ht="31.2">
      <c r="A147" s="58" t="s">
        <v>14</v>
      </c>
      <c r="B147" s="58" t="s">
        <v>3</v>
      </c>
      <c r="C147" s="58" t="s">
        <v>3791</v>
      </c>
      <c r="D147" s="58" t="s">
        <v>3800</v>
      </c>
      <c r="E147" s="58">
        <v>91</v>
      </c>
      <c r="F147" s="58" t="s">
        <v>3779</v>
      </c>
      <c r="G147" s="58" t="s">
        <v>3793</v>
      </c>
      <c r="H147" s="58" t="s">
        <v>4033</v>
      </c>
      <c r="I147" s="58" t="s">
        <v>4034</v>
      </c>
      <c r="J147" s="58" t="s">
        <v>4075</v>
      </c>
      <c r="K147" s="58" t="s">
        <v>4076</v>
      </c>
    </row>
    <row r="148" spans="1:11" ht="31.2">
      <c r="A148" s="58" t="s">
        <v>14</v>
      </c>
      <c r="B148" s="58" t="s">
        <v>3</v>
      </c>
      <c r="C148" s="58" t="s">
        <v>3791</v>
      </c>
      <c r="D148" s="58" t="s">
        <v>3803</v>
      </c>
      <c r="E148" s="58">
        <v>0</v>
      </c>
      <c r="F148" s="58" t="s">
        <v>3779</v>
      </c>
      <c r="G148" s="58" t="s">
        <v>3793</v>
      </c>
      <c r="H148" s="58" t="s">
        <v>4033</v>
      </c>
      <c r="I148" s="58" t="s">
        <v>4034</v>
      </c>
      <c r="J148" s="58" t="s">
        <v>4077</v>
      </c>
      <c r="K148" s="58" t="s">
        <v>4078</v>
      </c>
    </row>
    <row r="149" spans="1:11" ht="31.2">
      <c r="A149" s="58" t="s">
        <v>14</v>
      </c>
      <c r="B149" s="58" t="s">
        <v>3</v>
      </c>
      <c r="C149" s="58" t="s">
        <v>3791</v>
      </c>
      <c r="D149" s="58" t="s">
        <v>3806</v>
      </c>
      <c r="E149" s="58">
        <v>0</v>
      </c>
      <c r="F149" s="58" t="s">
        <v>3753</v>
      </c>
      <c r="G149" s="58" t="s">
        <v>3793</v>
      </c>
      <c r="H149" s="58" t="s">
        <v>4033</v>
      </c>
      <c r="I149" s="58" t="s">
        <v>4034</v>
      </c>
      <c r="J149" s="58" t="s">
        <v>4079</v>
      </c>
      <c r="K149" s="58" t="s">
        <v>4080</v>
      </c>
    </row>
    <row r="150" spans="1:11" ht="15.6">
      <c r="A150" s="58" t="s">
        <v>1</v>
      </c>
      <c r="B150" s="58" t="s">
        <v>3</v>
      </c>
      <c r="C150" s="58" t="s">
        <v>3852</v>
      </c>
      <c r="D150" s="58" t="s">
        <v>4081</v>
      </c>
      <c r="E150" s="58">
        <v>3585</v>
      </c>
      <c r="F150" s="58" t="s">
        <v>3854</v>
      </c>
      <c r="G150" s="58" t="s">
        <v>4082</v>
      </c>
      <c r="H150" s="58" t="s">
        <v>4083</v>
      </c>
      <c r="I150" s="58" t="s">
        <v>4084</v>
      </c>
      <c r="J150" s="58" t="s">
        <v>4085</v>
      </c>
      <c r="K150" s="58" t="s">
        <v>4086</v>
      </c>
    </row>
    <row r="151" spans="1:11" ht="15.6">
      <c r="A151" s="58" t="s">
        <v>1</v>
      </c>
      <c r="B151" s="58" t="s">
        <v>3</v>
      </c>
      <c r="C151" s="58" t="s">
        <v>3852</v>
      </c>
      <c r="D151" s="58" t="s">
        <v>3853</v>
      </c>
      <c r="E151" s="58">
        <v>142815</v>
      </c>
      <c r="F151" s="58" t="s">
        <v>3854</v>
      </c>
      <c r="G151" s="58" t="s">
        <v>4082</v>
      </c>
      <c r="H151" s="58" t="s">
        <v>4083</v>
      </c>
      <c r="I151" s="58" t="s">
        <v>4084</v>
      </c>
      <c r="J151" s="58" t="s">
        <v>4087</v>
      </c>
      <c r="K151" s="58" t="s">
        <v>4088</v>
      </c>
    </row>
    <row r="152" spans="1:11" ht="15.6">
      <c r="A152" s="58" t="s">
        <v>1</v>
      </c>
      <c r="B152" s="58" t="s">
        <v>3</v>
      </c>
      <c r="C152" s="58" t="s">
        <v>3852</v>
      </c>
      <c r="D152" s="58" t="s">
        <v>3860</v>
      </c>
      <c r="E152" s="58">
        <v>0</v>
      </c>
      <c r="F152" s="58" t="s">
        <v>3854</v>
      </c>
      <c r="G152" s="58" t="s">
        <v>4082</v>
      </c>
      <c r="H152" s="58" t="s">
        <v>4083</v>
      </c>
      <c r="I152" s="58" t="s">
        <v>4084</v>
      </c>
      <c r="J152" s="58" t="s">
        <v>4089</v>
      </c>
      <c r="K152" s="58" t="s">
        <v>4090</v>
      </c>
    </row>
    <row r="153" spans="1:11" ht="15.6">
      <c r="A153" s="58" t="s">
        <v>1</v>
      </c>
      <c r="B153" s="58" t="s">
        <v>3</v>
      </c>
      <c r="C153" s="58" t="s">
        <v>3852</v>
      </c>
      <c r="D153" s="58" t="s">
        <v>3863</v>
      </c>
      <c r="E153" s="58">
        <v>3076992</v>
      </c>
      <c r="F153" s="58" t="s">
        <v>3854</v>
      </c>
      <c r="G153" s="58" t="s">
        <v>4082</v>
      </c>
      <c r="H153" s="58" t="s">
        <v>4083</v>
      </c>
      <c r="I153" s="58" t="s">
        <v>4084</v>
      </c>
      <c r="J153" s="58" t="s">
        <v>4091</v>
      </c>
      <c r="K153" s="58" t="s">
        <v>4092</v>
      </c>
    </row>
    <row r="154" spans="1:11" ht="15.6">
      <c r="A154" s="58" t="s">
        <v>1</v>
      </c>
      <c r="B154" s="58" t="s">
        <v>3</v>
      </c>
      <c r="C154" s="58" t="s">
        <v>3852</v>
      </c>
      <c r="D154" s="58" t="s">
        <v>3866</v>
      </c>
      <c r="E154" s="58">
        <v>25111</v>
      </c>
      <c r="F154" s="58" t="s">
        <v>3854</v>
      </c>
      <c r="G154" s="58" t="s">
        <v>4082</v>
      </c>
      <c r="H154" s="58" t="s">
        <v>4083</v>
      </c>
      <c r="I154" s="58" t="s">
        <v>4084</v>
      </c>
      <c r="J154" s="58" t="s">
        <v>4093</v>
      </c>
      <c r="K154" s="58" t="s">
        <v>4094</v>
      </c>
    </row>
    <row r="155" spans="1:11" ht="15.6">
      <c r="A155" s="58" t="s">
        <v>1</v>
      </c>
      <c r="B155" s="58" t="s">
        <v>3</v>
      </c>
      <c r="C155" s="58" t="s">
        <v>3809</v>
      </c>
      <c r="D155" s="58" t="s">
        <v>3810</v>
      </c>
      <c r="E155" s="58">
        <v>0</v>
      </c>
      <c r="F155" s="58" t="s">
        <v>3811</v>
      </c>
      <c r="G155" s="58" t="s">
        <v>3812</v>
      </c>
      <c r="H155" s="58" t="s">
        <v>4083</v>
      </c>
      <c r="I155" s="58" t="s">
        <v>4084</v>
      </c>
      <c r="J155" s="58" t="s">
        <v>4095</v>
      </c>
      <c r="K155" s="58" t="s">
        <v>4096</v>
      </c>
    </row>
    <row r="156" spans="1:11" ht="15.6">
      <c r="A156" s="58" t="s">
        <v>1</v>
      </c>
      <c r="B156" s="58" t="s">
        <v>3</v>
      </c>
      <c r="C156" s="58" t="s">
        <v>3809</v>
      </c>
      <c r="D156" s="58" t="s">
        <v>3817</v>
      </c>
      <c r="E156" s="58">
        <v>0</v>
      </c>
      <c r="F156" s="58" t="s">
        <v>3811</v>
      </c>
      <c r="G156" s="58" t="s">
        <v>3812</v>
      </c>
      <c r="H156" s="58" t="s">
        <v>4083</v>
      </c>
      <c r="I156" s="58" t="s">
        <v>4084</v>
      </c>
      <c r="J156" s="58" t="s">
        <v>4097</v>
      </c>
      <c r="K156" s="58" t="s">
        <v>4098</v>
      </c>
    </row>
    <row r="157" spans="1:11" ht="15.6">
      <c r="A157" s="58" t="s">
        <v>1</v>
      </c>
      <c r="B157" s="58" t="s">
        <v>3</v>
      </c>
      <c r="C157" s="58" t="s">
        <v>3746</v>
      </c>
      <c r="D157" s="58" t="s">
        <v>3747</v>
      </c>
      <c r="E157" s="58">
        <v>33</v>
      </c>
      <c r="F157" s="58" t="s">
        <v>3748</v>
      </c>
      <c r="G157" s="58" t="s">
        <v>3749</v>
      </c>
      <c r="H157" s="58" t="s">
        <v>4083</v>
      </c>
      <c r="I157" s="58" t="s">
        <v>4084</v>
      </c>
      <c r="J157" s="58" t="s">
        <v>4099</v>
      </c>
      <c r="K157" s="58" t="s">
        <v>4100</v>
      </c>
    </row>
    <row r="158" spans="1:11" ht="15.6">
      <c r="A158" s="58" t="s">
        <v>1</v>
      </c>
      <c r="B158" s="58" t="s">
        <v>3</v>
      </c>
      <c r="C158" s="58" t="s">
        <v>3746</v>
      </c>
      <c r="D158" s="58" t="s">
        <v>3752</v>
      </c>
      <c r="E158" s="58">
        <v>1</v>
      </c>
      <c r="F158" s="58" t="s">
        <v>3753</v>
      </c>
      <c r="G158" s="58" t="s">
        <v>3749</v>
      </c>
      <c r="H158" s="58" t="s">
        <v>4083</v>
      </c>
      <c r="I158" s="58" t="s">
        <v>4084</v>
      </c>
      <c r="J158" s="58" t="s">
        <v>4101</v>
      </c>
      <c r="K158" s="58" t="s">
        <v>4102</v>
      </c>
    </row>
    <row r="159" spans="1:11" ht="15.6">
      <c r="A159" s="58" t="s">
        <v>1</v>
      </c>
      <c r="B159" s="58" t="s">
        <v>3</v>
      </c>
      <c r="C159" s="58" t="s">
        <v>3746</v>
      </c>
      <c r="D159" s="58" t="s">
        <v>3756</v>
      </c>
      <c r="E159" s="58">
        <v>1</v>
      </c>
      <c r="F159" s="58" t="s">
        <v>3753</v>
      </c>
      <c r="G159" s="58" t="s">
        <v>3749</v>
      </c>
      <c r="H159" s="58" t="s">
        <v>4083</v>
      </c>
      <c r="I159" s="58" t="s">
        <v>4084</v>
      </c>
      <c r="J159" s="58" t="s">
        <v>4103</v>
      </c>
      <c r="K159" s="58" t="s">
        <v>4104</v>
      </c>
    </row>
    <row r="160" spans="1:11" ht="15.6">
      <c r="A160" s="58" t="s">
        <v>1</v>
      </c>
      <c r="B160" s="58" t="s">
        <v>3</v>
      </c>
      <c r="C160" s="58" t="s">
        <v>3746</v>
      </c>
      <c r="D160" s="58" t="s">
        <v>3759</v>
      </c>
      <c r="E160" s="58">
        <v>0</v>
      </c>
      <c r="F160" s="58" t="s">
        <v>3753</v>
      </c>
      <c r="G160" s="58" t="s">
        <v>3760</v>
      </c>
      <c r="H160" s="58" t="s">
        <v>4083</v>
      </c>
      <c r="I160" s="58" t="s">
        <v>4084</v>
      </c>
      <c r="J160" s="58" t="s">
        <v>4105</v>
      </c>
      <c r="K160" s="58" t="s">
        <v>4106</v>
      </c>
    </row>
    <row r="161" spans="1:11" ht="15.6">
      <c r="A161" s="58" t="s">
        <v>1</v>
      </c>
      <c r="B161" s="58" t="s">
        <v>3</v>
      </c>
      <c r="C161" s="58" t="s">
        <v>3746</v>
      </c>
      <c r="D161" s="58" t="s">
        <v>3763</v>
      </c>
      <c r="E161" s="58">
        <v>0</v>
      </c>
      <c r="F161" s="58" t="s">
        <v>3753</v>
      </c>
      <c r="G161" s="58" t="s">
        <v>3749</v>
      </c>
      <c r="H161" s="58" t="s">
        <v>4083</v>
      </c>
      <c r="I161" s="58" t="s">
        <v>4084</v>
      </c>
      <c r="J161" s="58" t="s">
        <v>4107</v>
      </c>
      <c r="K161" s="58" t="s">
        <v>4108</v>
      </c>
    </row>
    <row r="162" spans="1:11" ht="31.2">
      <c r="A162" s="58" t="s">
        <v>1</v>
      </c>
      <c r="B162" s="58" t="s">
        <v>3</v>
      </c>
      <c r="C162" s="58" t="s">
        <v>3766</v>
      </c>
      <c r="D162" s="58" t="s">
        <v>3767</v>
      </c>
      <c r="E162" s="58">
        <v>6.25E-2</v>
      </c>
      <c r="F162" s="58" t="s">
        <v>3768</v>
      </c>
      <c r="G162" s="58" t="s">
        <v>3769</v>
      </c>
      <c r="H162" s="58" t="s">
        <v>4083</v>
      </c>
      <c r="I162" s="58" t="s">
        <v>4084</v>
      </c>
      <c r="J162" s="58" t="s">
        <v>4109</v>
      </c>
      <c r="K162" s="58" t="s">
        <v>4110</v>
      </c>
    </row>
    <row r="163" spans="1:11" ht="31.2">
      <c r="A163" s="58" t="s">
        <v>1</v>
      </c>
      <c r="B163" s="58" t="s">
        <v>3</v>
      </c>
      <c r="C163" s="58" t="s">
        <v>3766</v>
      </c>
      <c r="D163" s="58" t="s">
        <v>3772</v>
      </c>
      <c r="E163" s="58">
        <v>8.6372552278998621E-3</v>
      </c>
      <c r="F163" s="58" t="s">
        <v>3768</v>
      </c>
      <c r="G163" s="58" t="s">
        <v>3769</v>
      </c>
      <c r="H163" s="58" t="s">
        <v>4083</v>
      </c>
      <c r="I163" s="58" t="s">
        <v>4084</v>
      </c>
      <c r="J163" s="58" t="s">
        <v>4111</v>
      </c>
      <c r="K163" s="58" t="s">
        <v>4112</v>
      </c>
    </row>
    <row r="164" spans="1:11" ht="31.2">
      <c r="A164" s="58" t="s">
        <v>1</v>
      </c>
      <c r="B164" s="58" t="s">
        <v>3</v>
      </c>
      <c r="C164" s="58" t="s">
        <v>3766</v>
      </c>
      <c r="D164" s="58" t="s">
        <v>3775</v>
      </c>
      <c r="E164" s="58">
        <v>1</v>
      </c>
      <c r="F164" s="58" t="s">
        <v>3768</v>
      </c>
      <c r="G164" s="58" t="s">
        <v>3769</v>
      </c>
      <c r="H164" s="58" t="s">
        <v>4083</v>
      </c>
      <c r="I164" s="58" t="s">
        <v>4084</v>
      </c>
      <c r="J164" s="58" t="s">
        <v>4113</v>
      </c>
      <c r="K164" s="58" t="s">
        <v>4114</v>
      </c>
    </row>
    <row r="165" spans="1:11" ht="15.6">
      <c r="A165" s="58" t="s">
        <v>1</v>
      </c>
      <c r="B165" s="58" t="s">
        <v>3</v>
      </c>
      <c r="C165" s="58" t="s">
        <v>3766</v>
      </c>
      <c r="D165" s="58" t="s">
        <v>3778</v>
      </c>
      <c r="E165" s="58">
        <v>32</v>
      </c>
      <c r="F165" s="58" t="s">
        <v>3779</v>
      </c>
      <c r="G165" s="58" t="s">
        <v>3769</v>
      </c>
      <c r="H165" s="58" t="s">
        <v>4083</v>
      </c>
      <c r="I165" s="58" t="s">
        <v>4084</v>
      </c>
      <c r="J165" s="58" t="s">
        <v>4115</v>
      </c>
      <c r="K165" s="58" t="s">
        <v>4116</v>
      </c>
    </row>
    <row r="166" spans="1:11" ht="31.2">
      <c r="A166" s="58" t="s">
        <v>1</v>
      </c>
      <c r="B166" s="58" t="s">
        <v>3</v>
      </c>
      <c r="C166" s="58" t="s">
        <v>3766</v>
      </c>
      <c r="D166" s="58" t="s">
        <v>3782</v>
      </c>
      <c r="E166" s="58">
        <v>1</v>
      </c>
      <c r="F166" s="58" t="s">
        <v>3768</v>
      </c>
      <c r="G166" s="58" t="s">
        <v>3769</v>
      </c>
      <c r="H166" s="58" t="s">
        <v>4083</v>
      </c>
      <c r="I166" s="58" t="s">
        <v>4084</v>
      </c>
      <c r="J166" s="58" t="s">
        <v>4117</v>
      </c>
      <c r="K166" s="58" t="s">
        <v>4118</v>
      </c>
    </row>
    <row r="167" spans="1:11" ht="15.6">
      <c r="A167" s="58" t="s">
        <v>1</v>
      </c>
      <c r="B167" s="58" t="s">
        <v>3</v>
      </c>
      <c r="C167" s="58" t="s">
        <v>3766</v>
      </c>
      <c r="D167" s="58" t="s">
        <v>3785</v>
      </c>
      <c r="E167" s="58">
        <v>1</v>
      </c>
      <c r="F167" s="58" t="s">
        <v>3779</v>
      </c>
      <c r="G167" s="58" t="s">
        <v>3769</v>
      </c>
      <c r="H167" s="58" t="s">
        <v>4083</v>
      </c>
      <c r="I167" s="58" t="s">
        <v>4084</v>
      </c>
      <c r="J167" s="58" t="s">
        <v>4119</v>
      </c>
      <c r="K167" s="58" t="s">
        <v>4120</v>
      </c>
    </row>
    <row r="168" spans="1:11" ht="15.6">
      <c r="A168" s="58" t="s">
        <v>1</v>
      </c>
      <c r="B168" s="58" t="s">
        <v>3</v>
      </c>
      <c r="C168" s="58" t="s">
        <v>3766</v>
      </c>
      <c r="D168" s="58" t="s">
        <v>3788</v>
      </c>
      <c r="E168" s="58">
        <v>2</v>
      </c>
      <c r="F168" s="58" t="s">
        <v>3779</v>
      </c>
      <c r="G168" s="58" t="s">
        <v>3769</v>
      </c>
      <c r="H168" s="58" t="s">
        <v>4083</v>
      </c>
      <c r="I168" s="58" t="s">
        <v>4084</v>
      </c>
      <c r="J168" s="58" t="s">
        <v>4121</v>
      </c>
      <c r="K168" s="58" t="s">
        <v>4122</v>
      </c>
    </row>
    <row r="169" spans="1:11" ht="15.6">
      <c r="A169" s="58" t="s">
        <v>1</v>
      </c>
      <c r="B169" s="58" t="s">
        <v>3</v>
      </c>
      <c r="C169" s="58" t="s">
        <v>3791</v>
      </c>
      <c r="D169" s="58" t="s">
        <v>3792</v>
      </c>
      <c r="E169" s="58">
        <v>36</v>
      </c>
      <c r="F169" s="58" t="s">
        <v>3779</v>
      </c>
      <c r="G169" s="58" t="s">
        <v>3793</v>
      </c>
      <c r="H169" s="58" t="s">
        <v>4083</v>
      </c>
      <c r="I169" s="58" t="s">
        <v>4084</v>
      </c>
      <c r="J169" s="58" t="s">
        <v>4123</v>
      </c>
      <c r="K169" s="58" t="s">
        <v>4124</v>
      </c>
    </row>
    <row r="170" spans="1:11" ht="15.6">
      <c r="A170" s="58" t="s">
        <v>1</v>
      </c>
      <c r="B170" s="58" t="s">
        <v>3</v>
      </c>
      <c r="C170" s="58" t="s">
        <v>3791</v>
      </c>
      <c r="D170" s="58" t="s">
        <v>3796</v>
      </c>
      <c r="E170" s="58">
        <v>1080.667001</v>
      </c>
      <c r="F170" s="58" t="s">
        <v>3797</v>
      </c>
      <c r="G170" s="58" t="s">
        <v>3793</v>
      </c>
      <c r="H170" s="58" t="s">
        <v>4083</v>
      </c>
      <c r="I170" s="58" t="s">
        <v>4084</v>
      </c>
      <c r="J170" s="58" t="s">
        <v>4125</v>
      </c>
      <c r="K170" s="58" t="s">
        <v>4126</v>
      </c>
    </row>
    <row r="171" spans="1:11" ht="15.6">
      <c r="A171" s="58" t="s">
        <v>1</v>
      </c>
      <c r="B171" s="58" t="s">
        <v>3</v>
      </c>
      <c r="C171" s="58" t="s">
        <v>3791</v>
      </c>
      <c r="D171" s="58" t="s">
        <v>3800</v>
      </c>
      <c r="E171" s="58">
        <v>36</v>
      </c>
      <c r="F171" s="58" t="s">
        <v>3779</v>
      </c>
      <c r="G171" s="58" t="s">
        <v>3793</v>
      </c>
      <c r="H171" s="58" t="s">
        <v>4083</v>
      </c>
      <c r="I171" s="58" t="s">
        <v>4084</v>
      </c>
      <c r="J171" s="58" t="s">
        <v>4127</v>
      </c>
      <c r="K171" s="58" t="s">
        <v>4128</v>
      </c>
    </row>
    <row r="172" spans="1:11" ht="15.6">
      <c r="A172" s="58" t="s">
        <v>1</v>
      </c>
      <c r="B172" s="58" t="s">
        <v>3</v>
      </c>
      <c r="C172" s="58" t="s">
        <v>3791</v>
      </c>
      <c r="D172" s="58" t="s">
        <v>3803</v>
      </c>
      <c r="E172" s="58">
        <v>0</v>
      </c>
      <c r="F172" s="58" t="s">
        <v>3779</v>
      </c>
      <c r="G172" s="58" t="s">
        <v>3793</v>
      </c>
      <c r="H172" s="58" t="s">
        <v>4083</v>
      </c>
      <c r="I172" s="58" t="s">
        <v>4084</v>
      </c>
      <c r="J172" s="58" t="s">
        <v>4129</v>
      </c>
      <c r="K172" s="58" t="s">
        <v>4130</v>
      </c>
    </row>
    <row r="173" spans="1:11" ht="15.6">
      <c r="A173" s="58" t="s">
        <v>1</v>
      </c>
      <c r="B173" s="58" t="s">
        <v>3</v>
      </c>
      <c r="C173" s="58" t="s">
        <v>3791</v>
      </c>
      <c r="D173" s="58" t="s">
        <v>3806</v>
      </c>
      <c r="E173" s="58">
        <v>0</v>
      </c>
      <c r="F173" s="58" t="s">
        <v>3753</v>
      </c>
      <c r="G173" s="58" t="s">
        <v>3793</v>
      </c>
      <c r="H173" s="58" t="s">
        <v>4083</v>
      </c>
      <c r="I173" s="58" t="s">
        <v>4084</v>
      </c>
      <c r="J173" s="58" t="s">
        <v>4131</v>
      </c>
      <c r="K173" s="58" t="s">
        <v>4132</v>
      </c>
    </row>
    <row r="174" spans="1:11" ht="15.6">
      <c r="A174" s="58" t="s">
        <v>15</v>
      </c>
      <c r="B174" s="58" t="s">
        <v>3</v>
      </c>
      <c r="C174" s="58" t="s">
        <v>3852</v>
      </c>
      <c r="D174" s="58" t="s">
        <v>3853</v>
      </c>
      <c r="E174" s="58">
        <v>89382</v>
      </c>
      <c r="F174" s="58" t="s">
        <v>3854</v>
      </c>
      <c r="G174" s="58" t="s">
        <v>3855</v>
      </c>
      <c r="H174" s="58" t="s">
        <v>4133</v>
      </c>
      <c r="I174" s="58" t="s">
        <v>4134</v>
      </c>
      <c r="J174" s="58" t="s">
        <v>4135</v>
      </c>
      <c r="K174" s="58" t="s">
        <v>4136</v>
      </c>
    </row>
    <row r="175" spans="1:11" ht="15.6">
      <c r="A175" s="58" t="s">
        <v>15</v>
      </c>
      <c r="B175" s="58" t="s">
        <v>3</v>
      </c>
      <c r="C175" s="58" t="s">
        <v>3852</v>
      </c>
      <c r="D175" s="58" t="s">
        <v>3860</v>
      </c>
      <c r="E175" s="58">
        <v>0</v>
      </c>
      <c r="F175" s="58" t="s">
        <v>3854</v>
      </c>
      <c r="G175" s="58" t="s">
        <v>3855</v>
      </c>
      <c r="H175" s="58" t="s">
        <v>4133</v>
      </c>
      <c r="I175" s="58" t="s">
        <v>4134</v>
      </c>
      <c r="J175" s="58" t="s">
        <v>4137</v>
      </c>
      <c r="K175" s="58" t="s">
        <v>4138</v>
      </c>
    </row>
    <row r="176" spans="1:11" ht="15.6">
      <c r="A176" s="58" t="s">
        <v>15</v>
      </c>
      <c r="B176" s="58" t="s">
        <v>3</v>
      </c>
      <c r="C176" s="58" t="s">
        <v>3852</v>
      </c>
      <c r="D176" s="58" t="s">
        <v>3863</v>
      </c>
      <c r="E176" s="58">
        <v>2327552</v>
      </c>
      <c r="F176" s="58" t="s">
        <v>3854</v>
      </c>
      <c r="G176" s="58" t="s">
        <v>3855</v>
      </c>
      <c r="H176" s="58" t="s">
        <v>4133</v>
      </c>
      <c r="I176" s="58" t="s">
        <v>4134</v>
      </c>
      <c r="J176" s="58" t="s">
        <v>4139</v>
      </c>
      <c r="K176" s="58" t="s">
        <v>4140</v>
      </c>
    </row>
    <row r="177" spans="1:11" ht="15.6">
      <c r="A177" s="58" t="s">
        <v>15</v>
      </c>
      <c r="B177" s="58" t="s">
        <v>3</v>
      </c>
      <c r="C177" s="58" t="s">
        <v>3852</v>
      </c>
      <c r="D177" s="58" t="s">
        <v>3866</v>
      </c>
      <c r="E177" s="58">
        <v>39647</v>
      </c>
      <c r="F177" s="58" t="s">
        <v>3854</v>
      </c>
      <c r="G177" s="58" t="s">
        <v>3855</v>
      </c>
      <c r="H177" s="58" t="s">
        <v>4133</v>
      </c>
      <c r="I177" s="58" t="s">
        <v>4134</v>
      </c>
      <c r="J177" s="58" t="s">
        <v>4141</v>
      </c>
      <c r="K177" s="58" t="s">
        <v>4142</v>
      </c>
    </row>
    <row r="178" spans="1:11" ht="15.6">
      <c r="A178" s="58" t="s">
        <v>15</v>
      </c>
      <c r="B178" s="58" t="s">
        <v>3</v>
      </c>
      <c r="C178" s="58" t="s">
        <v>3809</v>
      </c>
      <c r="D178" s="58" t="s">
        <v>3810</v>
      </c>
      <c r="E178" s="58">
        <v>1</v>
      </c>
      <c r="F178" s="58" t="s">
        <v>3811</v>
      </c>
      <c r="G178" s="58" t="s">
        <v>3812</v>
      </c>
      <c r="H178" s="58" t="s">
        <v>4133</v>
      </c>
      <c r="I178" s="58" t="s">
        <v>4134</v>
      </c>
      <c r="J178" s="58" t="s">
        <v>4143</v>
      </c>
      <c r="K178" s="58" t="s">
        <v>4144</v>
      </c>
    </row>
    <row r="179" spans="1:11" ht="15.6">
      <c r="A179" s="58" t="s">
        <v>15</v>
      </c>
      <c r="B179" s="58" t="s">
        <v>3</v>
      </c>
      <c r="C179" s="58" t="s">
        <v>3809</v>
      </c>
      <c r="D179" s="58" t="s">
        <v>3817</v>
      </c>
      <c r="E179" s="58">
        <v>1</v>
      </c>
      <c r="F179" s="58" t="s">
        <v>3811</v>
      </c>
      <c r="G179" s="58" t="s">
        <v>3812</v>
      </c>
      <c r="H179" s="58" t="s">
        <v>4133</v>
      </c>
      <c r="I179" s="58" t="s">
        <v>4134</v>
      </c>
      <c r="J179" s="58" t="s">
        <v>4145</v>
      </c>
      <c r="K179" s="58" t="s">
        <v>4146</v>
      </c>
    </row>
    <row r="180" spans="1:11" ht="15.6">
      <c r="A180" s="58" t="s">
        <v>15</v>
      </c>
      <c r="B180" s="58" t="s">
        <v>3</v>
      </c>
      <c r="C180" s="58" t="s">
        <v>3746</v>
      </c>
      <c r="D180" s="58" t="s">
        <v>3747</v>
      </c>
      <c r="E180" s="58">
        <v>33</v>
      </c>
      <c r="F180" s="58" t="s">
        <v>3748</v>
      </c>
      <c r="G180" s="58" t="s">
        <v>3749</v>
      </c>
      <c r="H180" s="58" t="s">
        <v>4133</v>
      </c>
      <c r="I180" s="58" t="s">
        <v>4134</v>
      </c>
      <c r="J180" s="58" t="s">
        <v>4147</v>
      </c>
      <c r="K180" s="58" t="s">
        <v>4148</v>
      </c>
    </row>
    <row r="181" spans="1:11" ht="15.6">
      <c r="A181" s="58" t="s">
        <v>15</v>
      </c>
      <c r="B181" s="58" t="s">
        <v>3</v>
      </c>
      <c r="C181" s="58" t="s">
        <v>3746</v>
      </c>
      <c r="D181" s="58" t="s">
        <v>3752</v>
      </c>
      <c r="E181" s="58">
        <v>1</v>
      </c>
      <c r="F181" s="58" t="s">
        <v>3753</v>
      </c>
      <c r="G181" s="58" t="s">
        <v>3749</v>
      </c>
      <c r="H181" s="58" t="s">
        <v>4133</v>
      </c>
      <c r="I181" s="58" t="s">
        <v>4134</v>
      </c>
      <c r="J181" s="58" t="s">
        <v>4149</v>
      </c>
      <c r="K181" s="58" t="s">
        <v>4150</v>
      </c>
    </row>
    <row r="182" spans="1:11" ht="15.6">
      <c r="A182" s="58" t="s">
        <v>15</v>
      </c>
      <c r="B182" s="58" t="s">
        <v>3</v>
      </c>
      <c r="C182" s="58" t="s">
        <v>3746</v>
      </c>
      <c r="D182" s="58" t="s">
        <v>3756</v>
      </c>
      <c r="E182" s="58">
        <v>1</v>
      </c>
      <c r="F182" s="58" t="s">
        <v>3753</v>
      </c>
      <c r="G182" s="58" t="s">
        <v>3749</v>
      </c>
      <c r="H182" s="58" t="s">
        <v>4133</v>
      </c>
      <c r="I182" s="58" t="s">
        <v>4134</v>
      </c>
      <c r="J182" s="58" t="s">
        <v>4151</v>
      </c>
      <c r="K182" s="58" t="s">
        <v>4152</v>
      </c>
    </row>
    <row r="183" spans="1:11" ht="15.6">
      <c r="A183" s="58" t="s">
        <v>15</v>
      </c>
      <c r="B183" s="58" t="s">
        <v>3</v>
      </c>
      <c r="C183" s="58" t="s">
        <v>3746</v>
      </c>
      <c r="D183" s="58" t="s">
        <v>3759</v>
      </c>
      <c r="E183" s="58">
        <v>0</v>
      </c>
      <c r="F183" s="58" t="s">
        <v>3753</v>
      </c>
      <c r="G183" s="58" t="s">
        <v>3760</v>
      </c>
      <c r="H183" s="58" t="s">
        <v>4133</v>
      </c>
      <c r="I183" s="58" t="s">
        <v>4134</v>
      </c>
      <c r="J183" s="58" t="s">
        <v>4153</v>
      </c>
      <c r="K183" s="58" t="s">
        <v>4154</v>
      </c>
    </row>
    <row r="184" spans="1:11" ht="15.6">
      <c r="A184" s="58" t="s">
        <v>15</v>
      </c>
      <c r="B184" s="58" t="s">
        <v>3</v>
      </c>
      <c r="C184" s="58" t="s">
        <v>3746</v>
      </c>
      <c r="D184" s="58" t="s">
        <v>3763</v>
      </c>
      <c r="E184" s="58">
        <v>0</v>
      </c>
      <c r="F184" s="58" t="s">
        <v>3753</v>
      </c>
      <c r="G184" s="58" t="s">
        <v>3749</v>
      </c>
      <c r="H184" s="58" t="s">
        <v>4133</v>
      </c>
      <c r="I184" s="58" t="s">
        <v>4134</v>
      </c>
      <c r="J184" s="58" t="s">
        <v>4155</v>
      </c>
      <c r="K184" s="58" t="s">
        <v>4156</v>
      </c>
    </row>
    <row r="185" spans="1:11" ht="31.2">
      <c r="A185" s="58" t="s">
        <v>15</v>
      </c>
      <c r="B185" s="58" t="s">
        <v>3</v>
      </c>
      <c r="C185" s="58" t="s">
        <v>3766</v>
      </c>
      <c r="D185" s="58" t="s">
        <v>3767</v>
      </c>
      <c r="E185" s="58">
        <v>4.878048780487805E-2</v>
      </c>
      <c r="F185" s="58" t="s">
        <v>3768</v>
      </c>
      <c r="G185" s="58" t="s">
        <v>3769</v>
      </c>
      <c r="H185" s="58" t="s">
        <v>4133</v>
      </c>
      <c r="I185" s="58" t="s">
        <v>4134</v>
      </c>
      <c r="J185" s="58" t="s">
        <v>4157</v>
      </c>
      <c r="K185" s="58" t="s">
        <v>4158</v>
      </c>
    </row>
    <row r="186" spans="1:11" ht="31.2">
      <c r="A186" s="58" t="s">
        <v>15</v>
      </c>
      <c r="B186" s="58" t="s">
        <v>3</v>
      </c>
      <c r="C186" s="58" t="s">
        <v>3766</v>
      </c>
      <c r="D186" s="58" t="s">
        <v>3772</v>
      </c>
      <c r="E186" s="58">
        <v>3.2677865910667431E-2</v>
      </c>
      <c r="F186" s="58" t="s">
        <v>3768</v>
      </c>
      <c r="G186" s="58" t="s">
        <v>3769</v>
      </c>
      <c r="H186" s="58" t="s">
        <v>4133</v>
      </c>
      <c r="I186" s="58" t="s">
        <v>4134</v>
      </c>
      <c r="J186" s="58" t="s">
        <v>4159</v>
      </c>
      <c r="K186" s="58" t="s">
        <v>4160</v>
      </c>
    </row>
    <row r="187" spans="1:11" ht="31.2">
      <c r="A187" s="58" t="s">
        <v>15</v>
      </c>
      <c r="B187" s="58" t="s">
        <v>3</v>
      </c>
      <c r="C187" s="58" t="s">
        <v>3766</v>
      </c>
      <c r="D187" s="58" t="s">
        <v>3775</v>
      </c>
      <c r="E187" s="58">
        <v>1</v>
      </c>
      <c r="F187" s="58" t="s">
        <v>3768</v>
      </c>
      <c r="G187" s="58" t="s">
        <v>3769</v>
      </c>
      <c r="H187" s="58" t="s">
        <v>4133</v>
      </c>
      <c r="I187" s="58" t="s">
        <v>4134</v>
      </c>
      <c r="J187" s="58" t="s">
        <v>4161</v>
      </c>
      <c r="K187" s="58" t="s">
        <v>4162</v>
      </c>
    </row>
    <row r="188" spans="1:11" ht="15.6">
      <c r="A188" s="58" t="s">
        <v>15</v>
      </c>
      <c r="B188" s="58" t="s">
        <v>3</v>
      </c>
      <c r="C188" s="58" t="s">
        <v>3766</v>
      </c>
      <c r="D188" s="58" t="s">
        <v>3778</v>
      </c>
      <c r="E188" s="58">
        <v>41</v>
      </c>
      <c r="F188" s="58" t="s">
        <v>3779</v>
      </c>
      <c r="G188" s="58" t="s">
        <v>3769</v>
      </c>
      <c r="H188" s="58" t="s">
        <v>4133</v>
      </c>
      <c r="I188" s="58" t="s">
        <v>4134</v>
      </c>
      <c r="J188" s="58" t="s">
        <v>4163</v>
      </c>
      <c r="K188" s="58" t="s">
        <v>4164</v>
      </c>
    </row>
    <row r="189" spans="1:11" ht="31.2">
      <c r="A189" s="58" t="s">
        <v>15</v>
      </c>
      <c r="B189" s="58" t="s">
        <v>3</v>
      </c>
      <c r="C189" s="58" t="s">
        <v>3766</v>
      </c>
      <c r="D189" s="58" t="s">
        <v>3782</v>
      </c>
      <c r="E189" s="58">
        <v>1</v>
      </c>
      <c r="F189" s="58" t="s">
        <v>3768</v>
      </c>
      <c r="G189" s="58" t="s">
        <v>3769</v>
      </c>
      <c r="H189" s="58" t="s">
        <v>4133</v>
      </c>
      <c r="I189" s="58" t="s">
        <v>4134</v>
      </c>
      <c r="J189" s="58" t="s">
        <v>4165</v>
      </c>
      <c r="K189" s="58" t="s">
        <v>4166</v>
      </c>
    </row>
    <row r="190" spans="1:11" ht="15.6">
      <c r="A190" s="58" t="s">
        <v>15</v>
      </c>
      <c r="B190" s="58" t="s">
        <v>3</v>
      </c>
      <c r="C190" s="58" t="s">
        <v>3766</v>
      </c>
      <c r="D190" s="58" t="s">
        <v>3785</v>
      </c>
      <c r="E190" s="58">
        <v>1</v>
      </c>
      <c r="F190" s="58" t="s">
        <v>3779</v>
      </c>
      <c r="G190" s="58" t="s">
        <v>3769</v>
      </c>
      <c r="H190" s="58" t="s">
        <v>4133</v>
      </c>
      <c r="I190" s="58" t="s">
        <v>4134</v>
      </c>
      <c r="J190" s="58" t="s">
        <v>4167</v>
      </c>
      <c r="K190" s="58" t="s">
        <v>4168</v>
      </c>
    </row>
    <row r="191" spans="1:11" ht="15.6">
      <c r="A191" s="58" t="s">
        <v>15</v>
      </c>
      <c r="B191" s="58" t="s">
        <v>3</v>
      </c>
      <c r="C191" s="58" t="s">
        <v>3766</v>
      </c>
      <c r="D191" s="58" t="s">
        <v>3788</v>
      </c>
      <c r="E191" s="58">
        <v>2</v>
      </c>
      <c r="F191" s="58" t="s">
        <v>3779</v>
      </c>
      <c r="G191" s="58" t="s">
        <v>3769</v>
      </c>
      <c r="H191" s="58" t="s">
        <v>4133</v>
      </c>
      <c r="I191" s="58" t="s">
        <v>4134</v>
      </c>
      <c r="J191" s="58" t="s">
        <v>4169</v>
      </c>
      <c r="K191" s="58" t="s">
        <v>4170</v>
      </c>
    </row>
    <row r="192" spans="1:11" ht="15.6">
      <c r="A192" s="58" t="s">
        <v>15</v>
      </c>
      <c r="B192" s="58" t="s">
        <v>3</v>
      </c>
      <c r="C192" s="58" t="s">
        <v>3791</v>
      </c>
      <c r="D192" s="58" t="s">
        <v>3792</v>
      </c>
      <c r="E192" s="58">
        <v>51</v>
      </c>
      <c r="F192" s="58" t="s">
        <v>3779</v>
      </c>
      <c r="G192" s="58" t="s">
        <v>3793</v>
      </c>
      <c r="H192" s="58" t="s">
        <v>4133</v>
      </c>
      <c r="I192" s="58" t="s">
        <v>4134</v>
      </c>
      <c r="J192" s="58" t="s">
        <v>4171</v>
      </c>
      <c r="K192" s="58" t="s">
        <v>4172</v>
      </c>
    </row>
    <row r="193" spans="1:11" ht="15.6">
      <c r="A193" s="58" t="s">
        <v>15</v>
      </c>
      <c r="B193" s="58" t="s">
        <v>3</v>
      </c>
      <c r="C193" s="58" t="s">
        <v>3791</v>
      </c>
      <c r="D193" s="58" t="s">
        <v>3796</v>
      </c>
      <c r="E193" s="58">
        <v>579.91375700000003</v>
      </c>
      <c r="F193" s="58" t="s">
        <v>3797</v>
      </c>
      <c r="G193" s="58" t="s">
        <v>3793</v>
      </c>
      <c r="H193" s="58" t="s">
        <v>4133</v>
      </c>
      <c r="I193" s="58" t="s">
        <v>4134</v>
      </c>
      <c r="J193" s="58" t="s">
        <v>4173</v>
      </c>
      <c r="K193" s="58" t="s">
        <v>4174</v>
      </c>
    </row>
    <row r="194" spans="1:11" ht="15.6">
      <c r="A194" s="58" t="s">
        <v>15</v>
      </c>
      <c r="B194" s="58" t="s">
        <v>3</v>
      </c>
      <c r="C194" s="58" t="s">
        <v>3791</v>
      </c>
      <c r="D194" s="58" t="s">
        <v>3800</v>
      </c>
      <c r="E194" s="58">
        <v>51</v>
      </c>
      <c r="F194" s="58" t="s">
        <v>3779</v>
      </c>
      <c r="G194" s="58" t="s">
        <v>3793</v>
      </c>
      <c r="H194" s="58" t="s">
        <v>4133</v>
      </c>
      <c r="I194" s="58" t="s">
        <v>4134</v>
      </c>
      <c r="J194" s="58" t="s">
        <v>4175</v>
      </c>
      <c r="K194" s="58" t="s">
        <v>4176</v>
      </c>
    </row>
    <row r="195" spans="1:11" ht="15.6">
      <c r="A195" s="58" t="s">
        <v>15</v>
      </c>
      <c r="B195" s="58" t="s">
        <v>3</v>
      </c>
      <c r="C195" s="58" t="s">
        <v>3791</v>
      </c>
      <c r="D195" s="58" t="s">
        <v>3803</v>
      </c>
      <c r="E195" s="58">
        <v>0</v>
      </c>
      <c r="F195" s="58" t="s">
        <v>3779</v>
      </c>
      <c r="G195" s="58" t="s">
        <v>3793</v>
      </c>
      <c r="H195" s="58" t="s">
        <v>4133</v>
      </c>
      <c r="I195" s="58" t="s">
        <v>4134</v>
      </c>
      <c r="J195" s="58" t="s">
        <v>4177</v>
      </c>
      <c r="K195" s="58" t="s">
        <v>4178</v>
      </c>
    </row>
    <row r="196" spans="1:11" ht="15.6">
      <c r="A196" s="58" t="s">
        <v>15</v>
      </c>
      <c r="B196" s="58" t="s">
        <v>3</v>
      </c>
      <c r="C196" s="58" t="s">
        <v>3791</v>
      </c>
      <c r="D196" s="58" t="s">
        <v>3806</v>
      </c>
      <c r="E196" s="58">
        <v>0</v>
      </c>
      <c r="F196" s="58" t="s">
        <v>3753</v>
      </c>
      <c r="G196" s="58" t="s">
        <v>3793</v>
      </c>
      <c r="H196" s="58" t="s">
        <v>4133</v>
      </c>
      <c r="I196" s="58" t="s">
        <v>4134</v>
      </c>
      <c r="J196" s="58" t="s">
        <v>4179</v>
      </c>
      <c r="K196" s="58" t="s">
        <v>4180</v>
      </c>
    </row>
    <row r="197" spans="1:11" ht="15.6">
      <c r="A197" s="58" t="s">
        <v>20</v>
      </c>
      <c r="B197" s="58" t="s">
        <v>3</v>
      </c>
      <c r="C197" s="58" t="s">
        <v>3852</v>
      </c>
      <c r="D197" s="58" t="s">
        <v>3853</v>
      </c>
      <c r="E197" s="58">
        <v>14461</v>
      </c>
      <c r="F197" s="58" t="s">
        <v>3854</v>
      </c>
      <c r="G197" s="58" t="s">
        <v>3855</v>
      </c>
      <c r="H197" s="58" t="s">
        <v>4181</v>
      </c>
      <c r="I197" s="58" t="s">
        <v>4182</v>
      </c>
      <c r="J197" s="58" t="s">
        <v>4183</v>
      </c>
      <c r="K197" s="58" t="s">
        <v>4184</v>
      </c>
    </row>
    <row r="198" spans="1:11" ht="15.6">
      <c r="A198" s="58" t="s">
        <v>20</v>
      </c>
      <c r="B198" s="58" t="s">
        <v>3</v>
      </c>
      <c r="C198" s="58" t="s">
        <v>3852</v>
      </c>
      <c r="D198" s="58" t="s">
        <v>3860</v>
      </c>
      <c r="E198" s="58">
        <v>0</v>
      </c>
      <c r="F198" s="58" t="s">
        <v>3854</v>
      </c>
      <c r="G198" s="58" t="s">
        <v>3855</v>
      </c>
      <c r="H198" s="58" t="s">
        <v>4181</v>
      </c>
      <c r="I198" s="58" t="s">
        <v>4182</v>
      </c>
      <c r="J198" s="58" t="s">
        <v>4185</v>
      </c>
      <c r="K198" s="58" t="s">
        <v>4186</v>
      </c>
    </row>
    <row r="199" spans="1:11" ht="15.6">
      <c r="A199" s="58" t="s">
        <v>20</v>
      </c>
      <c r="B199" s="58" t="s">
        <v>3</v>
      </c>
      <c r="C199" s="58" t="s">
        <v>3852</v>
      </c>
      <c r="D199" s="58" t="s">
        <v>3863</v>
      </c>
      <c r="E199" s="58">
        <v>482816</v>
      </c>
      <c r="F199" s="58" t="s">
        <v>3854</v>
      </c>
      <c r="G199" s="58" t="s">
        <v>3855</v>
      </c>
      <c r="H199" s="58" t="s">
        <v>4181</v>
      </c>
      <c r="I199" s="58" t="s">
        <v>4182</v>
      </c>
      <c r="J199" s="58" t="s">
        <v>4187</v>
      </c>
      <c r="K199" s="58" t="s">
        <v>4188</v>
      </c>
    </row>
    <row r="200" spans="1:11" ht="15.6">
      <c r="A200" s="58" t="s">
        <v>20</v>
      </c>
      <c r="B200" s="58" t="s">
        <v>3</v>
      </c>
      <c r="C200" s="58" t="s">
        <v>3852</v>
      </c>
      <c r="D200" s="58" t="s">
        <v>3866</v>
      </c>
      <c r="E200" s="58">
        <v>2208</v>
      </c>
      <c r="F200" s="58" t="s">
        <v>3854</v>
      </c>
      <c r="G200" s="58" t="s">
        <v>3855</v>
      </c>
      <c r="H200" s="58" t="s">
        <v>4181</v>
      </c>
      <c r="I200" s="58" t="s">
        <v>4182</v>
      </c>
      <c r="J200" s="58" t="s">
        <v>4189</v>
      </c>
      <c r="K200" s="58" t="s">
        <v>4190</v>
      </c>
    </row>
    <row r="201" spans="1:11" ht="15.6">
      <c r="A201" s="58" t="s">
        <v>20</v>
      </c>
      <c r="B201" s="58" t="s">
        <v>3</v>
      </c>
      <c r="C201" s="58" t="s">
        <v>3809</v>
      </c>
      <c r="D201" s="58" t="s">
        <v>3810</v>
      </c>
      <c r="E201" s="58">
        <v>0</v>
      </c>
      <c r="F201" s="58" t="s">
        <v>3811</v>
      </c>
      <c r="G201" s="58" t="s">
        <v>3812</v>
      </c>
      <c r="H201" s="58" t="s">
        <v>4181</v>
      </c>
      <c r="I201" s="58" t="s">
        <v>4182</v>
      </c>
      <c r="J201" s="58" t="s">
        <v>4191</v>
      </c>
      <c r="K201" s="58" t="s">
        <v>4192</v>
      </c>
    </row>
    <row r="202" spans="1:11" ht="15.6">
      <c r="A202" s="58" t="s">
        <v>20</v>
      </c>
      <c r="B202" s="58" t="s">
        <v>3</v>
      </c>
      <c r="C202" s="58" t="s">
        <v>3809</v>
      </c>
      <c r="D202" s="58" t="s">
        <v>3817</v>
      </c>
      <c r="E202" s="58">
        <v>0</v>
      </c>
      <c r="F202" s="58" t="s">
        <v>3811</v>
      </c>
      <c r="G202" s="58" t="s">
        <v>3812</v>
      </c>
      <c r="H202" s="58" t="s">
        <v>4181</v>
      </c>
      <c r="I202" s="58" t="s">
        <v>4182</v>
      </c>
      <c r="J202" s="58" t="s">
        <v>4193</v>
      </c>
      <c r="K202" s="58" t="s">
        <v>4194</v>
      </c>
    </row>
    <row r="203" spans="1:11" ht="15.6">
      <c r="A203" s="58" t="s">
        <v>20</v>
      </c>
      <c r="B203" s="58" t="s">
        <v>3</v>
      </c>
      <c r="C203" s="58" t="s">
        <v>3746</v>
      </c>
      <c r="D203" s="58" t="s">
        <v>3747</v>
      </c>
      <c r="E203" s="58">
        <v>34</v>
      </c>
      <c r="F203" s="58" t="s">
        <v>3748</v>
      </c>
      <c r="G203" s="58" t="s">
        <v>3749</v>
      </c>
      <c r="H203" s="58" t="s">
        <v>4181</v>
      </c>
      <c r="I203" s="58" t="s">
        <v>4182</v>
      </c>
      <c r="J203" s="58" t="s">
        <v>4195</v>
      </c>
      <c r="K203" s="58" t="s">
        <v>4196</v>
      </c>
    </row>
    <row r="204" spans="1:11" ht="15.6">
      <c r="A204" s="58" t="s">
        <v>20</v>
      </c>
      <c r="B204" s="58" t="s">
        <v>3</v>
      </c>
      <c r="C204" s="58" t="s">
        <v>3746</v>
      </c>
      <c r="D204" s="58" t="s">
        <v>3752</v>
      </c>
      <c r="E204" s="58">
        <v>1</v>
      </c>
      <c r="F204" s="58" t="s">
        <v>3753</v>
      </c>
      <c r="G204" s="58" t="s">
        <v>3749</v>
      </c>
      <c r="H204" s="58" t="s">
        <v>4181</v>
      </c>
      <c r="I204" s="58" t="s">
        <v>4182</v>
      </c>
      <c r="J204" s="58" t="s">
        <v>4197</v>
      </c>
      <c r="K204" s="58" t="s">
        <v>4198</v>
      </c>
    </row>
    <row r="205" spans="1:11" ht="15.6">
      <c r="A205" s="58" t="s">
        <v>20</v>
      </c>
      <c r="B205" s="58" t="s">
        <v>3</v>
      </c>
      <c r="C205" s="58" t="s">
        <v>3746</v>
      </c>
      <c r="D205" s="58" t="s">
        <v>3756</v>
      </c>
      <c r="E205" s="58">
        <v>1</v>
      </c>
      <c r="F205" s="58" t="s">
        <v>3753</v>
      </c>
      <c r="G205" s="58" t="s">
        <v>3749</v>
      </c>
      <c r="H205" s="58" t="s">
        <v>4181</v>
      </c>
      <c r="I205" s="58" t="s">
        <v>4182</v>
      </c>
      <c r="J205" s="58" t="s">
        <v>4199</v>
      </c>
      <c r="K205" s="58" t="s">
        <v>4200</v>
      </c>
    </row>
    <row r="206" spans="1:11" ht="15.6">
      <c r="A206" s="58" t="s">
        <v>20</v>
      </c>
      <c r="B206" s="58" t="s">
        <v>3</v>
      </c>
      <c r="C206" s="58" t="s">
        <v>3746</v>
      </c>
      <c r="D206" s="58" t="s">
        <v>3759</v>
      </c>
      <c r="E206" s="58">
        <v>0</v>
      </c>
      <c r="F206" s="58" t="s">
        <v>3753</v>
      </c>
      <c r="G206" s="58" t="s">
        <v>3760</v>
      </c>
      <c r="H206" s="58" t="s">
        <v>4181</v>
      </c>
      <c r="I206" s="58" t="s">
        <v>4182</v>
      </c>
      <c r="J206" s="58" t="s">
        <v>4201</v>
      </c>
      <c r="K206" s="58" t="s">
        <v>4202</v>
      </c>
    </row>
    <row r="207" spans="1:11" ht="15.6">
      <c r="A207" s="58" t="s">
        <v>20</v>
      </c>
      <c r="B207" s="58" t="s">
        <v>3</v>
      </c>
      <c r="C207" s="58" t="s">
        <v>3746</v>
      </c>
      <c r="D207" s="58" t="s">
        <v>3763</v>
      </c>
      <c r="E207" s="58">
        <v>0</v>
      </c>
      <c r="F207" s="58" t="s">
        <v>3753</v>
      </c>
      <c r="G207" s="58" t="s">
        <v>3749</v>
      </c>
      <c r="H207" s="58" t="s">
        <v>4181</v>
      </c>
      <c r="I207" s="58" t="s">
        <v>4182</v>
      </c>
      <c r="J207" s="58" t="s">
        <v>4203</v>
      </c>
      <c r="K207" s="58" t="s">
        <v>4204</v>
      </c>
    </row>
    <row r="208" spans="1:11" ht="31.2">
      <c r="A208" s="58" t="s">
        <v>20</v>
      </c>
      <c r="B208" s="58" t="s">
        <v>3</v>
      </c>
      <c r="C208" s="58" t="s">
        <v>162</v>
      </c>
      <c r="D208" s="58" t="s">
        <v>3767</v>
      </c>
      <c r="E208" s="58">
        <v>0.9285714285714286</v>
      </c>
      <c r="F208" s="58" t="s">
        <v>3768</v>
      </c>
      <c r="G208" s="58" t="s">
        <v>164</v>
      </c>
      <c r="H208" s="58" t="s">
        <v>4181</v>
      </c>
      <c r="I208" s="58" t="s">
        <v>4182</v>
      </c>
      <c r="J208" s="58" t="s">
        <v>4205</v>
      </c>
      <c r="K208" s="58" t="s">
        <v>4206</v>
      </c>
    </row>
    <row r="209" spans="1:11" ht="31.2">
      <c r="A209" s="58" t="s">
        <v>20</v>
      </c>
      <c r="B209" s="58" t="s">
        <v>3</v>
      </c>
      <c r="C209" s="58" t="s">
        <v>162</v>
      </c>
      <c r="D209" s="58" t="s">
        <v>3772</v>
      </c>
      <c r="E209" s="58">
        <v>0.94240837696335078</v>
      </c>
      <c r="F209" s="58" t="s">
        <v>3768</v>
      </c>
      <c r="G209" s="58" t="s">
        <v>164</v>
      </c>
      <c r="H209" s="58" t="s">
        <v>4181</v>
      </c>
      <c r="I209" s="58" t="s">
        <v>4182</v>
      </c>
      <c r="J209" s="58" t="s">
        <v>4207</v>
      </c>
      <c r="K209" s="58" t="s">
        <v>4208</v>
      </c>
    </row>
    <row r="210" spans="1:11" ht="31.2">
      <c r="A210" s="58" t="s">
        <v>20</v>
      </c>
      <c r="B210" s="58" t="s">
        <v>3</v>
      </c>
      <c r="C210" s="58" t="s">
        <v>3766</v>
      </c>
      <c r="D210" s="58" t="s">
        <v>3775</v>
      </c>
      <c r="E210" s="58">
        <v>1</v>
      </c>
      <c r="F210" s="58" t="s">
        <v>3768</v>
      </c>
      <c r="G210" s="58" t="s">
        <v>3769</v>
      </c>
      <c r="H210" s="58" t="s">
        <v>4181</v>
      </c>
      <c r="I210" s="58" t="s">
        <v>4182</v>
      </c>
      <c r="J210" s="58" t="s">
        <v>4209</v>
      </c>
      <c r="K210" s="58" t="s">
        <v>4210</v>
      </c>
    </row>
    <row r="211" spans="1:11" ht="15.6">
      <c r="A211" s="58" t="s">
        <v>20</v>
      </c>
      <c r="B211" s="58" t="s">
        <v>3</v>
      </c>
      <c r="C211" s="58" t="s">
        <v>3766</v>
      </c>
      <c r="D211" s="58" t="s">
        <v>3778</v>
      </c>
      <c r="E211" s="58">
        <v>14</v>
      </c>
      <c r="F211" s="58" t="s">
        <v>3779</v>
      </c>
      <c r="G211" s="58" t="s">
        <v>3769</v>
      </c>
      <c r="H211" s="58" t="s">
        <v>4181</v>
      </c>
      <c r="I211" s="58" t="s">
        <v>4182</v>
      </c>
      <c r="J211" s="58" t="s">
        <v>4211</v>
      </c>
      <c r="K211" s="58" t="s">
        <v>4212</v>
      </c>
    </row>
    <row r="212" spans="1:11" ht="31.2">
      <c r="A212" s="58" t="s">
        <v>20</v>
      </c>
      <c r="B212" s="58" t="s">
        <v>3</v>
      </c>
      <c r="C212" s="58" t="s">
        <v>3766</v>
      </c>
      <c r="D212" s="58" t="s">
        <v>3782</v>
      </c>
      <c r="E212" s="58">
        <v>1</v>
      </c>
      <c r="F212" s="58" t="s">
        <v>3768</v>
      </c>
      <c r="G212" s="58" t="s">
        <v>3769</v>
      </c>
      <c r="H212" s="58" t="s">
        <v>4181</v>
      </c>
      <c r="I212" s="58" t="s">
        <v>4182</v>
      </c>
      <c r="J212" s="58" t="s">
        <v>4213</v>
      </c>
      <c r="K212" s="58" t="s">
        <v>4214</v>
      </c>
    </row>
    <row r="213" spans="1:11" ht="15.6">
      <c r="A213" s="58" t="s">
        <v>20</v>
      </c>
      <c r="B213" s="58" t="s">
        <v>3</v>
      </c>
      <c r="C213" s="58" t="s">
        <v>3766</v>
      </c>
      <c r="D213" s="58" t="s">
        <v>3785</v>
      </c>
      <c r="E213" s="58">
        <v>13</v>
      </c>
      <c r="F213" s="58" t="s">
        <v>3779</v>
      </c>
      <c r="G213" s="58" t="s">
        <v>3769</v>
      </c>
      <c r="H213" s="58" t="s">
        <v>4181</v>
      </c>
      <c r="I213" s="58" t="s">
        <v>4182</v>
      </c>
      <c r="J213" s="58" t="s">
        <v>4215</v>
      </c>
      <c r="K213" s="58" t="s">
        <v>4216</v>
      </c>
    </row>
    <row r="214" spans="1:11" ht="15.6">
      <c r="A214" s="58" t="s">
        <v>20</v>
      </c>
      <c r="B214" s="58" t="s">
        <v>3</v>
      </c>
      <c r="C214" s="58" t="s">
        <v>3766</v>
      </c>
      <c r="D214" s="58" t="s">
        <v>3788</v>
      </c>
      <c r="E214" s="58">
        <v>13</v>
      </c>
      <c r="F214" s="58" t="s">
        <v>3779</v>
      </c>
      <c r="G214" s="58" t="s">
        <v>3769</v>
      </c>
      <c r="H214" s="58" t="s">
        <v>4181</v>
      </c>
      <c r="I214" s="58" t="s">
        <v>4182</v>
      </c>
      <c r="J214" s="58" t="s">
        <v>4217</v>
      </c>
      <c r="K214" s="58" t="s">
        <v>4218</v>
      </c>
    </row>
    <row r="215" spans="1:11" ht="15.6">
      <c r="A215" s="58" t="s">
        <v>20</v>
      </c>
      <c r="B215" s="58" t="s">
        <v>3</v>
      </c>
      <c r="C215" s="58" t="s">
        <v>3791</v>
      </c>
      <c r="D215" s="58" t="s">
        <v>3792</v>
      </c>
      <c r="E215" s="58">
        <v>22</v>
      </c>
      <c r="F215" s="58" t="s">
        <v>3779</v>
      </c>
      <c r="G215" s="58" t="s">
        <v>3793</v>
      </c>
      <c r="H215" s="58" t="s">
        <v>4181</v>
      </c>
      <c r="I215" s="58" t="s">
        <v>4182</v>
      </c>
      <c r="J215" s="58" t="s">
        <v>4219</v>
      </c>
      <c r="K215" s="58" t="s">
        <v>4220</v>
      </c>
    </row>
    <row r="216" spans="1:11" ht="15.6">
      <c r="A216" s="58" t="s">
        <v>20</v>
      </c>
      <c r="B216" s="58" t="s">
        <v>3</v>
      </c>
      <c r="C216" s="58" t="s">
        <v>3791</v>
      </c>
      <c r="D216" s="58" t="s">
        <v>3796</v>
      </c>
      <c r="E216" s="58">
        <v>171.33958999999999</v>
      </c>
      <c r="F216" s="58" t="s">
        <v>3797</v>
      </c>
      <c r="G216" s="58" t="s">
        <v>3793</v>
      </c>
      <c r="H216" s="58" t="s">
        <v>4181</v>
      </c>
      <c r="I216" s="58" t="s">
        <v>4182</v>
      </c>
      <c r="J216" s="58" t="s">
        <v>4221</v>
      </c>
      <c r="K216" s="58" t="s">
        <v>4222</v>
      </c>
    </row>
    <row r="217" spans="1:11" ht="15.6">
      <c r="A217" s="58" t="s">
        <v>20</v>
      </c>
      <c r="B217" s="58" t="s">
        <v>3</v>
      </c>
      <c r="C217" s="58" t="s">
        <v>3791</v>
      </c>
      <c r="D217" s="58" t="s">
        <v>3800</v>
      </c>
      <c r="E217" s="58">
        <v>22</v>
      </c>
      <c r="F217" s="58" t="s">
        <v>3779</v>
      </c>
      <c r="G217" s="58" t="s">
        <v>3793</v>
      </c>
      <c r="H217" s="58" t="s">
        <v>4181</v>
      </c>
      <c r="I217" s="58" t="s">
        <v>4182</v>
      </c>
      <c r="J217" s="58" t="s">
        <v>4223</v>
      </c>
      <c r="K217" s="58" t="s">
        <v>4224</v>
      </c>
    </row>
    <row r="218" spans="1:11" ht="15.6">
      <c r="A218" s="58" t="s">
        <v>20</v>
      </c>
      <c r="B218" s="58" t="s">
        <v>3</v>
      </c>
      <c r="C218" s="58" t="s">
        <v>3791</v>
      </c>
      <c r="D218" s="58" t="s">
        <v>3803</v>
      </c>
      <c r="E218" s="58">
        <v>0</v>
      </c>
      <c r="F218" s="58" t="s">
        <v>3779</v>
      </c>
      <c r="G218" s="58" t="s">
        <v>3793</v>
      </c>
      <c r="H218" s="58" t="s">
        <v>4181</v>
      </c>
      <c r="I218" s="58" t="s">
        <v>4182</v>
      </c>
      <c r="J218" s="58" t="s">
        <v>4225</v>
      </c>
      <c r="K218" s="58" t="s">
        <v>4226</v>
      </c>
    </row>
    <row r="219" spans="1:11" ht="15.6">
      <c r="A219" s="58" t="s">
        <v>20</v>
      </c>
      <c r="B219" s="58" t="s">
        <v>3</v>
      </c>
      <c r="C219" s="58" t="s">
        <v>3791</v>
      </c>
      <c r="D219" s="58" t="s">
        <v>3806</v>
      </c>
      <c r="E219" s="58">
        <v>0</v>
      </c>
      <c r="F219" s="58" t="s">
        <v>3753</v>
      </c>
      <c r="G219" s="58" t="s">
        <v>3793</v>
      </c>
      <c r="H219" s="58" t="s">
        <v>4181</v>
      </c>
      <c r="I219" s="58" t="s">
        <v>4182</v>
      </c>
      <c r="J219" s="58" t="s">
        <v>4227</v>
      </c>
      <c r="K219" s="58" t="s">
        <v>4228</v>
      </c>
    </row>
    <row r="220" spans="1:11" ht="15.6">
      <c r="A220" s="58" t="s">
        <v>76</v>
      </c>
      <c r="B220" s="58" t="s">
        <v>3</v>
      </c>
      <c r="C220" s="58" t="s">
        <v>3852</v>
      </c>
      <c r="D220" s="58" t="s">
        <v>3853</v>
      </c>
      <c r="E220" s="58">
        <v>3195</v>
      </c>
      <c r="F220" s="58" t="s">
        <v>3854</v>
      </c>
      <c r="G220" s="58" t="s">
        <v>3855</v>
      </c>
      <c r="H220" s="58" t="s">
        <v>4229</v>
      </c>
      <c r="I220" s="58" t="s">
        <v>4230</v>
      </c>
      <c r="J220" s="58" t="s">
        <v>4231</v>
      </c>
      <c r="K220" s="58" t="s">
        <v>4232</v>
      </c>
    </row>
    <row r="221" spans="1:11" ht="15.6">
      <c r="A221" s="58" t="s">
        <v>76</v>
      </c>
      <c r="B221" s="58" t="s">
        <v>3</v>
      </c>
      <c r="C221" s="58" t="s">
        <v>3852</v>
      </c>
      <c r="D221" s="58" t="s">
        <v>3860</v>
      </c>
      <c r="E221" s="58">
        <v>176495</v>
      </c>
      <c r="F221" s="58" t="s">
        <v>3854</v>
      </c>
      <c r="G221" s="58" t="s">
        <v>3855</v>
      </c>
      <c r="H221" s="58" t="s">
        <v>4229</v>
      </c>
      <c r="I221" s="58" t="s">
        <v>4230</v>
      </c>
      <c r="J221" s="58" t="s">
        <v>4233</v>
      </c>
      <c r="K221" s="58" t="s">
        <v>4234</v>
      </c>
    </row>
    <row r="222" spans="1:11" ht="15.6">
      <c r="A222" s="58" t="s">
        <v>76</v>
      </c>
      <c r="B222" s="58" t="s">
        <v>3</v>
      </c>
      <c r="C222" s="58" t="s">
        <v>3852</v>
      </c>
      <c r="D222" s="58" t="s">
        <v>3863</v>
      </c>
      <c r="E222" s="58">
        <v>8007784</v>
      </c>
      <c r="F222" s="58" t="s">
        <v>3854</v>
      </c>
      <c r="G222" s="58" t="s">
        <v>3855</v>
      </c>
      <c r="H222" s="58" t="s">
        <v>4229</v>
      </c>
      <c r="I222" s="58" t="s">
        <v>4230</v>
      </c>
      <c r="J222" s="58" t="s">
        <v>4235</v>
      </c>
      <c r="K222" s="58" t="s">
        <v>4236</v>
      </c>
    </row>
    <row r="223" spans="1:11" ht="15.6">
      <c r="A223" s="58" t="s">
        <v>76</v>
      </c>
      <c r="B223" s="58" t="s">
        <v>3</v>
      </c>
      <c r="C223" s="58" t="s">
        <v>3852</v>
      </c>
      <c r="D223" s="58" t="s">
        <v>3866</v>
      </c>
      <c r="E223" s="58">
        <v>100976</v>
      </c>
      <c r="F223" s="58" t="s">
        <v>3854</v>
      </c>
      <c r="G223" s="58" t="s">
        <v>3855</v>
      </c>
      <c r="H223" s="58" t="s">
        <v>4229</v>
      </c>
      <c r="I223" s="58" t="s">
        <v>4230</v>
      </c>
      <c r="J223" s="58" t="s">
        <v>4237</v>
      </c>
      <c r="K223" s="58" t="s">
        <v>4238</v>
      </c>
    </row>
    <row r="224" spans="1:11" ht="15.6">
      <c r="A224" s="58" t="s">
        <v>76</v>
      </c>
      <c r="B224" s="58" t="s">
        <v>3</v>
      </c>
      <c r="C224" s="58" t="s">
        <v>3809</v>
      </c>
      <c r="D224" s="58" t="s">
        <v>3810</v>
      </c>
      <c r="E224" s="58">
        <v>0</v>
      </c>
      <c r="F224" s="58" t="s">
        <v>3811</v>
      </c>
      <c r="G224" s="58" t="s">
        <v>3812</v>
      </c>
      <c r="H224" s="58" t="s">
        <v>4229</v>
      </c>
      <c r="I224" s="58" t="s">
        <v>4230</v>
      </c>
      <c r="J224" s="58" t="s">
        <v>4239</v>
      </c>
      <c r="K224" s="58" t="s">
        <v>4240</v>
      </c>
    </row>
    <row r="225" spans="1:11" ht="15.6">
      <c r="A225" s="58" t="s">
        <v>76</v>
      </c>
      <c r="B225" s="58" t="s">
        <v>3</v>
      </c>
      <c r="C225" s="58" t="s">
        <v>3809</v>
      </c>
      <c r="D225" s="58" t="s">
        <v>3817</v>
      </c>
      <c r="E225" s="58">
        <v>2</v>
      </c>
      <c r="F225" s="58" t="s">
        <v>3811</v>
      </c>
      <c r="G225" s="58" t="s">
        <v>3812</v>
      </c>
      <c r="H225" s="58" t="s">
        <v>4229</v>
      </c>
      <c r="I225" s="58" t="s">
        <v>4230</v>
      </c>
      <c r="J225" s="58" t="s">
        <v>4241</v>
      </c>
      <c r="K225" s="58" t="s">
        <v>4242</v>
      </c>
    </row>
    <row r="226" spans="1:11" ht="15.6">
      <c r="A226" s="58" t="s">
        <v>76</v>
      </c>
      <c r="B226" s="58" t="s">
        <v>3</v>
      </c>
      <c r="C226" s="58" t="s">
        <v>3746</v>
      </c>
      <c r="D226" s="58" t="s">
        <v>3747</v>
      </c>
      <c r="E226" s="58">
        <v>34</v>
      </c>
      <c r="F226" s="58" t="s">
        <v>3748</v>
      </c>
      <c r="G226" s="58" t="s">
        <v>3749</v>
      </c>
      <c r="H226" s="58" t="s">
        <v>4229</v>
      </c>
      <c r="I226" s="58" t="s">
        <v>4230</v>
      </c>
      <c r="J226" s="58" t="s">
        <v>4243</v>
      </c>
      <c r="K226" s="58" t="s">
        <v>4244</v>
      </c>
    </row>
    <row r="227" spans="1:11" ht="15.6">
      <c r="A227" s="58" t="s">
        <v>76</v>
      </c>
      <c r="B227" s="58" t="s">
        <v>3</v>
      </c>
      <c r="C227" s="58" t="s">
        <v>3746</v>
      </c>
      <c r="D227" s="58" t="s">
        <v>3752</v>
      </c>
      <c r="E227" s="58">
        <v>1</v>
      </c>
      <c r="F227" s="58" t="s">
        <v>3753</v>
      </c>
      <c r="G227" s="58" t="s">
        <v>3749</v>
      </c>
      <c r="H227" s="58" t="s">
        <v>4229</v>
      </c>
      <c r="I227" s="58" t="s">
        <v>4230</v>
      </c>
      <c r="J227" s="58" t="s">
        <v>4245</v>
      </c>
      <c r="K227" s="58" t="s">
        <v>4246</v>
      </c>
    </row>
    <row r="228" spans="1:11" ht="15.6">
      <c r="A228" s="58" t="s">
        <v>76</v>
      </c>
      <c r="B228" s="58" t="s">
        <v>3</v>
      </c>
      <c r="C228" s="58" t="s">
        <v>3746</v>
      </c>
      <c r="D228" s="58" t="s">
        <v>3756</v>
      </c>
      <c r="E228" s="58">
        <v>1</v>
      </c>
      <c r="F228" s="58" t="s">
        <v>3753</v>
      </c>
      <c r="G228" s="58" t="s">
        <v>3749</v>
      </c>
      <c r="H228" s="58" t="s">
        <v>4229</v>
      </c>
      <c r="I228" s="58" t="s">
        <v>4230</v>
      </c>
      <c r="J228" s="58" t="s">
        <v>4247</v>
      </c>
      <c r="K228" s="58" t="s">
        <v>4248</v>
      </c>
    </row>
    <row r="229" spans="1:11" ht="15.6">
      <c r="A229" s="58" t="s">
        <v>76</v>
      </c>
      <c r="B229" s="58" t="s">
        <v>3</v>
      </c>
      <c r="C229" s="58" t="s">
        <v>3746</v>
      </c>
      <c r="D229" s="58" t="s">
        <v>3759</v>
      </c>
      <c r="E229" s="58">
        <v>0</v>
      </c>
      <c r="F229" s="58" t="s">
        <v>3753</v>
      </c>
      <c r="G229" s="58" t="s">
        <v>3760</v>
      </c>
      <c r="H229" s="58" t="s">
        <v>4229</v>
      </c>
      <c r="I229" s="58" t="s">
        <v>4230</v>
      </c>
      <c r="J229" s="58" t="s">
        <v>4249</v>
      </c>
      <c r="K229" s="58" t="s">
        <v>4250</v>
      </c>
    </row>
    <row r="230" spans="1:11" ht="15.6">
      <c r="A230" s="58" t="s">
        <v>76</v>
      </c>
      <c r="B230" s="58" t="s">
        <v>3</v>
      </c>
      <c r="C230" s="58" t="s">
        <v>3746</v>
      </c>
      <c r="D230" s="58" t="s">
        <v>3763</v>
      </c>
      <c r="E230" s="58">
        <v>0</v>
      </c>
      <c r="F230" s="58" t="s">
        <v>3753</v>
      </c>
      <c r="G230" s="58" t="s">
        <v>3749</v>
      </c>
      <c r="H230" s="58" t="s">
        <v>4229</v>
      </c>
      <c r="I230" s="58" t="s">
        <v>4230</v>
      </c>
      <c r="J230" s="58" t="s">
        <v>4251</v>
      </c>
      <c r="K230" s="58" t="s">
        <v>4252</v>
      </c>
    </row>
    <row r="231" spans="1:11" ht="31.2">
      <c r="A231" s="58" t="s">
        <v>76</v>
      </c>
      <c r="B231" s="58" t="s">
        <v>3</v>
      </c>
      <c r="C231" s="58" t="s">
        <v>3766</v>
      </c>
      <c r="D231" s="58" t="s">
        <v>3767</v>
      </c>
      <c r="E231" s="58">
        <v>0</v>
      </c>
      <c r="F231" s="58" t="s">
        <v>3768</v>
      </c>
      <c r="G231" s="58" t="s">
        <v>3769</v>
      </c>
      <c r="H231" s="58" t="s">
        <v>4229</v>
      </c>
      <c r="I231" s="58" t="s">
        <v>4230</v>
      </c>
      <c r="J231" s="58" t="s">
        <v>4253</v>
      </c>
      <c r="K231" s="58" t="s">
        <v>4254</v>
      </c>
    </row>
    <row r="232" spans="1:11" ht="31.2">
      <c r="A232" s="58" t="s">
        <v>76</v>
      </c>
      <c r="B232" s="58" t="s">
        <v>3</v>
      </c>
      <c r="C232" s="58" t="s">
        <v>3766</v>
      </c>
      <c r="D232" s="58" t="s">
        <v>3772</v>
      </c>
      <c r="E232" s="58">
        <v>0</v>
      </c>
      <c r="F232" s="58" t="s">
        <v>3768</v>
      </c>
      <c r="G232" s="58" t="s">
        <v>3769</v>
      </c>
      <c r="H232" s="58" t="s">
        <v>4229</v>
      </c>
      <c r="I232" s="58" t="s">
        <v>4230</v>
      </c>
      <c r="J232" s="58" t="s">
        <v>4255</v>
      </c>
      <c r="K232" s="58" t="s">
        <v>4256</v>
      </c>
    </row>
    <row r="233" spans="1:11" ht="31.2">
      <c r="A233" s="58" t="s">
        <v>76</v>
      </c>
      <c r="B233" s="58" t="s">
        <v>3</v>
      </c>
      <c r="C233" s="58" t="s">
        <v>3766</v>
      </c>
      <c r="D233" s="58" t="s">
        <v>3775</v>
      </c>
      <c r="E233" s="58">
        <v>1</v>
      </c>
      <c r="F233" s="58" t="s">
        <v>3768</v>
      </c>
      <c r="G233" s="58" t="s">
        <v>3769</v>
      </c>
      <c r="H233" s="58" t="s">
        <v>4229</v>
      </c>
      <c r="I233" s="58" t="s">
        <v>4230</v>
      </c>
      <c r="J233" s="58" t="s">
        <v>4257</v>
      </c>
      <c r="K233" s="58" t="s">
        <v>4258</v>
      </c>
    </row>
    <row r="234" spans="1:11" ht="15.6">
      <c r="A234" s="58" t="s">
        <v>76</v>
      </c>
      <c r="B234" s="58" t="s">
        <v>3</v>
      </c>
      <c r="C234" s="58" t="s">
        <v>3766</v>
      </c>
      <c r="D234" s="58" t="s">
        <v>3778</v>
      </c>
      <c r="E234" s="58">
        <v>62</v>
      </c>
      <c r="F234" s="58" t="s">
        <v>3779</v>
      </c>
      <c r="G234" s="58" t="s">
        <v>3769</v>
      </c>
      <c r="H234" s="58" t="s">
        <v>4229</v>
      </c>
      <c r="I234" s="58" t="s">
        <v>4230</v>
      </c>
      <c r="J234" s="58" t="s">
        <v>4259</v>
      </c>
      <c r="K234" s="58" t="s">
        <v>4260</v>
      </c>
    </row>
    <row r="235" spans="1:11" ht="25.95" customHeight="1">
      <c r="A235" s="58" t="s">
        <v>16</v>
      </c>
      <c r="B235" s="58" t="s">
        <v>3</v>
      </c>
      <c r="C235" s="58" t="s">
        <v>3766</v>
      </c>
      <c r="D235" s="58" t="s">
        <v>3782</v>
      </c>
      <c r="E235" s="58">
        <v>1</v>
      </c>
      <c r="F235" s="58" t="s">
        <v>3768</v>
      </c>
      <c r="G235" s="58" t="s">
        <v>3769</v>
      </c>
      <c r="H235" s="58" t="s">
        <v>4229</v>
      </c>
      <c r="I235" s="58" t="s">
        <v>4230</v>
      </c>
      <c r="J235" s="58" t="s">
        <v>4261</v>
      </c>
      <c r="K235" s="58" t="s">
        <v>4262</v>
      </c>
    </row>
    <row r="236" spans="1:11" ht="25.95" customHeight="1">
      <c r="A236" s="58" t="s">
        <v>16</v>
      </c>
      <c r="B236" s="58" t="s">
        <v>3</v>
      </c>
      <c r="C236" s="58" t="s">
        <v>3766</v>
      </c>
      <c r="D236" s="58" t="s">
        <v>3785</v>
      </c>
      <c r="E236" s="58">
        <v>0</v>
      </c>
      <c r="F236" s="58" t="s">
        <v>3779</v>
      </c>
      <c r="G236" s="58" t="s">
        <v>3769</v>
      </c>
      <c r="H236" s="58" t="s">
        <v>4229</v>
      </c>
      <c r="I236" s="58" t="s">
        <v>4230</v>
      </c>
      <c r="J236" s="58" t="s">
        <v>4263</v>
      </c>
      <c r="K236" s="58" t="s">
        <v>4264</v>
      </c>
    </row>
    <row r="237" spans="1:11" ht="25.95" customHeight="1">
      <c r="A237" s="58" t="s">
        <v>16</v>
      </c>
      <c r="B237" s="58" t="s">
        <v>3</v>
      </c>
      <c r="C237" s="58" t="s">
        <v>3766</v>
      </c>
      <c r="D237" s="58" t="s">
        <v>3788</v>
      </c>
      <c r="E237" s="58">
        <v>0</v>
      </c>
      <c r="F237" s="58" t="s">
        <v>3779</v>
      </c>
      <c r="G237" s="58" t="s">
        <v>3769</v>
      </c>
      <c r="H237" s="58" t="s">
        <v>4229</v>
      </c>
      <c r="I237" s="58" t="s">
        <v>4230</v>
      </c>
      <c r="J237" s="58" t="s">
        <v>4265</v>
      </c>
      <c r="K237" s="58" t="s">
        <v>4266</v>
      </c>
    </row>
    <row r="238" spans="1:11" ht="25.95" customHeight="1">
      <c r="A238" s="58" t="s">
        <v>16</v>
      </c>
      <c r="B238" s="58" t="s">
        <v>3</v>
      </c>
      <c r="C238" s="58" t="s">
        <v>3791</v>
      </c>
      <c r="D238" s="58" t="s">
        <v>3792</v>
      </c>
      <c r="E238" s="58">
        <v>86</v>
      </c>
      <c r="F238" s="58" t="s">
        <v>3779</v>
      </c>
      <c r="G238" s="58" t="s">
        <v>3793</v>
      </c>
      <c r="H238" s="58" t="s">
        <v>4229</v>
      </c>
      <c r="I238" s="58" t="s">
        <v>4230</v>
      </c>
      <c r="J238" s="58" t="s">
        <v>4267</v>
      </c>
      <c r="K238" s="58" t="s">
        <v>4268</v>
      </c>
    </row>
    <row r="239" spans="1:11" ht="25.95" customHeight="1">
      <c r="A239" s="58" t="s">
        <v>16</v>
      </c>
      <c r="B239" s="58" t="s">
        <v>3</v>
      </c>
      <c r="C239" s="58" t="s">
        <v>3791</v>
      </c>
      <c r="D239" s="58" t="s">
        <v>3796</v>
      </c>
      <c r="E239" s="58">
        <v>3617.1362490000001</v>
      </c>
      <c r="F239" s="58" t="s">
        <v>3797</v>
      </c>
      <c r="G239" s="58" t="s">
        <v>3793</v>
      </c>
      <c r="H239" s="58" t="s">
        <v>4229</v>
      </c>
      <c r="I239" s="58" t="s">
        <v>4230</v>
      </c>
      <c r="J239" s="58" t="s">
        <v>4269</v>
      </c>
      <c r="K239" s="58" t="s">
        <v>4270</v>
      </c>
    </row>
    <row r="240" spans="1:11" ht="25.95" customHeight="1">
      <c r="A240" s="58" t="s">
        <v>16</v>
      </c>
      <c r="B240" s="58" t="s">
        <v>3</v>
      </c>
      <c r="C240" s="58" t="s">
        <v>3791</v>
      </c>
      <c r="D240" s="58" t="s">
        <v>3800</v>
      </c>
      <c r="E240" s="58">
        <v>86</v>
      </c>
      <c r="F240" s="58" t="s">
        <v>3779</v>
      </c>
      <c r="G240" s="58" t="s">
        <v>3793</v>
      </c>
      <c r="H240" s="58" t="s">
        <v>4229</v>
      </c>
      <c r="I240" s="58" t="s">
        <v>4230</v>
      </c>
      <c r="J240" s="58" t="s">
        <v>4271</v>
      </c>
      <c r="K240" s="58" t="s">
        <v>4272</v>
      </c>
    </row>
    <row r="241" spans="1:11" ht="25.95" customHeight="1">
      <c r="A241" s="58" t="s">
        <v>16</v>
      </c>
      <c r="B241" s="58" t="s">
        <v>3</v>
      </c>
      <c r="C241" s="58" t="s">
        <v>3791</v>
      </c>
      <c r="D241" s="58" t="s">
        <v>3803</v>
      </c>
      <c r="E241" s="58">
        <v>0</v>
      </c>
      <c r="F241" s="58" t="s">
        <v>3779</v>
      </c>
      <c r="G241" s="58" t="s">
        <v>3793</v>
      </c>
      <c r="H241" s="58" t="s">
        <v>4229</v>
      </c>
      <c r="I241" s="58" t="s">
        <v>4230</v>
      </c>
      <c r="J241" s="58" t="s">
        <v>4273</v>
      </c>
      <c r="K241" s="58" t="s">
        <v>4274</v>
      </c>
    </row>
    <row r="242" spans="1:11" ht="25.95" customHeight="1">
      <c r="A242" s="58" t="s">
        <v>16</v>
      </c>
      <c r="B242" s="58" t="s">
        <v>3</v>
      </c>
      <c r="C242" s="58" t="s">
        <v>3791</v>
      </c>
      <c r="D242" s="58" t="s">
        <v>3806</v>
      </c>
      <c r="E242" s="58">
        <v>0</v>
      </c>
      <c r="F242" s="58" t="s">
        <v>3753</v>
      </c>
      <c r="G242" s="58" t="s">
        <v>3793</v>
      </c>
      <c r="H242" s="58" t="s">
        <v>4229</v>
      </c>
      <c r="I242" s="58" t="s">
        <v>4230</v>
      </c>
      <c r="J242" s="58" t="s">
        <v>4275</v>
      </c>
      <c r="K242" s="58" t="s">
        <v>4276</v>
      </c>
    </row>
    <row r="243" spans="1:11" ht="25.95" customHeight="1">
      <c r="A243" s="58" t="s">
        <v>17</v>
      </c>
      <c r="B243" s="58" t="s">
        <v>3</v>
      </c>
      <c r="C243" s="58" t="s">
        <v>3809</v>
      </c>
      <c r="D243" s="58" t="s">
        <v>3810</v>
      </c>
      <c r="E243" s="58">
        <v>0</v>
      </c>
      <c r="F243" s="58" t="s">
        <v>3811</v>
      </c>
      <c r="G243" s="58" t="s">
        <v>3812</v>
      </c>
      <c r="H243" s="58" t="s">
        <v>4277</v>
      </c>
      <c r="I243" s="58" t="s">
        <v>4278</v>
      </c>
      <c r="J243" s="58" t="s">
        <v>4279</v>
      </c>
      <c r="K243" s="58" t="s">
        <v>4280</v>
      </c>
    </row>
    <row r="244" spans="1:11" ht="25.95" customHeight="1">
      <c r="A244" s="58" t="s">
        <v>17</v>
      </c>
      <c r="B244" s="58" t="s">
        <v>3</v>
      </c>
      <c r="C244" s="58" t="s">
        <v>3809</v>
      </c>
      <c r="D244" s="58" t="s">
        <v>3817</v>
      </c>
      <c r="E244" s="58">
        <v>5</v>
      </c>
      <c r="F244" s="58" t="s">
        <v>3811</v>
      </c>
      <c r="G244" s="58" t="s">
        <v>3812</v>
      </c>
      <c r="H244" s="58" t="s">
        <v>4277</v>
      </c>
      <c r="I244" s="58" t="s">
        <v>4278</v>
      </c>
      <c r="J244" s="58" t="s">
        <v>4281</v>
      </c>
      <c r="K244" s="58" t="s">
        <v>4282</v>
      </c>
    </row>
    <row r="245" spans="1:11" ht="25.95" customHeight="1">
      <c r="A245" s="58" t="s">
        <v>17</v>
      </c>
      <c r="B245" s="58" t="s">
        <v>3</v>
      </c>
      <c r="C245" s="58" t="s">
        <v>3746</v>
      </c>
      <c r="D245" s="58" t="s">
        <v>3747</v>
      </c>
      <c r="E245" s="58">
        <v>1572</v>
      </c>
      <c r="F245" s="58" t="s">
        <v>3748</v>
      </c>
      <c r="G245" s="58" t="s">
        <v>3749</v>
      </c>
      <c r="H245" s="58" t="s">
        <v>4277</v>
      </c>
      <c r="I245" s="58" t="s">
        <v>4278</v>
      </c>
      <c r="J245" s="58" t="s">
        <v>4283</v>
      </c>
      <c r="K245" s="58" t="s">
        <v>4284</v>
      </c>
    </row>
    <row r="246" spans="1:11" ht="25.95" customHeight="1">
      <c r="A246" s="58" t="s">
        <v>17</v>
      </c>
      <c r="B246" s="58" t="s">
        <v>3</v>
      </c>
      <c r="C246" s="58" t="s">
        <v>159</v>
      </c>
      <c r="D246" s="58" t="s">
        <v>3752</v>
      </c>
      <c r="E246" s="58">
        <v>0</v>
      </c>
      <c r="F246" s="58" t="s">
        <v>3753</v>
      </c>
      <c r="G246" s="58" t="s">
        <v>160</v>
      </c>
      <c r="H246" s="58" t="s">
        <v>4277</v>
      </c>
      <c r="I246" s="58" t="s">
        <v>4278</v>
      </c>
      <c r="J246" s="58" t="s">
        <v>4285</v>
      </c>
      <c r="K246" s="58" t="s">
        <v>4286</v>
      </c>
    </row>
    <row r="247" spans="1:11" ht="25.95" customHeight="1">
      <c r="A247" s="58" t="s">
        <v>17</v>
      </c>
      <c r="B247" s="58" t="s">
        <v>3</v>
      </c>
      <c r="C247" s="58" t="s">
        <v>159</v>
      </c>
      <c r="D247" s="58" t="s">
        <v>3756</v>
      </c>
      <c r="E247" s="58">
        <v>1</v>
      </c>
      <c r="F247" s="58" t="s">
        <v>161</v>
      </c>
      <c r="G247" s="58" t="s">
        <v>160</v>
      </c>
      <c r="H247" s="58" t="s">
        <v>4277</v>
      </c>
      <c r="I247" s="58" t="s">
        <v>4278</v>
      </c>
      <c r="J247" s="58" t="s">
        <v>4287</v>
      </c>
      <c r="K247" s="58" t="s">
        <v>4288</v>
      </c>
    </row>
    <row r="248" spans="1:11" ht="25.95" customHeight="1">
      <c r="A248" s="58" t="s">
        <v>17</v>
      </c>
      <c r="B248" s="58" t="s">
        <v>3</v>
      </c>
      <c r="C248" s="58" t="s">
        <v>159</v>
      </c>
      <c r="D248" s="58" t="s">
        <v>3759</v>
      </c>
      <c r="E248" s="58">
        <v>0</v>
      </c>
      <c r="F248" s="58" t="s">
        <v>161</v>
      </c>
      <c r="G248" s="58" t="s">
        <v>3760</v>
      </c>
      <c r="H248" s="58" t="s">
        <v>4277</v>
      </c>
      <c r="I248" s="58" t="s">
        <v>4278</v>
      </c>
      <c r="J248" s="58" t="s">
        <v>4289</v>
      </c>
      <c r="K248" s="58" t="s">
        <v>4290</v>
      </c>
    </row>
    <row r="249" spans="1:11" ht="25.95" customHeight="1">
      <c r="A249" s="58" t="s">
        <v>17</v>
      </c>
      <c r="B249" s="58" t="s">
        <v>3</v>
      </c>
      <c r="C249" s="58" t="s">
        <v>159</v>
      </c>
      <c r="D249" s="58" t="s">
        <v>3763</v>
      </c>
      <c r="E249" s="58">
        <v>1</v>
      </c>
      <c r="F249" s="58" t="s">
        <v>161</v>
      </c>
      <c r="G249" s="58" t="s">
        <v>3749</v>
      </c>
      <c r="H249" s="58" t="s">
        <v>4277</v>
      </c>
      <c r="I249" s="58" t="s">
        <v>4278</v>
      </c>
      <c r="J249" s="58" t="s">
        <v>4291</v>
      </c>
      <c r="K249" s="58" t="s">
        <v>4292</v>
      </c>
    </row>
    <row r="250" spans="1:11" ht="25.95" customHeight="1">
      <c r="A250" s="58" t="s">
        <v>17</v>
      </c>
      <c r="B250" s="58" t="s">
        <v>3</v>
      </c>
      <c r="C250" s="58" t="s">
        <v>3766</v>
      </c>
      <c r="D250" s="58" t="s">
        <v>3767</v>
      </c>
      <c r="E250" s="58">
        <v>0</v>
      </c>
      <c r="F250" s="58" t="s">
        <v>3768</v>
      </c>
      <c r="G250" s="58" t="s">
        <v>3769</v>
      </c>
      <c r="H250" s="58" t="s">
        <v>4277</v>
      </c>
      <c r="I250" s="58" t="s">
        <v>4278</v>
      </c>
      <c r="J250" s="58" t="s">
        <v>4293</v>
      </c>
      <c r="K250" s="58" t="s">
        <v>4294</v>
      </c>
    </row>
    <row r="251" spans="1:11" ht="31.2">
      <c r="A251" s="58" t="s">
        <v>17</v>
      </c>
      <c r="B251" s="58" t="s">
        <v>3</v>
      </c>
      <c r="C251" s="58" t="s">
        <v>162</v>
      </c>
      <c r="D251" s="58" t="s">
        <v>3775</v>
      </c>
      <c r="E251" s="58">
        <v>1</v>
      </c>
      <c r="F251" s="58" t="s">
        <v>163</v>
      </c>
      <c r="G251" s="58" t="s">
        <v>164</v>
      </c>
      <c r="H251" s="58" t="s">
        <v>4277</v>
      </c>
      <c r="I251" s="58" t="s">
        <v>4278</v>
      </c>
      <c r="J251" s="58" t="s">
        <v>4295</v>
      </c>
      <c r="K251" s="58" t="s">
        <v>4296</v>
      </c>
    </row>
    <row r="252" spans="1:11" ht="31.2">
      <c r="A252" s="58" t="s">
        <v>17</v>
      </c>
      <c r="B252" s="58" t="s">
        <v>3</v>
      </c>
      <c r="C252" s="58" t="s">
        <v>162</v>
      </c>
      <c r="D252" s="58" t="s">
        <v>3778</v>
      </c>
      <c r="E252" s="58">
        <v>39</v>
      </c>
      <c r="F252" s="58" t="s">
        <v>3779</v>
      </c>
      <c r="G252" s="58" t="s">
        <v>164</v>
      </c>
      <c r="H252" s="58" t="s">
        <v>4277</v>
      </c>
      <c r="I252" s="58" t="s">
        <v>4278</v>
      </c>
      <c r="J252" s="58" t="s">
        <v>4297</v>
      </c>
      <c r="K252" s="58" t="s">
        <v>4298</v>
      </c>
    </row>
    <row r="253" spans="1:11" ht="31.2">
      <c r="A253" s="58" t="s">
        <v>17</v>
      </c>
      <c r="B253" s="58" t="s">
        <v>3</v>
      </c>
      <c r="C253" s="58" t="s">
        <v>162</v>
      </c>
      <c r="D253" s="58" t="s">
        <v>3782</v>
      </c>
      <c r="E253" s="58">
        <v>0</v>
      </c>
      <c r="F253" s="58" t="s">
        <v>163</v>
      </c>
      <c r="G253" s="58" t="s">
        <v>164</v>
      </c>
      <c r="H253" s="58" t="s">
        <v>4277</v>
      </c>
      <c r="I253" s="58" t="s">
        <v>4278</v>
      </c>
      <c r="J253" s="58" t="s">
        <v>4299</v>
      </c>
      <c r="K253" s="58" t="s">
        <v>4300</v>
      </c>
    </row>
    <row r="254" spans="1:11" ht="25.95" customHeight="1">
      <c r="A254" s="58" t="s">
        <v>17</v>
      </c>
      <c r="B254" s="58" t="s">
        <v>3</v>
      </c>
      <c r="C254" s="58" t="s">
        <v>162</v>
      </c>
      <c r="D254" s="58" t="s">
        <v>3785</v>
      </c>
      <c r="E254" s="58">
        <v>0</v>
      </c>
      <c r="F254" s="58" t="s">
        <v>165</v>
      </c>
      <c r="G254" s="58" t="s">
        <v>164</v>
      </c>
      <c r="H254" s="58" t="s">
        <v>4277</v>
      </c>
      <c r="I254" s="58" t="s">
        <v>4278</v>
      </c>
      <c r="J254" s="58" t="s">
        <v>4301</v>
      </c>
      <c r="K254" s="58" t="s">
        <v>4302</v>
      </c>
    </row>
    <row r="255" spans="1:11" ht="31.2">
      <c r="A255" s="58" t="s">
        <v>17</v>
      </c>
      <c r="B255" s="58" t="s">
        <v>3</v>
      </c>
      <c r="C255" s="58" t="s">
        <v>162</v>
      </c>
      <c r="D255" s="58" t="s">
        <v>3788</v>
      </c>
      <c r="E255" s="58">
        <v>0</v>
      </c>
      <c r="F255" s="58" t="s">
        <v>3779</v>
      </c>
      <c r="G255" s="58" t="s">
        <v>164</v>
      </c>
      <c r="H255" s="58" t="s">
        <v>4277</v>
      </c>
      <c r="I255" s="58" t="s">
        <v>4278</v>
      </c>
      <c r="J255" s="58" t="s">
        <v>4303</v>
      </c>
      <c r="K255" s="58" t="s">
        <v>4304</v>
      </c>
    </row>
    <row r="256" spans="1:11" ht="25.95" customHeight="1">
      <c r="A256" s="58" t="s">
        <v>17</v>
      </c>
      <c r="B256" s="58" t="s">
        <v>3</v>
      </c>
      <c r="C256" s="58" t="s">
        <v>3791</v>
      </c>
      <c r="D256" s="58" t="s">
        <v>3792</v>
      </c>
      <c r="E256" s="58">
        <v>47</v>
      </c>
      <c r="F256" s="58" t="s">
        <v>165</v>
      </c>
      <c r="G256" s="58" t="s">
        <v>3793</v>
      </c>
      <c r="H256" s="58" t="s">
        <v>4277</v>
      </c>
      <c r="I256" s="58" t="s">
        <v>4278</v>
      </c>
      <c r="J256" s="58" t="s">
        <v>4305</v>
      </c>
      <c r="K256" s="58" t="s">
        <v>4306</v>
      </c>
    </row>
    <row r="257" spans="1:11" ht="25.95" customHeight="1">
      <c r="A257" s="58" t="s">
        <v>17</v>
      </c>
      <c r="B257" s="58" t="s">
        <v>3</v>
      </c>
      <c r="C257" s="58" t="s">
        <v>3791</v>
      </c>
      <c r="D257" s="58" t="s">
        <v>3800</v>
      </c>
      <c r="E257" s="58">
        <v>46</v>
      </c>
      <c r="F257" s="58" t="s">
        <v>165</v>
      </c>
      <c r="G257" s="58" t="s">
        <v>3793</v>
      </c>
      <c r="H257" s="58" t="s">
        <v>4277</v>
      </c>
      <c r="I257" s="58" t="s">
        <v>4278</v>
      </c>
      <c r="J257" s="58" t="s">
        <v>4307</v>
      </c>
      <c r="K257" s="58" t="s">
        <v>4308</v>
      </c>
    </row>
    <row r="258" spans="1:11" ht="25.95" customHeight="1">
      <c r="A258" s="58" t="s">
        <v>17</v>
      </c>
      <c r="B258" s="58" t="s">
        <v>3</v>
      </c>
      <c r="C258" s="58" t="s">
        <v>3791</v>
      </c>
      <c r="D258" s="58" t="s">
        <v>3803</v>
      </c>
      <c r="E258" s="58">
        <v>0</v>
      </c>
      <c r="F258" s="58" t="s">
        <v>3779</v>
      </c>
      <c r="G258" s="58" t="s">
        <v>3793</v>
      </c>
      <c r="H258" s="58" t="s">
        <v>4277</v>
      </c>
      <c r="I258" s="58" t="s">
        <v>4278</v>
      </c>
      <c r="J258" s="58" t="s">
        <v>4309</v>
      </c>
      <c r="K258" s="58" t="s">
        <v>4310</v>
      </c>
    </row>
    <row r="259" spans="1:11" ht="25.95" customHeight="1">
      <c r="A259" s="58" t="s">
        <v>17</v>
      </c>
      <c r="B259" s="58" t="s">
        <v>3</v>
      </c>
      <c r="C259" s="58" t="s">
        <v>3791</v>
      </c>
      <c r="D259" s="58" t="s">
        <v>3806</v>
      </c>
      <c r="E259" s="58">
        <v>1</v>
      </c>
      <c r="F259" s="58" t="s">
        <v>3753</v>
      </c>
      <c r="G259" s="58" t="s">
        <v>3793</v>
      </c>
      <c r="H259" s="58" t="s">
        <v>4277</v>
      </c>
      <c r="I259" s="58" t="s">
        <v>4278</v>
      </c>
      <c r="J259" s="58" t="s">
        <v>4311</v>
      </c>
      <c r="K259" s="58" t="s">
        <v>4312</v>
      </c>
    </row>
    <row r="260" spans="1:11" ht="25.95" customHeight="1">
      <c r="A260" s="58" t="s">
        <v>13</v>
      </c>
      <c r="B260" s="58" t="s">
        <v>3</v>
      </c>
      <c r="C260" s="58" t="s">
        <v>3809</v>
      </c>
      <c r="D260" s="58" t="s">
        <v>3810</v>
      </c>
      <c r="E260" s="58">
        <v>2</v>
      </c>
      <c r="F260" s="58" t="s">
        <v>3811</v>
      </c>
      <c r="G260" s="58" t="s">
        <v>3812</v>
      </c>
      <c r="H260" s="58" t="s">
        <v>4313</v>
      </c>
      <c r="I260" s="58" t="s">
        <v>4314</v>
      </c>
      <c r="J260" s="58" t="s">
        <v>4315</v>
      </c>
      <c r="K260" s="58" t="s">
        <v>4316</v>
      </c>
    </row>
    <row r="261" spans="1:11" ht="25.95" customHeight="1">
      <c r="A261" s="58" t="s">
        <v>13</v>
      </c>
      <c r="B261" s="58" t="s">
        <v>3</v>
      </c>
      <c r="C261" s="58" t="s">
        <v>3809</v>
      </c>
      <c r="D261" s="58" t="s">
        <v>3817</v>
      </c>
      <c r="E261" s="58">
        <v>1</v>
      </c>
      <c r="F261" s="58" t="s">
        <v>3811</v>
      </c>
      <c r="G261" s="58" t="s">
        <v>3812</v>
      </c>
      <c r="H261" s="58" t="s">
        <v>4313</v>
      </c>
      <c r="I261" s="58" t="s">
        <v>4314</v>
      </c>
      <c r="J261" s="58" t="s">
        <v>4317</v>
      </c>
      <c r="K261" s="58" t="s">
        <v>4318</v>
      </c>
    </row>
    <row r="262" spans="1:11" ht="25.95" customHeight="1">
      <c r="A262" s="58" t="s">
        <v>13</v>
      </c>
      <c r="B262" s="58" t="s">
        <v>3</v>
      </c>
      <c r="C262" s="58" t="s">
        <v>3746</v>
      </c>
      <c r="D262" s="58" t="s">
        <v>3747</v>
      </c>
      <c r="E262" s="58">
        <v>2137</v>
      </c>
      <c r="F262" s="58" t="s">
        <v>3748</v>
      </c>
      <c r="G262" s="58" t="s">
        <v>3749</v>
      </c>
      <c r="H262" s="58" t="s">
        <v>4313</v>
      </c>
      <c r="I262" s="58" t="s">
        <v>4314</v>
      </c>
      <c r="J262" s="58" t="s">
        <v>4319</v>
      </c>
      <c r="K262" s="58" t="s">
        <v>4320</v>
      </c>
    </row>
    <row r="263" spans="1:11" ht="25.95" customHeight="1">
      <c r="A263" s="58" t="s">
        <v>13</v>
      </c>
      <c r="B263" s="58" t="s">
        <v>3</v>
      </c>
      <c r="C263" s="58" t="s">
        <v>3746</v>
      </c>
      <c r="D263" s="58" t="s">
        <v>3752</v>
      </c>
      <c r="E263" s="58">
        <v>0</v>
      </c>
      <c r="F263" s="58" t="s">
        <v>3753</v>
      </c>
      <c r="G263" s="58" t="s">
        <v>3749</v>
      </c>
      <c r="H263" s="58" t="s">
        <v>4313</v>
      </c>
      <c r="I263" s="58" t="s">
        <v>4314</v>
      </c>
      <c r="J263" s="58" t="s">
        <v>4321</v>
      </c>
      <c r="K263" s="58" t="s">
        <v>4322</v>
      </c>
    </row>
    <row r="264" spans="1:11" ht="25.95" customHeight="1">
      <c r="A264" s="58" t="s">
        <v>13</v>
      </c>
      <c r="B264" s="58" t="s">
        <v>3</v>
      </c>
      <c r="C264" s="58" t="s">
        <v>3746</v>
      </c>
      <c r="D264" s="58" t="s">
        <v>3756</v>
      </c>
      <c r="E264" s="58">
        <v>0</v>
      </c>
      <c r="F264" s="58" t="s">
        <v>3753</v>
      </c>
      <c r="G264" s="58" t="s">
        <v>3749</v>
      </c>
      <c r="H264" s="58" t="s">
        <v>4313</v>
      </c>
      <c r="I264" s="58" t="s">
        <v>4314</v>
      </c>
      <c r="J264" s="58" t="s">
        <v>4323</v>
      </c>
      <c r="K264" s="58" t="s">
        <v>4324</v>
      </c>
    </row>
    <row r="265" spans="1:11" ht="25.95" customHeight="1">
      <c r="A265" s="58" t="s">
        <v>13</v>
      </c>
      <c r="B265" s="58" t="s">
        <v>3</v>
      </c>
      <c r="C265" s="58" t="s">
        <v>3746</v>
      </c>
      <c r="D265" s="58" t="s">
        <v>3759</v>
      </c>
      <c r="E265" s="58">
        <v>0</v>
      </c>
      <c r="F265" s="58" t="s">
        <v>3753</v>
      </c>
      <c r="G265" s="58" t="s">
        <v>3760</v>
      </c>
      <c r="H265" s="58" t="s">
        <v>4313</v>
      </c>
      <c r="I265" s="58" t="s">
        <v>4314</v>
      </c>
      <c r="J265" s="58" t="s">
        <v>4325</v>
      </c>
      <c r="K265" s="58" t="s">
        <v>4326</v>
      </c>
    </row>
    <row r="266" spans="1:11" ht="25.95" customHeight="1">
      <c r="A266" s="58" t="s">
        <v>13</v>
      </c>
      <c r="B266" s="58" t="s">
        <v>3</v>
      </c>
      <c r="C266" s="58" t="s">
        <v>3746</v>
      </c>
      <c r="D266" s="58" t="s">
        <v>3763</v>
      </c>
      <c r="E266" s="58">
        <v>1</v>
      </c>
      <c r="F266" s="58" t="s">
        <v>3753</v>
      </c>
      <c r="G266" s="58" t="s">
        <v>3749</v>
      </c>
      <c r="H266" s="58" t="s">
        <v>4313</v>
      </c>
      <c r="I266" s="58" t="s">
        <v>4314</v>
      </c>
      <c r="J266" s="58" t="s">
        <v>4327</v>
      </c>
      <c r="K266" s="58" t="s">
        <v>4328</v>
      </c>
    </row>
    <row r="267" spans="1:11" ht="25.95" customHeight="1">
      <c r="A267" s="58" t="s">
        <v>13</v>
      </c>
      <c r="B267" s="58" t="s">
        <v>3</v>
      </c>
      <c r="C267" s="58" t="s">
        <v>3766</v>
      </c>
      <c r="D267" s="58" t="s">
        <v>3767</v>
      </c>
      <c r="E267" s="58">
        <v>0</v>
      </c>
      <c r="F267" s="58" t="s">
        <v>3768</v>
      </c>
      <c r="G267" s="58" t="s">
        <v>3769</v>
      </c>
      <c r="H267" s="58" t="s">
        <v>4313</v>
      </c>
      <c r="I267" s="58" t="s">
        <v>4314</v>
      </c>
      <c r="J267" s="58" t="s">
        <v>4329</v>
      </c>
      <c r="K267" s="58" t="s">
        <v>4330</v>
      </c>
    </row>
    <row r="268" spans="1:11" ht="25.95" customHeight="1">
      <c r="A268" s="58" t="s">
        <v>13</v>
      </c>
      <c r="B268" s="58" t="s">
        <v>3</v>
      </c>
      <c r="C268" s="58" t="s">
        <v>3766</v>
      </c>
      <c r="D268" s="58" t="s">
        <v>3775</v>
      </c>
      <c r="E268" s="58">
        <v>1</v>
      </c>
      <c r="F268" s="58" t="s">
        <v>3768</v>
      </c>
      <c r="G268" s="58" t="s">
        <v>3769</v>
      </c>
      <c r="H268" s="58" t="s">
        <v>4313</v>
      </c>
      <c r="I268" s="58" t="s">
        <v>4314</v>
      </c>
      <c r="J268" s="58" t="s">
        <v>4331</v>
      </c>
      <c r="K268" s="58" t="s">
        <v>4332</v>
      </c>
    </row>
    <row r="269" spans="1:11" ht="25.95" customHeight="1">
      <c r="A269" s="58" t="s">
        <v>13</v>
      </c>
      <c r="B269" s="58" t="s">
        <v>3</v>
      </c>
      <c r="C269" s="58" t="s">
        <v>3766</v>
      </c>
      <c r="D269" s="58" t="s">
        <v>3778</v>
      </c>
      <c r="E269" s="58">
        <v>38</v>
      </c>
      <c r="F269" s="58" t="s">
        <v>3779</v>
      </c>
      <c r="G269" s="58" t="s">
        <v>3769</v>
      </c>
      <c r="H269" s="58" t="s">
        <v>4313</v>
      </c>
      <c r="I269" s="58" t="s">
        <v>4314</v>
      </c>
      <c r="J269" s="58" t="s">
        <v>4333</v>
      </c>
      <c r="K269" s="58" t="s">
        <v>4334</v>
      </c>
    </row>
    <row r="270" spans="1:11" ht="25.95" customHeight="1">
      <c r="A270" s="58" t="s">
        <v>13</v>
      </c>
      <c r="B270" s="58" t="s">
        <v>3</v>
      </c>
      <c r="C270" s="58" t="s">
        <v>3766</v>
      </c>
      <c r="D270" s="58" t="s">
        <v>3782</v>
      </c>
      <c r="E270" s="58">
        <v>0</v>
      </c>
      <c r="F270" s="58" t="s">
        <v>3768</v>
      </c>
      <c r="G270" s="58" t="s">
        <v>3769</v>
      </c>
      <c r="H270" s="58" t="s">
        <v>4313</v>
      </c>
      <c r="I270" s="58" t="s">
        <v>4314</v>
      </c>
      <c r="J270" s="58" t="s">
        <v>4335</v>
      </c>
      <c r="K270" s="58" t="s">
        <v>4336</v>
      </c>
    </row>
    <row r="271" spans="1:11" ht="25.95" customHeight="1">
      <c r="A271" s="58" t="s">
        <v>13</v>
      </c>
      <c r="B271" s="58" t="s">
        <v>3</v>
      </c>
      <c r="C271" s="58" t="s">
        <v>3766</v>
      </c>
      <c r="D271" s="58" t="s">
        <v>3785</v>
      </c>
      <c r="E271" s="58">
        <v>0</v>
      </c>
      <c r="F271" s="58" t="s">
        <v>3779</v>
      </c>
      <c r="G271" s="58" t="s">
        <v>3769</v>
      </c>
      <c r="H271" s="58" t="s">
        <v>4313</v>
      </c>
      <c r="I271" s="58" t="s">
        <v>4314</v>
      </c>
      <c r="J271" s="58" t="s">
        <v>4337</v>
      </c>
      <c r="K271" s="58" t="s">
        <v>4338</v>
      </c>
    </row>
    <row r="272" spans="1:11" ht="25.95" customHeight="1">
      <c r="A272" s="58" t="s">
        <v>13</v>
      </c>
      <c r="B272" s="58" t="s">
        <v>3</v>
      </c>
      <c r="C272" s="58" t="s">
        <v>3766</v>
      </c>
      <c r="D272" s="58" t="s">
        <v>3788</v>
      </c>
      <c r="E272" s="58">
        <v>0</v>
      </c>
      <c r="F272" s="58" t="s">
        <v>3779</v>
      </c>
      <c r="G272" s="58" t="s">
        <v>3769</v>
      </c>
      <c r="H272" s="58" t="s">
        <v>4313</v>
      </c>
      <c r="I272" s="58" t="s">
        <v>4314</v>
      </c>
      <c r="J272" s="58" t="s">
        <v>4339</v>
      </c>
      <c r="K272" s="58" t="s">
        <v>4340</v>
      </c>
    </row>
    <row r="273" spans="1:11" ht="25.95" customHeight="1">
      <c r="A273" s="58" t="s">
        <v>13</v>
      </c>
      <c r="B273" s="58" t="s">
        <v>3</v>
      </c>
      <c r="C273" s="58" t="s">
        <v>3791</v>
      </c>
      <c r="D273" s="58" t="s">
        <v>3792</v>
      </c>
      <c r="E273" s="58">
        <v>51</v>
      </c>
      <c r="F273" s="58" t="s">
        <v>3779</v>
      </c>
      <c r="G273" s="58" t="s">
        <v>3793</v>
      </c>
      <c r="H273" s="58" t="s">
        <v>4313</v>
      </c>
      <c r="I273" s="58" t="s">
        <v>4314</v>
      </c>
      <c r="J273" s="58" t="s">
        <v>4341</v>
      </c>
      <c r="K273" s="58" t="s">
        <v>4342</v>
      </c>
    </row>
    <row r="274" spans="1:11" ht="25.95" customHeight="1">
      <c r="A274" s="58" t="s">
        <v>13</v>
      </c>
      <c r="B274" s="58" t="s">
        <v>3</v>
      </c>
      <c r="C274" s="58" t="s">
        <v>3791</v>
      </c>
      <c r="D274" s="58" t="s">
        <v>3800</v>
      </c>
      <c r="E274" s="58">
        <v>0</v>
      </c>
      <c r="F274" s="58" t="s">
        <v>3779</v>
      </c>
      <c r="G274" s="58" t="s">
        <v>3793</v>
      </c>
      <c r="H274" s="58" t="s">
        <v>4313</v>
      </c>
      <c r="I274" s="58" t="s">
        <v>4314</v>
      </c>
      <c r="J274" s="58" t="s">
        <v>4343</v>
      </c>
      <c r="K274" s="58" t="s">
        <v>4344</v>
      </c>
    </row>
    <row r="275" spans="1:11" ht="25.95" customHeight="1">
      <c r="A275" s="58" t="s">
        <v>13</v>
      </c>
      <c r="B275" s="58" t="s">
        <v>3</v>
      </c>
      <c r="C275" s="58" t="s">
        <v>3791</v>
      </c>
      <c r="D275" s="58" t="s">
        <v>3803</v>
      </c>
      <c r="E275" s="58">
        <v>0</v>
      </c>
      <c r="F275" s="58" t="s">
        <v>3779</v>
      </c>
      <c r="G275" s="58" t="s">
        <v>3793</v>
      </c>
      <c r="H275" s="58" t="s">
        <v>4313</v>
      </c>
      <c r="I275" s="58" t="s">
        <v>4314</v>
      </c>
      <c r="J275" s="58" t="s">
        <v>4345</v>
      </c>
      <c r="K275" s="58" t="s">
        <v>4346</v>
      </c>
    </row>
    <row r="276" spans="1:11" ht="25.95" customHeight="1">
      <c r="A276" s="58" t="s">
        <v>13</v>
      </c>
      <c r="B276" s="58" t="s">
        <v>3</v>
      </c>
      <c r="C276" s="58" t="s">
        <v>3791</v>
      </c>
      <c r="D276" s="58" t="s">
        <v>3806</v>
      </c>
      <c r="E276" s="58">
        <v>1</v>
      </c>
      <c r="F276" s="58" t="s">
        <v>3753</v>
      </c>
      <c r="G276" s="58" t="s">
        <v>3793</v>
      </c>
      <c r="H276" s="58" t="s">
        <v>4313</v>
      </c>
      <c r="I276" s="58" t="s">
        <v>4314</v>
      </c>
      <c r="J276" s="58" t="s">
        <v>4347</v>
      </c>
      <c r="K276" s="58" t="s">
        <v>4348</v>
      </c>
    </row>
    <row r="277" spans="1:11" ht="25.95" customHeight="1">
      <c r="A277" s="58" t="s">
        <v>21</v>
      </c>
      <c r="B277" s="58" t="s">
        <v>48</v>
      </c>
      <c r="C277" s="58" t="s">
        <v>3809</v>
      </c>
      <c r="D277" s="58" t="s">
        <v>3810</v>
      </c>
      <c r="E277" s="58">
        <v>0</v>
      </c>
      <c r="F277" s="58" t="s">
        <v>3811</v>
      </c>
      <c r="G277" s="58" t="s">
        <v>3812</v>
      </c>
      <c r="H277" s="58" t="s">
        <v>4349</v>
      </c>
      <c r="I277" s="58"/>
      <c r="J277" s="58" t="s">
        <v>4350</v>
      </c>
      <c r="K277" s="58" t="s">
        <v>4351</v>
      </c>
    </row>
    <row r="278" spans="1:11" ht="25.95" customHeight="1">
      <c r="A278" s="58" t="s">
        <v>21</v>
      </c>
      <c r="B278" s="58" t="s">
        <v>48</v>
      </c>
      <c r="C278" s="58" t="s">
        <v>3809</v>
      </c>
      <c r="D278" s="58" t="s">
        <v>3817</v>
      </c>
      <c r="E278" s="58">
        <v>3</v>
      </c>
      <c r="F278" s="58" t="s">
        <v>3811</v>
      </c>
      <c r="G278" s="58" t="s">
        <v>3812</v>
      </c>
      <c r="H278" s="58" t="s">
        <v>4349</v>
      </c>
      <c r="I278" s="58"/>
      <c r="J278" s="58" t="s">
        <v>4352</v>
      </c>
      <c r="K278" s="58" t="s">
        <v>4353</v>
      </c>
    </row>
    <row r="279" spans="1:11" ht="25.95" customHeight="1">
      <c r="A279" s="58" t="s">
        <v>21</v>
      </c>
      <c r="B279" s="58" t="s">
        <v>48</v>
      </c>
      <c r="C279" s="58" t="s">
        <v>4354</v>
      </c>
      <c r="D279" s="58" t="s">
        <v>4355</v>
      </c>
      <c r="E279" s="58">
        <v>2</v>
      </c>
      <c r="F279" s="58" t="s">
        <v>165</v>
      </c>
      <c r="G279" s="58" t="s">
        <v>4356</v>
      </c>
      <c r="H279" s="58" t="s">
        <v>4349</v>
      </c>
      <c r="I279" s="58"/>
      <c r="J279" s="58" t="s">
        <v>4357</v>
      </c>
      <c r="K279" s="58" t="s">
        <v>4358</v>
      </c>
    </row>
    <row r="280" spans="1:11" ht="25.95" customHeight="1">
      <c r="A280" s="58" t="s">
        <v>21</v>
      </c>
      <c r="B280" s="58" t="s">
        <v>48</v>
      </c>
      <c r="C280" s="58" t="s">
        <v>4354</v>
      </c>
      <c r="D280" s="58" t="s">
        <v>4359</v>
      </c>
      <c r="E280" s="58">
        <v>82</v>
      </c>
      <c r="F280" s="58" t="s">
        <v>165</v>
      </c>
      <c r="G280" s="58" t="s">
        <v>4356</v>
      </c>
      <c r="H280" s="58" t="s">
        <v>4349</v>
      </c>
      <c r="I280" s="58"/>
      <c r="J280" s="58" t="s">
        <v>4360</v>
      </c>
      <c r="K280" s="58" t="s">
        <v>4361</v>
      </c>
    </row>
    <row r="281" spans="1:11" ht="25.95" customHeight="1">
      <c r="A281" s="58" t="s">
        <v>21</v>
      </c>
      <c r="B281" s="58" t="s">
        <v>48</v>
      </c>
      <c r="C281" s="58" t="s">
        <v>4354</v>
      </c>
      <c r="D281" s="58" t="s">
        <v>4362</v>
      </c>
      <c r="E281" s="58">
        <v>1</v>
      </c>
      <c r="F281" s="58" t="s">
        <v>165</v>
      </c>
      <c r="G281" s="58" t="s">
        <v>4356</v>
      </c>
      <c r="H281" s="58" t="s">
        <v>4349</v>
      </c>
      <c r="I281" s="58"/>
      <c r="J281" s="58" t="s">
        <v>4363</v>
      </c>
      <c r="K281" s="58" t="s">
        <v>4364</v>
      </c>
    </row>
    <row r="282" spans="1:11" ht="25.95" customHeight="1">
      <c r="A282" s="58" t="s">
        <v>21</v>
      </c>
      <c r="B282" s="58" t="s">
        <v>48</v>
      </c>
      <c r="C282" s="58" t="s">
        <v>4354</v>
      </c>
      <c r="D282" s="58" t="s">
        <v>4365</v>
      </c>
      <c r="E282" s="58">
        <v>2</v>
      </c>
      <c r="F282" s="58" t="s">
        <v>3779</v>
      </c>
      <c r="G282" s="58" t="s">
        <v>4356</v>
      </c>
      <c r="H282" s="58" t="s">
        <v>4349</v>
      </c>
      <c r="I282" s="58"/>
      <c r="J282" s="58" t="s">
        <v>4366</v>
      </c>
      <c r="K282" s="58" t="s">
        <v>4367</v>
      </c>
    </row>
    <row r="283" spans="1:11" ht="15.6">
      <c r="A283" s="58" t="s">
        <v>21</v>
      </c>
      <c r="B283" s="58" t="s">
        <v>19</v>
      </c>
      <c r="C283" s="58" t="s">
        <v>4354</v>
      </c>
      <c r="D283" s="58" t="s">
        <v>4368</v>
      </c>
      <c r="E283" s="58">
        <v>1</v>
      </c>
      <c r="F283" s="58" t="s">
        <v>3779</v>
      </c>
      <c r="G283" s="58" t="s">
        <v>4356</v>
      </c>
      <c r="H283" s="58" t="s">
        <v>4349</v>
      </c>
      <c r="I283" s="58"/>
      <c r="J283" s="58" t="s">
        <v>4369</v>
      </c>
      <c r="K283" s="58" t="s">
        <v>4370</v>
      </c>
    </row>
    <row r="284" spans="1:11" ht="31.2">
      <c r="A284" s="58" t="s">
        <v>21</v>
      </c>
      <c r="B284" s="58" t="s">
        <v>19</v>
      </c>
      <c r="C284" s="58" t="s">
        <v>3766</v>
      </c>
      <c r="D284" s="58" t="s">
        <v>3767</v>
      </c>
      <c r="E284" s="58">
        <v>0</v>
      </c>
      <c r="F284" s="58" t="s">
        <v>3768</v>
      </c>
      <c r="G284" s="58" t="s">
        <v>3769</v>
      </c>
      <c r="H284" s="58" t="s">
        <v>4349</v>
      </c>
      <c r="I284" s="58"/>
      <c r="J284" s="58" t="s">
        <v>4371</v>
      </c>
      <c r="K284" s="58" t="s">
        <v>4372</v>
      </c>
    </row>
    <row r="285" spans="1:11" ht="31.2">
      <c r="A285" s="58" t="s">
        <v>21</v>
      </c>
      <c r="B285" s="58" t="s">
        <v>19</v>
      </c>
      <c r="C285" s="58" t="s">
        <v>3766</v>
      </c>
      <c r="D285" s="58" t="s">
        <v>3775</v>
      </c>
      <c r="E285" s="58">
        <v>1</v>
      </c>
      <c r="F285" s="58" t="s">
        <v>3768</v>
      </c>
      <c r="G285" s="58" t="s">
        <v>3769</v>
      </c>
      <c r="H285" s="58" t="s">
        <v>4349</v>
      </c>
      <c r="I285" s="58"/>
      <c r="J285" s="58" t="s">
        <v>4373</v>
      </c>
      <c r="K285" s="58" t="s">
        <v>4374</v>
      </c>
    </row>
    <row r="286" spans="1:11" ht="15.6">
      <c r="A286" s="58" t="s">
        <v>21</v>
      </c>
      <c r="B286" s="58" t="s">
        <v>19</v>
      </c>
      <c r="C286" s="58" t="s">
        <v>3766</v>
      </c>
      <c r="D286" s="58" t="s">
        <v>3778</v>
      </c>
      <c r="E286" s="58">
        <v>77</v>
      </c>
      <c r="F286" s="58" t="s">
        <v>3779</v>
      </c>
      <c r="G286" s="58" t="s">
        <v>3769</v>
      </c>
      <c r="H286" s="58" t="s">
        <v>4349</v>
      </c>
      <c r="I286" s="58"/>
      <c r="J286" s="58" t="s">
        <v>4375</v>
      </c>
      <c r="K286" s="58" t="s">
        <v>4376</v>
      </c>
    </row>
    <row r="287" spans="1:11" ht="31.2">
      <c r="A287" s="58" t="s">
        <v>21</v>
      </c>
      <c r="B287" s="58" t="s">
        <v>19</v>
      </c>
      <c r="C287" s="58" t="s">
        <v>3766</v>
      </c>
      <c r="D287" s="58" t="s">
        <v>3782</v>
      </c>
      <c r="E287" s="58">
        <v>0</v>
      </c>
      <c r="F287" s="58" t="s">
        <v>3768</v>
      </c>
      <c r="G287" s="58" t="s">
        <v>3769</v>
      </c>
      <c r="H287" s="58" t="s">
        <v>4349</v>
      </c>
      <c r="I287" s="58"/>
      <c r="J287" s="58" t="s">
        <v>4377</v>
      </c>
      <c r="K287" s="58" t="s">
        <v>4378</v>
      </c>
    </row>
    <row r="288" spans="1:11" ht="15.6">
      <c r="A288" s="58" t="s">
        <v>21</v>
      </c>
      <c r="B288" s="58" t="s">
        <v>19</v>
      </c>
      <c r="C288" s="58" t="s">
        <v>3766</v>
      </c>
      <c r="D288" s="58" t="s">
        <v>3785</v>
      </c>
      <c r="E288" s="58">
        <v>0</v>
      </c>
      <c r="F288" s="58" t="s">
        <v>3779</v>
      </c>
      <c r="G288" s="58" t="s">
        <v>3769</v>
      </c>
      <c r="H288" s="58" t="s">
        <v>4349</v>
      </c>
      <c r="I288" s="58"/>
      <c r="J288" s="58" t="s">
        <v>4379</v>
      </c>
      <c r="K288" s="58" t="s">
        <v>4380</v>
      </c>
    </row>
    <row r="289" spans="1:11" ht="15.6">
      <c r="A289" s="58" t="s">
        <v>21</v>
      </c>
      <c r="B289" s="58" t="s">
        <v>19</v>
      </c>
      <c r="C289" s="58" t="s">
        <v>3766</v>
      </c>
      <c r="D289" s="58" t="s">
        <v>3788</v>
      </c>
      <c r="E289" s="58">
        <v>0</v>
      </c>
      <c r="F289" s="58" t="s">
        <v>3779</v>
      </c>
      <c r="G289" s="58" t="s">
        <v>3769</v>
      </c>
      <c r="H289" s="58" t="s">
        <v>4349</v>
      </c>
      <c r="I289" s="58"/>
      <c r="J289" s="58" t="s">
        <v>4381</v>
      </c>
      <c r="K289" s="58" t="s">
        <v>4382</v>
      </c>
    </row>
    <row r="290" spans="1:11" ht="15.6">
      <c r="A290" s="58" t="s">
        <v>13</v>
      </c>
      <c r="B290" s="58" t="s">
        <v>19</v>
      </c>
      <c r="C290" s="58" t="s">
        <v>3852</v>
      </c>
      <c r="D290" s="58" t="s">
        <v>3853</v>
      </c>
      <c r="E290" s="58">
        <v>235888</v>
      </c>
      <c r="F290" s="58" t="s">
        <v>3854</v>
      </c>
      <c r="G290" s="58" t="s">
        <v>4383</v>
      </c>
      <c r="H290" s="58" t="s">
        <v>3813</v>
      </c>
      <c r="I290" s="58" t="s">
        <v>3814</v>
      </c>
      <c r="J290" s="58" t="s">
        <v>4384</v>
      </c>
      <c r="K290" s="58" t="s">
        <v>4385</v>
      </c>
    </row>
    <row r="291" spans="1:11" ht="15.6">
      <c r="A291" s="58" t="s">
        <v>13</v>
      </c>
      <c r="B291" s="58" t="s">
        <v>19</v>
      </c>
      <c r="C291" s="58" t="s">
        <v>3852</v>
      </c>
      <c r="D291" s="58" t="s">
        <v>3863</v>
      </c>
      <c r="E291" s="58">
        <v>600960</v>
      </c>
      <c r="F291" s="58" t="s">
        <v>3854</v>
      </c>
      <c r="G291" s="58" t="s">
        <v>4383</v>
      </c>
      <c r="H291" s="58" t="s">
        <v>3813</v>
      </c>
      <c r="I291" s="58" t="s">
        <v>3814</v>
      </c>
      <c r="J291" s="58" t="s">
        <v>4386</v>
      </c>
      <c r="K291" s="58" t="s">
        <v>4385</v>
      </c>
    </row>
    <row r="292" spans="1:11" ht="15.6">
      <c r="A292" s="58" t="s">
        <v>13</v>
      </c>
      <c r="B292" s="58" t="s">
        <v>19</v>
      </c>
      <c r="C292" s="58" t="s">
        <v>3852</v>
      </c>
      <c r="D292" s="58" t="s">
        <v>3860</v>
      </c>
      <c r="E292" s="58">
        <v>0</v>
      </c>
      <c r="F292" s="58" t="s">
        <v>3854</v>
      </c>
      <c r="G292" s="58" t="s">
        <v>4383</v>
      </c>
      <c r="H292" s="58" t="s">
        <v>3813</v>
      </c>
      <c r="I292" s="58" t="s">
        <v>3814</v>
      </c>
      <c r="J292" s="58" t="s">
        <v>4387</v>
      </c>
      <c r="K292" s="58" t="s">
        <v>4385</v>
      </c>
    </row>
    <row r="293" spans="1:11" ht="15.6">
      <c r="A293" s="58" t="s">
        <v>13</v>
      </c>
      <c r="B293" s="58" t="s">
        <v>19</v>
      </c>
      <c r="C293" s="58" t="s">
        <v>3852</v>
      </c>
      <c r="D293" s="58" t="s">
        <v>3866</v>
      </c>
      <c r="E293" s="58">
        <v>30966</v>
      </c>
      <c r="F293" s="58" t="s">
        <v>3854</v>
      </c>
      <c r="G293" s="58" t="s">
        <v>4383</v>
      </c>
      <c r="H293" s="58" t="s">
        <v>3813</v>
      </c>
      <c r="I293" s="58" t="s">
        <v>3814</v>
      </c>
      <c r="J293" s="58" t="s">
        <v>4388</v>
      </c>
      <c r="K293" s="58" t="s">
        <v>4385</v>
      </c>
    </row>
    <row r="294" spans="1:11" ht="31.2">
      <c r="A294" s="58" t="s">
        <v>13</v>
      </c>
      <c r="B294" s="58" t="s">
        <v>35</v>
      </c>
      <c r="C294" s="58" t="s">
        <v>3852</v>
      </c>
      <c r="D294" s="58" t="s">
        <v>3853</v>
      </c>
      <c r="E294" s="58">
        <v>302938</v>
      </c>
      <c r="F294" s="58" t="s">
        <v>3854</v>
      </c>
      <c r="G294" s="58" t="s">
        <v>4383</v>
      </c>
      <c r="H294" s="58" t="s">
        <v>4313</v>
      </c>
      <c r="I294" s="58" t="s">
        <v>4314</v>
      </c>
      <c r="J294" s="58" t="s">
        <v>4389</v>
      </c>
      <c r="K294" s="58" t="s">
        <v>4390</v>
      </c>
    </row>
    <row r="295" spans="1:11" ht="31.2">
      <c r="A295" s="58" t="s">
        <v>13</v>
      </c>
      <c r="B295" s="58" t="s">
        <v>35</v>
      </c>
      <c r="C295" s="58" t="s">
        <v>3852</v>
      </c>
      <c r="D295" s="58" t="s">
        <v>3863</v>
      </c>
      <c r="E295" s="58">
        <v>1257088</v>
      </c>
      <c r="F295" s="58" t="s">
        <v>3854</v>
      </c>
      <c r="G295" s="58" t="s">
        <v>4383</v>
      </c>
      <c r="H295" s="58" t="s">
        <v>4313</v>
      </c>
      <c r="I295" s="58" t="s">
        <v>4314</v>
      </c>
      <c r="J295" s="58" t="s">
        <v>4391</v>
      </c>
      <c r="K295" s="58" t="s">
        <v>4390</v>
      </c>
    </row>
    <row r="296" spans="1:11" ht="31.2">
      <c r="A296" s="58" t="s">
        <v>13</v>
      </c>
      <c r="B296" s="58" t="s">
        <v>35</v>
      </c>
      <c r="C296" s="58" t="s">
        <v>3852</v>
      </c>
      <c r="D296" s="58" t="s">
        <v>3860</v>
      </c>
      <c r="E296" s="58">
        <v>0</v>
      </c>
      <c r="F296" s="58" t="s">
        <v>3854</v>
      </c>
      <c r="G296" s="58" t="s">
        <v>4383</v>
      </c>
      <c r="H296" s="58" t="s">
        <v>4313</v>
      </c>
      <c r="I296" s="58" t="s">
        <v>4314</v>
      </c>
      <c r="J296" s="58" t="s">
        <v>4392</v>
      </c>
      <c r="K296" s="58" t="s">
        <v>4390</v>
      </c>
    </row>
    <row r="297" spans="1:11" ht="31.2">
      <c r="A297" s="58" t="s">
        <v>13</v>
      </c>
      <c r="B297" s="58" t="s">
        <v>35</v>
      </c>
      <c r="C297" s="58" t="s">
        <v>3852</v>
      </c>
      <c r="D297" s="58" t="s">
        <v>3866</v>
      </c>
      <c r="E297" s="58">
        <v>37218</v>
      </c>
      <c r="F297" s="58" t="s">
        <v>3854</v>
      </c>
      <c r="G297" s="58" t="s">
        <v>4383</v>
      </c>
      <c r="H297" s="58" t="s">
        <v>4313</v>
      </c>
      <c r="I297" s="58" t="s">
        <v>4314</v>
      </c>
      <c r="J297" s="58" t="s">
        <v>4393</v>
      </c>
      <c r="K297" s="58" t="s">
        <v>4390</v>
      </c>
    </row>
    <row r="298" spans="1:11" ht="31.2">
      <c r="A298" s="58" t="s">
        <v>17</v>
      </c>
      <c r="B298" s="58" t="s">
        <v>19</v>
      </c>
      <c r="C298" s="58" t="s">
        <v>3852</v>
      </c>
      <c r="D298" s="58" t="s">
        <v>3853</v>
      </c>
      <c r="E298" s="58">
        <v>778545</v>
      </c>
      <c r="F298" s="58" t="s">
        <v>3854</v>
      </c>
      <c r="G298" s="58" t="s">
        <v>4383</v>
      </c>
      <c r="H298" s="58" t="s">
        <v>3905</v>
      </c>
      <c r="I298" s="58" t="s">
        <v>3906</v>
      </c>
      <c r="J298" s="58" t="s">
        <v>4394</v>
      </c>
      <c r="K298" s="58" t="s">
        <v>4395</v>
      </c>
    </row>
    <row r="299" spans="1:11" ht="31.2">
      <c r="A299" s="58" t="s">
        <v>17</v>
      </c>
      <c r="B299" s="58" t="s">
        <v>19</v>
      </c>
      <c r="C299" s="58" t="s">
        <v>3852</v>
      </c>
      <c r="D299" s="58" t="s">
        <v>3863</v>
      </c>
      <c r="E299" s="58">
        <v>5883862</v>
      </c>
      <c r="F299" s="58" t="s">
        <v>3854</v>
      </c>
      <c r="G299" s="58" t="s">
        <v>4383</v>
      </c>
      <c r="H299" s="58" t="s">
        <v>3905</v>
      </c>
      <c r="I299" s="58" t="s">
        <v>3906</v>
      </c>
      <c r="J299" s="58" t="s">
        <v>4396</v>
      </c>
      <c r="K299" s="58" t="s">
        <v>4395</v>
      </c>
    </row>
    <row r="300" spans="1:11" ht="31.2">
      <c r="A300" s="58" t="s">
        <v>17</v>
      </c>
      <c r="B300" s="58" t="s">
        <v>19</v>
      </c>
      <c r="C300" s="58" t="s">
        <v>3852</v>
      </c>
      <c r="D300" s="58" t="s">
        <v>3860</v>
      </c>
      <c r="E300" s="58">
        <v>0</v>
      </c>
      <c r="F300" s="58" t="s">
        <v>3854</v>
      </c>
      <c r="G300" s="58" t="s">
        <v>4383</v>
      </c>
      <c r="H300" s="58" t="s">
        <v>3905</v>
      </c>
      <c r="I300" s="58" t="s">
        <v>3906</v>
      </c>
      <c r="J300" s="58" t="s">
        <v>4397</v>
      </c>
      <c r="K300" s="58" t="s">
        <v>4395</v>
      </c>
    </row>
    <row r="301" spans="1:11" ht="31.2">
      <c r="A301" s="58" t="s">
        <v>17</v>
      </c>
      <c r="B301" s="58" t="s">
        <v>19</v>
      </c>
      <c r="C301" s="58" t="s">
        <v>3852</v>
      </c>
      <c r="D301" s="58" t="s">
        <v>3866</v>
      </c>
      <c r="E301" s="58">
        <v>157162</v>
      </c>
      <c r="F301" s="58" t="s">
        <v>3854</v>
      </c>
      <c r="G301" s="58" t="s">
        <v>4383</v>
      </c>
      <c r="H301" s="58" t="s">
        <v>3905</v>
      </c>
      <c r="I301" s="58" t="s">
        <v>3906</v>
      </c>
      <c r="J301" s="58" t="s">
        <v>4398</v>
      </c>
      <c r="K301" s="58" t="s">
        <v>4395</v>
      </c>
    </row>
    <row r="302" spans="1:11" ht="31.2">
      <c r="A302" s="58" t="s">
        <v>17</v>
      </c>
      <c r="B302" s="58" t="s">
        <v>35</v>
      </c>
      <c r="C302" s="58" t="s">
        <v>3852</v>
      </c>
      <c r="D302" s="58" t="s">
        <v>3853</v>
      </c>
      <c r="E302" s="58">
        <v>498218</v>
      </c>
      <c r="F302" s="58" t="s">
        <v>3854</v>
      </c>
      <c r="G302" s="58" t="s">
        <v>4383</v>
      </c>
      <c r="H302" s="58" t="s">
        <v>4277</v>
      </c>
      <c r="I302" s="58" t="s">
        <v>4278</v>
      </c>
      <c r="J302" s="58" t="s">
        <v>4399</v>
      </c>
      <c r="K302" s="58" t="s">
        <v>4400</v>
      </c>
    </row>
    <row r="303" spans="1:11" ht="31.2">
      <c r="A303" s="58" t="s">
        <v>17</v>
      </c>
      <c r="B303" s="58" t="s">
        <v>35</v>
      </c>
      <c r="C303" s="58" t="s">
        <v>3852</v>
      </c>
      <c r="D303" s="58" t="s">
        <v>3863</v>
      </c>
      <c r="E303" s="58">
        <v>1940489</v>
      </c>
      <c r="F303" s="58" t="s">
        <v>3854</v>
      </c>
      <c r="G303" s="58" t="s">
        <v>4383</v>
      </c>
      <c r="H303" s="58" t="s">
        <v>4277</v>
      </c>
      <c r="I303" s="58" t="s">
        <v>4278</v>
      </c>
      <c r="J303" s="58" t="s">
        <v>4401</v>
      </c>
      <c r="K303" s="58" t="s">
        <v>4400</v>
      </c>
    </row>
    <row r="304" spans="1:11" ht="31.2">
      <c r="A304" s="58" t="s">
        <v>17</v>
      </c>
      <c r="B304" s="58" t="s">
        <v>35</v>
      </c>
      <c r="C304" s="58" t="s">
        <v>3852</v>
      </c>
      <c r="D304" s="58" t="s">
        <v>3860</v>
      </c>
      <c r="E304" s="58">
        <v>0</v>
      </c>
      <c r="F304" s="58" t="s">
        <v>3854</v>
      </c>
      <c r="G304" s="58" t="s">
        <v>4383</v>
      </c>
      <c r="H304" s="58" t="s">
        <v>4277</v>
      </c>
      <c r="I304" s="58" t="s">
        <v>4278</v>
      </c>
      <c r="J304" s="58" t="s">
        <v>4402</v>
      </c>
      <c r="K304" s="58" t="s">
        <v>4400</v>
      </c>
    </row>
    <row r="305" spans="1:11" ht="31.2">
      <c r="A305" s="58" t="s">
        <v>17</v>
      </c>
      <c r="B305" s="58" t="s">
        <v>35</v>
      </c>
      <c r="C305" s="58" t="s">
        <v>3852</v>
      </c>
      <c r="D305" s="58" t="s">
        <v>3866</v>
      </c>
      <c r="E305" s="58">
        <v>63433</v>
      </c>
      <c r="F305" s="58" t="s">
        <v>3854</v>
      </c>
      <c r="G305" s="58" t="s">
        <v>4383</v>
      </c>
      <c r="H305" s="58" t="s">
        <v>4277</v>
      </c>
      <c r="I305" s="58" t="s">
        <v>4278</v>
      </c>
      <c r="J305" s="58" t="s">
        <v>4403</v>
      </c>
      <c r="K305" s="58" t="s">
        <v>4400</v>
      </c>
    </row>
    <row r="306" spans="1:11" ht="15.6">
      <c r="A306" s="58" t="s">
        <v>21</v>
      </c>
      <c r="B306" s="58" t="s">
        <v>19</v>
      </c>
      <c r="C306" s="58" t="s">
        <v>3852</v>
      </c>
      <c r="D306" s="58" t="s">
        <v>3853</v>
      </c>
      <c r="E306" s="58">
        <v>291091</v>
      </c>
      <c r="F306" s="58" t="s">
        <v>3854</v>
      </c>
      <c r="G306" s="58" t="s">
        <v>4383</v>
      </c>
      <c r="H306" s="58" t="s">
        <v>4349</v>
      </c>
      <c r="I306" s="58"/>
      <c r="J306" s="58" t="s">
        <v>4404</v>
      </c>
      <c r="K306" s="58" t="s">
        <v>4405</v>
      </c>
    </row>
    <row r="307" spans="1:11" ht="15.6">
      <c r="A307" s="58" t="s">
        <v>21</v>
      </c>
      <c r="B307" s="58" t="s">
        <v>19</v>
      </c>
      <c r="C307" s="58" t="s">
        <v>3852</v>
      </c>
      <c r="D307" s="58" t="s">
        <v>3863</v>
      </c>
      <c r="E307" s="58">
        <v>34193826</v>
      </c>
      <c r="F307" s="58" t="s">
        <v>3854</v>
      </c>
      <c r="G307" s="58" t="s">
        <v>4383</v>
      </c>
      <c r="H307" s="58" t="s">
        <v>4349</v>
      </c>
      <c r="I307" s="58"/>
      <c r="J307" s="58" t="s">
        <v>4406</v>
      </c>
      <c r="K307" s="58" t="s">
        <v>4405</v>
      </c>
    </row>
    <row r="308" spans="1:11" ht="15.6">
      <c r="A308" s="58" t="s">
        <v>21</v>
      </c>
      <c r="B308" s="58" t="s">
        <v>19</v>
      </c>
      <c r="C308" s="58" t="s">
        <v>3852</v>
      </c>
      <c r="D308" s="58" t="s">
        <v>3860</v>
      </c>
      <c r="E308" s="58">
        <v>350508</v>
      </c>
      <c r="F308" s="58" t="s">
        <v>3854</v>
      </c>
      <c r="G308" s="58" t="s">
        <v>4383</v>
      </c>
      <c r="H308" s="58" t="s">
        <v>4349</v>
      </c>
      <c r="I308" s="58"/>
      <c r="J308" s="58" t="s">
        <v>4407</v>
      </c>
      <c r="K308" s="58" t="s">
        <v>4405</v>
      </c>
    </row>
    <row r="309" spans="1:11" ht="15.6">
      <c r="A309" s="58" t="s">
        <v>21</v>
      </c>
      <c r="B309" s="58" t="s">
        <v>19</v>
      </c>
      <c r="C309" s="58" t="s">
        <v>3852</v>
      </c>
      <c r="D309" s="58" t="s">
        <v>3866</v>
      </c>
      <c r="E309" s="58">
        <v>176690</v>
      </c>
      <c r="F309" s="58" t="s">
        <v>3854</v>
      </c>
      <c r="G309" s="58" t="s">
        <v>4383</v>
      </c>
      <c r="H309" s="58" t="s">
        <v>4349</v>
      </c>
      <c r="I309" s="58"/>
      <c r="J309" s="58" t="s">
        <v>4408</v>
      </c>
      <c r="K309" s="58" t="s">
        <v>4405</v>
      </c>
    </row>
    <row r="310" spans="1:11" ht="15.6">
      <c r="A310" s="58" t="s">
        <v>1</v>
      </c>
      <c r="B310" s="58" t="s">
        <v>19</v>
      </c>
      <c r="C310" s="58" t="s">
        <v>4409</v>
      </c>
      <c r="D310" s="58" t="s">
        <v>4410</v>
      </c>
      <c r="E310" s="58">
        <v>4</v>
      </c>
      <c r="F310" s="58" t="s">
        <v>158</v>
      </c>
      <c r="G310" s="58" t="s">
        <v>4411</v>
      </c>
      <c r="H310" s="58" t="s">
        <v>4412</v>
      </c>
      <c r="I310" s="58" t="s">
        <v>4413</v>
      </c>
      <c r="J310" s="58" t="s">
        <v>3605</v>
      </c>
      <c r="K310" s="58" t="s">
        <v>4414</v>
      </c>
    </row>
    <row r="311" spans="1:11" ht="15.6">
      <c r="A311" s="58" t="s">
        <v>1</v>
      </c>
      <c r="B311" s="58" t="s">
        <v>19</v>
      </c>
      <c r="C311" s="58" t="s">
        <v>4409</v>
      </c>
      <c r="D311" s="58" t="s">
        <v>4415</v>
      </c>
      <c r="E311" s="58">
        <v>4</v>
      </c>
      <c r="F311" s="58" t="s">
        <v>158</v>
      </c>
      <c r="G311" s="58" t="s">
        <v>4411</v>
      </c>
      <c r="H311" s="58" t="s">
        <v>4412</v>
      </c>
      <c r="I311" s="58" t="s">
        <v>4413</v>
      </c>
      <c r="J311" s="58" t="s">
        <v>3606</v>
      </c>
      <c r="K311" s="58" t="s">
        <v>4416</v>
      </c>
    </row>
    <row r="312" spans="1:11" ht="15.6">
      <c r="A312" s="58" t="s">
        <v>1</v>
      </c>
      <c r="B312" s="58" t="s">
        <v>19</v>
      </c>
      <c r="C312" s="58" t="s">
        <v>4409</v>
      </c>
      <c r="D312" s="58" t="s">
        <v>4417</v>
      </c>
      <c r="E312" s="58">
        <v>3</v>
      </c>
      <c r="F312" s="58" t="s">
        <v>158</v>
      </c>
      <c r="G312" s="58" t="s">
        <v>4411</v>
      </c>
      <c r="H312" s="58" t="s">
        <v>4412</v>
      </c>
      <c r="I312" s="58" t="s">
        <v>4413</v>
      </c>
      <c r="J312" s="58" t="s">
        <v>3607</v>
      </c>
      <c r="K312" s="58" t="s">
        <v>4418</v>
      </c>
    </row>
    <row r="313" spans="1:11" ht="15.6">
      <c r="A313" s="58" t="s">
        <v>1</v>
      </c>
      <c r="B313" s="58" t="s">
        <v>19</v>
      </c>
      <c r="C313" s="58" t="s">
        <v>4409</v>
      </c>
      <c r="D313" s="58" t="s">
        <v>4419</v>
      </c>
      <c r="E313" s="58">
        <v>3</v>
      </c>
      <c r="F313" s="58" t="s">
        <v>158</v>
      </c>
      <c r="G313" s="58" t="s">
        <v>4411</v>
      </c>
      <c r="H313" s="58" t="s">
        <v>4412</v>
      </c>
      <c r="I313" s="58" t="s">
        <v>4413</v>
      </c>
      <c r="J313" s="58" t="s">
        <v>3608</v>
      </c>
      <c r="K313" s="58" t="s">
        <v>4420</v>
      </c>
    </row>
    <row r="314" spans="1:11" ht="15.6">
      <c r="A314" s="58" t="s">
        <v>1</v>
      </c>
      <c r="B314" s="58" t="s">
        <v>19</v>
      </c>
      <c r="C314" s="58" t="s">
        <v>4409</v>
      </c>
      <c r="D314" s="58" t="s">
        <v>4421</v>
      </c>
      <c r="E314" s="58">
        <v>6</v>
      </c>
      <c r="F314" s="58" t="s">
        <v>158</v>
      </c>
      <c r="G314" s="58" t="s">
        <v>4411</v>
      </c>
      <c r="H314" s="58" t="s">
        <v>4412</v>
      </c>
      <c r="I314" s="58" t="s">
        <v>4413</v>
      </c>
      <c r="J314" s="58" t="s">
        <v>3609</v>
      </c>
      <c r="K314" s="58" t="s">
        <v>4422</v>
      </c>
    </row>
    <row r="315" spans="1:11" ht="15.6">
      <c r="A315" s="58" t="s">
        <v>1</v>
      </c>
      <c r="B315" s="58" t="s">
        <v>19</v>
      </c>
      <c r="C315" s="58" t="s">
        <v>4409</v>
      </c>
      <c r="D315" s="58" t="s">
        <v>4423</v>
      </c>
      <c r="E315" s="58">
        <v>5</v>
      </c>
      <c r="F315" s="58" t="s">
        <v>158</v>
      </c>
      <c r="G315" s="58" t="s">
        <v>4411</v>
      </c>
      <c r="H315" s="58" t="s">
        <v>4412</v>
      </c>
      <c r="I315" s="58" t="s">
        <v>4413</v>
      </c>
      <c r="J315" s="58" t="s">
        <v>3611</v>
      </c>
      <c r="K315" s="58" t="s">
        <v>4424</v>
      </c>
    </row>
    <row r="316" spans="1:11" ht="15.6">
      <c r="A316" s="58" t="s">
        <v>1</v>
      </c>
      <c r="B316" s="58" t="s">
        <v>19</v>
      </c>
      <c r="C316" s="58" t="s">
        <v>4409</v>
      </c>
      <c r="D316" s="58" t="s">
        <v>4425</v>
      </c>
      <c r="E316" s="58">
        <v>5</v>
      </c>
      <c r="F316" s="58" t="s">
        <v>158</v>
      </c>
      <c r="G316" s="58" t="s">
        <v>4411</v>
      </c>
      <c r="H316" s="58" t="s">
        <v>4412</v>
      </c>
      <c r="I316" s="58" t="s">
        <v>4413</v>
      </c>
      <c r="J316" s="58" t="s">
        <v>3612</v>
      </c>
      <c r="K316" s="58" t="s">
        <v>4426</v>
      </c>
    </row>
    <row r="317" spans="1:11" ht="15.6">
      <c r="A317" s="58" t="s">
        <v>1</v>
      </c>
      <c r="B317" s="58" t="s">
        <v>19</v>
      </c>
      <c r="C317" s="58" t="s">
        <v>4409</v>
      </c>
      <c r="D317" s="58" t="s">
        <v>4427</v>
      </c>
      <c r="E317" s="58">
        <v>4</v>
      </c>
      <c r="F317" s="58" t="s">
        <v>158</v>
      </c>
      <c r="G317" s="58" t="s">
        <v>4411</v>
      </c>
      <c r="H317" s="58" t="s">
        <v>4412</v>
      </c>
      <c r="I317" s="58" t="s">
        <v>4413</v>
      </c>
      <c r="J317" s="58" t="s">
        <v>3613</v>
      </c>
      <c r="K317" s="58" t="s">
        <v>4428</v>
      </c>
    </row>
    <row r="318" spans="1:11" ht="15.6">
      <c r="A318" s="58" t="s">
        <v>1</v>
      </c>
      <c r="B318" s="58" t="s">
        <v>19</v>
      </c>
      <c r="C318" s="58" t="s">
        <v>4409</v>
      </c>
      <c r="D318" s="58" t="s">
        <v>4429</v>
      </c>
      <c r="E318" s="58">
        <v>4</v>
      </c>
      <c r="F318" s="58" t="s">
        <v>158</v>
      </c>
      <c r="G318" s="58" t="s">
        <v>4411</v>
      </c>
      <c r="H318" s="58" t="s">
        <v>4412</v>
      </c>
      <c r="I318" s="58" t="s">
        <v>4413</v>
      </c>
      <c r="J318" s="58" t="s">
        <v>3614</v>
      </c>
      <c r="K318" s="58" t="s">
        <v>4430</v>
      </c>
    </row>
    <row r="319" spans="1:11" ht="15.6">
      <c r="A319" s="58" t="s">
        <v>1</v>
      </c>
      <c r="B319" s="58" t="s">
        <v>19</v>
      </c>
      <c r="C319" s="58" t="s">
        <v>4409</v>
      </c>
      <c r="D319" s="58" t="s">
        <v>4431</v>
      </c>
      <c r="E319" s="58">
        <v>2</v>
      </c>
      <c r="F319" s="58" t="s">
        <v>158</v>
      </c>
      <c r="G319" s="58" t="s">
        <v>4411</v>
      </c>
      <c r="H319" s="58" t="s">
        <v>4412</v>
      </c>
      <c r="I319" s="58" t="s">
        <v>4413</v>
      </c>
      <c r="J319" s="58" t="s">
        <v>3615</v>
      </c>
      <c r="K319" s="58" t="s">
        <v>4432</v>
      </c>
    </row>
    <row r="320" spans="1:11" ht="15.6">
      <c r="A320" s="58" t="s">
        <v>1</v>
      </c>
      <c r="B320" s="58" t="s">
        <v>19</v>
      </c>
      <c r="C320" s="58" t="s">
        <v>4409</v>
      </c>
      <c r="D320" s="58" t="s">
        <v>4433</v>
      </c>
      <c r="E320" s="58">
        <v>1.25</v>
      </c>
      <c r="F320" s="58" t="s">
        <v>158</v>
      </c>
      <c r="G320" s="58" t="s">
        <v>4411</v>
      </c>
      <c r="H320" s="58" t="s">
        <v>4412</v>
      </c>
      <c r="I320" s="58" t="s">
        <v>4413</v>
      </c>
      <c r="J320" s="58" t="s">
        <v>3616</v>
      </c>
      <c r="K320" s="58" t="s">
        <v>4434</v>
      </c>
    </row>
    <row r="321" spans="1:11" ht="15.6">
      <c r="A321" s="58" t="s">
        <v>1</v>
      </c>
      <c r="B321" s="58" t="s">
        <v>19</v>
      </c>
      <c r="C321" s="58" t="s">
        <v>4409</v>
      </c>
      <c r="D321" s="58" t="s">
        <v>4435</v>
      </c>
      <c r="E321" s="58">
        <v>4</v>
      </c>
      <c r="F321" s="58" t="s">
        <v>158</v>
      </c>
      <c r="G321" s="58" t="s">
        <v>4411</v>
      </c>
      <c r="H321" s="58" t="s">
        <v>4412</v>
      </c>
      <c r="I321" s="58" t="s">
        <v>4413</v>
      </c>
      <c r="J321" s="58" t="s">
        <v>3617</v>
      </c>
      <c r="K321" s="58" t="s">
        <v>4436</v>
      </c>
    </row>
    <row r="322" spans="1:11" ht="15.6">
      <c r="A322" s="58" t="s">
        <v>1</v>
      </c>
      <c r="B322" s="58" t="s">
        <v>19</v>
      </c>
      <c r="C322" s="58" t="s">
        <v>4409</v>
      </c>
      <c r="D322" s="58" t="s">
        <v>4437</v>
      </c>
      <c r="E322" s="58">
        <v>3</v>
      </c>
      <c r="F322" s="58" t="s">
        <v>158</v>
      </c>
      <c r="G322" s="58" t="s">
        <v>4411</v>
      </c>
      <c r="H322" s="58" t="s">
        <v>4412</v>
      </c>
      <c r="I322" s="58" t="s">
        <v>4413</v>
      </c>
      <c r="J322" s="58" t="s">
        <v>3618</v>
      </c>
      <c r="K322" s="58" t="s">
        <v>4438</v>
      </c>
    </row>
    <row r="323" spans="1:11" ht="15.6">
      <c r="A323" s="58" t="s">
        <v>1</v>
      </c>
      <c r="B323" s="58" t="s">
        <v>19</v>
      </c>
      <c r="C323" s="58" t="s">
        <v>4409</v>
      </c>
      <c r="D323" s="58" t="s">
        <v>4439</v>
      </c>
      <c r="E323" s="58">
        <v>4</v>
      </c>
      <c r="F323" s="58" t="s">
        <v>158</v>
      </c>
      <c r="G323" s="58" t="s">
        <v>4411</v>
      </c>
      <c r="H323" s="58" t="s">
        <v>4412</v>
      </c>
      <c r="I323" s="58" t="s">
        <v>4413</v>
      </c>
      <c r="J323" s="58" t="s">
        <v>3619</v>
      </c>
      <c r="K323" s="58" t="s">
        <v>4440</v>
      </c>
    </row>
    <row r="324" spans="1:11" ht="15.6">
      <c r="A324" s="58" t="s">
        <v>1</v>
      </c>
      <c r="B324" s="58" t="s">
        <v>19</v>
      </c>
      <c r="C324" s="58" t="s">
        <v>4409</v>
      </c>
      <c r="D324" s="58" t="s">
        <v>4441</v>
      </c>
      <c r="E324" s="58">
        <v>4.5</v>
      </c>
      <c r="F324" s="58" t="s">
        <v>158</v>
      </c>
      <c r="G324" s="58" t="s">
        <v>4411</v>
      </c>
      <c r="H324" s="58" t="s">
        <v>4412</v>
      </c>
      <c r="I324" s="58" t="s">
        <v>4413</v>
      </c>
      <c r="J324" s="58" t="s">
        <v>3620</v>
      </c>
      <c r="K324" s="58" t="s">
        <v>4442</v>
      </c>
    </row>
    <row r="325" spans="1:11" ht="15.6">
      <c r="A325" s="58" t="s">
        <v>1</v>
      </c>
      <c r="B325" s="58" t="s">
        <v>19</v>
      </c>
      <c r="C325" s="58" t="s">
        <v>4409</v>
      </c>
      <c r="D325" s="58" t="s">
        <v>4443</v>
      </c>
      <c r="E325" s="58">
        <v>6</v>
      </c>
      <c r="F325" s="58" t="s">
        <v>158</v>
      </c>
      <c r="G325" s="58" t="s">
        <v>4411</v>
      </c>
      <c r="H325" s="58" t="s">
        <v>4412</v>
      </c>
      <c r="I325" s="58" t="s">
        <v>4413</v>
      </c>
      <c r="J325" s="58" t="s">
        <v>3621</v>
      </c>
      <c r="K325" s="58" t="s">
        <v>4444</v>
      </c>
    </row>
    <row r="326" spans="1:11" ht="15.6">
      <c r="A326" s="58" t="s">
        <v>1</v>
      </c>
      <c r="B326" s="58" t="s">
        <v>19</v>
      </c>
      <c r="C326" s="58" t="s">
        <v>4409</v>
      </c>
      <c r="D326" s="58" t="s">
        <v>4445</v>
      </c>
      <c r="E326" s="58">
        <v>3</v>
      </c>
      <c r="F326" s="58" t="s">
        <v>158</v>
      </c>
      <c r="G326" s="58" t="s">
        <v>4411</v>
      </c>
      <c r="H326" s="58" t="s">
        <v>4412</v>
      </c>
      <c r="I326" s="58" t="s">
        <v>4413</v>
      </c>
      <c r="J326" s="58" t="s">
        <v>3622</v>
      </c>
      <c r="K326" s="58" t="s">
        <v>4446</v>
      </c>
    </row>
    <row r="327" spans="1:11" ht="15.6">
      <c r="A327" s="58" t="s">
        <v>1</v>
      </c>
      <c r="B327" s="58" t="s">
        <v>19</v>
      </c>
      <c r="C327" s="58" t="s">
        <v>4409</v>
      </c>
      <c r="D327" s="58" t="s">
        <v>4447</v>
      </c>
      <c r="E327" s="58">
        <v>2.25</v>
      </c>
      <c r="F327" s="58" t="s">
        <v>4448</v>
      </c>
      <c r="G327" s="58" t="s">
        <v>4411</v>
      </c>
      <c r="H327" s="58" t="s">
        <v>4412</v>
      </c>
      <c r="I327" s="58" t="s">
        <v>4413</v>
      </c>
      <c r="J327" s="58" t="s">
        <v>3703</v>
      </c>
      <c r="K327" s="58" t="s">
        <v>4449</v>
      </c>
    </row>
    <row r="328" spans="1:11" ht="15.6">
      <c r="A328" s="58" t="s">
        <v>1</v>
      </c>
      <c r="B328" s="58" t="s">
        <v>19</v>
      </c>
      <c r="C328" s="58" t="s">
        <v>4409</v>
      </c>
      <c r="D328" s="58" t="s">
        <v>4450</v>
      </c>
      <c r="E328" s="58">
        <v>4</v>
      </c>
      <c r="F328" s="58" t="s">
        <v>4448</v>
      </c>
      <c r="G328" s="58" t="s">
        <v>4411</v>
      </c>
      <c r="H328" s="58" t="s">
        <v>4412</v>
      </c>
      <c r="I328" s="58" t="s">
        <v>4413</v>
      </c>
      <c r="J328" s="58" t="s">
        <v>3623</v>
      </c>
      <c r="K328" s="58" t="s">
        <v>4451</v>
      </c>
    </row>
    <row r="329" spans="1:11" ht="15.6">
      <c r="A329" s="58" t="s">
        <v>1</v>
      </c>
      <c r="B329" s="58" t="s">
        <v>19</v>
      </c>
      <c r="C329" s="58" t="s">
        <v>4409</v>
      </c>
      <c r="D329" s="58" t="s">
        <v>4452</v>
      </c>
      <c r="E329" s="58">
        <v>3</v>
      </c>
      <c r="F329" s="58" t="s">
        <v>4448</v>
      </c>
      <c r="G329" s="58" t="s">
        <v>4411</v>
      </c>
      <c r="H329" s="58" t="s">
        <v>4412</v>
      </c>
      <c r="I329" s="58" t="s">
        <v>4413</v>
      </c>
      <c r="J329" s="58" t="s">
        <v>3624</v>
      </c>
      <c r="K329" s="58" t="s">
        <v>4453</v>
      </c>
    </row>
    <row r="330" spans="1:11" ht="15.6">
      <c r="A330" s="58" t="s">
        <v>1</v>
      </c>
      <c r="B330" s="58" t="s">
        <v>19</v>
      </c>
      <c r="C330" s="58" t="s">
        <v>4409</v>
      </c>
      <c r="D330" s="58" t="s">
        <v>4454</v>
      </c>
      <c r="E330" s="58">
        <v>3</v>
      </c>
      <c r="F330" s="58" t="s">
        <v>4448</v>
      </c>
      <c r="G330" s="58" t="s">
        <v>4411</v>
      </c>
      <c r="H330" s="58" t="s">
        <v>4412</v>
      </c>
      <c r="I330" s="58" t="s">
        <v>4413</v>
      </c>
      <c r="J330" s="58" t="s">
        <v>3625</v>
      </c>
      <c r="K330" s="58" t="s">
        <v>4455</v>
      </c>
    </row>
    <row r="331" spans="1:11" ht="15.6">
      <c r="A331" s="58" t="s">
        <v>1</v>
      </c>
      <c r="B331" s="58" t="s">
        <v>19</v>
      </c>
      <c r="C331" s="58" t="s">
        <v>4409</v>
      </c>
      <c r="D331" s="58" t="s">
        <v>4456</v>
      </c>
      <c r="E331" s="58">
        <v>3</v>
      </c>
      <c r="F331" s="58" t="s">
        <v>4448</v>
      </c>
      <c r="G331" s="58" t="s">
        <v>4411</v>
      </c>
      <c r="H331" s="58" t="s">
        <v>4412</v>
      </c>
      <c r="I331" s="58" t="s">
        <v>4413</v>
      </c>
      <c r="J331" s="58" t="s">
        <v>3713</v>
      </c>
      <c r="K331" s="58" t="s">
        <v>4457</v>
      </c>
    </row>
    <row r="332" spans="1:11" ht="25.95" customHeight="1">
      <c r="A332" s="58" t="s">
        <v>34</v>
      </c>
      <c r="B332" s="58" t="s">
        <v>19</v>
      </c>
      <c r="C332" s="58" t="s">
        <v>4409</v>
      </c>
      <c r="D332" s="58" t="s">
        <v>4458</v>
      </c>
      <c r="E332" s="58">
        <v>3</v>
      </c>
      <c r="F332" s="58" t="s">
        <v>4448</v>
      </c>
      <c r="G332" s="58" t="s">
        <v>4411</v>
      </c>
      <c r="H332" s="58" t="s">
        <v>4412</v>
      </c>
      <c r="I332" s="58" t="s">
        <v>4413</v>
      </c>
      <c r="J332" s="58" t="s">
        <v>3716</v>
      </c>
      <c r="K332" s="58" t="s">
        <v>4459</v>
      </c>
    </row>
    <row r="333" spans="1:11" ht="25.95" customHeight="1">
      <c r="A333" s="58" t="s">
        <v>34</v>
      </c>
      <c r="B333" s="58" t="s">
        <v>19</v>
      </c>
      <c r="C333" s="58" t="s">
        <v>4409</v>
      </c>
      <c r="D333" s="58" t="s">
        <v>4460</v>
      </c>
      <c r="E333" s="58">
        <v>2</v>
      </c>
      <c r="F333" s="58" t="s">
        <v>4448</v>
      </c>
      <c r="G333" s="58" t="s">
        <v>4411</v>
      </c>
      <c r="H333" s="58" t="s">
        <v>4412</v>
      </c>
      <c r="I333" s="58" t="s">
        <v>4413</v>
      </c>
      <c r="J333" s="58" t="s">
        <v>3719</v>
      </c>
      <c r="K333" s="58" t="s">
        <v>4461</v>
      </c>
    </row>
    <row r="334" spans="1:11" ht="25.95" customHeight="1">
      <c r="A334" s="58" t="s">
        <v>34</v>
      </c>
      <c r="B334" s="58" t="s">
        <v>19</v>
      </c>
      <c r="C334" s="58" t="s">
        <v>4409</v>
      </c>
      <c r="D334" s="58" t="s">
        <v>4462</v>
      </c>
      <c r="E334" s="58">
        <v>2</v>
      </c>
      <c r="F334" s="58" t="s">
        <v>4448</v>
      </c>
      <c r="G334" s="58" t="s">
        <v>4411</v>
      </c>
      <c r="H334" s="58" t="s">
        <v>4412</v>
      </c>
      <c r="I334" s="58" t="s">
        <v>4413</v>
      </c>
      <c r="J334" s="58" t="s">
        <v>3722</v>
      </c>
      <c r="K334" s="58" t="s">
        <v>4463</v>
      </c>
    </row>
    <row r="335" spans="1:11" ht="25.95" customHeight="1">
      <c r="A335" s="58" t="s">
        <v>34</v>
      </c>
      <c r="B335" s="58" t="s">
        <v>35</v>
      </c>
      <c r="C335" s="58" t="s">
        <v>4409</v>
      </c>
      <c r="D335" s="58" t="s">
        <v>4410</v>
      </c>
      <c r="E335" s="58">
        <v>4</v>
      </c>
      <c r="F335" s="58" t="s">
        <v>4448</v>
      </c>
      <c r="G335" s="58" t="s">
        <v>4411</v>
      </c>
      <c r="H335" s="58" t="s">
        <v>92</v>
      </c>
      <c r="I335" s="58" t="s">
        <v>93</v>
      </c>
      <c r="J335" s="58" t="s">
        <v>3605</v>
      </c>
      <c r="K335" s="58" t="s">
        <v>4464</v>
      </c>
    </row>
    <row r="336" spans="1:11" ht="25.95" customHeight="1">
      <c r="A336" s="58" t="s">
        <v>34</v>
      </c>
      <c r="B336" s="58" t="s">
        <v>35</v>
      </c>
      <c r="C336" s="58" t="s">
        <v>4409</v>
      </c>
      <c r="D336" s="58" t="s">
        <v>4415</v>
      </c>
      <c r="E336" s="58">
        <v>4</v>
      </c>
      <c r="F336" s="58" t="s">
        <v>4448</v>
      </c>
      <c r="G336" s="58" t="s">
        <v>4411</v>
      </c>
      <c r="H336" s="58" t="s">
        <v>92</v>
      </c>
      <c r="I336" s="58" t="s">
        <v>93</v>
      </c>
      <c r="J336" s="58" t="s">
        <v>3606</v>
      </c>
      <c r="K336" s="58" t="s">
        <v>4465</v>
      </c>
    </row>
    <row r="337" spans="1:11" ht="25.95" customHeight="1">
      <c r="A337" s="58" t="s">
        <v>34</v>
      </c>
      <c r="B337" s="58" t="s">
        <v>35</v>
      </c>
      <c r="C337" s="58" t="s">
        <v>4409</v>
      </c>
      <c r="D337" s="58" t="s">
        <v>4417</v>
      </c>
      <c r="E337" s="58">
        <v>3</v>
      </c>
      <c r="F337" s="58" t="s">
        <v>4448</v>
      </c>
      <c r="G337" s="58" t="s">
        <v>4411</v>
      </c>
      <c r="H337" s="58" t="s">
        <v>92</v>
      </c>
      <c r="I337" s="58" t="s">
        <v>93</v>
      </c>
      <c r="J337" s="58" t="s">
        <v>3607</v>
      </c>
      <c r="K337" s="58" t="s">
        <v>4466</v>
      </c>
    </row>
    <row r="338" spans="1:11" ht="25.95" customHeight="1">
      <c r="A338" s="58" t="s">
        <v>34</v>
      </c>
      <c r="B338" s="58" t="s">
        <v>35</v>
      </c>
      <c r="C338" s="58" t="s">
        <v>4409</v>
      </c>
      <c r="D338" s="58" t="s">
        <v>4419</v>
      </c>
      <c r="E338" s="58">
        <v>4</v>
      </c>
      <c r="F338" s="58" t="s">
        <v>4448</v>
      </c>
      <c r="G338" s="58" t="s">
        <v>4411</v>
      </c>
      <c r="H338" s="58" t="s">
        <v>92</v>
      </c>
      <c r="I338" s="58" t="s">
        <v>93</v>
      </c>
      <c r="J338" s="58" t="s">
        <v>3608</v>
      </c>
      <c r="K338" s="58" t="s">
        <v>4467</v>
      </c>
    </row>
    <row r="339" spans="1:11" ht="25.95" customHeight="1">
      <c r="A339" s="58" t="s">
        <v>34</v>
      </c>
      <c r="B339" s="58" t="s">
        <v>35</v>
      </c>
      <c r="C339" s="58" t="s">
        <v>4409</v>
      </c>
      <c r="D339" s="58" t="s">
        <v>4421</v>
      </c>
      <c r="E339" s="58">
        <v>6</v>
      </c>
      <c r="F339" s="58" t="s">
        <v>158</v>
      </c>
      <c r="G339" s="58" t="s">
        <v>4411</v>
      </c>
      <c r="H339" s="58" t="s">
        <v>92</v>
      </c>
      <c r="I339" s="58" t="s">
        <v>93</v>
      </c>
      <c r="J339" s="58" t="s">
        <v>3609</v>
      </c>
      <c r="K339" s="58" t="s">
        <v>4468</v>
      </c>
    </row>
    <row r="340" spans="1:11" ht="25.95" customHeight="1">
      <c r="A340" s="58" t="s">
        <v>34</v>
      </c>
      <c r="B340" s="58" t="s">
        <v>35</v>
      </c>
      <c r="C340" s="58" t="s">
        <v>4409</v>
      </c>
      <c r="D340" s="58" t="s">
        <v>4423</v>
      </c>
      <c r="E340" s="58">
        <v>5</v>
      </c>
      <c r="F340" s="58" t="s">
        <v>158</v>
      </c>
      <c r="G340" s="58" t="s">
        <v>4411</v>
      </c>
      <c r="H340" s="58" t="s">
        <v>92</v>
      </c>
      <c r="I340" s="58" t="s">
        <v>93</v>
      </c>
      <c r="J340" s="58" t="s">
        <v>3611</v>
      </c>
      <c r="K340" s="58" t="s">
        <v>4469</v>
      </c>
    </row>
    <row r="341" spans="1:11" ht="25.95" customHeight="1">
      <c r="A341" s="58" t="s">
        <v>34</v>
      </c>
      <c r="B341" s="58" t="s">
        <v>35</v>
      </c>
      <c r="C341" s="58" t="s">
        <v>4409</v>
      </c>
      <c r="D341" s="58" t="s">
        <v>4425</v>
      </c>
      <c r="E341" s="58">
        <v>5</v>
      </c>
      <c r="F341" s="58" t="s">
        <v>158</v>
      </c>
      <c r="G341" s="58" t="s">
        <v>4411</v>
      </c>
      <c r="H341" s="58" t="s">
        <v>92</v>
      </c>
      <c r="I341" s="58" t="s">
        <v>93</v>
      </c>
      <c r="J341" s="58" t="s">
        <v>3612</v>
      </c>
      <c r="K341" s="58" t="s">
        <v>4470</v>
      </c>
    </row>
    <row r="342" spans="1:11" ht="25.95" customHeight="1">
      <c r="A342" s="58" t="s">
        <v>34</v>
      </c>
      <c r="B342" s="58" t="s">
        <v>35</v>
      </c>
      <c r="C342" s="58" t="s">
        <v>4409</v>
      </c>
      <c r="D342" s="58" t="s">
        <v>4427</v>
      </c>
      <c r="E342" s="58">
        <v>4</v>
      </c>
      <c r="F342" s="58" t="s">
        <v>158</v>
      </c>
      <c r="G342" s="58" t="s">
        <v>4411</v>
      </c>
      <c r="H342" s="58" t="s">
        <v>92</v>
      </c>
      <c r="I342" s="58" t="s">
        <v>93</v>
      </c>
      <c r="J342" s="58" t="s">
        <v>3613</v>
      </c>
      <c r="K342" s="58" t="s">
        <v>4471</v>
      </c>
    </row>
    <row r="343" spans="1:11" ht="25.95" customHeight="1">
      <c r="A343" s="58" t="s">
        <v>34</v>
      </c>
      <c r="B343" s="58" t="s">
        <v>35</v>
      </c>
      <c r="C343" s="58" t="s">
        <v>4409</v>
      </c>
      <c r="D343" s="58" t="s">
        <v>4429</v>
      </c>
      <c r="E343" s="58">
        <v>4</v>
      </c>
      <c r="F343" s="58" t="s">
        <v>158</v>
      </c>
      <c r="G343" s="58" t="s">
        <v>4411</v>
      </c>
      <c r="H343" s="58" t="s">
        <v>92</v>
      </c>
      <c r="I343" s="58" t="s">
        <v>93</v>
      </c>
      <c r="J343" s="58" t="s">
        <v>3614</v>
      </c>
      <c r="K343" s="58" t="s">
        <v>4472</v>
      </c>
    </row>
    <row r="344" spans="1:11" ht="25.95" customHeight="1">
      <c r="A344" s="58" t="s">
        <v>34</v>
      </c>
      <c r="B344" s="58" t="s">
        <v>35</v>
      </c>
      <c r="C344" s="58" t="s">
        <v>4409</v>
      </c>
      <c r="D344" s="58" t="s">
        <v>4431</v>
      </c>
      <c r="E344" s="58">
        <v>4</v>
      </c>
      <c r="F344" s="58" t="s">
        <v>4448</v>
      </c>
      <c r="G344" s="58" t="s">
        <v>4411</v>
      </c>
      <c r="H344" s="58" t="s">
        <v>92</v>
      </c>
      <c r="I344" s="58" t="s">
        <v>93</v>
      </c>
      <c r="J344" s="58" t="s">
        <v>3615</v>
      </c>
      <c r="K344" s="58" t="s">
        <v>4473</v>
      </c>
    </row>
    <row r="345" spans="1:11" ht="25.95" customHeight="1">
      <c r="A345" s="58" t="s">
        <v>34</v>
      </c>
      <c r="B345" s="58" t="s">
        <v>35</v>
      </c>
      <c r="C345" s="58" t="s">
        <v>4409</v>
      </c>
      <c r="D345" s="58" t="s">
        <v>4433</v>
      </c>
      <c r="E345" s="58">
        <v>5</v>
      </c>
      <c r="F345" s="58" t="s">
        <v>4448</v>
      </c>
      <c r="G345" s="58" t="s">
        <v>4411</v>
      </c>
      <c r="H345" s="58" t="s">
        <v>92</v>
      </c>
      <c r="I345" s="58" t="s">
        <v>93</v>
      </c>
      <c r="J345" s="58" t="s">
        <v>3616</v>
      </c>
      <c r="K345" s="58" t="s">
        <v>4474</v>
      </c>
    </row>
    <row r="346" spans="1:11" ht="25.95" customHeight="1">
      <c r="A346" s="58" t="s">
        <v>34</v>
      </c>
      <c r="B346" s="58" t="s">
        <v>35</v>
      </c>
      <c r="C346" s="58" t="s">
        <v>4409</v>
      </c>
      <c r="D346" s="58" t="s">
        <v>4435</v>
      </c>
      <c r="E346" s="58">
        <v>4</v>
      </c>
      <c r="F346" s="58" t="s">
        <v>4448</v>
      </c>
      <c r="G346" s="58" t="s">
        <v>4411</v>
      </c>
      <c r="H346" s="58" t="s">
        <v>92</v>
      </c>
      <c r="I346" s="58" t="s">
        <v>93</v>
      </c>
      <c r="J346" s="58" t="s">
        <v>3617</v>
      </c>
      <c r="K346" s="58" t="s">
        <v>4475</v>
      </c>
    </row>
    <row r="347" spans="1:11" ht="25.95" customHeight="1">
      <c r="A347" s="58" t="s">
        <v>34</v>
      </c>
      <c r="B347" s="58" t="s">
        <v>35</v>
      </c>
      <c r="C347" s="58" t="s">
        <v>4409</v>
      </c>
      <c r="D347" s="58" t="s">
        <v>4437</v>
      </c>
      <c r="E347" s="58">
        <v>3</v>
      </c>
      <c r="F347" s="58" t="s">
        <v>4448</v>
      </c>
      <c r="G347" s="58" t="s">
        <v>4411</v>
      </c>
      <c r="H347" s="58" t="s">
        <v>92</v>
      </c>
      <c r="I347" s="58" t="s">
        <v>93</v>
      </c>
      <c r="J347" s="58" t="s">
        <v>3618</v>
      </c>
      <c r="K347" s="58" t="s">
        <v>4476</v>
      </c>
    </row>
    <row r="348" spans="1:11" ht="25.95" customHeight="1">
      <c r="A348" s="58" t="s">
        <v>34</v>
      </c>
      <c r="B348" s="58" t="s">
        <v>35</v>
      </c>
      <c r="C348" s="58" t="s">
        <v>4409</v>
      </c>
      <c r="D348" s="58" t="s">
        <v>4439</v>
      </c>
      <c r="E348" s="58">
        <v>4</v>
      </c>
      <c r="F348" s="58" t="s">
        <v>4448</v>
      </c>
      <c r="G348" s="58" t="s">
        <v>4411</v>
      </c>
      <c r="H348" s="58" t="s">
        <v>92</v>
      </c>
      <c r="I348" s="58" t="s">
        <v>93</v>
      </c>
      <c r="J348" s="58" t="s">
        <v>3619</v>
      </c>
      <c r="K348" s="58" t="s">
        <v>4477</v>
      </c>
    </row>
    <row r="349" spans="1:11" ht="15.6">
      <c r="A349" s="58" t="s">
        <v>34</v>
      </c>
      <c r="B349" s="58" t="s">
        <v>35</v>
      </c>
      <c r="C349" s="58" t="s">
        <v>4409</v>
      </c>
      <c r="D349" s="58" t="s">
        <v>4441</v>
      </c>
      <c r="E349" s="58">
        <v>6</v>
      </c>
      <c r="F349" s="58" t="s">
        <v>4448</v>
      </c>
      <c r="G349" s="58" t="s">
        <v>4411</v>
      </c>
      <c r="H349" s="58" t="s">
        <v>92</v>
      </c>
      <c r="I349" s="58" t="s">
        <v>93</v>
      </c>
      <c r="J349" s="58" t="s">
        <v>3620</v>
      </c>
      <c r="K349" s="58" t="s">
        <v>4478</v>
      </c>
    </row>
    <row r="350" spans="1:11" ht="15.6">
      <c r="A350" s="58" t="s">
        <v>34</v>
      </c>
      <c r="B350" s="58" t="s">
        <v>35</v>
      </c>
      <c r="C350" s="58" t="s">
        <v>4409</v>
      </c>
      <c r="D350" s="58" t="s">
        <v>4443</v>
      </c>
      <c r="E350" s="58">
        <v>6</v>
      </c>
      <c r="F350" s="58" t="s">
        <v>4448</v>
      </c>
      <c r="G350" s="58" t="s">
        <v>4411</v>
      </c>
      <c r="H350" s="58" t="s">
        <v>92</v>
      </c>
      <c r="I350" s="58" t="s">
        <v>93</v>
      </c>
      <c r="J350" s="58" t="s">
        <v>3621</v>
      </c>
      <c r="K350" s="58" t="s">
        <v>4479</v>
      </c>
    </row>
    <row r="351" spans="1:11" ht="15.6">
      <c r="A351" s="58" t="s">
        <v>34</v>
      </c>
      <c r="B351" s="58" t="s">
        <v>35</v>
      </c>
      <c r="C351" s="58" t="s">
        <v>4409</v>
      </c>
      <c r="D351" s="58" t="s">
        <v>4445</v>
      </c>
      <c r="E351" s="58">
        <v>4.5</v>
      </c>
      <c r="F351" s="58" t="s">
        <v>4448</v>
      </c>
      <c r="G351" s="58" t="s">
        <v>4411</v>
      </c>
      <c r="H351" s="58" t="s">
        <v>92</v>
      </c>
      <c r="I351" s="58" t="s">
        <v>93</v>
      </c>
      <c r="J351" s="58" t="s">
        <v>3622</v>
      </c>
      <c r="K351" s="58" t="s">
        <v>4480</v>
      </c>
    </row>
    <row r="352" spans="1:11" ht="25.95" customHeight="1">
      <c r="A352" s="58" t="s">
        <v>34</v>
      </c>
      <c r="B352" s="58" t="s">
        <v>35</v>
      </c>
      <c r="C352" s="58" t="s">
        <v>4409</v>
      </c>
      <c r="D352" s="58" t="s">
        <v>4447</v>
      </c>
      <c r="E352" s="58">
        <v>3</v>
      </c>
      <c r="F352" s="58" t="s">
        <v>4448</v>
      </c>
      <c r="G352" s="58" t="s">
        <v>4411</v>
      </c>
      <c r="H352" s="58" t="s">
        <v>92</v>
      </c>
      <c r="I352" s="58" t="s">
        <v>93</v>
      </c>
      <c r="J352" s="58" t="s">
        <v>3703</v>
      </c>
      <c r="K352" s="58" t="s">
        <v>4481</v>
      </c>
    </row>
    <row r="353" spans="1:11" ht="15.6">
      <c r="A353" s="58" t="s">
        <v>34</v>
      </c>
      <c r="B353" s="58" t="s">
        <v>35</v>
      </c>
      <c r="C353" s="58" t="s">
        <v>4409</v>
      </c>
      <c r="D353" s="58" t="s">
        <v>4450</v>
      </c>
      <c r="E353" s="58">
        <v>4</v>
      </c>
      <c r="F353" s="58" t="s">
        <v>4448</v>
      </c>
      <c r="G353" s="58" t="s">
        <v>4411</v>
      </c>
      <c r="H353" s="58" t="s">
        <v>92</v>
      </c>
      <c r="I353" s="58" t="s">
        <v>93</v>
      </c>
      <c r="J353" s="58" t="s">
        <v>3623</v>
      </c>
      <c r="K353" s="58" t="s">
        <v>4482</v>
      </c>
    </row>
    <row r="354" spans="1:11" ht="25.95" customHeight="1">
      <c r="A354" s="58" t="s">
        <v>34</v>
      </c>
      <c r="B354" s="58" t="s">
        <v>35</v>
      </c>
      <c r="C354" s="58" t="s">
        <v>4409</v>
      </c>
      <c r="D354" s="58" t="s">
        <v>4452</v>
      </c>
      <c r="E354" s="58">
        <v>3</v>
      </c>
      <c r="F354" s="58" t="s">
        <v>4448</v>
      </c>
      <c r="G354" s="58" t="s">
        <v>4411</v>
      </c>
      <c r="H354" s="58" t="s">
        <v>92</v>
      </c>
      <c r="I354" s="58" t="s">
        <v>93</v>
      </c>
      <c r="J354" s="58" t="s">
        <v>3624</v>
      </c>
      <c r="K354" s="58" t="s">
        <v>4483</v>
      </c>
    </row>
    <row r="355" spans="1:11" ht="25.95" customHeight="1">
      <c r="A355" s="58" t="s">
        <v>34</v>
      </c>
      <c r="B355" s="58" t="s">
        <v>35</v>
      </c>
      <c r="C355" s="58" t="s">
        <v>4409</v>
      </c>
      <c r="D355" s="58" t="s">
        <v>4454</v>
      </c>
      <c r="E355" s="58">
        <v>3</v>
      </c>
      <c r="F355" s="58" t="s">
        <v>4448</v>
      </c>
      <c r="G355" s="58" t="s">
        <v>4411</v>
      </c>
      <c r="H355" s="58" t="s">
        <v>92</v>
      </c>
      <c r="I355" s="58" t="s">
        <v>93</v>
      </c>
      <c r="J355" s="58" t="s">
        <v>3625</v>
      </c>
      <c r="K355" s="58" t="s">
        <v>4484</v>
      </c>
    </row>
    <row r="356" spans="1:11" ht="25.95" customHeight="1">
      <c r="A356" s="58" t="s">
        <v>34</v>
      </c>
      <c r="B356" s="58" t="s">
        <v>35</v>
      </c>
      <c r="C356" s="58" t="s">
        <v>4409</v>
      </c>
      <c r="D356" s="58" t="s">
        <v>4456</v>
      </c>
      <c r="E356" s="58">
        <v>3</v>
      </c>
      <c r="F356" s="58" t="s">
        <v>158</v>
      </c>
      <c r="G356" s="58" t="s">
        <v>4411</v>
      </c>
      <c r="H356" s="58" t="s">
        <v>92</v>
      </c>
      <c r="I356" s="58" t="s">
        <v>93</v>
      </c>
      <c r="J356" s="58" t="s">
        <v>3713</v>
      </c>
      <c r="K356" s="58" t="s">
        <v>4485</v>
      </c>
    </row>
    <row r="357" spans="1:11" ht="25.95" customHeight="1">
      <c r="A357" s="58" t="s">
        <v>34</v>
      </c>
      <c r="B357" s="58" t="s">
        <v>35</v>
      </c>
      <c r="C357" s="58" t="s">
        <v>4409</v>
      </c>
      <c r="D357" s="58" t="s">
        <v>4458</v>
      </c>
      <c r="E357" s="58">
        <v>3</v>
      </c>
      <c r="F357" s="58" t="s">
        <v>158</v>
      </c>
      <c r="G357" s="58" t="s">
        <v>4411</v>
      </c>
      <c r="H357" s="58" t="s">
        <v>92</v>
      </c>
      <c r="I357" s="58" t="s">
        <v>93</v>
      </c>
      <c r="J357" s="58" t="s">
        <v>3716</v>
      </c>
      <c r="K357" s="58" t="s">
        <v>4486</v>
      </c>
    </row>
    <row r="358" spans="1:11" ht="25.95" customHeight="1">
      <c r="A358" s="58" t="s">
        <v>34</v>
      </c>
      <c r="B358" s="58" t="s">
        <v>35</v>
      </c>
      <c r="C358" s="58" t="s">
        <v>4409</v>
      </c>
      <c r="D358" s="58" t="s">
        <v>4460</v>
      </c>
      <c r="E358" s="58">
        <v>2</v>
      </c>
      <c r="F358" s="58" t="s">
        <v>158</v>
      </c>
      <c r="G358" s="58" t="s">
        <v>4411</v>
      </c>
      <c r="H358" s="58" t="s">
        <v>92</v>
      </c>
      <c r="I358" s="58" t="s">
        <v>93</v>
      </c>
      <c r="J358" s="58" t="s">
        <v>3719</v>
      </c>
      <c r="K358" s="58" t="s">
        <v>4487</v>
      </c>
    </row>
    <row r="359" spans="1:11" ht="25.95" customHeight="1">
      <c r="A359" s="58" t="s">
        <v>34</v>
      </c>
      <c r="B359" s="58" t="s">
        <v>35</v>
      </c>
      <c r="C359" s="58" t="s">
        <v>4409</v>
      </c>
      <c r="D359" s="58" t="s">
        <v>4462</v>
      </c>
      <c r="E359" s="58">
        <v>2</v>
      </c>
      <c r="F359" s="58" t="s">
        <v>158</v>
      </c>
      <c r="G359" s="58" t="s">
        <v>4411</v>
      </c>
      <c r="H359" s="58" t="s">
        <v>92</v>
      </c>
      <c r="I359" s="58" t="s">
        <v>93</v>
      </c>
      <c r="J359" s="58" t="s">
        <v>3722</v>
      </c>
      <c r="K359" s="58" t="s">
        <v>4488</v>
      </c>
    </row>
    <row r="360" spans="1:11" ht="25.95" customHeight="1">
      <c r="A360" s="58" t="s">
        <v>13</v>
      </c>
      <c r="B360" s="58" t="s">
        <v>19</v>
      </c>
      <c r="C360" s="58" t="s">
        <v>4409</v>
      </c>
      <c r="D360" s="58" t="s">
        <v>4410</v>
      </c>
      <c r="E360" s="58">
        <v>4</v>
      </c>
      <c r="F360" s="58" t="s">
        <v>158</v>
      </c>
      <c r="G360" s="58" t="s">
        <v>4411</v>
      </c>
      <c r="H360" s="58" t="s">
        <v>3813</v>
      </c>
      <c r="I360" s="58" t="s">
        <v>3814</v>
      </c>
      <c r="J360" s="58" t="s">
        <v>3605</v>
      </c>
      <c r="K360" s="58" t="s">
        <v>4489</v>
      </c>
    </row>
    <row r="361" spans="1:11" ht="25.95" customHeight="1">
      <c r="A361" s="58" t="s">
        <v>13</v>
      </c>
      <c r="B361" s="58" t="s">
        <v>19</v>
      </c>
      <c r="C361" s="58" t="s">
        <v>4409</v>
      </c>
      <c r="D361" s="58" t="s">
        <v>4415</v>
      </c>
      <c r="E361" s="58">
        <v>4</v>
      </c>
      <c r="F361" s="58" t="s">
        <v>158</v>
      </c>
      <c r="G361" s="58" t="s">
        <v>4411</v>
      </c>
      <c r="H361" s="58" t="s">
        <v>3813</v>
      </c>
      <c r="I361" s="58" t="s">
        <v>3814</v>
      </c>
      <c r="J361" s="58" t="s">
        <v>3606</v>
      </c>
      <c r="K361" s="58" t="s">
        <v>4490</v>
      </c>
    </row>
    <row r="362" spans="1:11" ht="25.95" customHeight="1">
      <c r="A362" s="58" t="s">
        <v>13</v>
      </c>
      <c r="B362" s="58" t="s">
        <v>19</v>
      </c>
      <c r="C362" s="58" t="s">
        <v>4409</v>
      </c>
      <c r="D362" s="58" t="s">
        <v>4417</v>
      </c>
      <c r="E362" s="58">
        <v>3</v>
      </c>
      <c r="F362" s="58" t="s">
        <v>158</v>
      </c>
      <c r="G362" s="58" t="s">
        <v>4411</v>
      </c>
      <c r="H362" s="58" t="s">
        <v>3813</v>
      </c>
      <c r="I362" s="58" t="s">
        <v>3814</v>
      </c>
      <c r="J362" s="58" t="s">
        <v>3607</v>
      </c>
      <c r="K362" s="58" t="s">
        <v>4491</v>
      </c>
    </row>
    <row r="363" spans="1:11" ht="25.95" customHeight="1">
      <c r="A363" s="58" t="s">
        <v>13</v>
      </c>
      <c r="B363" s="58" t="s">
        <v>19</v>
      </c>
      <c r="C363" s="58" t="s">
        <v>4409</v>
      </c>
      <c r="D363" s="58" t="s">
        <v>4419</v>
      </c>
      <c r="E363" s="58">
        <v>4</v>
      </c>
      <c r="F363" s="58" t="s">
        <v>158</v>
      </c>
      <c r="G363" s="58" t="s">
        <v>4411</v>
      </c>
      <c r="H363" s="58" t="s">
        <v>3813</v>
      </c>
      <c r="I363" s="58" t="s">
        <v>3814</v>
      </c>
      <c r="J363" s="58" t="s">
        <v>3608</v>
      </c>
      <c r="K363" s="58" t="s">
        <v>4492</v>
      </c>
    </row>
    <row r="364" spans="1:11" ht="25.95" customHeight="1">
      <c r="A364" s="58" t="s">
        <v>13</v>
      </c>
      <c r="B364" s="58" t="s">
        <v>19</v>
      </c>
      <c r="C364" s="58" t="s">
        <v>4409</v>
      </c>
      <c r="D364" s="58" t="s">
        <v>4421</v>
      </c>
      <c r="E364" s="58">
        <v>6</v>
      </c>
      <c r="F364" s="58" t="s">
        <v>158</v>
      </c>
      <c r="G364" s="58" t="s">
        <v>4411</v>
      </c>
      <c r="H364" s="58" t="s">
        <v>3813</v>
      </c>
      <c r="I364" s="58" t="s">
        <v>3814</v>
      </c>
      <c r="J364" s="58" t="s">
        <v>3609</v>
      </c>
      <c r="K364" s="58" t="s">
        <v>4493</v>
      </c>
    </row>
    <row r="365" spans="1:11" ht="25.95" customHeight="1">
      <c r="A365" s="58" t="s">
        <v>13</v>
      </c>
      <c r="B365" s="58" t="s">
        <v>19</v>
      </c>
      <c r="C365" s="58" t="s">
        <v>4409</v>
      </c>
      <c r="D365" s="58" t="s">
        <v>4423</v>
      </c>
      <c r="E365" s="58">
        <v>5</v>
      </c>
      <c r="F365" s="58" t="s">
        <v>158</v>
      </c>
      <c r="G365" s="58" t="s">
        <v>4411</v>
      </c>
      <c r="H365" s="58" t="s">
        <v>3813</v>
      </c>
      <c r="I365" s="58" t="s">
        <v>3814</v>
      </c>
      <c r="J365" s="58" t="s">
        <v>3611</v>
      </c>
      <c r="K365" s="58" t="s">
        <v>4494</v>
      </c>
    </row>
    <row r="366" spans="1:11" ht="25.95" customHeight="1">
      <c r="A366" s="58" t="s">
        <v>13</v>
      </c>
      <c r="B366" s="58" t="s">
        <v>19</v>
      </c>
      <c r="C366" s="58" t="s">
        <v>4409</v>
      </c>
      <c r="D366" s="58" t="s">
        <v>4425</v>
      </c>
      <c r="E366" s="58">
        <v>5</v>
      </c>
      <c r="F366" s="58" t="s">
        <v>158</v>
      </c>
      <c r="G366" s="58" t="s">
        <v>4411</v>
      </c>
      <c r="H366" s="58" t="s">
        <v>3813</v>
      </c>
      <c r="I366" s="58" t="s">
        <v>3814</v>
      </c>
      <c r="J366" s="58" t="s">
        <v>3612</v>
      </c>
      <c r="K366" s="58" t="s">
        <v>4495</v>
      </c>
    </row>
    <row r="367" spans="1:11" ht="25.95" customHeight="1">
      <c r="A367" s="58" t="s">
        <v>13</v>
      </c>
      <c r="B367" s="58" t="s">
        <v>19</v>
      </c>
      <c r="C367" s="58" t="s">
        <v>4409</v>
      </c>
      <c r="D367" s="58" t="s">
        <v>4427</v>
      </c>
      <c r="E367" s="58">
        <v>3</v>
      </c>
      <c r="F367" s="58" t="s">
        <v>158</v>
      </c>
      <c r="G367" s="58" t="s">
        <v>4411</v>
      </c>
      <c r="H367" s="58" t="s">
        <v>3813</v>
      </c>
      <c r="I367" s="58" t="s">
        <v>3814</v>
      </c>
      <c r="J367" s="58" t="s">
        <v>3613</v>
      </c>
      <c r="K367" s="58" t="s">
        <v>4496</v>
      </c>
    </row>
    <row r="368" spans="1:11" ht="25.95" customHeight="1">
      <c r="A368" s="58" t="s">
        <v>13</v>
      </c>
      <c r="B368" s="58" t="s">
        <v>19</v>
      </c>
      <c r="C368" s="58" t="s">
        <v>4409</v>
      </c>
      <c r="D368" s="58" t="s">
        <v>4429</v>
      </c>
      <c r="E368" s="58">
        <v>4</v>
      </c>
      <c r="F368" s="58" t="s">
        <v>158</v>
      </c>
      <c r="G368" s="58" t="s">
        <v>4411</v>
      </c>
      <c r="H368" s="58" t="s">
        <v>3813</v>
      </c>
      <c r="I368" s="58" t="s">
        <v>3814</v>
      </c>
      <c r="J368" s="58" t="s">
        <v>3614</v>
      </c>
      <c r="K368" s="58" t="s">
        <v>4497</v>
      </c>
    </row>
    <row r="369" spans="1:11" ht="25.95" customHeight="1">
      <c r="A369" s="58" t="s">
        <v>13</v>
      </c>
      <c r="B369" s="58" t="s">
        <v>19</v>
      </c>
      <c r="C369" s="58" t="s">
        <v>4409</v>
      </c>
      <c r="D369" s="58" t="s">
        <v>4431</v>
      </c>
      <c r="E369" s="58">
        <v>3</v>
      </c>
      <c r="F369" s="58" t="s">
        <v>158</v>
      </c>
      <c r="G369" s="58" t="s">
        <v>4411</v>
      </c>
      <c r="H369" s="58" t="s">
        <v>3813</v>
      </c>
      <c r="I369" s="58" t="s">
        <v>3814</v>
      </c>
      <c r="J369" s="58" t="s">
        <v>3615</v>
      </c>
      <c r="K369" s="58" t="s">
        <v>4498</v>
      </c>
    </row>
    <row r="370" spans="1:11" ht="25.95" customHeight="1">
      <c r="A370" s="58" t="s">
        <v>13</v>
      </c>
      <c r="B370" s="58" t="s">
        <v>19</v>
      </c>
      <c r="C370" s="58" t="s">
        <v>4409</v>
      </c>
      <c r="D370" s="58" t="s">
        <v>4433</v>
      </c>
      <c r="E370" s="58">
        <v>2.5</v>
      </c>
      <c r="F370" s="58" t="s">
        <v>158</v>
      </c>
      <c r="G370" s="58" t="s">
        <v>4411</v>
      </c>
      <c r="H370" s="58" t="s">
        <v>3813</v>
      </c>
      <c r="I370" s="58" t="s">
        <v>3814</v>
      </c>
      <c r="J370" s="58" t="s">
        <v>3616</v>
      </c>
      <c r="K370" s="58" t="s">
        <v>4499</v>
      </c>
    </row>
    <row r="371" spans="1:11" ht="25.95" customHeight="1">
      <c r="A371" s="58" t="s">
        <v>13</v>
      </c>
      <c r="B371" s="58" t="s">
        <v>19</v>
      </c>
      <c r="C371" s="58" t="s">
        <v>4409</v>
      </c>
      <c r="D371" s="58" t="s">
        <v>4435</v>
      </c>
      <c r="E371" s="58">
        <v>4</v>
      </c>
      <c r="F371" s="58" t="s">
        <v>158</v>
      </c>
      <c r="G371" s="58" t="s">
        <v>4411</v>
      </c>
      <c r="H371" s="58" t="s">
        <v>3813</v>
      </c>
      <c r="I371" s="58" t="s">
        <v>3814</v>
      </c>
      <c r="J371" s="58" t="s">
        <v>3617</v>
      </c>
      <c r="K371" s="58" t="s">
        <v>4500</v>
      </c>
    </row>
    <row r="372" spans="1:11" ht="25.95" customHeight="1">
      <c r="A372" s="58" t="s">
        <v>13</v>
      </c>
      <c r="B372" s="58" t="s">
        <v>19</v>
      </c>
      <c r="C372" s="58" t="s">
        <v>4409</v>
      </c>
      <c r="D372" s="58" t="s">
        <v>4437</v>
      </c>
      <c r="E372" s="58">
        <v>2.25</v>
      </c>
      <c r="F372" s="58" t="s">
        <v>158</v>
      </c>
      <c r="G372" s="58" t="s">
        <v>4411</v>
      </c>
      <c r="H372" s="58" t="s">
        <v>3813</v>
      </c>
      <c r="I372" s="58" t="s">
        <v>3814</v>
      </c>
      <c r="J372" s="58" t="s">
        <v>3618</v>
      </c>
      <c r="K372" s="58" t="s">
        <v>4501</v>
      </c>
    </row>
    <row r="373" spans="1:11" ht="25.95" customHeight="1">
      <c r="A373" s="58" t="s">
        <v>13</v>
      </c>
      <c r="B373" s="58" t="s">
        <v>19</v>
      </c>
      <c r="C373" s="58" t="s">
        <v>4409</v>
      </c>
      <c r="D373" s="58" t="s">
        <v>4439</v>
      </c>
      <c r="E373" s="58">
        <v>2</v>
      </c>
      <c r="F373" s="58" t="s">
        <v>158</v>
      </c>
      <c r="G373" s="58" t="s">
        <v>4411</v>
      </c>
      <c r="H373" s="58" t="s">
        <v>3813</v>
      </c>
      <c r="I373" s="58" t="s">
        <v>3814</v>
      </c>
      <c r="J373" s="58" t="s">
        <v>3619</v>
      </c>
      <c r="K373" s="58" t="s">
        <v>4502</v>
      </c>
    </row>
    <row r="374" spans="1:11" ht="25.95" customHeight="1">
      <c r="A374" s="58" t="s">
        <v>13</v>
      </c>
      <c r="B374" s="58" t="s">
        <v>19</v>
      </c>
      <c r="C374" s="58" t="s">
        <v>4409</v>
      </c>
      <c r="D374" s="58" t="s">
        <v>4441</v>
      </c>
      <c r="E374" s="58">
        <v>4.5</v>
      </c>
      <c r="F374" s="58" t="s">
        <v>158</v>
      </c>
      <c r="G374" s="58" t="s">
        <v>4411</v>
      </c>
      <c r="H374" s="58" t="s">
        <v>3813</v>
      </c>
      <c r="I374" s="58" t="s">
        <v>3814</v>
      </c>
      <c r="J374" s="58" t="s">
        <v>3620</v>
      </c>
      <c r="K374" s="58" t="s">
        <v>4503</v>
      </c>
    </row>
    <row r="375" spans="1:11" ht="25.95" customHeight="1">
      <c r="A375" s="58" t="s">
        <v>13</v>
      </c>
      <c r="B375" s="58" t="s">
        <v>19</v>
      </c>
      <c r="C375" s="58" t="s">
        <v>4409</v>
      </c>
      <c r="D375" s="58" t="s">
        <v>4443</v>
      </c>
      <c r="E375" s="58">
        <v>6</v>
      </c>
      <c r="F375" s="58" t="s">
        <v>158</v>
      </c>
      <c r="G375" s="58" t="s">
        <v>4411</v>
      </c>
      <c r="H375" s="58" t="s">
        <v>3813</v>
      </c>
      <c r="I375" s="58" t="s">
        <v>3814</v>
      </c>
      <c r="J375" s="58" t="s">
        <v>3621</v>
      </c>
      <c r="K375" s="58" t="s">
        <v>4504</v>
      </c>
    </row>
    <row r="376" spans="1:11" ht="25.95" customHeight="1">
      <c r="A376" s="58" t="s">
        <v>13</v>
      </c>
      <c r="B376" s="58" t="s">
        <v>19</v>
      </c>
      <c r="C376" s="58" t="s">
        <v>4409</v>
      </c>
      <c r="D376" s="58" t="s">
        <v>4445</v>
      </c>
      <c r="E376" s="58">
        <v>3</v>
      </c>
      <c r="F376" s="58" t="s">
        <v>158</v>
      </c>
      <c r="G376" s="58" t="s">
        <v>4411</v>
      </c>
      <c r="H376" s="58" t="s">
        <v>3813</v>
      </c>
      <c r="I376" s="58" t="s">
        <v>3814</v>
      </c>
      <c r="J376" s="58" t="s">
        <v>3622</v>
      </c>
      <c r="K376" s="58" t="s">
        <v>4505</v>
      </c>
    </row>
    <row r="377" spans="1:11" ht="25.95" customHeight="1">
      <c r="A377" s="58" t="s">
        <v>13</v>
      </c>
      <c r="B377" s="58" t="s">
        <v>19</v>
      </c>
      <c r="C377" s="58" t="s">
        <v>4409</v>
      </c>
      <c r="D377" s="58" t="s">
        <v>4447</v>
      </c>
      <c r="E377" s="58">
        <v>1.5</v>
      </c>
      <c r="F377" s="58" t="s">
        <v>4448</v>
      </c>
      <c r="G377" s="58" t="s">
        <v>4411</v>
      </c>
      <c r="H377" s="58" t="s">
        <v>3813</v>
      </c>
      <c r="I377" s="58" t="s">
        <v>3814</v>
      </c>
      <c r="J377" s="58" t="s">
        <v>3703</v>
      </c>
      <c r="K377" s="58" t="s">
        <v>4506</v>
      </c>
    </row>
    <row r="378" spans="1:11" ht="25.95" customHeight="1">
      <c r="A378" s="58" t="s">
        <v>13</v>
      </c>
      <c r="B378" s="58" t="s">
        <v>19</v>
      </c>
      <c r="C378" s="58" t="s">
        <v>4409</v>
      </c>
      <c r="D378" s="58" t="s">
        <v>4450</v>
      </c>
      <c r="E378" s="58">
        <v>4</v>
      </c>
      <c r="F378" s="58" t="s">
        <v>4448</v>
      </c>
      <c r="G378" s="58" t="s">
        <v>4411</v>
      </c>
      <c r="H378" s="58" t="s">
        <v>3813</v>
      </c>
      <c r="I378" s="58" t="s">
        <v>3814</v>
      </c>
      <c r="J378" s="58" t="s">
        <v>3623</v>
      </c>
      <c r="K378" s="58" t="s">
        <v>4507</v>
      </c>
    </row>
    <row r="379" spans="1:11" ht="25.95" customHeight="1">
      <c r="A379" s="58" t="s">
        <v>13</v>
      </c>
      <c r="B379" s="58" t="s">
        <v>19</v>
      </c>
      <c r="C379" s="58" t="s">
        <v>4409</v>
      </c>
      <c r="D379" s="58" t="s">
        <v>4452</v>
      </c>
      <c r="E379" s="58">
        <v>1.5</v>
      </c>
      <c r="F379" s="58" t="s">
        <v>4448</v>
      </c>
      <c r="G379" s="58" t="s">
        <v>4411</v>
      </c>
      <c r="H379" s="58" t="s">
        <v>3813</v>
      </c>
      <c r="I379" s="58" t="s">
        <v>3814</v>
      </c>
      <c r="J379" s="58" t="s">
        <v>3624</v>
      </c>
      <c r="K379" s="58" t="s">
        <v>4508</v>
      </c>
    </row>
    <row r="380" spans="1:11" ht="25.95" customHeight="1">
      <c r="A380" s="58" t="s">
        <v>13</v>
      </c>
      <c r="B380" s="58" t="s">
        <v>19</v>
      </c>
      <c r="C380" s="58" t="s">
        <v>4409</v>
      </c>
      <c r="D380" s="58" t="s">
        <v>4454</v>
      </c>
      <c r="E380" s="58">
        <v>3</v>
      </c>
      <c r="F380" s="58" t="s">
        <v>4448</v>
      </c>
      <c r="G380" s="58" t="s">
        <v>4411</v>
      </c>
      <c r="H380" s="58" t="s">
        <v>3813</v>
      </c>
      <c r="I380" s="58" t="s">
        <v>3814</v>
      </c>
      <c r="J380" s="58" t="s">
        <v>3625</v>
      </c>
      <c r="K380" s="58" t="s">
        <v>4509</v>
      </c>
    </row>
    <row r="381" spans="1:11" ht="25.95" customHeight="1">
      <c r="A381" s="58" t="s">
        <v>13</v>
      </c>
      <c r="B381" s="58" t="s">
        <v>19</v>
      </c>
      <c r="C381" s="58" t="s">
        <v>4409</v>
      </c>
      <c r="D381" s="58" t="s">
        <v>4456</v>
      </c>
      <c r="E381" s="58">
        <v>3</v>
      </c>
      <c r="F381" s="58" t="s">
        <v>4448</v>
      </c>
      <c r="G381" s="58" t="s">
        <v>4411</v>
      </c>
      <c r="H381" s="58" t="s">
        <v>3813</v>
      </c>
      <c r="I381" s="58" t="s">
        <v>3814</v>
      </c>
      <c r="J381" s="58" t="s">
        <v>3713</v>
      </c>
      <c r="K381" s="58" t="s">
        <v>4510</v>
      </c>
    </row>
    <row r="382" spans="1:11" ht="25.95" customHeight="1">
      <c r="A382" s="58" t="s">
        <v>13</v>
      </c>
      <c r="B382" s="58" t="s">
        <v>19</v>
      </c>
      <c r="C382" s="58" t="s">
        <v>4409</v>
      </c>
      <c r="D382" s="58" t="s">
        <v>4458</v>
      </c>
      <c r="E382" s="58">
        <v>2.25</v>
      </c>
      <c r="F382" s="58" t="s">
        <v>4448</v>
      </c>
      <c r="G382" s="58" t="s">
        <v>4411</v>
      </c>
      <c r="H382" s="58" t="s">
        <v>3813</v>
      </c>
      <c r="I382" s="58" t="s">
        <v>3814</v>
      </c>
      <c r="J382" s="58" t="s">
        <v>3716</v>
      </c>
      <c r="K382" s="58" t="s">
        <v>4511</v>
      </c>
    </row>
    <row r="383" spans="1:11" ht="25.95" customHeight="1">
      <c r="A383" s="58" t="s">
        <v>13</v>
      </c>
      <c r="B383" s="58" t="s">
        <v>19</v>
      </c>
      <c r="C383" s="58" t="s">
        <v>4409</v>
      </c>
      <c r="D383" s="58" t="s">
        <v>4460</v>
      </c>
      <c r="E383" s="58">
        <v>2</v>
      </c>
      <c r="F383" s="58" t="s">
        <v>4448</v>
      </c>
      <c r="G383" s="58" t="s">
        <v>4411</v>
      </c>
      <c r="H383" s="58" t="s">
        <v>3813</v>
      </c>
      <c r="I383" s="58" t="s">
        <v>3814</v>
      </c>
      <c r="J383" s="58" t="s">
        <v>3719</v>
      </c>
      <c r="K383" s="58" t="s">
        <v>4512</v>
      </c>
    </row>
    <row r="384" spans="1:11" ht="25.95" customHeight="1">
      <c r="A384" s="58" t="s">
        <v>13</v>
      </c>
      <c r="B384" s="58" t="s">
        <v>19</v>
      </c>
      <c r="C384" s="58" t="s">
        <v>4409</v>
      </c>
      <c r="D384" s="58" t="s">
        <v>4462</v>
      </c>
      <c r="E384" s="58">
        <v>2</v>
      </c>
      <c r="F384" s="58" t="s">
        <v>4448</v>
      </c>
      <c r="G384" s="58" t="s">
        <v>4411</v>
      </c>
      <c r="H384" s="58" t="s">
        <v>3813</v>
      </c>
      <c r="I384" s="58" t="s">
        <v>3814</v>
      </c>
      <c r="J384" s="58" t="s">
        <v>3722</v>
      </c>
      <c r="K384" s="58" t="s">
        <v>4513</v>
      </c>
    </row>
    <row r="385" spans="1:11" ht="25.95" customHeight="1">
      <c r="A385" s="58" t="s">
        <v>13</v>
      </c>
      <c r="B385" s="58" t="s">
        <v>35</v>
      </c>
      <c r="C385" s="58" t="s">
        <v>4409</v>
      </c>
      <c r="D385" s="58" t="s">
        <v>4410</v>
      </c>
      <c r="E385" s="58">
        <v>3</v>
      </c>
      <c r="F385" s="58" t="s">
        <v>4448</v>
      </c>
      <c r="G385" s="58" t="s">
        <v>4411</v>
      </c>
      <c r="H385" s="58" t="s">
        <v>4313</v>
      </c>
      <c r="I385" s="58" t="s">
        <v>4314</v>
      </c>
      <c r="J385" s="58" t="s">
        <v>3605</v>
      </c>
      <c r="K385" s="58" t="s">
        <v>4514</v>
      </c>
    </row>
    <row r="386" spans="1:11" ht="25.95" customHeight="1">
      <c r="A386" s="58" t="s">
        <v>13</v>
      </c>
      <c r="B386" s="58" t="s">
        <v>35</v>
      </c>
      <c r="C386" s="58" t="s">
        <v>4409</v>
      </c>
      <c r="D386" s="58" t="s">
        <v>4415</v>
      </c>
      <c r="E386" s="58">
        <v>3</v>
      </c>
      <c r="F386" s="58" t="s">
        <v>4448</v>
      </c>
      <c r="G386" s="58" t="s">
        <v>4411</v>
      </c>
      <c r="H386" s="58" t="s">
        <v>4313</v>
      </c>
      <c r="I386" s="58" t="s">
        <v>4314</v>
      </c>
      <c r="J386" s="58" t="s">
        <v>3606</v>
      </c>
      <c r="K386" s="58" t="s">
        <v>4515</v>
      </c>
    </row>
    <row r="387" spans="1:11" ht="25.95" customHeight="1">
      <c r="A387" s="58" t="s">
        <v>13</v>
      </c>
      <c r="B387" s="58" t="s">
        <v>35</v>
      </c>
      <c r="C387" s="58" t="s">
        <v>4409</v>
      </c>
      <c r="D387" s="58" t="s">
        <v>4417</v>
      </c>
      <c r="E387" s="58">
        <v>3</v>
      </c>
      <c r="F387" s="58" t="s">
        <v>4448</v>
      </c>
      <c r="G387" s="58" t="s">
        <v>4411</v>
      </c>
      <c r="H387" s="58" t="s">
        <v>4313</v>
      </c>
      <c r="I387" s="58" t="s">
        <v>4314</v>
      </c>
      <c r="J387" s="58" t="s">
        <v>3607</v>
      </c>
      <c r="K387" s="58" t="s">
        <v>4516</v>
      </c>
    </row>
    <row r="388" spans="1:11" ht="25.95" customHeight="1">
      <c r="A388" s="58" t="s">
        <v>13</v>
      </c>
      <c r="B388" s="58" t="s">
        <v>35</v>
      </c>
      <c r="C388" s="58" t="s">
        <v>4409</v>
      </c>
      <c r="D388" s="58" t="s">
        <v>4419</v>
      </c>
      <c r="E388" s="58">
        <v>4</v>
      </c>
      <c r="F388" s="58" t="s">
        <v>158</v>
      </c>
      <c r="G388" s="58" t="s">
        <v>4411</v>
      </c>
      <c r="H388" s="58" t="s">
        <v>4313</v>
      </c>
      <c r="I388" s="58" t="s">
        <v>4314</v>
      </c>
      <c r="J388" s="58" t="s">
        <v>3608</v>
      </c>
      <c r="K388" s="58" t="s">
        <v>4517</v>
      </c>
    </row>
    <row r="389" spans="1:11" ht="25.95" customHeight="1">
      <c r="A389" s="58" t="s">
        <v>13</v>
      </c>
      <c r="B389" s="58" t="s">
        <v>35</v>
      </c>
      <c r="C389" s="58" t="s">
        <v>4409</v>
      </c>
      <c r="D389" s="58" t="s">
        <v>4421</v>
      </c>
      <c r="E389" s="58">
        <v>6</v>
      </c>
      <c r="F389" s="58" t="s">
        <v>158</v>
      </c>
      <c r="G389" s="58" t="s">
        <v>4411</v>
      </c>
      <c r="H389" s="58" t="s">
        <v>4313</v>
      </c>
      <c r="I389" s="58" t="s">
        <v>4314</v>
      </c>
      <c r="J389" s="58" t="s">
        <v>3609</v>
      </c>
      <c r="K389" s="58" t="s">
        <v>4518</v>
      </c>
    </row>
    <row r="390" spans="1:11" ht="25.95" customHeight="1">
      <c r="A390" s="58" t="s">
        <v>13</v>
      </c>
      <c r="B390" s="58" t="s">
        <v>35</v>
      </c>
      <c r="C390" s="58" t="s">
        <v>4409</v>
      </c>
      <c r="D390" s="58" t="s">
        <v>4423</v>
      </c>
      <c r="E390" s="58">
        <v>5</v>
      </c>
      <c r="F390" s="58" t="s">
        <v>158</v>
      </c>
      <c r="G390" s="58" t="s">
        <v>4411</v>
      </c>
      <c r="H390" s="58" t="s">
        <v>4313</v>
      </c>
      <c r="I390" s="58" t="s">
        <v>4314</v>
      </c>
      <c r="J390" s="58" t="s">
        <v>3611</v>
      </c>
      <c r="K390" s="58" t="s">
        <v>4519</v>
      </c>
    </row>
    <row r="391" spans="1:11" ht="25.95" customHeight="1">
      <c r="A391" s="58" t="s">
        <v>13</v>
      </c>
      <c r="B391" s="58" t="s">
        <v>35</v>
      </c>
      <c r="C391" s="58" t="s">
        <v>4409</v>
      </c>
      <c r="D391" s="58" t="s">
        <v>4425</v>
      </c>
      <c r="E391" s="58">
        <v>5</v>
      </c>
      <c r="F391" s="58" t="s">
        <v>158</v>
      </c>
      <c r="G391" s="58" t="s">
        <v>4411</v>
      </c>
      <c r="H391" s="58" t="s">
        <v>4313</v>
      </c>
      <c r="I391" s="58" t="s">
        <v>4314</v>
      </c>
      <c r="J391" s="58" t="s">
        <v>3612</v>
      </c>
      <c r="K391" s="58" t="s">
        <v>4520</v>
      </c>
    </row>
    <row r="392" spans="1:11" ht="25.95" customHeight="1">
      <c r="A392" s="58" t="s">
        <v>13</v>
      </c>
      <c r="B392" s="58" t="s">
        <v>35</v>
      </c>
      <c r="C392" s="58" t="s">
        <v>4409</v>
      </c>
      <c r="D392" s="58" t="s">
        <v>4427</v>
      </c>
      <c r="E392" s="58">
        <v>3</v>
      </c>
      <c r="F392" s="58" t="s">
        <v>158</v>
      </c>
      <c r="G392" s="58" t="s">
        <v>4411</v>
      </c>
      <c r="H392" s="58" t="s">
        <v>4313</v>
      </c>
      <c r="I392" s="58" t="s">
        <v>4314</v>
      </c>
      <c r="J392" s="58" t="s">
        <v>3613</v>
      </c>
      <c r="K392" s="58" t="s">
        <v>4521</v>
      </c>
    </row>
    <row r="393" spans="1:11" ht="25.95" customHeight="1">
      <c r="A393" s="58" t="s">
        <v>13</v>
      </c>
      <c r="B393" s="58" t="s">
        <v>35</v>
      </c>
      <c r="C393" s="58" t="s">
        <v>4409</v>
      </c>
      <c r="D393" s="58" t="s">
        <v>4429</v>
      </c>
      <c r="E393" s="58">
        <v>4</v>
      </c>
      <c r="F393" s="58" t="s">
        <v>4448</v>
      </c>
      <c r="G393" s="58" t="s">
        <v>4411</v>
      </c>
      <c r="H393" s="58" t="s">
        <v>4313</v>
      </c>
      <c r="I393" s="58" t="s">
        <v>4314</v>
      </c>
      <c r="J393" s="58" t="s">
        <v>3614</v>
      </c>
      <c r="K393" s="58" t="s">
        <v>4522</v>
      </c>
    </row>
    <row r="394" spans="1:11" ht="25.95" customHeight="1">
      <c r="A394" s="58" t="s">
        <v>13</v>
      </c>
      <c r="B394" s="58" t="s">
        <v>35</v>
      </c>
      <c r="C394" s="58" t="s">
        <v>4409</v>
      </c>
      <c r="D394" s="58" t="s">
        <v>4431</v>
      </c>
      <c r="E394" s="58">
        <v>4</v>
      </c>
      <c r="F394" s="58" t="s">
        <v>4448</v>
      </c>
      <c r="G394" s="58" t="s">
        <v>4411</v>
      </c>
      <c r="H394" s="58" t="s">
        <v>4313</v>
      </c>
      <c r="I394" s="58" t="s">
        <v>4314</v>
      </c>
      <c r="J394" s="58" t="s">
        <v>3615</v>
      </c>
      <c r="K394" s="58" t="s">
        <v>4523</v>
      </c>
    </row>
    <row r="395" spans="1:11" ht="25.95" customHeight="1">
      <c r="A395" s="58" t="s">
        <v>13</v>
      </c>
      <c r="B395" s="58" t="s">
        <v>35</v>
      </c>
      <c r="C395" s="58" t="s">
        <v>4409</v>
      </c>
      <c r="D395" s="58" t="s">
        <v>4433</v>
      </c>
      <c r="E395" s="58">
        <v>5</v>
      </c>
      <c r="F395" s="58" t="s">
        <v>4448</v>
      </c>
      <c r="G395" s="58" t="s">
        <v>4411</v>
      </c>
      <c r="H395" s="58" t="s">
        <v>4313</v>
      </c>
      <c r="I395" s="58" t="s">
        <v>4314</v>
      </c>
      <c r="J395" s="58" t="s">
        <v>3616</v>
      </c>
      <c r="K395" s="58" t="s">
        <v>4524</v>
      </c>
    </row>
    <row r="396" spans="1:11" ht="25.95" customHeight="1">
      <c r="A396" s="58" t="s">
        <v>13</v>
      </c>
      <c r="B396" s="58" t="s">
        <v>35</v>
      </c>
      <c r="C396" s="58" t="s">
        <v>4409</v>
      </c>
      <c r="D396" s="58" t="s">
        <v>4435</v>
      </c>
      <c r="E396" s="58">
        <v>4</v>
      </c>
      <c r="F396" s="58" t="s">
        <v>4448</v>
      </c>
      <c r="G396" s="58" t="s">
        <v>4411</v>
      </c>
      <c r="H396" s="58" t="s">
        <v>4313</v>
      </c>
      <c r="I396" s="58" t="s">
        <v>4314</v>
      </c>
      <c r="J396" s="58" t="s">
        <v>3617</v>
      </c>
      <c r="K396" s="58" t="s">
        <v>4525</v>
      </c>
    </row>
    <row r="397" spans="1:11" ht="25.95" customHeight="1">
      <c r="A397" s="58" t="s">
        <v>13</v>
      </c>
      <c r="B397" s="58" t="s">
        <v>35</v>
      </c>
      <c r="C397" s="58" t="s">
        <v>4409</v>
      </c>
      <c r="D397" s="58" t="s">
        <v>4437</v>
      </c>
      <c r="E397" s="58">
        <v>2.25</v>
      </c>
      <c r="F397" s="58" t="s">
        <v>4448</v>
      </c>
      <c r="G397" s="58" t="s">
        <v>4411</v>
      </c>
      <c r="H397" s="58" t="s">
        <v>4313</v>
      </c>
      <c r="I397" s="58" t="s">
        <v>4314</v>
      </c>
      <c r="J397" s="58" t="s">
        <v>3618</v>
      </c>
      <c r="K397" s="58" t="s">
        <v>4526</v>
      </c>
    </row>
    <row r="398" spans="1:11" ht="31.2">
      <c r="A398" s="58" t="s">
        <v>13</v>
      </c>
      <c r="B398" s="58" t="s">
        <v>35</v>
      </c>
      <c r="C398" s="58" t="s">
        <v>4409</v>
      </c>
      <c r="D398" s="58" t="s">
        <v>4439</v>
      </c>
      <c r="E398" s="58">
        <v>2</v>
      </c>
      <c r="F398" s="58" t="s">
        <v>4448</v>
      </c>
      <c r="G398" s="58" t="s">
        <v>4411</v>
      </c>
      <c r="H398" s="58" t="s">
        <v>4313</v>
      </c>
      <c r="I398" s="58" t="s">
        <v>4314</v>
      </c>
      <c r="J398" s="58" t="s">
        <v>3619</v>
      </c>
      <c r="K398" s="58" t="s">
        <v>4527</v>
      </c>
    </row>
    <row r="399" spans="1:11" ht="31.2">
      <c r="A399" s="58" t="s">
        <v>13</v>
      </c>
      <c r="B399" s="58" t="s">
        <v>35</v>
      </c>
      <c r="C399" s="58" t="s">
        <v>4409</v>
      </c>
      <c r="D399" s="58" t="s">
        <v>4441</v>
      </c>
      <c r="E399" s="58">
        <v>4.5</v>
      </c>
      <c r="F399" s="58" t="s">
        <v>4448</v>
      </c>
      <c r="G399" s="58" t="s">
        <v>4411</v>
      </c>
      <c r="H399" s="58" t="s">
        <v>4313</v>
      </c>
      <c r="I399" s="58" t="s">
        <v>4314</v>
      </c>
      <c r="J399" s="58" t="s">
        <v>3620</v>
      </c>
      <c r="K399" s="58" t="s">
        <v>4528</v>
      </c>
    </row>
    <row r="400" spans="1:11" ht="31.2">
      <c r="A400" s="58" t="s">
        <v>13</v>
      </c>
      <c r="B400" s="58" t="s">
        <v>35</v>
      </c>
      <c r="C400" s="58" t="s">
        <v>4409</v>
      </c>
      <c r="D400" s="58" t="s">
        <v>4443</v>
      </c>
      <c r="E400" s="58">
        <v>6</v>
      </c>
      <c r="F400" s="58" t="s">
        <v>4448</v>
      </c>
      <c r="G400" s="58" t="s">
        <v>4411</v>
      </c>
      <c r="H400" s="58" t="s">
        <v>4313</v>
      </c>
      <c r="I400" s="58" t="s">
        <v>4314</v>
      </c>
      <c r="J400" s="58" t="s">
        <v>3621</v>
      </c>
      <c r="K400" s="58" t="s">
        <v>4529</v>
      </c>
    </row>
    <row r="401" spans="1:11" ht="25.95" customHeight="1">
      <c r="A401" s="58" t="s">
        <v>13</v>
      </c>
      <c r="B401" s="58" t="s">
        <v>35</v>
      </c>
      <c r="C401" s="58" t="s">
        <v>4409</v>
      </c>
      <c r="D401" s="58" t="s">
        <v>4445</v>
      </c>
      <c r="E401" s="58">
        <v>3</v>
      </c>
      <c r="F401" s="58" t="s">
        <v>4448</v>
      </c>
      <c r="G401" s="58" t="s">
        <v>4411</v>
      </c>
      <c r="H401" s="58" t="s">
        <v>4313</v>
      </c>
      <c r="I401" s="58" t="s">
        <v>4314</v>
      </c>
      <c r="J401" s="58" t="s">
        <v>3622</v>
      </c>
      <c r="K401" s="58" t="s">
        <v>4530</v>
      </c>
    </row>
    <row r="402" spans="1:11" ht="31.2">
      <c r="A402" s="58" t="s">
        <v>13</v>
      </c>
      <c r="B402" s="58" t="s">
        <v>35</v>
      </c>
      <c r="C402" s="58" t="s">
        <v>4409</v>
      </c>
      <c r="D402" s="58" t="s">
        <v>4447</v>
      </c>
      <c r="E402" s="58">
        <v>1.5</v>
      </c>
      <c r="F402" s="58" t="s">
        <v>4448</v>
      </c>
      <c r="G402" s="58" t="s">
        <v>4411</v>
      </c>
      <c r="H402" s="58" t="s">
        <v>4313</v>
      </c>
      <c r="I402" s="58" t="s">
        <v>4314</v>
      </c>
      <c r="J402" s="58" t="s">
        <v>3703</v>
      </c>
      <c r="K402" s="58" t="s">
        <v>4531</v>
      </c>
    </row>
    <row r="403" spans="1:11" ht="25.95" customHeight="1">
      <c r="A403" s="58" t="s">
        <v>13</v>
      </c>
      <c r="B403" s="58" t="s">
        <v>35</v>
      </c>
      <c r="C403" s="58" t="s">
        <v>4409</v>
      </c>
      <c r="D403" s="58" t="s">
        <v>4450</v>
      </c>
      <c r="E403" s="58">
        <v>4</v>
      </c>
      <c r="F403" s="58" t="s">
        <v>4448</v>
      </c>
      <c r="G403" s="58" t="s">
        <v>4411</v>
      </c>
      <c r="H403" s="58" t="s">
        <v>4313</v>
      </c>
      <c r="I403" s="58" t="s">
        <v>4314</v>
      </c>
      <c r="J403" s="58" t="s">
        <v>3623</v>
      </c>
      <c r="K403" s="58" t="s">
        <v>4532</v>
      </c>
    </row>
    <row r="404" spans="1:11" ht="25.95" customHeight="1">
      <c r="A404" s="58" t="s">
        <v>13</v>
      </c>
      <c r="B404" s="58" t="s">
        <v>35</v>
      </c>
      <c r="C404" s="58" t="s">
        <v>4409</v>
      </c>
      <c r="D404" s="58" t="s">
        <v>4452</v>
      </c>
      <c r="E404" s="58">
        <v>1.5</v>
      </c>
      <c r="F404" s="58" t="s">
        <v>4448</v>
      </c>
      <c r="G404" s="58" t="s">
        <v>4411</v>
      </c>
      <c r="H404" s="58" t="s">
        <v>4313</v>
      </c>
      <c r="I404" s="58" t="s">
        <v>4314</v>
      </c>
      <c r="J404" s="58" t="s">
        <v>3624</v>
      </c>
      <c r="K404" s="58" t="s">
        <v>4533</v>
      </c>
    </row>
    <row r="405" spans="1:11" ht="25.95" customHeight="1">
      <c r="A405" s="58" t="s">
        <v>13</v>
      </c>
      <c r="B405" s="58" t="s">
        <v>35</v>
      </c>
      <c r="C405" s="58" t="s">
        <v>4409</v>
      </c>
      <c r="D405" s="58" t="s">
        <v>4454</v>
      </c>
      <c r="E405" s="58">
        <v>2.25</v>
      </c>
      <c r="F405" s="58" t="s">
        <v>158</v>
      </c>
      <c r="G405" s="58" t="s">
        <v>4411</v>
      </c>
      <c r="H405" s="58" t="s">
        <v>4313</v>
      </c>
      <c r="I405" s="58" t="s">
        <v>4314</v>
      </c>
      <c r="J405" s="58" t="s">
        <v>3625</v>
      </c>
      <c r="K405" s="58" t="s">
        <v>4534</v>
      </c>
    </row>
    <row r="406" spans="1:11" ht="25.95" customHeight="1">
      <c r="A406" s="58" t="s">
        <v>13</v>
      </c>
      <c r="B406" s="58" t="s">
        <v>35</v>
      </c>
      <c r="C406" s="58" t="s">
        <v>4409</v>
      </c>
      <c r="D406" s="58" t="s">
        <v>4456</v>
      </c>
      <c r="E406" s="58">
        <v>3</v>
      </c>
      <c r="F406" s="58" t="s">
        <v>158</v>
      </c>
      <c r="G406" s="58" t="s">
        <v>4411</v>
      </c>
      <c r="H406" s="58" t="s">
        <v>4313</v>
      </c>
      <c r="I406" s="58" t="s">
        <v>4314</v>
      </c>
      <c r="J406" s="58" t="s">
        <v>3713</v>
      </c>
      <c r="K406" s="58" t="s">
        <v>4535</v>
      </c>
    </row>
    <row r="407" spans="1:11" ht="25.95" customHeight="1">
      <c r="A407" s="58" t="s">
        <v>13</v>
      </c>
      <c r="B407" s="58" t="s">
        <v>35</v>
      </c>
      <c r="C407" s="58" t="s">
        <v>4409</v>
      </c>
      <c r="D407" s="58" t="s">
        <v>4458</v>
      </c>
      <c r="E407" s="58">
        <v>2.25</v>
      </c>
      <c r="F407" s="58" t="s">
        <v>158</v>
      </c>
      <c r="G407" s="58" t="s">
        <v>4411</v>
      </c>
      <c r="H407" s="58" t="s">
        <v>4313</v>
      </c>
      <c r="I407" s="58" t="s">
        <v>4314</v>
      </c>
      <c r="J407" s="58" t="s">
        <v>3716</v>
      </c>
      <c r="K407" s="58" t="s">
        <v>4536</v>
      </c>
    </row>
    <row r="408" spans="1:11" ht="25.95" customHeight="1">
      <c r="A408" s="58" t="s">
        <v>13</v>
      </c>
      <c r="B408" s="58" t="s">
        <v>35</v>
      </c>
      <c r="C408" s="58" t="s">
        <v>4409</v>
      </c>
      <c r="D408" s="58" t="s">
        <v>4460</v>
      </c>
      <c r="E408" s="58">
        <v>2</v>
      </c>
      <c r="F408" s="58" t="s">
        <v>158</v>
      </c>
      <c r="G408" s="58" t="s">
        <v>4411</v>
      </c>
      <c r="H408" s="58" t="s">
        <v>4313</v>
      </c>
      <c r="I408" s="58" t="s">
        <v>4314</v>
      </c>
      <c r="J408" s="58" t="s">
        <v>3719</v>
      </c>
      <c r="K408" s="58" t="s">
        <v>4537</v>
      </c>
    </row>
    <row r="409" spans="1:11" ht="25.95" customHeight="1">
      <c r="A409" s="58" t="s">
        <v>13</v>
      </c>
      <c r="B409" s="58" t="s">
        <v>35</v>
      </c>
      <c r="C409" s="58" t="s">
        <v>4409</v>
      </c>
      <c r="D409" s="58" t="s">
        <v>4462</v>
      </c>
      <c r="E409" s="58">
        <v>2</v>
      </c>
      <c r="F409" s="58" t="s">
        <v>158</v>
      </c>
      <c r="G409" s="58" t="s">
        <v>4411</v>
      </c>
      <c r="H409" s="58" t="s">
        <v>4313</v>
      </c>
      <c r="I409" s="58" t="s">
        <v>4314</v>
      </c>
      <c r="J409" s="58" t="s">
        <v>3722</v>
      </c>
      <c r="K409" s="58" t="s">
        <v>4538</v>
      </c>
    </row>
    <row r="410" spans="1:11" ht="25.95" customHeight="1">
      <c r="A410" s="58" t="s">
        <v>14</v>
      </c>
      <c r="B410" s="58" t="s">
        <v>19</v>
      </c>
      <c r="C410" s="58" t="s">
        <v>4409</v>
      </c>
      <c r="D410" s="58" t="s">
        <v>4410</v>
      </c>
      <c r="E410" s="58">
        <v>4</v>
      </c>
      <c r="F410" s="58" t="s">
        <v>158</v>
      </c>
      <c r="G410" s="58" t="s">
        <v>4411</v>
      </c>
      <c r="H410" s="58" t="s">
        <v>3856</v>
      </c>
      <c r="I410" s="58" t="s">
        <v>3857</v>
      </c>
      <c r="J410" s="58" t="s">
        <v>3605</v>
      </c>
      <c r="K410" s="58" t="s">
        <v>4539</v>
      </c>
    </row>
    <row r="411" spans="1:11" ht="25.95" customHeight="1">
      <c r="A411" s="58" t="s">
        <v>14</v>
      </c>
      <c r="B411" s="58" t="s">
        <v>19</v>
      </c>
      <c r="C411" s="58" t="s">
        <v>4409</v>
      </c>
      <c r="D411" s="58" t="s">
        <v>4415</v>
      </c>
      <c r="E411" s="58">
        <v>3</v>
      </c>
      <c r="F411" s="58" t="s">
        <v>158</v>
      </c>
      <c r="G411" s="58" t="s">
        <v>4411</v>
      </c>
      <c r="H411" s="58" t="s">
        <v>3856</v>
      </c>
      <c r="I411" s="58" t="s">
        <v>3857</v>
      </c>
      <c r="J411" s="58" t="s">
        <v>3606</v>
      </c>
      <c r="K411" s="58" t="s">
        <v>4540</v>
      </c>
    </row>
    <row r="412" spans="1:11" ht="25.95" customHeight="1">
      <c r="A412" s="58" t="s">
        <v>14</v>
      </c>
      <c r="B412" s="58" t="s">
        <v>19</v>
      </c>
      <c r="C412" s="58" t="s">
        <v>4409</v>
      </c>
      <c r="D412" s="58" t="s">
        <v>4417</v>
      </c>
      <c r="E412" s="58">
        <v>2.25</v>
      </c>
      <c r="F412" s="58" t="s">
        <v>158</v>
      </c>
      <c r="G412" s="58" t="s">
        <v>4411</v>
      </c>
      <c r="H412" s="58" t="s">
        <v>3856</v>
      </c>
      <c r="I412" s="58" t="s">
        <v>3857</v>
      </c>
      <c r="J412" s="58" t="s">
        <v>3607</v>
      </c>
      <c r="K412" s="58" t="s">
        <v>4541</v>
      </c>
    </row>
    <row r="413" spans="1:11" ht="25.95" customHeight="1">
      <c r="A413" s="58" t="s">
        <v>14</v>
      </c>
      <c r="B413" s="58" t="s">
        <v>19</v>
      </c>
      <c r="C413" s="58" t="s">
        <v>4409</v>
      </c>
      <c r="D413" s="58" t="s">
        <v>4419</v>
      </c>
      <c r="E413" s="58">
        <v>4</v>
      </c>
      <c r="F413" s="58" t="s">
        <v>158</v>
      </c>
      <c r="G413" s="58" t="s">
        <v>4411</v>
      </c>
      <c r="H413" s="58" t="s">
        <v>3856</v>
      </c>
      <c r="I413" s="58" t="s">
        <v>3857</v>
      </c>
      <c r="J413" s="58" t="s">
        <v>3608</v>
      </c>
      <c r="K413" s="58" t="s">
        <v>4542</v>
      </c>
    </row>
    <row r="414" spans="1:11" ht="25.95" customHeight="1">
      <c r="A414" s="58" t="s">
        <v>14</v>
      </c>
      <c r="B414" s="58" t="s">
        <v>19</v>
      </c>
      <c r="C414" s="58" t="s">
        <v>4409</v>
      </c>
      <c r="D414" s="58" t="s">
        <v>4421</v>
      </c>
      <c r="E414" s="58">
        <v>3</v>
      </c>
      <c r="F414" s="58" t="s">
        <v>158</v>
      </c>
      <c r="G414" s="58" t="s">
        <v>4411</v>
      </c>
      <c r="H414" s="58" t="s">
        <v>3856</v>
      </c>
      <c r="I414" s="58" t="s">
        <v>3857</v>
      </c>
      <c r="J414" s="58" t="s">
        <v>3609</v>
      </c>
      <c r="K414" s="58" t="s">
        <v>4543</v>
      </c>
    </row>
    <row r="415" spans="1:11" ht="25.95" customHeight="1">
      <c r="A415" s="58" t="s">
        <v>14</v>
      </c>
      <c r="B415" s="58" t="s">
        <v>19</v>
      </c>
      <c r="C415" s="58" t="s">
        <v>4409</v>
      </c>
      <c r="D415" s="58" t="s">
        <v>4423</v>
      </c>
      <c r="E415" s="58">
        <v>3.75</v>
      </c>
      <c r="F415" s="58" t="s">
        <v>158</v>
      </c>
      <c r="G415" s="58" t="s">
        <v>4411</v>
      </c>
      <c r="H415" s="58" t="s">
        <v>3856</v>
      </c>
      <c r="I415" s="58" t="s">
        <v>3857</v>
      </c>
      <c r="J415" s="58" t="s">
        <v>3611</v>
      </c>
      <c r="K415" s="58" t="s">
        <v>4544</v>
      </c>
    </row>
    <row r="416" spans="1:11" ht="25.95" customHeight="1">
      <c r="A416" s="58" t="s">
        <v>14</v>
      </c>
      <c r="B416" s="58" t="s">
        <v>19</v>
      </c>
      <c r="C416" s="58" t="s">
        <v>4409</v>
      </c>
      <c r="D416" s="58" t="s">
        <v>4425</v>
      </c>
      <c r="E416" s="58">
        <v>5</v>
      </c>
      <c r="F416" s="58" t="s">
        <v>158</v>
      </c>
      <c r="G416" s="58" t="s">
        <v>4411</v>
      </c>
      <c r="H416" s="58" t="s">
        <v>3856</v>
      </c>
      <c r="I416" s="58" t="s">
        <v>3857</v>
      </c>
      <c r="J416" s="58" t="s">
        <v>3612</v>
      </c>
      <c r="K416" s="58" t="s">
        <v>4545</v>
      </c>
    </row>
    <row r="417" spans="1:11" ht="25.95" customHeight="1">
      <c r="A417" s="58" t="s">
        <v>14</v>
      </c>
      <c r="B417" s="58" t="s">
        <v>19</v>
      </c>
      <c r="C417" s="58" t="s">
        <v>4409</v>
      </c>
      <c r="D417" s="58" t="s">
        <v>4427</v>
      </c>
      <c r="E417" s="58">
        <v>2</v>
      </c>
      <c r="F417" s="58" t="s">
        <v>158</v>
      </c>
      <c r="G417" s="58" t="s">
        <v>4411</v>
      </c>
      <c r="H417" s="58" t="s">
        <v>3856</v>
      </c>
      <c r="I417" s="58" t="s">
        <v>3857</v>
      </c>
      <c r="J417" s="58" t="s">
        <v>3613</v>
      </c>
      <c r="K417" s="58" t="s">
        <v>4543</v>
      </c>
    </row>
    <row r="418" spans="1:11" ht="25.95" customHeight="1">
      <c r="A418" s="58" t="s">
        <v>14</v>
      </c>
      <c r="B418" s="58" t="s">
        <v>19</v>
      </c>
      <c r="C418" s="58" t="s">
        <v>4409</v>
      </c>
      <c r="D418" s="58" t="s">
        <v>4429</v>
      </c>
      <c r="E418" s="58">
        <v>4</v>
      </c>
      <c r="F418" s="58" t="s">
        <v>158</v>
      </c>
      <c r="G418" s="58" t="s">
        <v>4411</v>
      </c>
      <c r="H418" s="58" t="s">
        <v>3856</v>
      </c>
      <c r="I418" s="58" t="s">
        <v>3857</v>
      </c>
      <c r="J418" s="58" t="s">
        <v>3614</v>
      </c>
      <c r="K418" s="58" t="s">
        <v>4546</v>
      </c>
    </row>
    <row r="419" spans="1:11" ht="25.95" customHeight="1">
      <c r="A419" s="58" t="s">
        <v>14</v>
      </c>
      <c r="B419" s="58" t="s">
        <v>19</v>
      </c>
      <c r="C419" s="58" t="s">
        <v>4409</v>
      </c>
      <c r="D419" s="58" t="s">
        <v>4431</v>
      </c>
      <c r="E419" s="58">
        <v>4</v>
      </c>
      <c r="F419" s="58" t="s">
        <v>158</v>
      </c>
      <c r="G419" s="58" t="s">
        <v>4411</v>
      </c>
      <c r="H419" s="58" t="s">
        <v>3856</v>
      </c>
      <c r="I419" s="58" t="s">
        <v>3857</v>
      </c>
      <c r="J419" s="58" t="s">
        <v>3615</v>
      </c>
      <c r="K419" s="58" t="s">
        <v>4547</v>
      </c>
    </row>
    <row r="420" spans="1:11" ht="25.95" customHeight="1">
      <c r="A420" s="58" t="s">
        <v>14</v>
      </c>
      <c r="B420" s="58" t="s">
        <v>19</v>
      </c>
      <c r="C420" s="58" t="s">
        <v>4409</v>
      </c>
      <c r="D420" s="58" t="s">
        <v>4433</v>
      </c>
      <c r="E420" s="58">
        <v>5</v>
      </c>
      <c r="F420" s="58" t="s">
        <v>158</v>
      </c>
      <c r="G420" s="58" t="s">
        <v>4411</v>
      </c>
      <c r="H420" s="58" t="s">
        <v>3856</v>
      </c>
      <c r="I420" s="58" t="s">
        <v>3857</v>
      </c>
      <c r="J420" s="58" t="s">
        <v>3616</v>
      </c>
      <c r="K420" s="58" t="s">
        <v>4548</v>
      </c>
    </row>
    <row r="421" spans="1:11" ht="25.95" customHeight="1">
      <c r="A421" s="58" t="s">
        <v>14</v>
      </c>
      <c r="B421" s="58" t="s">
        <v>19</v>
      </c>
      <c r="C421" s="58" t="s">
        <v>4409</v>
      </c>
      <c r="D421" s="58" t="s">
        <v>4435</v>
      </c>
      <c r="E421" s="58">
        <v>2</v>
      </c>
      <c r="F421" s="58" t="s">
        <v>158</v>
      </c>
      <c r="G421" s="58" t="s">
        <v>4411</v>
      </c>
      <c r="H421" s="58" t="s">
        <v>3856</v>
      </c>
      <c r="I421" s="58" t="s">
        <v>3857</v>
      </c>
      <c r="J421" s="58" t="s">
        <v>3617</v>
      </c>
      <c r="K421" s="58" t="s">
        <v>4549</v>
      </c>
    </row>
    <row r="422" spans="1:11" ht="25.95" customHeight="1">
      <c r="A422" s="58" t="s">
        <v>14</v>
      </c>
      <c r="B422" s="58" t="s">
        <v>19</v>
      </c>
      <c r="C422" s="58" t="s">
        <v>4409</v>
      </c>
      <c r="D422" s="58" t="s">
        <v>4437</v>
      </c>
      <c r="E422" s="58">
        <v>2.25</v>
      </c>
      <c r="F422" s="58" t="s">
        <v>158</v>
      </c>
      <c r="G422" s="58" t="s">
        <v>4411</v>
      </c>
      <c r="H422" s="58" t="s">
        <v>3856</v>
      </c>
      <c r="I422" s="58" t="s">
        <v>3857</v>
      </c>
      <c r="J422" s="58" t="s">
        <v>3618</v>
      </c>
      <c r="K422" s="58" t="s">
        <v>4550</v>
      </c>
    </row>
    <row r="423" spans="1:11" ht="25.95" customHeight="1">
      <c r="A423" s="58" t="s">
        <v>14</v>
      </c>
      <c r="B423" s="58" t="s">
        <v>19</v>
      </c>
      <c r="C423" s="58" t="s">
        <v>4409</v>
      </c>
      <c r="D423" s="58" t="s">
        <v>4439</v>
      </c>
      <c r="E423" s="58">
        <v>4</v>
      </c>
      <c r="F423" s="58" t="s">
        <v>158</v>
      </c>
      <c r="G423" s="58" t="s">
        <v>4411</v>
      </c>
      <c r="H423" s="58" t="s">
        <v>3856</v>
      </c>
      <c r="I423" s="58" t="s">
        <v>3857</v>
      </c>
      <c r="J423" s="58" t="s">
        <v>3619</v>
      </c>
      <c r="K423" s="58" t="s">
        <v>4551</v>
      </c>
    </row>
    <row r="424" spans="1:11" ht="25.95" customHeight="1">
      <c r="A424" s="58" t="s">
        <v>14</v>
      </c>
      <c r="B424" s="58" t="s">
        <v>19</v>
      </c>
      <c r="C424" s="58" t="s">
        <v>4409</v>
      </c>
      <c r="D424" s="58" t="s">
        <v>4441</v>
      </c>
      <c r="E424" s="58">
        <v>4.5</v>
      </c>
      <c r="F424" s="58" t="s">
        <v>158</v>
      </c>
      <c r="G424" s="58" t="s">
        <v>4411</v>
      </c>
      <c r="H424" s="58" t="s">
        <v>3856</v>
      </c>
      <c r="I424" s="58" t="s">
        <v>3857</v>
      </c>
      <c r="J424" s="58" t="s">
        <v>3620</v>
      </c>
      <c r="K424" s="58" t="s">
        <v>4552</v>
      </c>
    </row>
    <row r="425" spans="1:11" ht="25.95" customHeight="1">
      <c r="A425" s="58" t="s">
        <v>14</v>
      </c>
      <c r="B425" s="58" t="s">
        <v>19</v>
      </c>
      <c r="C425" s="58" t="s">
        <v>4409</v>
      </c>
      <c r="D425" s="58" t="s">
        <v>4443</v>
      </c>
      <c r="E425" s="58">
        <v>6</v>
      </c>
      <c r="F425" s="58" t="s">
        <v>158</v>
      </c>
      <c r="G425" s="58" t="s">
        <v>4411</v>
      </c>
      <c r="H425" s="58" t="s">
        <v>3856</v>
      </c>
      <c r="I425" s="58" t="s">
        <v>3857</v>
      </c>
      <c r="J425" s="58" t="s">
        <v>3621</v>
      </c>
      <c r="K425" s="58" t="s">
        <v>4553</v>
      </c>
    </row>
    <row r="426" spans="1:11" ht="25.95" customHeight="1">
      <c r="A426" s="58" t="s">
        <v>14</v>
      </c>
      <c r="B426" s="58" t="s">
        <v>19</v>
      </c>
      <c r="C426" s="58" t="s">
        <v>4409</v>
      </c>
      <c r="D426" s="58" t="s">
        <v>4445</v>
      </c>
      <c r="E426" s="58">
        <v>3</v>
      </c>
      <c r="F426" s="58" t="s">
        <v>4448</v>
      </c>
      <c r="G426" s="58" t="s">
        <v>4411</v>
      </c>
      <c r="H426" s="58" t="s">
        <v>3856</v>
      </c>
      <c r="I426" s="58" t="s">
        <v>3857</v>
      </c>
      <c r="J426" s="58" t="s">
        <v>3622</v>
      </c>
      <c r="K426" s="58" t="s">
        <v>4554</v>
      </c>
    </row>
    <row r="427" spans="1:11" ht="25.95" customHeight="1">
      <c r="A427" s="58" t="s">
        <v>14</v>
      </c>
      <c r="B427" s="58" t="s">
        <v>19</v>
      </c>
      <c r="C427" s="58" t="s">
        <v>4409</v>
      </c>
      <c r="D427" s="58" t="s">
        <v>4447</v>
      </c>
      <c r="E427" s="58">
        <v>1.5</v>
      </c>
      <c r="F427" s="58" t="s">
        <v>4448</v>
      </c>
      <c r="G427" s="58" t="s">
        <v>4411</v>
      </c>
      <c r="H427" s="58" t="s">
        <v>3856</v>
      </c>
      <c r="I427" s="58" t="s">
        <v>3857</v>
      </c>
      <c r="J427" s="58" t="s">
        <v>3703</v>
      </c>
      <c r="K427" s="58" t="s">
        <v>4555</v>
      </c>
    </row>
    <row r="428" spans="1:11" ht="25.95" customHeight="1">
      <c r="A428" s="58" t="s">
        <v>14</v>
      </c>
      <c r="B428" s="58" t="s">
        <v>19</v>
      </c>
      <c r="C428" s="58" t="s">
        <v>4409</v>
      </c>
      <c r="D428" s="58" t="s">
        <v>4450</v>
      </c>
      <c r="E428" s="58">
        <v>3</v>
      </c>
      <c r="F428" s="58" t="s">
        <v>4448</v>
      </c>
      <c r="G428" s="58" t="s">
        <v>4411</v>
      </c>
      <c r="H428" s="58" t="s">
        <v>3856</v>
      </c>
      <c r="I428" s="58" t="s">
        <v>3857</v>
      </c>
      <c r="J428" s="58" t="s">
        <v>3623</v>
      </c>
      <c r="K428" s="58" t="s">
        <v>4556</v>
      </c>
    </row>
    <row r="429" spans="1:11" ht="25.95" customHeight="1">
      <c r="A429" s="58" t="s">
        <v>14</v>
      </c>
      <c r="B429" s="58" t="s">
        <v>19</v>
      </c>
      <c r="C429" s="58" t="s">
        <v>4409</v>
      </c>
      <c r="D429" s="58" t="s">
        <v>4452</v>
      </c>
      <c r="E429" s="58">
        <v>0.75</v>
      </c>
      <c r="F429" s="58" t="s">
        <v>4448</v>
      </c>
      <c r="G429" s="58" t="s">
        <v>4411</v>
      </c>
      <c r="H429" s="58" t="s">
        <v>3856</v>
      </c>
      <c r="I429" s="58" t="s">
        <v>3857</v>
      </c>
      <c r="J429" s="58" t="s">
        <v>3624</v>
      </c>
      <c r="K429" s="58" t="s">
        <v>4557</v>
      </c>
    </row>
    <row r="430" spans="1:11" ht="25.95" customHeight="1">
      <c r="A430" s="58" t="s">
        <v>14</v>
      </c>
      <c r="B430" s="58" t="s">
        <v>19</v>
      </c>
      <c r="C430" s="58" t="s">
        <v>4409</v>
      </c>
      <c r="D430" s="58" t="s">
        <v>4454</v>
      </c>
      <c r="E430" s="58">
        <v>1.5</v>
      </c>
      <c r="F430" s="58" t="s">
        <v>4448</v>
      </c>
      <c r="G430" s="58" t="s">
        <v>4411</v>
      </c>
      <c r="H430" s="58" t="s">
        <v>3856</v>
      </c>
      <c r="I430" s="58" t="s">
        <v>3857</v>
      </c>
      <c r="J430" s="58" t="s">
        <v>3625</v>
      </c>
      <c r="K430" s="58" t="s">
        <v>4543</v>
      </c>
    </row>
    <row r="431" spans="1:11" ht="25.95" customHeight="1">
      <c r="A431" s="58" t="s">
        <v>14</v>
      </c>
      <c r="B431" s="58" t="s">
        <v>19</v>
      </c>
      <c r="C431" s="58" t="s">
        <v>4409</v>
      </c>
      <c r="D431" s="58" t="s">
        <v>4456</v>
      </c>
      <c r="E431" s="58">
        <v>3</v>
      </c>
      <c r="F431" s="58" t="s">
        <v>4448</v>
      </c>
      <c r="G431" s="58" t="s">
        <v>4411</v>
      </c>
      <c r="H431" s="58" t="s">
        <v>3856</v>
      </c>
      <c r="I431" s="58" t="s">
        <v>3857</v>
      </c>
      <c r="J431" s="58" t="s">
        <v>3713</v>
      </c>
      <c r="K431" s="58" t="s">
        <v>4558</v>
      </c>
    </row>
    <row r="432" spans="1:11" ht="25.95" customHeight="1">
      <c r="A432" s="58" t="s">
        <v>14</v>
      </c>
      <c r="B432" s="58" t="s">
        <v>19</v>
      </c>
      <c r="C432" s="58" t="s">
        <v>4409</v>
      </c>
      <c r="D432" s="58" t="s">
        <v>4458</v>
      </c>
      <c r="E432" s="58">
        <v>1.5</v>
      </c>
      <c r="F432" s="58" t="s">
        <v>4448</v>
      </c>
      <c r="G432" s="58" t="s">
        <v>4411</v>
      </c>
      <c r="H432" s="58" t="s">
        <v>3856</v>
      </c>
      <c r="I432" s="58" t="s">
        <v>3857</v>
      </c>
      <c r="J432" s="58" t="s">
        <v>3716</v>
      </c>
      <c r="K432" s="58" t="s">
        <v>4543</v>
      </c>
    </row>
    <row r="433" spans="1:11" ht="25.95" customHeight="1">
      <c r="A433" s="58" t="s">
        <v>14</v>
      </c>
      <c r="B433" s="58" t="s">
        <v>19</v>
      </c>
      <c r="C433" s="58" t="s">
        <v>4409</v>
      </c>
      <c r="D433" s="58" t="s">
        <v>4460</v>
      </c>
      <c r="E433" s="58">
        <v>1.5</v>
      </c>
      <c r="F433" s="58" t="s">
        <v>4448</v>
      </c>
      <c r="G433" s="58" t="s">
        <v>4411</v>
      </c>
      <c r="H433" s="58" t="s">
        <v>3856</v>
      </c>
      <c r="I433" s="58" t="s">
        <v>3857</v>
      </c>
      <c r="J433" s="58" t="s">
        <v>3719</v>
      </c>
      <c r="K433" s="58" t="s">
        <v>4559</v>
      </c>
    </row>
    <row r="434" spans="1:11" ht="25.95" customHeight="1">
      <c r="A434" s="58" t="s">
        <v>14</v>
      </c>
      <c r="B434" s="58" t="s">
        <v>19</v>
      </c>
      <c r="C434" s="58" t="s">
        <v>4409</v>
      </c>
      <c r="D434" s="58" t="s">
        <v>4462</v>
      </c>
      <c r="E434" s="58">
        <v>2</v>
      </c>
      <c r="F434" s="58" t="s">
        <v>4448</v>
      </c>
      <c r="G434" s="58" t="s">
        <v>4411</v>
      </c>
      <c r="H434" s="58" t="s">
        <v>3856</v>
      </c>
      <c r="I434" s="58" t="s">
        <v>3857</v>
      </c>
      <c r="J434" s="58" t="s">
        <v>3722</v>
      </c>
      <c r="K434" s="58" t="s">
        <v>4560</v>
      </c>
    </row>
    <row r="435" spans="1:11" ht="25.95" customHeight="1">
      <c r="A435" s="58" t="s">
        <v>14</v>
      </c>
      <c r="B435" s="58" t="s">
        <v>35</v>
      </c>
      <c r="C435" s="58" t="s">
        <v>4409</v>
      </c>
      <c r="D435" s="58" t="s">
        <v>4410</v>
      </c>
      <c r="E435" s="58">
        <v>4</v>
      </c>
      <c r="F435" s="58" t="s">
        <v>4448</v>
      </c>
      <c r="G435" s="58" t="s">
        <v>4411</v>
      </c>
      <c r="H435" s="58" t="s">
        <v>4033</v>
      </c>
      <c r="I435" s="58" t="s">
        <v>4034</v>
      </c>
      <c r="J435" s="58" t="s">
        <v>3605</v>
      </c>
      <c r="K435" s="58" t="s">
        <v>4561</v>
      </c>
    </row>
    <row r="436" spans="1:11" ht="25.95" customHeight="1">
      <c r="A436" s="58" t="s">
        <v>14</v>
      </c>
      <c r="B436" s="58" t="s">
        <v>35</v>
      </c>
      <c r="C436" s="58" t="s">
        <v>4409</v>
      </c>
      <c r="D436" s="58" t="s">
        <v>4415</v>
      </c>
      <c r="E436" s="58">
        <v>3</v>
      </c>
      <c r="F436" s="58" t="s">
        <v>4448</v>
      </c>
      <c r="G436" s="58" t="s">
        <v>4411</v>
      </c>
      <c r="H436" s="58" t="s">
        <v>4033</v>
      </c>
      <c r="I436" s="58" t="s">
        <v>4034</v>
      </c>
      <c r="J436" s="58" t="s">
        <v>3606</v>
      </c>
      <c r="K436" s="58" t="s">
        <v>4562</v>
      </c>
    </row>
    <row r="437" spans="1:11" ht="25.95" customHeight="1">
      <c r="A437" s="58" t="s">
        <v>14</v>
      </c>
      <c r="B437" s="58" t="s">
        <v>35</v>
      </c>
      <c r="C437" s="58" t="s">
        <v>4409</v>
      </c>
      <c r="D437" s="58" t="s">
        <v>4417</v>
      </c>
      <c r="E437" s="58">
        <v>3</v>
      </c>
      <c r="F437" s="58" t="s">
        <v>4448</v>
      </c>
      <c r="G437" s="58" t="s">
        <v>4411</v>
      </c>
      <c r="H437" s="58" t="s">
        <v>4033</v>
      </c>
      <c r="I437" s="58" t="s">
        <v>4034</v>
      </c>
      <c r="J437" s="58" t="s">
        <v>3607</v>
      </c>
      <c r="K437" s="58" t="s">
        <v>4563</v>
      </c>
    </row>
    <row r="438" spans="1:11" ht="25.95" customHeight="1">
      <c r="A438" s="58" t="s">
        <v>14</v>
      </c>
      <c r="B438" s="58" t="s">
        <v>35</v>
      </c>
      <c r="C438" s="58" t="s">
        <v>4409</v>
      </c>
      <c r="D438" s="58" t="s">
        <v>4419</v>
      </c>
      <c r="E438" s="58">
        <v>4</v>
      </c>
      <c r="F438" s="58" t="s">
        <v>4448</v>
      </c>
      <c r="G438" s="58" t="s">
        <v>4411</v>
      </c>
      <c r="H438" s="58" t="s">
        <v>4033</v>
      </c>
      <c r="I438" s="58" t="s">
        <v>4034</v>
      </c>
      <c r="J438" s="58" t="s">
        <v>3608</v>
      </c>
      <c r="K438" s="58" t="s">
        <v>4564</v>
      </c>
    </row>
    <row r="439" spans="1:11" ht="25.95" customHeight="1">
      <c r="A439" s="58" t="s">
        <v>14</v>
      </c>
      <c r="B439" s="58" t="s">
        <v>35</v>
      </c>
      <c r="C439" s="58" t="s">
        <v>4409</v>
      </c>
      <c r="D439" s="58" t="s">
        <v>4421</v>
      </c>
      <c r="E439" s="58">
        <v>4.5</v>
      </c>
      <c r="F439" s="58" t="s">
        <v>4448</v>
      </c>
      <c r="G439" s="58" t="s">
        <v>4411</v>
      </c>
      <c r="H439" s="58" t="s">
        <v>4033</v>
      </c>
      <c r="I439" s="58" t="s">
        <v>4034</v>
      </c>
      <c r="J439" s="58" t="s">
        <v>3609</v>
      </c>
      <c r="K439" s="58" t="s">
        <v>4565</v>
      </c>
    </row>
    <row r="440" spans="1:11" ht="25.95" customHeight="1">
      <c r="A440" s="58" t="s">
        <v>14</v>
      </c>
      <c r="B440" s="58" t="s">
        <v>35</v>
      </c>
      <c r="C440" s="58" t="s">
        <v>4409</v>
      </c>
      <c r="D440" s="58" t="s">
        <v>4423</v>
      </c>
      <c r="E440" s="58">
        <v>5</v>
      </c>
      <c r="F440" s="58" t="s">
        <v>4448</v>
      </c>
      <c r="G440" s="58" t="s">
        <v>4411</v>
      </c>
      <c r="H440" s="58" t="s">
        <v>4033</v>
      </c>
      <c r="I440" s="58" t="s">
        <v>4034</v>
      </c>
      <c r="J440" s="58" t="s">
        <v>3611</v>
      </c>
      <c r="K440" s="58" t="s">
        <v>4566</v>
      </c>
    </row>
    <row r="441" spans="1:11" ht="25.95" customHeight="1">
      <c r="A441" s="58" t="s">
        <v>14</v>
      </c>
      <c r="B441" s="58" t="s">
        <v>35</v>
      </c>
      <c r="C441" s="58" t="s">
        <v>4409</v>
      </c>
      <c r="D441" s="58" t="s">
        <v>4425</v>
      </c>
      <c r="E441" s="58">
        <v>5</v>
      </c>
      <c r="F441" s="58" t="s">
        <v>4448</v>
      </c>
      <c r="G441" s="58" t="s">
        <v>4411</v>
      </c>
      <c r="H441" s="58" t="s">
        <v>4033</v>
      </c>
      <c r="I441" s="58" t="s">
        <v>4034</v>
      </c>
      <c r="J441" s="58" t="s">
        <v>3612</v>
      </c>
      <c r="K441" s="58" t="s">
        <v>4567</v>
      </c>
    </row>
    <row r="442" spans="1:11" ht="31.2">
      <c r="A442" s="58" t="s">
        <v>14</v>
      </c>
      <c r="B442" s="58" t="s">
        <v>35</v>
      </c>
      <c r="C442" s="58" t="s">
        <v>4409</v>
      </c>
      <c r="D442" s="58" t="s">
        <v>4427</v>
      </c>
      <c r="E442" s="58">
        <v>3</v>
      </c>
      <c r="F442" s="58" t="s">
        <v>4448</v>
      </c>
      <c r="G442" s="58" t="s">
        <v>4411</v>
      </c>
      <c r="H442" s="58" t="s">
        <v>4033</v>
      </c>
      <c r="I442" s="58" t="s">
        <v>4034</v>
      </c>
      <c r="J442" s="58" t="s">
        <v>3613</v>
      </c>
      <c r="K442" s="58" t="s">
        <v>4568</v>
      </c>
    </row>
    <row r="443" spans="1:11" ht="31.2">
      <c r="A443" s="58" t="s">
        <v>14</v>
      </c>
      <c r="B443" s="58" t="s">
        <v>35</v>
      </c>
      <c r="C443" s="58" t="s">
        <v>4409</v>
      </c>
      <c r="D443" s="58" t="s">
        <v>4429</v>
      </c>
      <c r="E443" s="58">
        <v>4</v>
      </c>
      <c r="F443" s="58" t="s">
        <v>4448</v>
      </c>
      <c r="G443" s="58" t="s">
        <v>4411</v>
      </c>
      <c r="H443" s="58" t="s">
        <v>4033</v>
      </c>
      <c r="I443" s="58" t="s">
        <v>4034</v>
      </c>
      <c r="J443" s="58" t="s">
        <v>3614</v>
      </c>
      <c r="K443" s="58" t="s">
        <v>4569</v>
      </c>
    </row>
    <row r="444" spans="1:11" ht="31.2">
      <c r="A444" s="58" t="s">
        <v>14</v>
      </c>
      <c r="B444" s="58" t="s">
        <v>35</v>
      </c>
      <c r="C444" s="58" t="s">
        <v>4409</v>
      </c>
      <c r="D444" s="58" t="s">
        <v>4431</v>
      </c>
      <c r="E444" s="58">
        <v>4</v>
      </c>
      <c r="F444" s="58" t="s">
        <v>4448</v>
      </c>
      <c r="G444" s="58" t="s">
        <v>4411</v>
      </c>
      <c r="H444" s="58" t="s">
        <v>4033</v>
      </c>
      <c r="I444" s="58" t="s">
        <v>4034</v>
      </c>
      <c r="J444" s="58" t="s">
        <v>3615</v>
      </c>
      <c r="K444" s="58" t="s">
        <v>4570</v>
      </c>
    </row>
    <row r="445" spans="1:11" ht="25.95" customHeight="1">
      <c r="A445" s="58" t="s">
        <v>14</v>
      </c>
      <c r="B445" s="58" t="s">
        <v>35</v>
      </c>
      <c r="C445" s="58" t="s">
        <v>4409</v>
      </c>
      <c r="D445" s="58" t="s">
        <v>4433</v>
      </c>
      <c r="E445" s="58">
        <v>5</v>
      </c>
      <c r="F445" s="58" t="s">
        <v>4448</v>
      </c>
      <c r="G445" s="58" t="s">
        <v>4411</v>
      </c>
      <c r="H445" s="58" t="s">
        <v>4033</v>
      </c>
      <c r="I445" s="58" t="s">
        <v>4034</v>
      </c>
      <c r="J445" s="58" t="s">
        <v>3616</v>
      </c>
      <c r="K445" s="58" t="s">
        <v>4571</v>
      </c>
    </row>
    <row r="446" spans="1:11" ht="31.2">
      <c r="A446" s="58" t="s">
        <v>14</v>
      </c>
      <c r="B446" s="58" t="s">
        <v>35</v>
      </c>
      <c r="C446" s="58" t="s">
        <v>4409</v>
      </c>
      <c r="D446" s="58" t="s">
        <v>4435</v>
      </c>
      <c r="E446" s="58">
        <v>4</v>
      </c>
      <c r="F446" s="58" t="s">
        <v>4448</v>
      </c>
      <c r="G446" s="58" t="s">
        <v>4411</v>
      </c>
      <c r="H446" s="58" t="s">
        <v>4033</v>
      </c>
      <c r="I446" s="58" t="s">
        <v>4034</v>
      </c>
      <c r="J446" s="58" t="s">
        <v>3617</v>
      </c>
      <c r="K446" s="58" t="s">
        <v>4572</v>
      </c>
    </row>
    <row r="447" spans="1:11" ht="25.95" customHeight="1">
      <c r="A447" s="58" t="s">
        <v>14</v>
      </c>
      <c r="B447" s="58" t="s">
        <v>35</v>
      </c>
      <c r="C447" s="58" t="s">
        <v>4409</v>
      </c>
      <c r="D447" s="58" t="s">
        <v>4437</v>
      </c>
      <c r="E447" s="58">
        <v>2.25</v>
      </c>
      <c r="F447" s="58" t="s">
        <v>4448</v>
      </c>
      <c r="G447" s="58" t="s">
        <v>4411</v>
      </c>
      <c r="H447" s="58" t="s">
        <v>4033</v>
      </c>
      <c r="I447" s="58" t="s">
        <v>4034</v>
      </c>
      <c r="J447" s="58" t="s">
        <v>3618</v>
      </c>
      <c r="K447" s="58" t="s">
        <v>4573</v>
      </c>
    </row>
    <row r="448" spans="1:11" ht="25.95" customHeight="1">
      <c r="A448" s="58" t="s">
        <v>14</v>
      </c>
      <c r="B448" s="58" t="s">
        <v>35</v>
      </c>
      <c r="C448" s="58" t="s">
        <v>4409</v>
      </c>
      <c r="D448" s="58" t="s">
        <v>4439</v>
      </c>
      <c r="E448" s="58">
        <v>4</v>
      </c>
      <c r="F448" s="58" t="s">
        <v>4448</v>
      </c>
      <c r="G448" s="58" t="s">
        <v>4411</v>
      </c>
      <c r="H448" s="58" t="s">
        <v>4033</v>
      </c>
      <c r="I448" s="58" t="s">
        <v>4034</v>
      </c>
      <c r="J448" s="58" t="s">
        <v>3619</v>
      </c>
      <c r="K448" s="58" t="s">
        <v>4574</v>
      </c>
    </row>
    <row r="449" spans="1:11" ht="25.95" customHeight="1">
      <c r="A449" s="58" t="s">
        <v>14</v>
      </c>
      <c r="B449" s="58" t="s">
        <v>35</v>
      </c>
      <c r="C449" s="58" t="s">
        <v>4409</v>
      </c>
      <c r="D449" s="58" t="s">
        <v>4441</v>
      </c>
      <c r="E449" s="58">
        <v>4.5</v>
      </c>
      <c r="F449" s="58" t="s">
        <v>4448</v>
      </c>
      <c r="G449" s="58" t="s">
        <v>4411</v>
      </c>
      <c r="H449" s="58" t="s">
        <v>4033</v>
      </c>
      <c r="I449" s="58" t="s">
        <v>4034</v>
      </c>
      <c r="J449" s="58" t="s">
        <v>3620</v>
      </c>
      <c r="K449" s="58" t="s">
        <v>4575</v>
      </c>
    </row>
    <row r="450" spans="1:11" ht="25.95" customHeight="1">
      <c r="A450" s="58" t="s">
        <v>14</v>
      </c>
      <c r="B450" s="58" t="s">
        <v>35</v>
      </c>
      <c r="C450" s="58" t="s">
        <v>4409</v>
      </c>
      <c r="D450" s="58" t="s">
        <v>4443</v>
      </c>
      <c r="E450" s="58">
        <v>6</v>
      </c>
      <c r="F450" s="58" t="s">
        <v>4448</v>
      </c>
      <c r="G450" s="58" t="s">
        <v>4411</v>
      </c>
      <c r="H450" s="58" t="s">
        <v>4033</v>
      </c>
      <c r="I450" s="58" t="s">
        <v>4034</v>
      </c>
      <c r="J450" s="58" t="s">
        <v>3621</v>
      </c>
      <c r="K450" s="58" t="s">
        <v>4576</v>
      </c>
    </row>
    <row r="451" spans="1:11" ht="25.95" customHeight="1">
      <c r="A451" s="58" t="s">
        <v>14</v>
      </c>
      <c r="B451" s="58" t="s">
        <v>35</v>
      </c>
      <c r="C451" s="58" t="s">
        <v>4409</v>
      </c>
      <c r="D451" s="58" t="s">
        <v>4445</v>
      </c>
      <c r="E451" s="58">
        <v>4.5</v>
      </c>
      <c r="F451" s="58" t="s">
        <v>4448</v>
      </c>
      <c r="G451" s="58" t="s">
        <v>4411</v>
      </c>
      <c r="H451" s="58" t="s">
        <v>4033</v>
      </c>
      <c r="I451" s="58" t="s">
        <v>4034</v>
      </c>
      <c r="J451" s="58" t="s">
        <v>3622</v>
      </c>
      <c r="K451" s="58" t="s">
        <v>4577</v>
      </c>
    </row>
    <row r="452" spans="1:11" ht="25.95" customHeight="1">
      <c r="A452" s="58" t="s">
        <v>14</v>
      </c>
      <c r="B452" s="58" t="s">
        <v>35</v>
      </c>
      <c r="C452" s="58" t="s">
        <v>4409</v>
      </c>
      <c r="D452" s="58" t="s">
        <v>4447</v>
      </c>
      <c r="E452" s="58">
        <v>1.5</v>
      </c>
      <c r="F452" s="58" t="s">
        <v>4448</v>
      </c>
      <c r="G452" s="58" t="s">
        <v>4411</v>
      </c>
      <c r="H452" s="58" t="s">
        <v>4033</v>
      </c>
      <c r="I452" s="58" t="s">
        <v>4034</v>
      </c>
      <c r="J452" s="58" t="s">
        <v>3703</v>
      </c>
      <c r="K452" s="58" t="s">
        <v>4578</v>
      </c>
    </row>
    <row r="453" spans="1:11" ht="25.95" customHeight="1">
      <c r="A453" s="58" t="s">
        <v>14</v>
      </c>
      <c r="B453" s="58" t="s">
        <v>35</v>
      </c>
      <c r="C453" s="58" t="s">
        <v>4409</v>
      </c>
      <c r="D453" s="58" t="s">
        <v>4450</v>
      </c>
      <c r="E453" s="58">
        <v>3</v>
      </c>
      <c r="F453" s="58" t="s">
        <v>4448</v>
      </c>
      <c r="G453" s="58" t="s">
        <v>4411</v>
      </c>
      <c r="H453" s="58" t="s">
        <v>4033</v>
      </c>
      <c r="I453" s="58" t="s">
        <v>4034</v>
      </c>
      <c r="J453" s="58" t="s">
        <v>3623</v>
      </c>
      <c r="K453" s="58" t="s">
        <v>4579</v>
      </c>
    </row>
    <row r="454" spans="1:11" ht="25.95" customHeight="1">
      <c r="A454" s="58" t="s">
        <v>14</v>
      </c>
      <c r="B454" s="58" t="s">
        <v>35</v>
      </c>
      <c r="C454" s="58" t="s">
        <v>4409</v>
      </c>
      <c r="D454" s="58" t="s">
        <v>4452</v>
      </c>
      <c r="E454" s="58">
        <v>1.5</v>
      </c>
      <c r="F454" s="58" t="s">
        <v>4448</v>
      </c>
      <c r="G454" s="58" t="s">
        <v>4411</v>
      </c>
      <c r="H454" s="58" t="s">
        <v>4033</v>
      </c>
      <c r="I454" s="58" t="s">
        <v>4034</v>
      </c>
      <c r="J454" s="58" t="s">
        <v>3624</v>
      </c>
      <c r="K454" s="58" t="s">
        <v>4580</v>
      </c>
    </row>
    <row r="455" spans="1:11" ht="25.95" customHeight="1">
      <c r="A455" s="58" t="s">
        <v>14</v>
      </c>
      <c r="B455" s="58" t="s">
        <v>35</v>
      </c>
      <c r="C455" s="58" t="s">
        <v>4409</v>
      </c>
      <c r="D455" s="58" t="s">
        <v>4454</v>
      </c>
      <c r="E455" s="58">
        <v>2.25</v>
      </c>
      <c r="F455" s="58" t="s">
        <v>4448</v>
      </c>
      <c r="G455" s="58" t="s">
        <v>4411</v>
      </c>
      <c r="H455" s="58" t="s">
        <v>4033</v>
      </c>
      <c r="I455" s="58" t="s">
        <v>4034</v>
      </c>
      <c r="J455" s="58" t="s">
        <v>3625</v>
      </c>
      <c r="K455" s="58" t="s">
        <v>4581</v>
      </c>
    </row>
    <row r="456" spans="1:11" ht="25.95" customHeight="1">
      <c r="A456" s="58" t="s">
        <v>14</v>
      </c>
      <c r="B456" s="58" t="s">
        <v>35</v>
      </c>
      <c r="C456" s="58" t="s">
        <v>4409</v>
      </c>
      <c r="D456" s="58" t="s">
        <v>4456</v>
      </c>
      <c r="E456" s="58">
        <v>3</v>
      </c>
      <c r="F456" s="58" t="s">
        <v>4448</v>
      </c>
      <c r="G456" s="58" t="s">
        <v>4411</v>
      </c>
      <c r="H456" s="58" t="s">
        <v>4033</v>
      </c>
      <c r="I456" s="58" t="s">
        <v>4034</v>
      </c>
      <c r="J456" s="58" t="s">
        <v>3713</v>
      </c>
      <c r="K456" s="58" t="s">
        <v>4582</v>
      </c>
    </row>
    <row r="457" spans="1:11" ht="25.95" customHeight="1">
      <c r="A457" s="58" t="s">
        <v>14</v>
      </c>
      <c r="B457" s="58" t="s">
        <v>35</v>
      </c>
      <c r="C457" s="58" t="s">
        <v>4409</v>
      </c>
      <c r="D457" s="58" t="s">
        <v>4458</v>
      </c>
      <c r="E457" s="58">
        <v>2.25</v>
      </c>
      <c r="F457" s="58" t="s">
        <v>4448</v>
      </c>
      <c r="G457" s="58" t="s">
        <v>4411</v>
      </c>
      <c r="H457" s="58" t="s">
        <v>4033</v>
      </c>
      <c r="I457" s="58" t="s">
        <v>4034</v>
      </c>
      <c r="J457" s="58" t="s">
        <v>3716</v>
      </c>
      <c r="K457" s="58" t="s">
        <v>4583</v>
      </c>
    </row>
    <row r="458" spans="1:11" ht="25.95" customHeight="1">
      <c r="A458" s="58" t="s">
        <v>14</v>
      </c>
      <c r="B458" s="58" t="s">
        <v>35</v>
      </c>
      <c r="C458" s="58" t="s">
        <v>4409</v>
      </c>
      <c r="D458" s="58" t="s">
        <v>4460</v>
      </c>
      <c r="E458" s="58">
        <v>2</v>
      </c>
      <c r="F458" s="58" t="s">
        <v>4448</v>
      </c>
      <c r="G458" s="58" t="s">
        <v>4411</v>
      </c>
      <c r="H458" s="58" t="s">
        <v>4033</v>
      </c>
      <c r="I458" s="58" t="s">
        <v>4034</v>
      </c>
      <c r="J458" s="58" t="s">
        <v>3719</v>
      </c>
      <c r="K458" s="58" t="s">
        <v>4584</v>
      </c>
    </row>
    <row r="459" spans="1:11" ht="25.95" customHeight="1">
      <c r="A459" s="58" t="s">
        <v>14</v>
      </c>
      <c r="B459" s="58" t="s">
        <v>35</v>
      </c>
      <c r="C459" s="58" t="s">
        <v>4409</v>
      </c>
      <c r="D459" s="58" t="s">
        <v>4462</v>
      </c>
      <c r="E459" s="58">
        <v>2</v>
      </c>
      <c r="F459" s="58" t="s">
        <v>4448</v>
      </c>
      <c r="G459" s="58" t="s">
        <v>4411</v>
      </c>
      <c r="H459" s="58" t="s">
        <v>4033</v>
      </c>
      <c r="I459" s="58" t="s">
        <v>4034</v>
      </c>
      <c r="J459" s="58" t="s">
        <v>3722</v>
      </c>
      <c r="K459" s="58" t="s">
        <v>4585</v>
      </c>
    </row>
    <row r="460" spans="1:11" ht="25.95" customHeight="1">
      <c r="A460" s="58" t="s">
        <v>15</v>
      </c>
      <c r="B460" s="58" t="s">
        <v>19</v>
      </c>
      <c r="C460" s="58" t="s">
        <v>4409</v>
      </c>
      <c r="D460" s="58" t="s">
        <v>4410</v>
      </c>
      <c r="E460" s="58">
        <v>4</v>
      </c>
      <c r="F460" s="58" t="s">
        <v>158</v>
      </c>
      <c r="G460" s="58" t="s">
        <v>4411</v>
      </c>
      <c r="H460" s="58" t="s">
        <v>3987</v>
      </c>
      <c r="I460" s="58" t="s">
        <v>3988</v>
      </c>
      <c r="J460" s="58" t="s">
        <v>3605</v>
      </c>
      <c r="K460" s="58" t="s">
        <v>4586</v>
      </c>
    </row>
    <row r="461" spans="1:11" ht="25.95" customHeight="1">
      <c r="A461" s="58" t="s">
        <v>15</v>
      </c>
      <c r="B461" s="58" t="s">
        <v>19</v>
      </c>
      <c r="C461" s="58" t="s">
        <v>4409</v>
      </c>
      <c r="D461" s="58" t="s">
        <v>4415</v>
      </c>
      <c r="E461" s="58">
        <v>3</v>
      </c>
      <c r="F461" s="58" t="s">
        <v>158</v>
      </c>
      <c r="G461" s="58" t="s">
        <v>4411</v>
      </c>
      <c r="H461" s="58" t="s">
        <v>3987</v>
      </c>
      <c r="I461" s="58" t="s">
        <v>3988</v>
      </c>
      <c r="J461" s="58" t="s">
        <v>3606</v>
      </c>
      <c r="K461" s="58" t="s">
        <v>4587</v>
      </c>
    </row>
    <row r="462" spans="1:11" ht="25.95" customHeight="1">
      <c r="A462" s="58" t="s">
        <v>15</v>
      </c>
      <c r="B462" s="58" t="s">
        <v>19</v>
      </c>
      <c r="C462" s="58" t="s">
        <v>4409</v>
      </c>
      <c r="D462" s="58" t="s">
        <v>4417</v>
      </c>
      <c r="E462" s="58">
        <v>2.25</v>
      </c>
      <c r="F462" s="58" t="s">
        <v>158</v>
      </c>
      <c r="G462" s="58" t="s">
        <v>4411</v>
      </c>
      <c r="H462" s="58" t="s">
        <v>3987</v>
      </c>
      <c r="I462" s="58" t="s">
        <v>3988</v>
      </c>
      <c r="J462" s="58" t="s">
        <v>3607</v>
      </c>
      <c r="K462" s="58" t="s">
        <v>4588</v>
      </c>
    </row>
    <row r="463" spans="1:11" ht="25.95" customHeight="1">
      <c r="A463" s="58" t="s">
        <v>15</v>
      </c>
      <c r="B463" s="58" t="s">
        <v>19</v>
      </c>
      <c r="C463" s="58" t="s">
        <v>4409</v>
      </c>
      <c r="D463" s="58" t="s">
        <v>4419</v>
      </c>
      <c r="E463" s="58">
        <v>3</v>
      </c>
      <c r="F463" s="58" t="s">
        <v>158</v>
      </c>
      <c r="G463" s="58" t="s">
        <v>4411</v>
      </c>
      <c r="H463" s="58" t="s">
        <v>3987</v>
      </c>
      <c r="I463" s="58" t="s">
        <v>3988</v>
      </c>
      <c r="J463" s="58" t="s">
        <v>3608</v>
      </c>
      <c r="K463" s="58" t="s">
        <v>4589</v>
      </c>
    </row>
    <row r="464" spans="1:11" ht="25.95" customHeight="1">
      <c r="A464" s="58" t="s">
        <v>15</v>
      </c>
      <c r="B464" s="58" t="s">
        <v>19</v>
      </c>
      <c r="C464" s="58" t="s">
        <v>4409</v>
      </c>
      <c r="D464" s="58" t="s">
        <v>4421</v>
      </c>
      <c r="E464" s="58">
        <v>4.5</v>
      </c>
      <c r="F464" s="58" t="s">
        <v>158</v>
      </c>
      <c r="G464" s="58" t="s">
        <v>4411</v>
      </c>
      <c r="H464" s="58" t="s">
        <v>3987</v>
      </c>
      <c r="I464" s="58" t="s">
        <v>3988</v>
      </c>
      <c r="J464" s="58" t="s">
        <v>3609</v>
      </c>
      <c r="K464" s="58" t="s">
        <v>4590</v>
      </c>
    </row>
    <row r="465" spans="1:11" ht="25.95" customHeight="1">
      <c r="A465" s="58" t="s">
        <v>15</v>
      </c>
      <c r="B465" s="58" t="s">
        <v>19</v>
      </c>
      <c r="C465" s="58" t="s">
        <v>4409</v>
      </c>
      <c r="D465" s="58" t="s">
        <v>4423</v>
      </c>
      <c r="E465" s="58">
        <v>3.75</v>
      </c>
      <c r="F465" s="58" t="s">
        <v>4448</v>
      </c>
      <c r="G465" s="58" t="s">
        <v>4411</v>
      </c>
      <c r="H465" s="58" t="s">
        <v>3987</v>
      </c>
      <c r="I465" s="58" t="s">
        <v>3988</v>
      </c>
      <c r="J465" s="58" t="s">
        <v>3611</v>
      </c>
      <c r="K465" s="58" t="s">
        <v>4591</v>
      </c>
    </row>
    <row r="466" spans="1:11" ht="25.95" customHeight="1">
      <c r="A466" s="58" t="s">
        <v>15</v>
      </c>
      <c r="B466" s="58" t="s">
        <v>19</v>
      </c>
      <c r="C466" s="58" t="s">
        <v>4409</v>
      </c>
      <c r="D466" s="58" t="s">
        <v>4425</v>
      </c>
      <c r="E466" s="58">
        <v>5</v>
      </c>
      <c r="F466" s="58" t="s">
        <v>4448</v>
      </c>
      <c r="G466" s="58" t="s">
        <v>4411</v>
      </c>
      <c r="H466" s="58" t="s">
        <v>3987</v>
      </c>
      <c r="I466" s="58" t="s">
        <v>3988</v>
      </c>
      <c r="J466" s="58" t="s">
        <v>3612</v>
      </c>
      <c r="K466" s="58" t="s">
        <v>4592</v>
      </c>
    </row>
    <row r="467" spans="1:11" ht="25.95" customHeight="1">
      <c r="A467" s="58" t="s">
        <v>15</v>
      </c>
      <c r="B467" s="58" t="s">
        <v>19</v>
      </c>
      <c r="C467" s="58" t="s">
        <v>4409</v>
      </c>
      <c r="D467" s="58" t="s">
        <v>4427</v>
      </c>
      <c r="E467" s="58">
        <v>2</v>
      </c>
      <c r="F467" s="58" t="s">
        <v>4448</v>
      </c>
      <c r="G467" s="58" t="s">
        <v>4411</v>
      </c>
      <c r="H467" s="58" t="s">
        <v>3987</v>
      </c>
      <c r="I467" s="58" t="s">
        <v>3988</v>
      </c>
      <c r="J467" s="58" t="s">
        <v>3613</v>
      </c>
      <c r="K467" s="58" t="s">
        <v>4593</v>
      </c>
    </row>
    <row r="468" spans="1:11" ht="25.95" customHeight="1">
      <c r="A468" s="58" t="s">
        <v>15</v>
      </c>
      <c r="B468" s="58" t="s">
        <v>19</v>
      </c>
      <c r="C468" s="58" t="s">
        <v>4409</v>
      </c>
      <c r="D468" s="58" t="s">
        <v>4429</v>
      </c>
      <c r="E468" s="58">
        <v>3</v>
      </c>
      <c r="F468" s="58" t="s">
        <v>4448</v>
      </c>
      <c r="G468" s="58" t="s">
        <v>4411</v>
      </c>
      <c r="H468" s="58" t="s">
        <v>3987</v>
      </c>
      <c r="I468" s="58" t="s">
        <v>3988</v>
      </c>
      <c r="J468" s="58" t="s">
        <v>3614</v>
      </c>
      <c r="K468" s="58" t="s">
        <v>4594</v>
      </c>
    </row>
    <row r="469" spans="1:11" ht="25.95" customHeight="1">
      <c r="A469" s="58" t="s">
        <v>15</v>
      </c>
      <c r="B469" s="58" t="s">
        <v>19</v>
      </c>
      <c r="C469" s="58" t="s">
        <v>4409</v>
      </c>
      <c r="D469" s="58" t="s">
        <v>4431</v>
      </c>
      <c r="E469" s="58">
        <v>3</v>
      </c>
      <c r="F469" s="58" t="s">
        <v>4448</v>
      </c>
      <c r="G469" s="58" t="s">
        <v>4411</v>
      </c>
      <c r="H469" s="58" t="s">
        <v>3987</v>
      </c>
      <c r="I469" s="58" t="s">
        <v>3988</v>
      </c>
      <c r="J469" s="58" t="s">
        <v>3615</v>
      </c>
      <c r="K469" s="58" t="s">
        <v>4595</v>
      </c>
    </row>
    <row r="470" spans="1:11" ht="15.6">
      <c r="A470" s="58" t="s">
        <v>15</v>
      </c>
      <c r="B470" s="58" t="s">
        <v>19</v>
      </c>
      <c r="C470" s="58" t="s">
        <v>4409</v>
      </c>
      <c r="D470" s="58" t="s">
        <v>4433</v>
      </c>
      <c r="E470" s="58">
        <v>1.25</v>
      </c>
      <c r="F470" s="58" t="s">
        <v>4448</v>
      </c>
      <c r="G470" s="58" t="s">
        <v>4411</v>
      </c>
      <c r="H470" s="58" t="s">
        <v>3987</v>
      </c>
      <c r="I470" s="58" t="s">
        <v>3988</v>
      </c>
      <c r="J470" s="58" t="s">
        <v>3616</v>
      </c>
      <c r="K470" s="58" t="s">
        <v>4596</v>
      </c>
    </row>
    <row r="471" spans="1:11" ht="15.6">
      <c r="A471" s="58" t="s">
        <v>15</v>
      </c>
      <c r="B471" s="58" t="s">
        <v>19</v>
      </c>
      <c r="C471" s="58" t="s">
        <v>4409</v>
      </c>
      <c r="D471" s="58" t="s">
        <v>4435</v>
      </c>
      <c r="E471" s="58">
        <v>3</v>
      </c>
      <c r="F471" s="58" t="s">
        <v>4448</v>
      </c>
      <c r="G471" s="58" t="s">
        <v>4411</v>
      </c>
      <c r="H471" s="58" t="s">
        <v>3987</v>
      </c>
      <c r="I471" s="58" t="s">
        <v>3988</v>
      </c>
      <c r="J471" s="58" t="s">
        <v>3617</v>
      </c>
      <c r="K471" s="58" t="s">
        <v>4597</v>
      </c>
    </row>
    <row r="472" spans="1:11" ht="15.6">
      <c r="A472" s="58" t="s">
        <v>15</v>
      </c>
      <c r="B472" s="58" t="s">
        <v>19</v>
      </c>
      <c r="C472" s="58" t="s">
        <v>4409</v>
      </c>
      <c r="D472" s="58" t="s">
        <v>4437</v>
      </c>
      <c r="E472" s="58">
        <v>2.25</v>
      </c>
      <c r="F472" s="58" t="s">
        <v>4448</v>
      </c>
      <c r="G472" s="58" t="s">
        <v>4411</v>
      </c>
      <c r="H472" s="58" t="s">
        <v>3987</v>
      </c>
      <c r="I472" s="58" t="s">
        <v>3988</v>
      </c>
      <c r="J472" s="58" t="s">
        <v>3618</v>
      </c>
      <c r="K472" s="58" t="s">
        <v>4598</v>
      </c>
    </row>
    <row r="473" spans="1:11" ht="25.95" customHeight="1">
      <c r="A473" s="58" t="s">
        <v>15</v>
      </c>
      <c r="B473" s="58" t="s">
        <v>19</v>
      </c>
      <c r="C473" s="58" t="s">
        <v>4409</v>
      </c>
      <c r="D473" s="58" t="s">
        <v>4439</v>
      </c>
      <c r="E473" s="58">
        <v>3</v>
      </c>
      <c r="F473" s="58" t="s">
        <v>4448</v>
      </c>
      <c r="G473" s="58" t="s">
        <v>4411</v>
      </c>
      <c r="H473" s="58" t="s">
        <v>3987</v>
      </c>
      <c r="I473" s="58" t="s">
        <v>3988</v>
      </c>
      <c r="J473" s="58" t="s">
        <v>3619</v>
      </c>
      <c r="K473" s="58" t="s">
        <v>4599</v>
      </c>
    </row>
    <row r="474" spans="1:11" ht="15.6">
      <c r="A474" s="58" t="s">
        <v>15</v>
      </c>
      <c r="B474" s="58" t="s">
        <v>19</v>
      </c>
      <c r="C474" s="58" t="s">
        <v>4409</v>
      </c>
      <c r="D474" s="58" t="s">
        <v>4441</v>
      </c>
      <c r="E474" s="58">
        <v>4.5</v>
      </c>
      <c r="F474" s="58" t="s">
        <v>4448</v>
      </c>
      <c r="G474" s="58" t="s">
        <v>4411</v>
      </c>
      <c r="H474" s="58" t="s">
        <v>3987</v>
      </c>
      <c r="I474" s="58" t="s">
        <v>3988</v>
      </c>
      <c r="J474" s="58" t="s">
        <v>3620</v>
      </c>
      <c r="K474" s="58" t="s">
        <v>4600</v>
      </c>
    </row>
    <row r="475" spans="1:11" ht="25.95" customHeight="1">
      <c r="A475" s="58" t="s">
        <v>15</v>
      </c>
      <c r="B475" s="58" t="s">
        <v>19</v>
      </c>
      <c r="C475" s="58" t="s">
        <v>4409</v>
      </c>
      <c r="D475" s="58" t="s">
        <v>4443</v>
      </c>
      <c r="E475" s="58">
        <v>6</v>
      </c>
      <c r="F475" s="58" t="s">
        <v>4448</v>
      </c>
      <c r="G475" s="58" t="s">
        <v>4411</v>
      </c>
      <c r="H475" s="58" t="s">
        <v>3987</v>
      </c>
      <c r="I475" s="58" t="s">
        <v>3988</v>
      </c>
      <c r="J475" s="58" t="s">
        <v>3621</v>
      </c>
      <c r="K475" s="58" t="s">
        <v>4601</v>
      </c>
    </row>
    <row r="476" spans="1:11" ht="25.95" customHeight="1">
      <c r="A476" s="58" t="s">
        <v>15</v>
      </c>
      <c r="B476" s="58" t="s">
        <v>19</v>
      </c>
      <c r="C476" s="58" t="s">
        <v>4409</v>
      </c>
      <c r="D476" s="58" t="s">
        <v>4445</v>
      </c>
      <c r="E476" s="58">
        <v>3</v>
      </c>
      <c r="F476" s="58" t="s">
        <v>4448</v>
      </c>
      <c r="G476" s="58" t="s">
        <v>4411</v>
      </c>
      <c r="H476" s="58" t="s">
        <v>3987</v>
      </c>
      <c r="I476" s="58" t="s">
        <v>3988</v>
      </c>
      <c r="J476" s="58" t="s">
        <v>3622</v>
      </c>
      <c r="K476" s="58" t="s">
        <v>4602</v>
      </c>
    </row>
    <row r="477" spans="1:11" ht="25.95" customHeight="1">
      <c r="A477" s="58" t="s">
        <v>15</v>
      </c>
      <c r="B477" s="58" t="s">
        <v>19</v>
      </c>
      <c r="C477" s="58" t="s">
        <v>4409</v>
      </c>
      <c r="D477" s="58" t="s">
        <v>4447</v>
      </c>
      <c r="E477" s="58">
        <v>1.5</v>
      </c>
      <c r="F477" s="58" t="s">
        <v>158</v>
      </c>
      <c r="G477" s="58" t="s">
        <v>4411</v>
      </c>
      <c r="H477" s="58" t="s">
        <v>3987</v>
      </c>
      <c r="I477" s="58" t="s">
        <v>3988</v>
      </c>
      <c r="J477" s="58" t="s">
        <v>3703</v>
      </c>
      <c r="K477" s="58" t="s">
        <v>4603</v>
      </c>
    </row>
    <row r="478" spans="1:11" ht="25.95" customHeight="1">
      <c r="A478" s="58" t="s">
        <v>15</v>
      </c>
      <c r="B478" s="58" t="s">
        <v>19</v>
      </c>
      <c r="C478" s="58" t="s">
        <v>4409</v>
      </c>
      <c r="D478" s="58" t="s">
        <v>4450</v>
      </c>
      <c r="E478" s="58">
        <v>3</v>
      </c>
      <c r="F478" s="58" t="s">
        <v>158</v>
      </c>
      <c r="G478" s="58" t="s">
        <v>4411</v>
      </c>
      <c r="H478" s="58" t="s">
        <v>3987</v>
      </c>
      <c r="I478" s="58" t="s">
        <v>3988</v>
      </c>
      <c r="J478" s="58" t="s">
        <v>3623</v>
      </c>
      <c r="K478" s="58" t="s">
        <v>4604</v>
      </c>
    </row>
    <row r="479" spans="1:11" ht="25.95" customHeight="1">
      <c r="A479" s="58" t="s">
        <v>15</v>
      </c>
      <c r="B479" s="58" t="s">
        <v>19</v>
      </c>
      <c r="C479" s="58" t="s">
        <v>4409</v>
      </c>
      <c r="D479" s="58" t="s">
        <v>4452</v>
      </c>
      <c r="E479" s="58">
        <v>1.5</v>
      </c>
      <c r="F479" s="58" t="s">
        <v>158</v>
      </c>
      <c r="G479" s="58" t="s">
        <v>4411</v>
      </c>
      <c r="H479" s="58" t="s">
        <v>3987</v>
      </c>
      <c r="I479" s="58" t="s">
        <v>3988</v>
      </c>
      <c r="J479" s="58" t="s">
        <v>3624</v>
      </c>
      <c r="K479" s="58" t="s">
        <v>4605</v>
      </c>
    </row>
    <row r="480" spans="1:11" ht="25.95" customHeight="1">
      <c r="A480" s="58" t="s">
        <v>15</v>
      </c>
      <c r="B480" s="58" t="s">
        <v>19</v>
      </c>
      <c r="C480" s="58" t="s">
        <v>4409</v>
      </c>
      <c r="D480" s="58" t="s">
        <v>4454</v>
      </c>
      <c r="E480" s="58">
        <v>2.25</v>
      </c>
      <c r="F480" s="58" t="s">
        <v>158</v>
      </c>
      <c r="G480" s="58" t="s">
        <v>4411</v>
      </c>
      <c r="H480" s="58" t="s">
        <v>3987</v>
      </c>
      <c r="I480" s="58" t="s">
        <v>3988</v>
      </c>
      <c r="J480" s="58" t="s">
        <v>3625</v>
      </c>
      <c r="K480" s="58" t="s">
        <v>4606</v>
      </c>
    </row>
    <row r="481" spans="1:11" ht="25.95" customHeight="1">
      <c r="A481" s="58" t="s">
        <v>15</v>
      </c>
      <c r="B481" s="58" t="s">
        <v>19</v>
      </c>
      <c r="C481" s="58" t="s">
        <v>4409</v>
      </c>
      <c r="D481" s="58" t="s">
        <v>4456</v>
      </c>
      <c r="E481" s="58">
        <v>3</v>
      </c>
      <c r="F481" s="58" t="s">
        <v>158</v>
      </c>
      <c r="G481" s="58" t="s">
        <v>4411</v>
      </c>
      <c r="H481" s="58" t="s">
        <v>3987</v>
      </c>
      <c r="I481" s="58" t="s">
        <v>3988</v>
      </c>
      <c r="J481" s="58" t="s">
        <v>3713</v>
      </c>
      <c r="K481" s="58" t="s">
        <v>4607</v>
      </c>
    </row>
    <row r="482" spans="1:11" ht="25.95" customHeight="1">
      <c r="A482" s="58" t="s">
        <v>15</v>
      </c>
      <c r="B482" s="58" t="s">
        <v>19</v>
      </c>
      <c r="C482" s="58" t="s">
        <v>4409</v>
      </c>
      <c r="D482" s="58" t="s">
        <v>4458</v>
      </c>
      <c r="E482" s="58">
        <v>2.25</v>
      </c>
      <c r="F482" s="58" t="s">
        <v>158</v>
      </c>
      <c r="G482" s="58" t="s">
        <v>4411</v>
      </c>
      <c r="H482" s="58" t="s">
        <v>3987</v>
      </c>
      <c r="I482" s="58" t="s">
        <v>3988</v>
      </c>
      <c r="J482" s="58" t="s">
        <v>3716</v>
      </c>
      <c r="K482" s="58" t="s">
        <v>4608</v>
      </c>
    </row>
    <row r="483" spans="1:11" ht="25.95" customHeight="1">
      <c r="A483" s="58" t="s">
        <v>15</v>
      </c>
      <c r="B483" s="58" t="s">
        <v>19</v>
      </c>
      <c r="C483" s="58" t="s">
        <v>4409</v>
      </c>
      <c r="D483" s="58" t="s">
        <v>4460</v>
      </c>
      <c r="E483" s="58">
        <v>2</v>
      </c>
      <c r="F483" s="58" t="s">
        <v>158</v>
      </c>
      <c r="G483" s="58" t="s">
        <v>4411</v>
      </c>
      <c r="H483" s="58" t="s">
        <v>3987</v>
      </c>
      <c r="I483" s="58" t="s">
        <v>3988</v>
      </c>
      <c r="J483" s="58" t="s">
        <v>3719</v>
      </c>
      <c r="K483" s="58" t="s">
        <v>4609</v>
      </c>
    </row>
    <row r="484" spans="1:11" ht="25.95" customHeight="1">
      <c r="A484" s="58" t="s">
        <v>15</v>
      </c>
      <c r="B484" s="58" t="s">
        <v>19</v>
      </c>
      <c r="C484" s="58" t="s">
        <v>4409</v>
      </c>
      <c r="D484" s="58" t="s">
        <v>4462</v>
      </c>
      <c r="E484" s="58">
        <v>2</v>
      </c>
      <c r="F484" s="58" t="s">
        <v>158</v>
      </c>
      <c r="G484" s="58" t="s">
        <v>4411</v>
      </c>
      <c r="H484" s="58" t="s">
        <v>3987</v>
      </c>
      <c r="I484" s="58" t="s">
        <v>3988</v>
      </c>
      <c r="J484" s="58" t="s">
        <v>3722</v>
      </c>
      <c r="K484" s="58" t="s">
        <v>4610</v>
      </c>
    </row>
    <row r="485" spans="1:11" ht="25.95" customHeight="1">
      <c r="A485" s="58" t="s">
        <v>15</v>
      </c>
      <c r="B485" s="58" t="s">
        <v>35</v>
      </c>
      <c r="C485" s="58" t="s">
        <v>4409</v>
      </c>
      <c r="D485" s="58" t="s">
        <v>4410</v>
      </c>
      <c r="E485" s="58">
        <v>4</v>
      </c>
      <c r="F485" s="58" t="s">
        <v>158</v>
      </c>
      <c r="G485" s="58" t="s">
        <v>4411</v>
      </c>
      <c r="H485" s="58" t="s">
        <v>4133</v>
      </c>
      <c r="I485" s="58" t="s">
        <v>4134</v>
      </c>
      <c r="J485" s="58" t="s">
        <v>3605</v>
      </c>
      <c r="K485" s="58" t="s">
        <v>4611</v>
      </c>
    </row>
    <row r="486" spans="1:11" ht="25.95" customHeight="1">
      <c r="A486" s="58" t="s">
        <v>15</v>
      </c>
      <c r="B486" s="58" t="s">
        <v>35</v>
      </c>
      <c r="C486" s="58" t="s">
        <v>4409</v>
      </c>
      <c r="D486" s="58" t="s">
        <v>4415</v>
      </c>
      <c r="E486" s="58">
        <v>3</v>
      </c>
      <c r="F486" s="58" t="s">
        <v>158</v>
      </c>
      <c r="G486" s="58" t="s">
        <v>4411</v>
      </c>
      <c r="H486" s="58" t="s">
        <v>4133</v>
      </c>
      <c r="I486" s="58" t="s">
        <v>4134</v>
      </c>
      <c r="J486" s="58" t="s">
        <v>3606</v>
      </c>
      <c r="K486" s="58" t="s">
        <v>4612</v>
      </c>
    </row>
    <row r="487" spans="1:11" ht="25.95" customHeight="1">
      <c r="A487" s="58" t="s">
        <v>15</v>
      </c>
      <c r="B487" s="58" t="s">
        <v>35</v>
      </c>
      <c r="C487" s="58" t="s">
        <v>4409</v>
      </c>
      <c r="D487" s="58" t="s">
        <v>4417</v>
      </c>
      <c r="E487" s="58">
        <v>2.25</v>
      </c>
      <c r="F487" s="58" t="s">
        <v>158</v>
      </c>
      <c r="G487" s="58" t="s">
        <v>4411</v>
      </c>
      <c r="H487" s="58" t="s">
        <v>4133</v>
      </c>
      <c r="I487" s="58" t="s">
        <v>4134</v>
      </c>
      <c r="J487" s="58" t="s">
        <v>3607</v>
      </c>
      <c r="K487" s="58" t="s">
        <v>4613</v>
      </c>
    </row>
    <row r="488" spans="1:11" ht="25.95" customHeight="1">
      <c r="A488" s="58" t="s">
        <v>15</v>
      </c>
      <c r="B488" s="58" t="s">
        <v>35</v>
      </c>
      <c r="C488" s="58" t="s">
        <v>4409</v>
      </c>
      <c r="D488" s="58" t="s">
        <v>4419</v>
      </c>
      <c r="E488" s="58">
        <v>4</v>
      </c>
      <c r="F488" s="58" t="s">
        <v>158</v>
      </c>
      <c r="G488" s="58" t="s">
        <v>4411</v>
      </c>
      <c r="H488" s="58" t="s">
        <v>4133</v>
      </c>
      <c r="I488" s="58" t="s">
        <v>4134</v>
      </c>
      <c r="J488" s="58" t="s">
        <v>3608</v>
      </c>
      <c r="K488" s="58" t="s">
        <v>4614</v>
      </c>
    </row>
    <row r="489" spans="1:11" ht="25.95" customHeight="1">
      <c r="A489" s="58" t="s">
        <v>15</v>
      </c>
      <c r="B489" s="58" t="s">
        <v>35</v>
      </c>
      <c r="C489" s="58" t="s">
        <v>4409</v>
      </c>
      <c r="D489" s="58" t="s">
        <v>4421</v>
      </c>
      <c r="E489" s="58">
        <v>4.5</v>
      </c>
      <c r="F489" s="58" t="s">
        <v>158</v>
      </c>
      <c r="G489" s="58" t="s">
        <v>4411</v>
      </c>
      <c r="H489" s="58" t="s">
        <v>4133</v>
      </c>
      <c r="I489" s="58" t="s">
        <v>4134</v>
      </c>
      <c r="J489" s="58" t="s">
        <v>3609</v>
      </c>
      <c r="K489" s="58" t="s">
        <v>4615</v>
      </c>
    </row>
    <row r="490" spans="1:11" ht="25.95" customHeight="1">
      <c r="A490" s="58" t="s">
        <v>15</v>
      </c>
      <c r="B490" s="58" t="s">
        <v>35</v>
      </c>
      <c r="C490" s="58" t="s">
        <v>4409</v>
      </c>
      <c r="D490" s="58" t="s">
        <v>4423</v>
      </c>
      <c r="E490" s="58">
        <v>3.75</v>
      </c>
      <c r="F490" s="58" t="s">
        <v>158</v>
      </c>
      <c r="G490" s="58" t="s">
        <v>4411</v>
      </c>
      <c r="H490" s="58" t="s">
        <v>4133</v>
      </c>
      <c r="I490" s="58" t="s">
        <v>4134</v>
      </c>
      <c r="J490" s="58" t="s">
        <v>3611</v>
      </c>
      <c r="K490" s="58" t="s">
        <v>4616</v>
      </c>
    </row>
    <row r="491" spans="1:11" ht="25.95" customHeight="1">
      <c r="A491" s="58" t="s">
        <v>15</v>
      </c>
      <c r="B491" s="58" t="s">
        <v>35</v>
      </c>
      <c r="C491" s="58" t="s">
        <v>4409</v>
      </c>
      <c r="D491" s="58" t="s">
        <v>4425</v>
      </c>
      <c r="E491" s="58">
        <v>5</v>
      </c>
      <c r="F491" s="58" t="s">
        <v>158</v>
      </c>
      <c r="G491" s="58" t="s">
        <v>4411</v>
      </c>
      <c r="H491" s="58" t="s">
        <v>4133</v>
      </c>
      <c r="I491" s="58" t="s">
        <v>4134</v>
      </c>
      <c r="J491" s="58" t="s">
        <v>3612</v>
      </c>
      <c r="K491" s="58" t="s">
        <v>4617</v>
      </c>
    </row>
    <row r="492" spans="1:11" ht="25.95" customHeight="1">
      <c r="A492" s="58" t="s">
        <v>15</v>
      </c>
      <c r="B492" s="58" t="s">
        <v>35</v>
      </c>
      <c r="C492" s="58" t="s">
        <v>4409</v>
      </c>
      <c r="D492" s="58" t="s">
        <v>4427</v>
      </c>
      <c r="E492" s="58">
        <v>3</v>
      </c>
      <c r="F492" s="58" t="s">
        <v>158</v>
      </c>
      <c r="G492" s="58" t="s">
        <v>4411</v>
      </c>
      <c r="H492" s="58" t="s">
        <v>4133</v>
      </c>
      <c r="I492" s="58" t="s">
        <v>4134</v>
      </c>
      <c r="J492" s="58" t="s">
        <v>3613</v>
      </c>
      <c r="K492" s="58" t="s">
        <v>4618</v>
      </c>
    </row>
    <row r="493" spans="1:11" ht="25.95" customHeight="1">
      <c r="A493" s="58" t="s">
        <v>15</v>
      </c>
      <c r="B493" s="58" t="s">
        <v>35</v>
      </c>
      <c r="C493" s="58" t="s">
        <v>4409</v>
      </c>
      <c r="D493" s="58" t="s">
        <v>4429</v>
      </c>
      <c r="E493" s="58">
        <v>4</v>
      </c>
      <c r="F493" s="58" t="s">
        <v>158</v>
      </c>
      <c r="G493" s="58" t="s">
        <v>4411</v>
      </c>
      <c r="H493" s="58" t="s">
        <v>4133</v>
      </c>
      <c r="I493" s="58" t="s">
        <v>4134</v>
      </c>
      <c r="J493" s="58" t="s">
        <v>3614</v>
      </c>
      <c r="K493" s="58" t="s">
        <v>4619</v>
      </c>
    </row>
    <row r="494" spans="1:11" ht="25.95" customHeight="1">
      <c r="A494" s="58" t="s">
        <v>15</v>
      </c>
      <c r="B494" s="58" t="s">
        <v>35</v>
      </c>
      <c r="C494" s="58" t="s">
        <v>4409</v>
      </c>
      <c r="D494" s="58" t="s">
        <v>4431</v>
      </c>
      <c r="E494" s="58">
        <v>4</v>
      </c>
      <c r="F494" s="58" t="s">
        <v>158</v>
      </c>
      <c r="G494" s="58" t="s">
        <v>4411</v>
      </c>
      <c r="H494" s="58" t="s">
        <v>4133</v>
      </c>
      <c r="I494" s="58" t="s">
        <v>4134</v>
      </c>
      <c r="J494" s="58" t="s">
        <v>3615</v>
      </c>
      <c r="K494" s="58" t="s">
        <v>4620</v>
      </c>
    </row>
    <row r="495" spans="1:11" ht="25.95" customHeight="1">
      <c r="A495" s="58" t="s">
        <v>15</v>
      </c>
      <c r="B495" s="58" t="s">
        <v>35</v>
      </c>
      <c r="C495" s="58" t="s">
        <v>4409</v>
      </c>
      <c r="D495" s="58" t="s">
        <v>4433</v>
      </c>
      <c r="E495" s="58">
        <v>3.75</v>
      </c>
      <c r="F495" s="58" t="s">
        <v>158</v>
      </c>
      <c r="G495" s="58" t="s">
        <v>4411</v>
      </c>
      <c r="H495" s="58" t="s">
        <v>4133</v>
      </c>
      <c r="I495" s="58" t="s">
        <v>4134</v>
      </c>
      <c r="J495" s="58" t="s">
        <v>3616</v>
      </c>
      <c r="K495" s="58" t="s">
        <v>4621</v>
      </c>
    </row>
    <row r="496" spans="1:11" ht="25.95" customHeight="1">
      <c r="A496" s="58" t="s">
        <v>15</v>
      </c>
      <c r="B496" s="58" t="s">
        <v>35</v>
      </c>
      <c r="C496" s="58" t="s">
        <v>4409</v>
      </c>
      <c r="D496" s="58" t="s">
        <v>4435</v>
      </c>
      <c r="E496" s="58">
        <v>3</v>
      </c>
      <c r="F496" s="58" t="s">
        <v>158</v>
      </c>
      <c r="G496" s="58" t="s">
        <v>4411</v>
      </c>
      <c r="H496" s="58" t="s">
        <v>4133</v>
      </c>
      <c r="I496" s="58" t="s">
        <v>4134</v>
      </c>
      <c r="J496" s="58" t="s">
        <v>3617</v>
      </c>
      <c r="K496" s="58" t="s">
        <v>4622</v>
      </c>
    </row>
    <row r="497" spans="1:11" ht="25.95" customHeight="1">
      <c r="A497" s="58" t="s">
        <v>15</v>
      </c>
      <c r="B497" s="58" t="s">
        <v>35</v>
      </c>
      <c r="C497" s="58" t="s">
        <v>4409</v>
      </c>
      <c r="D497" s="58" t="s">
        <v>4437</v>
      </c>
      <c r="E497" s="58">
        <v>3</v>
      </c>
      <c r="F497" s="58" t="s">
        <v>158</v>
      </c>
      <c r="G497" s="58" t="s">
        <v>4411</v>
      </c>
      <c r="H497" s="58" t="s">
        <v>4133</v>
      </c>
      <c r="I497" s="58" t="s">
        <v>4134</v>
      </c>
      <c r="J497" s="58" t="s">
        <v>3618</v>
      </c>
      <c r="K497" s="58" t="s">
        <v>4623</v>
      </c>
    </row>
    <row r="498" spans="1:11" ht="25.95" customHeight="1">
      <c r="A498" s="58" t="s">
        <v>15</v>
      </c>
      <c r="B498" s="58" t="s">
        <v>35</v>
      </c>
      <c r="C498" s="58" t="s">
        <v>4409</v>
      </c>
      <c r="D498" s="58" t="s">
        <v>4439</v>
      </c>
      <c r="E498" s="58">
        <v>2</v>
      </c>
      <c r="F498" s="58" t="s">
        <v>4448</v>
      </c>
      <c r="G498" s="58" t="s">
        <v>4411</v>
      </c>
      <c r="H498" s="58" t="s">
        <v>4133</v>
      </c>
      <c r="I498" s="58" t="s">
        <v>4134</v>
      </c>
      <c r="J498" s="58" t="s">
        <v>3619</v>
      </c>
      <c r="K498" s="58" t="s">
        <v>4624</v>
      </c>
    </row>
    <row r="499" spans="1:11" ht="25.95" customHeight="1">
      <c r="A499" s="58" t="s">
        <v>15</v>
      </c>
      <c r="B499" s="58" t="s">
        <v>35</v>
      </c>
      <c r="C499" s="58" t="s">
        <v>4409</v>
      </c>
      <c r="D499" s="58" t="s">
        <v>4441</v>
      </c>
      <c r="E499" s="58">
        <v>4.5</v>
      </c>
      <c r="F499" s="58" t="s">
        <v>4448</v>
      </c>
      <c r="G499" s="58" t="s">
        <v>4411</v>
      </c>
      <c r="H499" s="58" t="s">
        <v>4133</v>
      </c>
      <c r="I499" s="58" t="s">
        <v>4134</v>
      </c>
      <c r="J499" s="58" t="s">
        <v>3620</v>
      </c>
      <c r="K499" s="58" t="s">
        <v>4625</v>
      </c>
    </row>
    <row r="500" spans="1:11" ht="25.95" customHeight="1">
      <c r="A500" s="58" t="s">
        <v>15</v>
      </c>
      <c r="B500" s="58" t="s">
        <v>35</v>
      </c>
      <c r="C500" s="58" t="s">
        <v>4409</v>
      </c>
      <c r="D500" s="58" t="s">
        <v>4443</v>
      </c>
      <c r="E500" s="58">
        <v>6</v>
      </c>
      <c r="F500" s="58" t="s">
        <v>4448</v>
      </c>
      <c r="G500" s="58" t="s">
        <v>4411</v>
      </c>
      <c r="H500" s="58" t="s">
        <v>4133</v>
      </c>
      <c r="I500" s="58" t="s">
        <v>4134</v>
      </c>
      <c r="J500" s="58" t="s">
        <v>3621</v>
      </c>
      <c r="K500" s="58" t="s">
        <v>4626</v>
      </c>
    </row>
    <row r="501" spans="1:11" ht="25.95" customHeight="1">
      <c r="A501" s="58" t="s">
        <v>15</v>
      </c>
      <c r="B501" s="58" t="s">
        <v>35</v>
      </c>
      <c r="C501" s="58" t="s">
        <v>4409</v>
      </c>
      <c r="D501" s="58" t="s">
        <v>4445</v>
      </c>
      <c r="E501" s="58">
        <v>3</v>
      </c>
      <c r="F501" s="58" t="s">
        <v>4448</v>
      </c>
      <c r="G501" s="58" t="s">
        <v>4411</v>
      </c>
      <c r="H501" s="58" t="s">
        <v>4133</v>
      </c>
      <c r="I501" s="58" t="s">
        <v>4134</v>
      </c>
      <c r="J501" s="58" t="s">
        <v>3622</v>
      </c>
      <c r="K501" s="58" t="s">
        <v>4627</v>
      </c>
    </row>
    <row r="502" spans="1:11" ht="25.95" customHeight="1">
      <c r="A502" s="58" t="s">
        <v>15</v>
      </c>
      <c r="B502" s="58" t="s">
        <v>35</v>
      </c>
      <c r="C502" s="58" t="s">
        <v>4409</v>
      </c>
      <c r="D502" s="58" t="s">
        <v>4447</v>
      </c>
      <c r="E502" s="58">
        <v>1.5</v>
      </c>
      <c r="F502" s="58" t="s">
        <v>4448</v>
      </c>
      <c r="G502" s="58" t="s">
        <v>4411</v>
      </c>
      <c r="H502" s="58" t="s">
        <v>4133</v>
      </c>
      <c r="I502" s="58" t="s">
        <v>4134</v>
      </c>
      <c r="J502" s="58" t="s">
        <v>3703</v>
      </c>
      <c r="K502" s="58" t="s">
        <v>4628</v>
      </c>
    </row>
    <row r="503" spans="1:11" ht="15.6">
      <c r="A503" s="58" t="s">
        <v>15</v>
      </c>
      <c r="B503" s="58" t="s">
        <v>35</v>
      </c>
      <c r="C503" s="58" t="s">
        <v>4409</v>
      </c>
      <c r="D503" s="58" t="s">
        <v>4450</v>
      </c>
      <c r="E503" s="58">
        <v>3</v>
      </c>
      <c r="F503" s="58" t="s">
        <v>4448</v>
      </c>
      <c r="G503" s="58" t="s">
        <v>4411</v>
      </c>
      <c r="H503" s="58" t="s">
        <v>4133</v>
      </c>
      <c r="I503" s="58" t="s">
        <v>4134</v>
      </c>
      <c r="J503" s="58" t="s">
        <v>3623</v>
      </c>
      <c r="K503" s="58" t="s">
        <v>4629</v>
      </c>
    </row>
    <row r="504" spans="1:11" ht="15.6">
      <c r="A504" s="58" t="s">
        <v>15</v>
      </c>
      <c r="B504" s="58" t="s">
        <v>35</v>
      </c>
      <c r="C504" s="58" t="s">
        <v>4409</v>
      </c>
      <c r="D504" s="58" t="s">
        <v>4452</v>
      </c>
      <c r="E504" s="58">
        <v>2.25</v>
      </c>
      <c r="F504" s="58" t="s">
        <v>4448</v>
      </c>
      <c r="G504" s="58" t="s">
        <v>4411</v>
      </c>
      <c r="H504" s="58" t="s">
        <v>4133</v>
      </c>
      <c r="I504" s="58" t="s">
        <v>4134</v>
      </c>
      <c r="J504" s="58" t="s">
        <v>3624</v>
      </c>
      <c r="K504" s="58" t="s">
        <v>4630</v>
      </c>
    </row>
    <row r="505" spans="1:11" ht="15.6">
      <c r="A505" s="58" t="s">
        <v>15</v>
      </c>
      <c r="B505" s="58" t="s">
        <v>35</v>
      </c>
      <c r="C505" s="58" t="s">
        <v>4409</v>
      </c>
      <c r="D505" s="58" t="s">
        <v>4454</v>
      </c>
      <c r="E505" s="58">
        <v>2.25</v>
      </c>
      <c r="F505" s="58" t="s">
        <v>158</v>
      </c>
      <c r="G505" s="58" t="s">
        <v>4411</v>
      </c>
      <c r="H505" s="58" t="s">
        <v>4133</v>
      </c>
      <c r="I505" s="58" t="s">
        <v>4134</v>
      </c>
      <c r="J505" s="58" t="s">
        <v>3625</v>
      </c>
      <c r="K505" s="58" t="s">
        <v>4631</v>
      </c>
    </row>
    <row r="506" spans="1:11" ht="15.6">
      <c r="A506" s="58" t="s">
        <v>15</v>
      </c>
      <c r="B506" s="58" t="s">
        <v>35</v>
      </c>
      <c r="C506" s="58" t="s">
        <v>4409</v>
      </c>
      <c r="D506" s="58" t="s">
        <v>4456</v>
      </c>
      <c r="E506" s="58">
        <v>3</v>
      </c>
      <c r="F506" s="58" t="s">
        <v>158</v>
      </c>
      <c r="G506" s="58" t="s">
        <v>4411</v>
      </c>
      <c r="H506" s="58" t="s">
        <v>4133</v>
      </c>
      <c r="I506" s="58" t="s">
        <v>4134</v>
      </c>
      <c r="J506" s="58" t="s">
        <v>3713</v>
      </c>
      <c r="K506" s="58" t="s">
        <v>4632</v>
      </c>
    </row>
    <row r="507" spans="1:11" ht="15.6">
      <c r="A507" s="58" t="s">
        <v>15</v>
      </c>
      <c r="B507" s="58" t="s">
        <v>35</v>
      </c>
      <c r="C507" s="58" t="s">
        <v>4409</v>
      </c>
      <c r="D507" s="58" t="s">
        <v>4458</v>
      </c>
      <c r="E507" s="58">
        <v>2.25</v>
      </c>
      <c r="F507" s="58" t="s">
        <v>158</v>
      </c>
      <c r="G507" s="58" t="s">
        <v>4411</v>
      </c>
      <c r="H507" s="58" t="s">
        <v>4133</v>
      </c>
      <c r="I507" s="58" t="s">
        <v>4134</v>
      </c>
      <c r="J507" s="58" t="s">
        <v>3716</v>
      </c>
      <c r="K507" s="58" t="s">
        <v>4633</v>
      </c>
    </row>
    <row r="508" spans="1:11" ht="15.6">
      <c r="A508" s="58" t="s">
        <v>15</v>
      </c>
      <c r="B508" s="58" t="s">
        <v>35</v>
      </c>
      <c r="C508" s="58" t="s">
        <v>4409</v>
      </c>
      <c r="D508" s="58" t="s">
        <v>4460</v>
      </c>
      <c r="E508" s="58">
        <v>2</v>
      </c>
      <c r="F508" s="58" t="s">
        <v>158</v>
      </c>
      <c r="G508" s="58" t="s">
        <v>4411</v>
      </c>
      <c r="H508" s="58" t="s">
        <v>4133</v>
      </c>
      <c r="I508" s="58" t="s">
        <v>4134</v>
      </c>
      <c r="J508" s="58" t="s">
        <v>3719</v>
      </c>
      <c r="K508" s="58" t="s">
        <v>4634</v>
      </c>
    </row>
    <row r="509" spans="1:11" ht="15.6">
      <c r="A509" s="58" t="s">
        <v>15</v>
      </c>
      <c r="B509" s="58" t="s">
        <v>35</v>
      </c>
      <c r="C509" s="58" t="s">
        <v>4409</v>
      </c>
      <c r="D509" s="58" t="s">
        <v>4462</v>
      </c>
      <c r="E509" s="58">
        <v>2</v>
      </c>
      <c r="F509" s="58" t="s">
        <v>158</v>
      </c>
      <c r="G509" s="58" t="s">
        <v>4411</v>
      </c>
      <c r="H509" s="58" t="s">
        <v>4133</v>
      </c>
      <c r="I509" s="58" t="s">
        <v>4134</v>
      </c>
      <c r="J509" s="58" t="s">
        <v>3722</v>
      </c>
      <c r="K509" s="58" t="s">
        <v>4635</v>
      </c>
    </row>
    <row r="510" spans="1:11" ht="31.2">
      <c r="A510" s="58" t="s">
        <v>16</v>
      </c>
      <c r="B510" s="58" t="s">
        <v>19</v>
      </c>
      <c r="C510" s="58" t="s">
        <v>4409</v>
      </c>
      <c r="D510" s="58" t="s">
        <v>4410</v>
      </c>
      <c r="E510" s="58">
        <v>3</v>
      </c>
      <c r="F510" s="58" t="s">
        <v>4448</v>
      </c>
      <c r="G510" s="58" t="s">
        <v>4411</v>
      </c>
      <c r="H510" s="58" t="s">
        <v>3941</v>
      </c>
      <c r="I510" s="58" t="s">
        <v>3942</v>
      </c>
      <c r="J510" s="58" t="s">
        <v>3605</v>
      </c>
      <c r="K510" s="58" t="s">
        <v>4636</v>
      </c>
    </row>
    <row r="511" spans="1:11" ht="31.2">
      <c r="A511" s="58" t="s">
        <v>16</v>
      </c>
      <c r="B511" s="58" t="s">
        <v>19</v>
      </c>
      <c r="C511" s="58" t="s">
        <v>4409</v>
      </c>
      <c r="D511" s="58" t="s">
        <v>4415</v>
      </c>
      <c r="E511" s="58">
        <v>2</v>
      </c>
      <c r="F511" s="58" t="s">
        <v>4448</v>
      </c>
      <c r="G511" s="58" t="s">
        <v>4411</v>
      </c>
      <c r="H511" s="58" t="s">
        <v>3941</v>
      </c>
      <c r="I511" s="58" t="s">
        <v>3942</v>
      </c>
      <c r="J511" s="58" t="s">
        <v>3606</v>
      </c>
      <c r="K511" s="58" t="s">
        <v>4637</v>
      </c>
    </row>
    <row r="512" spans="1:11" ht="31.2">
      <c r="A512" s="58" t="s">
        <v>16</v>
      </c>
      <c r="B512" s="58" t="s">
        <v>19</v>
      </c>
      <c r="C512" s="58" t="s">
        <v>4409</v>
      </c>
      <c r="D512" s="58" t="s">
        <v>4417</v>
      </c>
      <c r="E512" s="58">
        <v>2.25</v>
      </c>
      <c r="F512" s="58" t="s">
        <v>4448</v>
      </c>
      <c r="G512" s="58" t="s">
        <v>4411</v>
      </c>
      <c r="H512" s="58" t="s">
        <v>3941</v>
      </c>
      <c r="I512" s="58" t="s">
        <v>3942</v>
      </c>
      <c r="J512" s="58" t="s">
        <v>3607</v>
      </c>
      <c r="K512" s="58" t="s">
        <v>4638</v>
      </c>
    </row>
    <row r="513" spans="1:11" ht="31.2">
      <c r="A513" s="58" t="s">
        <v>16</v>
      </c>
      <c r="B513" s="58" t="s">
        <v>19</v>
      </c>
      <c r="C513" s="58" t="s">
        <v>4409</v>
      </c>
      <c r="D513" s="58" t="s">
        <v>4419</v>
      </c>
      <c r="E513" s="58">
        <v>3</v>
      </c>
      <c r="F513" s="58" t="s">
        <v>4448</v>
      </c>
      <c r="G513" s="58" t="s">
        <v>4411</v>
      </c>
      <c r="H513" s="58" t="s">
        <v>3941</v>
      </c>
      <c r="I513" s="58" t="s">
        <v>3942</v>
      </c>
      <c r="J513" s="58" t="s">
        <v>3608</v>
      </c>
      <c r="K513" s="58" t="s">
        <v>4639</v>
      </c>
    </row>
    <row r="514" spans="1:11" ht="31.2">
      <c r="A514" s="58" t="s">
        <v>16</v>
      </c>
      <c r="B514" s="58" t="s">
        <v>19</v>
      </c>
      <c r="C514" s="58" t="s">
        <v>4409</v>
      </c>
      <c r="D514" s="58" t="s">
        <v>4421</v>
      </c>
      <c r="E514" s="58">
        <v>4.5</v>
      </c>
      <c r="F514" s="58" t="s">
        <v>4448</v>
      </c>
      <c r="G514" s="58" t="s">
        <v>4411</v>
      </c>
      <c r="H514" s="58" t="s">
        <v>3941</v>
      </c>
      <c r="I514" s="58" t="s">
        <v>3942</v>
      </c>
      <c r="J514" s="58" t="s">
        <v>3609</v>
      </c>
      <c r="K514" s="58" t="s">
        <v>4640</v>
      </c>
    </row>
    <row r="515" spans="1:11" ht="31.2">
      <c r="A515" s="58" t="s">
        <v>16</v>
      </c>
      <c r="B515" s="58" t="s">
        <v>19</v>
      </c>
      <c r="C515" s="58" t="s">
        <v>4409</v>
      </c>
      <c r="D515" s="58" t="s">
        <v>4423</v>
      </c>
      <c r="E515" s="58">
        <v>3.75</v>
      </c>
      <c r="F515" s="58" t="s">
        <v>4448</v>
      </c>
      <c r="G515" s="58" t="s">
        <v>4411</v>
      </c>
      <c r="H515" s="58" t="s">
        <v>3941</v>
      </c>
      <c r="I515" s="58" t="s">
        <v>3942</v>
      </c>
      <c r="J515" s="58" t="s">
        <v>3611</v>
      </c>
      <c r="K515" s="58" t="s">
        <v>4641</v>
      </c>
    </row>
    <row r="516" spans="1:11" ht="31.2">
      <c r="A516" s="58" t="s">
        <v>16</v>
      </c>
      <c r="B516" s="58" t="s">
        <v>19</v>
      </c>
      <c r="C516" s="58" t="s">
        <v>4409</v>
      </c>
      <c r="D516" s="58" t="s">
        <v>4425</v>
      </c>
      <c r="E516" s="58">
        <v>5</v>
      </c>
      <c r="F516" s="58" t="s">
        <v>4448</v>
      </c>
      <c r="G516" s="58" t="s">
        <v>4411</v>
      </c>
      <c r="H516" s="58" t="s">
        <v>3941</v>
      </c>
      <c r="I516" s="58" t="s">
        <v>3942</v>
      </c>
      <c r="J516" s="58" t="s">
        <v>3612</v>
      </c>
      <c r="K516" s="58" t="s">
        <v>4642</v>
      </c>
    </row>
    <row r="517" spans="1:11" ht="31.2">
      <c r="A517" s="58" t="s">
        <v>16</v>
      </c>
      <c r="B517" s="58" t="s">
        <v>19</v>
      </c>
      <c r="C517" s="58" t="s">
        <v>4409</v>
      </c>
      <c r="D517" s="58" t="s">
        <v>4427</v>
      </c>
      <c r="E517" s="58">
        <v>2</v>
      </c>
      <c r="F517" s="58" t="s">
        <v>4448</v>
      </c>
      <c r="G517" s="58" t="s">
        <v>4411</v>
      </c>
      <c r="H517" s="58" t="s">
        <v>3941</v>
      </c>
      <c r="I517" s="58" t="s">
        <v>3942</v>
      </c>
      <c r="J517" s="58" t="s">
        <v>3613</v>
      </c>
      <c r="K517" s="58" t="s">
        <v>4643</v>
      </c>
    </row>
    <row r="518" spans="1:11" ht="31.2">
      <c r="A518" s="58" t="s">
        <v>16</v>
      </c>
      <c r="B518" s="58" t="s">
        <v>19</v>
      </c>
      <c r="C518" s="58" t="s">
        <v>4409</v>
      </c>
      <c r="D518" s="58" t="s">
        <v>4429</v>
      </c>
      <c r="E518" s="58">
        <v>2</v>
      </c>
      <c r="F518" s="58" t="s">
        <v>4448</v>
      </c>
      <c r="G518" s="58" t="s">
        <v>4411</v>
      </c>
      <c r="H518" s="58" t="s">
        <v>3941</v>
      </c>
      <c r="I518" s="58" t="s">
        <v>3942</v>
      </c>
      <c r="J518" s="58" t="s">
        <v>3614</v>
      </c>
      <c r="K518" s="58" t="s">
        <v>4644</v>
      </c>
    </row>
    <row r="519" spans="1:11" ht="31.2">
      <c r="A519" s="58" t="s">
        <v>16</v>
      </c>
      <c r="B519" s="58" t="s">
        <v>19</v>
      </c>
      <c r="C519" s="58" t="s">
        <v>4409</v>
      </c>
      <c r="D519" s="58" t="s">
        <v>4431</v>
      </c>
      <c r="E519" s="58">
        <v>3</v>
      </c>
      <c r="F519" s="58" t="s">
        <v>4448</v>
      </c>
      <c r="G519" s="58" t="s">
        <v>4411</v>
      </c>
      <c r="H519" s="58" t="s">
        <v>3941</v>
      </c>
      <c r="I519" s="58" t="s">
        <v>3942</v>
      </c>
      <c r="J519" s="58" t="s">
        <v>3615</v>
      </c>
      <c r="K519" s="58" t="s">
        <v>4643</v>
      </c>
    </row>
    <row r="520" spans="1:11" ht="31.2">
      <c r="A520" s="58" t="s">
        <v>16</v>
      </c>
      <c r="B520" s="58" t="s">
        <v>19</v>
      </c>
      <c r="C520" s="58" t="s">
        <v>4409</v>
      </c>
      <c r="D520" s="58" t="s">
        <v>4433</v>
      </c>
      <c r="E520" s="58">
        <v>1.25</v>
      </c>
      <c r="F520" s="58" t="s">
        <v>4448</v>
      </c>
      <c r="G520" s="58" t="s">
        <v>4411</v>
      </c>
      <c r="H520" s="58" t="s">
        <v>3941</v>
      </c>
      <c r="I520" s="58" t="s">
        <v>3942</v>
      </c>
      <c r="J520" s="58" t="s">
        <v>3616</v>
      </c>
      <c r="K520" s="58" t="s">
        <v>4643</v>
      </c>
    </row>
    <row r="521" spans="1:11" ht="31.2">
      <c r="A521" s="58" t="s">
        <v>16</v>
      </c>
      <c r="B521" s="58" t="s">
        <v>19</v>
      </c>
      <c r="C521" s="58" t="s">
        <v>4409</v>
      </c>
      <c r="D521" s="58" t="s">
        <v>4435</v>
      </c>
      <c r="E521" s="58">
        <v>1</v>
      </c>
      <c r="F521" s="58" t="s">
        <v>158</v>
      </c>
      <c r="G521" s="58" t="s">
        <v>4411</v>
      </c>
      <c r="H521" s="58" t="s">
        <v>3941</v>
      </c>
      <c r="I521" s="58" t="s">
        <v>3942</v>
      </c>
      <c r="J521" s="58" t="s">
        <v>3617</v>
      </c>
      <c r="K521" s="58" t="s">
        <v>4643</v>
      </c>
    </row>
    <row r="522" spans="1:11" ht="31.2">
      <c r="A522" s="58" t="s">
        <v>16</v>
      </c>
      <c r="B522" s="58" t="s">
        <v>19</v>
      </c>
      <c r="C522" s="58" t="s">
        <v>4409</v>
      </c>
      <c r="D522" s="58" t="s">
        <v>4437</v>
      </c>
      <c r="E522" s="58">
        <v>1.5</v>
      </c>
      <c r="F522" s="58" t="s">
        <v>158</v>
      </c>
      <c r="G522" s="58" t="s">
        <v>4411</v>
      </c>
      <c r="H522" s="58" t="s">
        <v>3941</v>
      </c>
      <c r="I522" s="58" t="s">
        <v>3942</v>
      </c>
      <c r="J522" s="58" t="s">
        <v>3618</v>
      </c>
      <c r="K522" s="58" t="s">
        <v>4645</v>
      </c>
    </row>
    <row r="523" spans="1:11" ht="31.2">
      <c r="A523" s="58" t="s">
        <v>16</v>
      </c>
      <c r="B523" s="58" t="s">
        <v>19</v>
      </c>
      <c r="C523" s="58" t="s">
        <v>4409</v>
      </c>
      <c r="D523" s="58" t="s">
        <v>4439</v>
      </c>
      <c r="E523" s="58">
        <v>3</v>
      </c>
      <c r="F523" s="58" t="s">
        <v>158</v>
      </c>
      <c r="G523" s="58" t="s">
        <v>4411</v>
      </c>
      <c r="H523" s="58" t="s">
        <v>3941</v>
      </c>
      <c r="I523" s="58" t="s">
        <v>3942</v>
      </c>
      <c r="J523" s="58" t="s">
        <v>3619</v>
      </c>
      <c r="K523" s="58" t="s">
        <v>4646</v>
      </c>
    </row>
    <row r="524" spans="1:11" ht="31.2">
      <c r="A524" s="58" t="s">
        <v>16</v>
      </c>
      <c r="B524" s="58" t="s">
        <v>19</v>
      </c>
      <c r="C524" s="58" t="s">
        <v>4409</v>
      </c>
      <c r="D524" s="58" t="s">
        <v>4441</v>
      </c>
      <c r="E524" s="58">
        <v>4.5</v>
      </c>
      <c r="F524" s="58" t="s">
        <v>158</v>
      </c>
      <c r="G524" s="58" t="s">
        <v>4411</v>
      </c>
      <c r="H524" s="58" t="s">
        <v>3941</v>
      </c>
      <c r="I524" s="58" t="s">
        <v>3942</v>
      </c>
      <c r="J524" s="58" t="s">
        <v>3620</v>
      </c>
      <c r="K524" s="58" t="s">
        <v>4647</v>
      </c>
    </row>
    <row r="525" spans="1:11" ht="31.2">
      <c r="A525" s="58" t="s">
        <v>16</v>
      </c>
      <c r="B525" s="58" t="s">
        <v>19</v>
      </c>
      <c r="C525" s="58" t="s">
        <v>4409</v>
      </c>
      <c r="D525" s="58" t="s">
        <v>4443</v>
      </c>
      <c r="E525" s="58">
        <v>6</v>
      </c>
      <c r="F525" s="58" t="s">
        <v>158</v>
      </c>
      <c r="G525" s="58" t="s">
        <v>4411</v>
      </c>
      <c r="H525" s="58" t="s">
        <v>3941</v>
      </c>
      <c r="I525" s="58" t="s">
        <v>3942</v>
      </c>
      <c r="J525" s="58" t="s">
        <v>3621</v>
      </c>
      <c r="K525" s="58" t="s">
        <v>4648</v>
      </c>
    </row>
    <row r="526" spans="1:11" ht="31.2">
      <c r="A526" s="58" t="s">
        <v>16</v>
      </c>
      <c r="B526" s="58" t="s">
        <v>19</v>
      </c>
      <c r="C526" s="58" t="s">
        <v>4409</v>
      </c>
      <c r="D526" s="58" t="s">
        <v>4445</v>
      </c>
      <c r="E526" s="58">
        <v>3</v>
      </c>
      <c r="F526" s="58" t="s">
        <v>158</v>
      </c>
      <c r="G526" s="58" t="s">
        <v>4411</v>
      </c>
      <c r="H526" s="58" t="s">
        <v>3941</v>
      </c>
      <c r="I526" s="58" t="s">
        <v>3942</v>
      </c>
      <c r="J526" s="58" t="s">
        <v>3622</v>
      </c>
      <c r="K526" s="58" t="s">
        <v>4649</v>
      </c>
    </row>
    <row r="527" spans="1:11" ht="31.2">
      <c r="A527" s="58" t="s">
        <v>16</v>
      </c>
      <c r="B527" s="58" t="s">
        <v>19</v>
      </c>
      <c r="C527" s="58" t="s">
        <v>4409</v>
      </c>
      <c r="D527" s="58" t="s">
        <v>4447</v>
      </c>
      <c r="E527" s="58">
        <v>1.5</v>
      </c>
      <c r="F527" s="58" t="s">
        <v>158</v>
      </c>
      <c r="G527" s="58" t="s">
        <v>4411</v>
      </c>
      <c r="H527" s="58" t="s">
        <v>3941</v>
      </c>
      <c r="I527" s="58" t="s">
        <v>3942</v>
      </c>
      <c r="J527" s="58" t="s">
        <v>3703</v>
      </c>
      <c r="K527" s="58" t="s">
        <v>4650</v>
      </c>
    </row>
    <row r="528" spans="1:11" ht="31.2">
      <c r="A528" s="58" t="s">
        <v>16</v>
      </c>
      <c r="B528" s="58" t="s">
        <v>19</v>
      </c>
      <c r="C528" s="58" t="s">
        <v>4409</v>
      </c>
      <c r="D528" s="58" t="s">
        <v>4450</v>
      </c>
      <c r="E528" s="58">
        <v>3</v>
      </c>
      <c r="F528" s="58" t="s">
        <v>158</v>
      </c>
      <c r="G528" s="58" t="s">
        <v>4411</v>
      </c>
      <c r="H528" s="58" t="s">
        <v>3941</v>
      </c>
      <c r="I528" s="58" t="s">
        <v>3942</v>
      </c>
      <c r="J528" s="58" t="s">
        <v>3623</v>
      </c>
      <c r="K528" s="58" t="s">
        <v>4651</v>
      </c>
    </row>
    <row r="529" spans="1:11" ht="31.2">
      <c r="A529" s="58" t="s">
        <v>16</v>
      </c>
      <c r="B529" s="58" t="s">
        <v>19</v>
      </c>
      <c r="C529" s="58" t="s">
        <v>4409</v>
      </c>
      <c r="D529" s="58" t="s">
        <v>4452</v>
      </c>
      <c r="E529" s="58">
        <v>1.5</v>
      </c>
      <c r="F529" s="58" t="s">
        <v>158</v>
      </c>
      <c r="G529" s="58" t="s">
        <v>4411</v>
      </c>
      <c r="H529" s="58" t="s">
        <v>3941</v>
      </c>
      <c r="I529" s="58" t="s">
        <v>3942</v>
      </c>
      <c r="J529" s="58" t="s">
        <v>3624</v>
      </c>
      <c r="K529" s="58" t="s">
        <v>4652</v>
      </c>
    </row>
    <row r="530" spans="1:11" ht="31.2">
      <c r="A530" s="58" t="s">
        <v>16</v>
      </c>
      <c r="B530" s="58" t="s">
        <v>19</v>
      </c>
      <c r="C530" s="58" t="s">
        <v>4409</v>
      </c>
      <c r="D530" s="58" t="s">
        <v>4454</v>
      </c>
      <c r="E530" s="58">
        <v>2.25</v>
      </c>
      <c r="F530" s="58" t="s">
        <v>158</v>
      </c>
      <c r="G530" s="58" t="s">
        <v>4411</v>
      </c>
      <c r="H530" s="58" t="s">
        <v>3941</v>
      </c>
      <c r="I530" s="58" t="s">
        <v>3942</v>
      </c>
      <c r="J530" s="58" t="s">
        <v>3625</v>
      </c>
      <c r="K530" s="58" t="s">
        <v>4643</v>
      </c>
    </row>
    <row r="531" spans="1:11" ht="31.2">
      <c r="A531" s="58" t="s">
        <v>16</v>
      </c>
      <c r="B531" s="58" t="s">
        <v>19</v>
      </c>
      <c r="C531" s="58" t="s">
        <v>4409</v>
      </c>
      <c r="D531" s="58" t="s">
        <v>4456</v>
      </c>
      <c r="E531" s="58">
        <v>3</v>
      </c>
      <c r="F531" s="58" t="s">
        <v>158</v>
      </c>
      <c r="G531" s="58" t="s">
        <v>4411</v>
      </c>
      <c r="H531" s="58" t="s">
        <v>3941</v>
      </c>
      <c r="I531" s="58" t="s">
        <v>3942</v>
      </c>
      <c r="J531" s="58" t="s">
        <v>3713</v>
      </c>
      <c r="K531" s="58" t="s">
        <v>4653</v>
      </c>
    </row>
    <row r="532" spans="1:11" ht="31.2">
      <c r="A532" s="58" t="s">
        <v>16</v>
      </c>
      <c r="B532" s="58" t="s">
        <v>19</v>
      </c>
      <c r="C532" s="58" t="s">
        <v>4409</v>
      </c>
      <c r="D532" s="58" t="s">
        <v>4458</v>
      </c>
      <c r="E532" s="58">
        <v>1.5</v>
      </c>
      <c r="F532" s="58" t="s">
        <v>158</v>
      </c>
      <c r="G532" s="58" t="s">
        <v>4411</v>
      </c>
      <c r="H532" s="58" t="s">
        <v>3941</v>
      </c>
      <c r="I532" s="58" t="s">
        <v>3942</v>
      </c>
      <c r="J532" s="58" t="s">
        <v>3716</v>
      </c>
      <c r="K532" s="58" t="s">
        <v>4643</v>
      </c>
    </row>
    <row r="533" spans="1:11" ht="31.2">
      <c r="A533" s="58" t="s">
        <v>16</v>
      </c>
      <c r="B533" s="58" t="s">
        <v>19</v>
      </c>
      <c r="C533" s="58" t="s">
        <v>4409</v>
      </c>
      <c r="D533" s="58" t="s">
        <v>4460</v>
      </c>
      <c r="E533" s="58">
        <v>2</v>
      </c>
      <c r="F533" s="58" t="s">
        <v>158</v>
      </c>
      <c r="G533" s="58" t="s">
        <v>4411</v>
      </c>
      <c r="H533" s="58" t="s">
        <v>3941</v>
      </c>
      <c r="I533" s="58" t="s">
        <v>3942</v>
      </c>
      <c r="J533" s="58" t="s">
        <v>3719</v>
      </c>
      <c r="K533" s="58" t="s">
        <v>4654</v>
      </c>
    </row>
    <row r="534" spans="1:11" ht="31.2">
      <c r="A534" s="58" t="s">
        <v>16</v>
      </c>
      <c r="B534" s="58" t="s">
        <v>19</v>
      </c>
      <c r="C534" s="58" t="s">
        <v>4409</v>
      </c>
      <c r="D534" s="58" t="s">
        <v>4462</v>
      </c>
      <c r="E534" s="58">
        <v>2</v>
      </c>
      <c r="F534" s="58" t="s">
        <v>158</v>
      </c>
      <c r="G534" s="58" t="s">
        <v>4411</v>
      </c>
      <c r="H534" s="58" t="s">
        <v>3941</v>
      </c>
      <c r="I534" s="58" t="s">
        <v>3942</v>
      </c>
      <c r="J534" s="58" t="s">
        <v>3722</v>
      </c>
      <c r="K534" s="58" t="s">
        <v>4655</v>
      </c>
    </row>
    <row r="535" spans="1:11" ht="15.6">
      <c r="A535" s="58" t="s">
        <v>16</v>
      </c>
      <c r="B535" s="58" t="s">
        <v>35</v>
      </c>
      <c r="C535" s="58" t="s">
        <v>4409</v>
      </c>
      <c r="D535" s="58" t="s">
        <v>4410</v>
      </c>
      <c r="E535" s="58">
        <v>4</v>
      </c>
      <c r="F535" s="58" t="s">
        <v>158</v>
      </c>
      <c r="G535" s="58" t="s">
        <v>4411</v>
      </c>
      <c r="H535" s="58" t="s">
        <v>4229</v>
      </c>
      <c r="I535" s="58" t="s">
        <v>4230</v>
      </c>
      <c r="J535" s="58" t="s">
        <v>3605</v>
      </c>
      <c r="K535" s="58" t="s">
        <v>4656</v>
      </c>
    </row>
    <row r="536" spans="1:11" ht="15.6">
      <c r="A536" s="58" t="s">
        <v>16</v>
      </c>
      <c r="B536" s="58" t="s">
        <v>35</v>
      </c>
      <c r="C536" s="58" t="s">
        <v>4409</v>
      </c>
      <c r="D536" s="58" t="s">
        <v>4415</v>
      </c>
      <c r="E536" s="58">
        <v>4</v>
      </c>
      <c r="F536" s="58" t="s">
        <v>158</v>
      </c>
      <c r="G536" s="58" t="s">
        <v>4411</v>
      </c>
      <c r="H536" s="58" t="s">
        <v>4229</v>
      </c>
      <c r="I536" s="58" t="s">
        <v>4230</v>
      </c>
      <c r="J536" s="58" t="s">
        <v>3606</v>
      </c>
      <c r="K536" s="58" t="s">
        <v>4657</v>
      </c>
    </row>
    <row r="537" spans="1:11" ht="15.6">
      <c r="A537" s="58" t="s">
        <v>16</v>
      </c>
      <c r="B537" s="58" t="s">
        <v>35</v>
      </c>
      <c r="C537" s="58" t="s">
        <v>4409</v>
      </c>
      <c r="D537" s="58" t="s">
        <v>4417</v>
      </c>
      <c r="E537" s="58">
        <v>2.25</v>
      </c>
      <c r="F537" s="58" t="s">
        <v>158</v>
      </c>
      <c r="G537" s="58" t="s">
        <v>4411</v>
      </c>
      <c r="H537" s="58" t="s">
        <v>4229</v>
      </c>
      <c r="I537" s="58" t="s">
        <v>4230</v>
      </c>
      <c r="J537" s="58" t="s">
        <v>3607</v>
      </c>
      <c r="K537" s="58" t="s">
        <v>4658</v>
      </c>
    </row>
    <row r="538" spans="1:11" ht="15.6">
      <c r="A538" s="58" t="s">
        <v>16</v>
      </c>
      <c r="B538" s="58" t="s">
        <v>35</v>
      </c>
      <c r="C538" s="58" t="s">
        <v>4409</v>
      </c>
      <c r="D538" s="58" t="s">
        <v>4419</v>
      </c>
      <c r="E538" s="58">
        <v>4</v>
      </c>
      <c r="F538" s="58" t="s">
        <v>158</v>
      </c>
      <c r="G538" s="58" t="s">
        <v>4411</v>
      </c>
      <c r="H538" s="58" t="s">
        <v>4229</v>
      </c>
      <c r="I538" s="58" t="s">
        <v>4230</v>
      </c>
      <c r="J538" s="58" t="s">
        <v>3608</v>
      </c>
      <c r="K538" s="58" t="s">
        <v>4659</v>
      </c>
    </row>
    <row r="539" spans="1:11" ht="15.6">
      <c r="A539" s="58" t="s">
        <v>16</v>
      </c>
      <c r="B539" s="58" t="s">
        <v>35</v>
      </c>
      <c r="C539" s="58" t="s">
        <v>4409</v>
      </c>
      <c r="D539" s="58" t="s">
        <v>4421</v>
      </c>
      <c r="E539" s="58">
        <v>4.5</v>
      </c>
      <c r="F539" s="58" t="s">
        <v>158</v>
      </c>
      <c r="G539" s="58" t="s">
        <v>4411</v>
      </c>
      <c r="H539" s="58" t="s">
        <v>4229</v>
      </c>
      <c r="I539" s="58" t="s">
        <v>4230</v>
      </c>
      <c r="J539" s="58" t="s">
        <v>3609</v>
      </c>
      <c r="K539" s="58" t="s">
        <v>4660</v>
      </c>
    </row>
    <row r="540" spans="1:11" ht="15.6">
      <c r="A540" s="58" t="s">
        <v>16</v>
      </c>
      <c r="B540" s="58" t="s">
        <v>35</v>
      </c>
      <c r="C540" s="58" t="s">
        <v>4409</v>
      </c>
      <c r="D540" s="58" t="s">
        <v>4423</v>
      </c>
      <c r="E540" s="58">
        <v>1.25</v>
      </c>
      <c r="F540" s="58" t="s">
        <v>158</v>
      </c>
      <c r="G540" s="58" t="s">
        <v>4411</v>
      </c>
      <c r="H540" s="58" t="s">
        <v>4229</v>
      </c>
      <c r="I540" s="58" t="s">
        <v>4230</v>
      </c>
      <c r="J540" s="58" t="s">
        <v>3611</v>
      </c>
      <c r="K540" s="58" t="s">
        <v>4660</v>
      </c>
    </row>
    <row r="541" spans="1:11" ht="15.6">
      <c r="A541" s="58" t="s">
        <v>16</v>
      </c>
      <c r="B541" s="58" t="s">
        <v>35</v>
      </c>
      <c r="C541" s="58" t="s">
        <v>4409</v>
      </c>
      <c r="D541" s="58" t="s">
        <v>4425</v>
      </c>
      <c r="E541" s="58">
        <v>5</v>
      </c>
      <c r="F541" s="58" t="s">
        <v>158</v>
      </c>
      <c r="G541" s="58" t="s">
        <v>4411</v>
      </c>
      <c r="H541" s="58" t="s">
        <v>4229</v>
      </c>
      <c r="I541" s="58" t="s">
        <v>4230</v>
      </c>
      <c r="J541" s="58" t="s">
        <v>3612</v>
      </c>
      <c r="K541" s="58" t="s">
        <v>4661</v>
      </c>
    </row>
    <row r="542" spans="1:11" ht="15.6">
      <c r="A542" s="58" t="s">
        <v>16</v>
      </c>
      <c r="B542" s="58" t="s">
        <v>35</v>
      </c>
      <c r="C542" s="58" t="s">
        <v>4409</v>
      </c>
      <c r="D542" s="58" t="s">
        <v>4427</v>
      </c>
      <c r="E542" s="58">
        <v>2</v>
      </c>
      <c r="F542" s="58" t="s">
        <v>4448</v>
      </c>
      <c r="G542" s="58" t="s">
        <v>4411</v>
      </c>
      <c r="H542" s="58" t="s">
        <v>4229</v>
      </c>
      <c r="I542" s="58" t="s">
        <v>4230</v>
      </c>
      <c r="J542" s="58" t="s">
        <v>3613</v>
      </c>
      <c r="K542" s="58" t="s">
        <v>4660</v>
      </c>
    </row>
    <row r="543" spans="1:11" ht="15.6">
      <c r="A543" s="58" t="s">
        <v>16</v>
      </c>
      <c r="B543" s="58" t="s">
        <v>35</v>
      </c>
      <c r="C543" s="58" t="s">
        <v>4409</v>
      </c>
      <c r="D543" s="58" t="s">
        <v>4429</v>
      </c>
      <c r="E543" s="58">
        <v>4</v>
      </c>
      <c r="F543" s="58" t="s">
        <v>4448</v>
      </c>
      <c r="G543" s="58" t="s">
        <v>4411</v>
      </c>
      <c r="H543" s="58" t="s">
        <v>4229</v>
      </c>
      <c r="I543" s="58" t="s">
        <v>4230</v>
      </c>
      <c r="J543" s="58" t="s">
        <v>3614</v>
      </c>
      <c r="K543" s="58" t="s">
        <v>4662</v>
      </c>
    </row>
    <row r="544" spans="1:11" ht="15.6">
      <c r="A544" s="58" t="s">
        <v>16</v>
      </c>
      <c r="B544" s="58" t="s">
        <v>35</v>
      </c>
      <c r="C544" s="58" t="s">
        <v>4409</v>
      </c>
      <c r="D544" s="58" t="s">
        <v>4431</v>
      </c>
      <c r="E544" s="58">
        <v>4</v>
      </c>
      <c r="F544" s="58" t="s">
        <v>4448</v>
      </c>
      <c r="G544" s="58" t="s">
        <v>4411</v>
      </c>
      <c r="H544" s="58" t="s">
        <v>4229</v>
      </c>
      <c r="I544" s="58" t="s">
        <v>4230</v>
      </c>
      <c r="J544" s="58" t="s">
        <v>3615</v>
      </c>
      <c r="K544" s="58" t="s">
        <v>4663</v>
      </c>
    </row>
    <row r="545" spans="1:11" ht="15.6">
      <c r="A545" s="58" t="s">
        <v>16</v>
      </c>
      <c r="B545" s="58" t="s">
        <v>35</v>
      </c>
      <c r="C545" s="58" t="s">
        <v>4409</v>
      </c>
      <c r="D545" s="58" t="s">
        <v>4433</v>
      </c>
      <c r="E545" s="58">
        <v>2.5</v>
      </c>
      <c r="F545" s="58" t="s">
        <v>4448</v>
      </c>
      <c r="G545" s="58" t="s">
        <v>4411</v>
      </c>
      <c r="H545" s="58" t="s">
        <v>4229</v>
      </c>
      <c r="I545" s="58" t="s">
        <v>4230</v>
      </c>
      <c r="J545" s="58" t="s">
        <v>3616</v>
      </c>
      <c r="K545" s="58" t="s">
        <v>4660</v>
      </c>
    </row>
    <row r="546" spans="1:11" ht="15.6">
      <c r="A546" s="58" t="s">
        <v>16</v>
      </c>
      <c r="B546" s="58" t="s">
        <v>35</v>
      </c>
      <c r="C546" s="58" t="s">
        <v>4409</v>
      </c>
      <c r="D546" s="58" t="s">
        <v>4435</v>
      </c>
      <c r="E546" s="58">
        <v>2</v>
      </c>
      <c r="F546" s="58" t="s">
        <v>4448</v>
      </c>
      <c r="G546" s="58" t="s">
        <v>4411</v>
      </c>
      <c r="H546" s="58" t="s">
        <v>4229</v>
      </c>
      <c r="I546" s="58" t="s">
        <v>4230</v>
      </c>
      <c r="J546" s="58" t="s">
        <v>3617</v>
      </c>
      <c r="K546" s="58" t="s">
        <v>4660</v>
      </c>
    </row>
    <row r="547" spans="1:11" ht="15.6">
      <c r="A547" s="58" t="s">
        <v>16</v>
      </c>
      <c r="B547" s="58" t="s">
        <v>35</v>
      </c>
      <c r="C547" s="58" t="s">
        <v>4409</v>
      </c>
      <c r="D547" s="58" t="s">
        <v>4437</v>
      </c>
      <c r="E547" s="58">
        <v>2.25</v>
      </c>
      <c r="F547" s="58" t="s">
        <v>4448</v>
      </c>
      <c r="G547" s="58" t="s">
        <v>4411</v>
      </c>
      <c r="H547" s="58" t="s">
        <v>4229</v>
      </c>
      <c r="I547" s="58" t="s">
        <v>4230</v>
      </c>
      <c r="J547" s="58" t="s">
        <v>3618</v>
      </c>
      <c r="K547" s="58" t="s">
        <v>4664</v>
      </c>
    </row>
    <row r="548" spans="1:11" ht="15.6">
      <c r="A548" s="58" t="s">
        <v>16</v>
      </c>
      <c r="B548" s="58" t="s">
        <v>35</v>
      </c>
      <c r="C548" s="58" t="s">
        <v>4409</v>
      </c>
      <c r="D548" s="58" t="s">
        <v>4439</v>
      </c>
      <c r="E548" s="58">
        <v>4</v>
      </c>
      <c r="F548" s="58" t="s">
        <v>158</v>
      </c>
      <c r="G548" s="58" t="s">
        <v>4411</v>
      </c>
      <c r="H548" s="58" t="s">
        <v>4229</v>
      </c>
      <c r="I548" s="58" t="s">
        <v>4230</v>
      </c>
      <c r="J548" s="58" t="s">
        <v>3619</v>
      </c>
      <c r="K548" s="58" t="s">
        <v>4665</v>
      </c>
    </row>
    <row r="549" spans="1:11" ht="15.6">
      <c r="A549" s="58" t="s">
        <v>16</v>
      </c>
      <c r="B549" s="58" t="s">
        <v>35</v>
      </c>
      <c r="C549" s="58" t="s">
        <v>4409</v>
      </c>
      <c r="D549" s="58" t="s">
        <v>4441</v>
      </c>
      <c r="E549" s="58">
        <v>4.5</v>
      </c>
      <c r="F549" s="58" t="s">
        <v>158</v>
      </c>
      <c r="G549" s="58" t="s">
        <v>4411</v>
      </c>
      <c r="H549" s="58" t="s">
        <v>4229</v>
      </c>
      <c r="I549" s="58" t="s">
        <v>4230</v>
      </c>
      <c r="J549" s="58" t="s">
        <v>3620</v>
      </c>
      <c r="K549" s="58" t="s">
        <v>4666</v>
      </c>
    </row>
    <row r="550" spans="1:11" ht="15.6">
      <c r="A550" s="58" t="s">
        <v>16</v>
      </c>
      <c r="B550" s="58" t="s">
        <v>35</v>
      </c>
      <c r="C550" s="58" t="s">
        <v>4409</v>
      </c>
      <c r="D550" s="58" t="s">
        <v>4443</v>
      </c>
      <c r="E550" s="58">
        <v>6</v>
      </c>
      <c r="F550" s="58" t="s">
        <v>158</v>
      </c>
      <c r="G550" s="58" t="s">
        <v>4411</v>
      </c>
      <c r="H550" s="58" t="s">
        <v>4229</v>
      </c>
      <c r="I550" s="58" t="s">
        <v>4230</v>
      </c>
      <c r="J550" s="58" t="s">
        <v>3621</v>
      </c>
      <c r="K550" s="58" t="s">
        <v>4667</v>
      </c>
    </row>
    <row r="551" spans="1:11" ht="15.6">
      <c r="A551" s="58" t="s">
        <v>16</v>
      </c>
      <c r="B551" s="58" t="s">
        <v>35</v>
      </c>
      <c r="C551" s="58" t="s">
        <v>4409</v>
      </c>
      <c r="D551" s="58" t="s">
        <v>4445</v>
      </c>
      <c r="E551" s="58">
        <v>3</v>
      </c>
      <c r="F551" s="58" t="s">
        <v>158</v>
      </c>
      <c r="G551" s="58" t="s">
        <v>4411</v>
      </c>
      <c r="H551" s="58" t="s">
        <v>4229</v>
      </c>
      <c r="I551" s="58" t="s">
        <v>4230</v>
      </c>
      <c r="J551" s="58" t="s">
        <v>3622</v>
      </c>
      <c r="K551" s="58" t="s">
        <v>4668</v>
      </c>
    </row>
    <row r="552" spans="1:11" ht="15.6">
      <c r="A552" s="58" t="s">
        <v>16</v>
      </c>
      <c r="B552" s="58" t="s">
        <v>35</v>
      </c>
      <c r="C552" s="58" t="s">
        <v>4409</v>
      </c>
      <c r="D552" s="58" t="s">
        <v>4447</v>
      </c>
      <c r="E552" s="58">
        <v>1.5</v>
      </c>
      <c r="F552" s="58" t="s">
        <v>158</v>
      </c>
      <c r="G552" s="58" t="s">
        <v>4411</v>
      </c>
      <c r="H552" s="58" t="s">
        <v>4229</v>
      </c>
      <c r="I552" s="58" t="s">
        <v>4230</v>
      </c>
      <c r="J552" s="58" t="s">
        <v>3703</v>
      </c>
      <c r="K552" s="58" t="s">
        <v>4669</v>
      </c>
    </row>
    <row r="553" spans="1:11" ht="15.6">
      <c r="A553" s="58" t="s">
        <v>16</v>
      </c>
      <c r="B553" s="58" t="s">
        <v>35</v>
      </c>
      <c r="C553" s="58" t="s">
        <v>4409</v>
      </c>
      <c r="D553" s="58" t="s">
        <v>4450</v>
      </c>
      <c r="E553" s="58">
        <v>3</v>
      </c>
      <c r="F553" s="58" t="s">
        <v>4448</v>
      </c>
      <c r="G553" s="58" t="s">
        <v>4411</v>
      </c>
      <c r="H553" s="58" t="s">
        <v>4229</v>
      </c>
      <c r="I553" s="58" t="s">
        <v>4230</v>
      </c>
      <c r="J553" s="58" t="s">
        <v>3623</v>
      </c>
      <c r="K553" s="58" t="s">
        <v>4660</v>
      </c>
    </row>
    <row r="554" spans="1:11" ht="15.6">
      <c r="A554" s="58" t="s">
        <v>16</v>
      </c>
      <c r="B554" s="58" t="s">
        <v>35</v>
      </c>
      <c r="C554" s="58" t="s">
        <v>4409</v>
      </c>
      <c r="D554" s="58" t="s">
        <v>4452</v>
      </c>
      <c r="E554" s="58">
        <v>1.5</v>
      </c>
      <c r="F554" s="58" t="s">
        <v>4448</v>
      </c>
      <c r="G554" s="58" t="s">
        <v>4411</v>
      </c>
      <c r="H554" s="58" t="s">
        <v>4229</v>
      </c>
      <c r="I554" s="58" t="s">
        <v>4230</v>
      </c>
      <c r="J554" s="58" t="s">
        <v>3624</v>
      </c>
      <c r="K554" s="58" t="s">
        <v>4670</v>
      </c>
    </row>
    <row r="555" spans="1:11" ht="15.6">
      <c r="A555" s="58" t="s">
        <v>16</v>
      </c>
      <c r="B555" s="58" t="s">
        <v>35</v>
      </c>
      <c r="C555" s="58" t="s">
        <v>4409</v>
      </c>
      <c r="D555" s="58" t="s">
        <v>4454</v>
      </c>
      <c r="E555" s="58">
        <v>2.25</v>
      </c>
      <c r="F555" s="58" t="s">
        <v>4448</v>
      </c>
      <c r="G555" s="58" t="s">
        <v>4411</v>
      </c>
      <c r="H555" s="58" t="s">
        <v>4229</v>
      </c>
      <c r="I555" s="58" t="s">
        <v>4230</v>
      </c>
      <c r="J555" s="58" t="s">
        <v>3625</v>
      </c>
      <c r="K555" s="58" t="s">
        <v>4660</v>
      </c>
    </row>
    <row r="556" spans="1:11" ht="15.6">
      <c r="A556" s="58" t="s">
        <v>16</v>
      </c>
      <c r="B556" s="58" t="s">
        <v>35</v>
      </c>
      <c r="C556" s="58" t="s">
        <v>4409</v>
      </c>
      <c r="D556" s="58" t="s">
        <v>4456</v>
      </c>
      <c r="E556" s="58">
        <v>3</v>
      </c>
      <c r="F556" s="58" t="s">
        <v>4448</v>
      </c>
      <c r="G556" s="58" t="s">
        <v>4411</v>
      </c>
      <c r="H556" s="58" t="s">
        <v>4229</v>
      </c>
      <c r="I556" s="58" t="s">
        <v>4230</v>
      </c>
      <c r="J556" s="58" t="s">
        <v>3713</v>
      </c>
      <c r="K556" s="58" t="s">
        <v>4671</v>
      </c>
    </row>
    <row r="557" spans="1:11" ht="15.6">
      <c r="A557" s="58" t="s">
        <v>16</v>
      </c>
      <c r="B557" s="58" t="s">
        <v>35</v>
      </c>
      <c r="C557" s="58" t="s">
        <v>4409</v>
      </c>
      <c r="D557" s="58" t="s">
        <v>4458</v>
      </c>
      <c r="E557" s="58">
        <v>0.75</v>
      </c>
      <c r="F557" s="58" t="s">
        <v>4448</v>
      </c>
      <c r="G557" s="58" t="s">
        <v>4411</v>
      </c>
      <c r="H557" s="58" t="s">
        <v>4229</v>
      </c>
      <c r="I557" s="58" t="s">
        <v>4230</v>
      </c>
      <c r="J557" s="58" t="s">
        <v>3716</v>
      </c>
      <c r="K557" s="58" t="s">
        <v>4660</v>
      </c>
    </row>
    <row r="558" spans="1:11" ht="15.6">
      <c r="A558" s="58" t="s">
        <v>16</v>
      </c>
      <c r="B558" s="58" t="s">
        <v>35</v>
      </c>
      <c r="C558" s="58" t="s">
        <v>4409</v>
      </c>
      <c r="D558" s="58" t="s">
        <v>4460</v>
      </c>
      <c r="E558" s="58">
        <v>2</v>
      </c>
      <c r="F558" s="58" t="s">
        <v>4448</v>
      </c>
      <c r="G558" s="58" t="s">
        <v>4411</v>
      </c>
      <c r="H558" s="58" t="s">
        <v>4229</v>
      </c>
      <c r="I558" s="58" t="s">
        <v>4230</v>
      </c>
      <c r="J558" s="58" t="s">
        <v>3719</v>
      </c>
      <c r="K558" s="58" t="s">
        <v>4672</v>
      </c>
    </row>
    <row r="559" spans="1:11" ht="15.6">
      <c r="A559" s="58" t="s">
        <v>16</v>
      </c>
      <c r="B559" s="58" t="s">
        <v>35</v>
      </c>
      <c r="C559" s="58" t="s">
        <v>4409</v>
      </c>
      <c r="D559" s="58" t="s">
        <v>4462</v>
      </c>
      <c r="E559" s="58">
        <v>2</v>
      </c>
      <c r="F559" s="58" t="s">
        <v>4448</v>
      </c>
      <c r="G559" s="58" t="s">
        <v>4411</v>
      </c>
      <c r="H559" s="58" t="s">
        <v>4229</v>
      </c>
      <c r="I559" s="58" t="s">
        <v>4230</v>
      </c>
      <c r="J559" s="58" t="s">
        <v>3722</v>
      </c>
      <c r="K559" s="58" t="s">
        <v>4673</v>
      </c>
    </row>
    <row r="560" spans="1:11" ht="31.2">
      <c r="A560" s="58" t="s">
        <v>17</v>
      </c>
      <c r="B560" s="58" t="s">
        <v>19</v>
      </c>
      <c r="C560" s="58" t="s">
        <v>4409</v>
      </c>
      <c r="D560" s="58" t="s">
        <v>4410</v>
      </c>
      <c r="E560" s="58">
        <v>1</v>
      </c>
      <c r="F560" s="58" t="s">
        <v>4448</v>
      </c>
      <c r="G560" s="58" t="s">
        <v>4411</v>
      </c>
      <c r="H560" s="58" t="s">
        <v>3905</v>
      </c>
      <c r="I560" s="58" t="s">
        <v>3906</v>
      </c>
      <c r="J560" s="58" t="s">
        <v>3605</v>
      </c>
      <c r="K560" s="58" t="s">
        <v>4674</v>
      </c>
    </row>
    <row r="561" spans="1:11" ht="31.2">
      <c r="A561" s="58" t="s">
        <v>17</v>
      </c>
      <c r="B561" s="58" t="s">
        <v>19</v>
      </c>
      <c r="C561" s="58" t="s">
        <v>4409</v>
      </c>
      <c r="D561" s="58" t="s">
        <v>4415</v>
      </c>
      <c r="E561" s="58">
        <v>2</v>
      </c>
      <c r="F561" s="58" t="s">
        <v>4448</v>
      </c>
      <c r="G561" s="58" t="s">
        <v>4411</v>
      </c>
      <c r="H561" s="58" t="s">
        <v>3905</v>
      </c>
      <c r="I561" s="58" t="s">
        <v>3906</v>
      </c>
      <c r="J561" s="58" t="s">
        <v>3606</v>
      </c>
      <c r="K561" s="58" t="s">
        <v>4674</v>
      </c>
    </row>
    <row r="562" spans="1:11" ht="31.2">
      <c r="A562" s="58" t="s">
        <v>17</v>
      </c>
      <c r="B562" s="58" t="s">
        <v>19</v>
      </c>
      <c r="C562" s="58" t="s">
        <v>4409</v>
      </c>
      <c r="D562" s="58" t="s">
        <v>4417</v>
      </c>
      <c r="E562" s="58">
        <v>0.75</v>
      </c>
      <c r="F562" s="58" t="s">
        <v>4448</v>
      </c>
      <c r="G562" s="58" t="s">
        <v>4411</v>
      </c>
      <c r="H562" s="58" t="s">
        <v>3905</v>
      </c>
      <c r="I562" s="58" t="s">
        <v>3906</v>
      </c>
      <c r="J562" s="58" t="s">
        <v>3607</v>
      </c>
      <c r="K562" s="58" t="s">
        <v>4675</v>
      </c>
    </row>
    <row r="563" spans="1:11" ht="31.2">
      <c r="A563" s="58" t="s">
        <v>17</v>
      </c>
      <c r="B563" s="58" t="s">
        <v>19</v>
      </c>
      <c r="C563" s="58" t="s">
        <v>4409</v>
      </c>
      <c r="D563" s="58" t="s">
        <v>4419</v>
      </c>
      <c r="E563" s="58">
        <v>2</v>
      </c>
      <c r="F563" s="58" t="s">
        <v>4448</v>
      </c>
      <c r="G563" s="58" t="s">
        <v>4411</v>
      </c>
      <c r="H563" s="58" t="s">
        <v>3905</v>
      </c>
      <c r="I563" s="58" t="s">
        <v>3906</v>
      </c>
      <c r="J563" s="58" t="s">
        <v>3608</v>
      </c>
      <c r="K563" s="58" t="s">
        <v>4676</v>
      </c>
    </row>
    <row r="564" spans="1:11" ht="31.2">
      <c r="A564" s="58" t="s">
        <v>17</v>
      </c>
      <c r="B564" s="58" t="s">
        <v>19</v>
      </c>
      <c r="C564" s="58" t="s">
        <v>4409</v>
      </c>
      <c r="D564" s="58" t="s">
        <v>4421</v>
      </c>
      <c r="E564" s="58">
        <v>1.5</v>
      </c>
      <c r="F564" s="58" t="s">
        <v>158</v>
      </c>
      <c r="G564" s="58" t="s">
        <v>4411</v>
      </c>
      <c r="H564" s="58" t="s">
        <v>3905</v>
      </c>
      <c r="I564" s="58" t="s">
        <v>3906</v>
      </c>
      <c r="J564" s="58" t="s">
        <v>3609</v>
      </c>
      <c r="K564" s="58" t="s">
        <v>4674</v>
      </c>
    </row>
    <row r="565" spans="1:11" ht="31.2">
      <c r="A565" s="58" t="s">
        <v>17</v>
      </c>
      <c r="B565" s="58" t="s">
        <v>19</v>
      </c>
      <c r="C565" s="58" t="s">
        <v>4409</v>
      </c>
      <c r="D565" s="58" t="s">
        <v>4423</v>
      </c>
      <c r="E565" s="58">
        <v>2.5</v>
      </c>
      <c r="F565" s="58" t="s">
        <v>158</v>
      </c>
      <c r="G565" s="58" t="s">
        <v>4411</v>
      </c>
      <c r="H565" s="58" t="s">
        <v>3905</v>
      </c>
      <c r="I565" s="58" t="s">
        <v>3906</v>
      </c>
      <c r="J565" s="58" t="s">
        <v>3611</v>
      </c>
      <c r="K565" s="58" t="s">
        <v>4674</v>
      </c>
    </row>
    <row r="566" spans="1:11" ht="31.2">
      <c r="A566" s="58" t="s">
        <v>17</v>
      </c>
      <c r="B566" s="58" t="s">
        <v>19</v>
      </c>
      <c r="C566" s="58" t="s">
        <v>4409</v>
      </c>
      <c r="D566" s="58" t="s">
        <v>4425</v>
      </c>
      <c r="E566" s="58">
        <v>2.5</v>
      </c>
      <c r="F566" s="58" t="s">
        <v>158</v>
      </c>
      <c r="G566" s="58" t="s">
        <v>4411</v>
      </c>
      <c r="H566" s="58" t="s">
        <v>3905</v>
      </c>
      <c r="I566" s="58" t="s">
        <v>3906</v>
      </c>
      <c r="J566" s="58" t="s">
        <v>3612</v>
      </c>
      <c r="K566" s="58" t="s">
        <v>4677</v>
      </c>
    </row>
    <row r="567" spans="1:11" ht="31.2">
      <c r="A567" s="58" t="s">
        <v>17</v>
      </c>
      <c r="B567" s="58" t="s">
        <v>19</v>
      </c>
      <c r="C567" s="58" t="s">
        <v>4409</v>
      </c>
      <c r="D567" s="58" t="s">
        <v>4427</v>
      </c>
      <c r="E567" s="58">
        <v>0</v>
      </c>
      <c r="F567" s="58" t="s">
        <v>158</v>
      </c>
      <c r="G567" s="58" t="s">
        <v>4411</v>
      </c>
      <c r="H567" s="58" t="s">
        <v>3905</v>
      </c>
      <c r="I567" s="58" t="s">
        <v>3906</v>
      </c>
      <c r="J567" s="58" t="s">
        <v>3613</v>
      </c>
      <c r="K567" s="58" t="s">
        <v>4674</v>
      </c>
    </row>
    <row r="568" spans="1:11" ht="31.2">
      <c r="A568" s="58" t="s">
        <v>17</v>
      </c>
      <c r="B568" s="58" t="s">
        <v>19</v>
      </c>
      <c r="C568" s="58" t="s">
        <v>4409</v>
      </c>
      <c r="D568" s="58" t="s">
        <v>4429</v>
      </c>
      <c r="E568" s="58">
        <v>2</v>
      </c>
      <c r="F568" s="58" t="s">
        <v>158</v>
      </c>
      <c r="G568" s="58" t="s">
        <v>4411</v>
      </c>
      <c r="H568" s="58" t="s">
        <v>3905</v>
      </c>
      <c r="I568" s="58" t="s">
        <v>3906</v>
      </c>
      <c r="J568" s="58" t="s">
        <v>3614</v>
      </c>
      <c r="K568" s="58" t="s">
        <v>4674</v>
      </c>
    </row>
    <row r="569" spans="1:11" ht="31.2">
      <c r="A569" s="58" t="s">
        <v>17</v>
      </c>
      <c r="B569" s="58" t="s">
        <v>19</v>
      </c>
      <c r="C569" s="58" t="s">
        <v>4409</v>
      </c>
      <c r="D569" s="58" t="s">
        <v>4431</v>
      </c>
      <c r="E569" s="58">
        <v>2</v>
      </c>
      <c r="F569" s="58" t="s">
        <v>158</v>
      </c>
      <c r="G569" s="58" t="s">
        <v>4411</v>
      </c>
      <c r="H569" s="58" t="s">
        <v>3905</v>
      </c>
      <c r="I569" s="58" t="s">
        <v>3906</v>
      </c>
      <c r="J569" s="58" t="s">
        <v>3615</v>
      </c>
      <c r="K569" s="58" t="s">
        <v>4678</v>
      </c>
    </row>
    <row r="570" spans="1:11" ht="31.2">
      <c r="A570" s="58" t="s">
        <v>17</v>
      </c>
      <c r="B570" s="58" t="s">
        <v>19</v>
      </c>
      <c r="C570" s="58" t="s">
        <v>4409</v>
      </c>
      <c r="D570" s="58" t="s">
        <v>4433</v>
      </c>
      <c r="E570" s="58">
        <v>0</v>
      </c>
      <c r="F570" s="58" t="s">
        <v>158</v>
      </c>
      <c r="G570" s="58" t="s">
        <v>4411</v>
      </c>
      <c r="H570" s="58" t="s">
        <v>3905</v>
      </c>
      <c r="I570" s="58" t="s">
        <v>3906</v>
      </c>
      <c r="J570" s="58" t="s">
        <v>3616</v>
      </c>
      <c r="K570" s="58" t="s">
        <v>4679</v>
      </c>
    </row>
    <row r="571" spans="1:11" ht="31.2">
      <c r="A571" s="58" t="s">
        <v>17</v>
      </c>
      <c r="B571" s="58" t="s">
        <v>19</v>
      </c>
      <c r="C571" s="58" t="s">
        <v>4409</v>
      </c>
      <c r="D571" s="58" t="s">
        <v>4435</v>
      </c>
      <c r="E571" s="58">
        <v>1</v>
      </c>
      <c r="F571" s="58" t="s">
        <v>158</v>
      </c>
      <c r="G571" s="58" t="s">
        <v>4411</v>
      </c>
      <c r="H571" s="58" t="s">
        <v>3905</v>
      </c>
      <c r="I571" s="58" t="s">
        <v>3906</v>
      </c>
      <c r="J571" s="58" t="s">
        <v>3617</v>
      </c>
      <c r="K571" s="58" t="s">
        <v>4680</v>
      </c>
    </row>
    <row r="572" spans="1:11" ht="31.2">
      <c r="A572" s="58" t="s">
        <v>17</v>
      </c>
      <c r="B572" s="58" t="s">
        <v>19</v>
      </c>
      <c r="C572" s="58" t="s">
        <v>4409</v>
      </c>
      <c r="D572" s="58" t="s">
        <v>4437</v>
      </c>
      <c r="E572" s="58">
        <v>0.75</v>
      </c>
      <c r="F572" s="58" t="s">
        <v>158</v>
      </c>
      <c r="G572" s="58" t="s">
        <v>4411</v>
      </c>
      <c r="H572" s="58" t="s">
        <v>3905</v>
      </c>
      <c r="I572" s="58" t="s">
        <v>3906</v>
      </c>
      <c r="J572" s="58" t="s">
        <v>3618</v>
      </c>
      <c r="K572" s="58" t="s">
        <v>4681</v>
      </c>
    </row>
    <row r="573" spans="1:11" ht="31.2">
      <c r="A573" s="58" t="s">
        <v>17</v>
      </c>
      <c r="B573" s="58" t="s">
        <v>19</v>
      </c>
      <c r="C573" s="58" t="s">
        <v>4409</v>
      </c>
      <c r="D573" s="58" t="s">
        <v>4439</v>
      </c>
      <c r="E573" s="58">
        <v>1</v>
      </c>
      <c r="F573" s="58" t="s">
        <v>158</v>
      </c>
      <c r="G573" s="58" t="s">
        <v>4411</v>
      </c>
      <c r="H573" s="58" t="s">
        <v>3905</v>
      </c>
      <c r="I573" s="58" t="s">
        <v>3906</v>
      </c>
      <c r="J573" s="58" t="s">
        <v>3619</v>
      </c>
      <c r="K573" s="58" t="s">
        <v>4682</v>
      </c>
    </row>
    <row r="574" spans="1:11" ht="31.2">
      <c r="A574" s="58" t="s">
        <v>17</v>
      </c>
      <c r="B574" s="58" t="s">
        <v>19</v>
      </c>
      <c r="C574" s="58" t="s">
        <v>4409</v>
      </c>
      <c r="D574" s="58" t="s">
        <v>4441</v>
      </c>
      <c r="E574" s="58">
        <v>3</v>
      </c>
      <c r="F574" s="58" t="s">
        <v>158</v>
      </c>
      <c r="G574" s="58" t="s">
        <v>4411</v>
      </c>
      <c r="H574" s="58" t="s">
        <v>3905</v>
      </c>
      <c r="I574" s="58" t="s">
        <v>3906</v>
      </c>
      <c r="J574" s="58" t="s">
        <v>3620</v>
      </c>
      <c r="K574" s="58" t="s">
        <v>4683</v>
      </c>
    </row>
    <row r="575" spans="1:11" ht="31.2">
      <c r="A575" s="58" t="s">
        <v>17</v>
      </c>
      <c r="B575" s="58" t="s">
        <v>19</v>
      </c>
      <c r="C575" s="58" t="s">
        <v>4409</v>
      </c>
      <c r="D575" s="58" t="s">
        <v>4443</v>
      </c>
      <c r="E575" s="58">
        <v>4.5</v>
      </c>
      <c r="F575" s="58" t="s">
        <v>158</v>
      </c>
      <c r="G575" s="58" t="s">
        <v>4411</v>
      </c>
      <c r="H575" s="58" t="s">
        <v>3905</v>
      </c>
      <c r="I575" s="58" t="s">
        <v>3906</v>
      </c>
      <c r="J575" s="58" t="s">
        <v>3621</v>
      </c>
      <c r="K575" s="58" t="s">
        <v>4684</v>
      </c>
    </row>
    <row r="576" spans="1:11" ht="31.2">
      <c r="A576" s="58" t="s">
        <v>17</v>
      </c>
      <c r="B576" s="58" t="s">
        <v>19</v>
      </c>
      <c r="C576" s="58" t="s">
        <v>4409</v>
      </c>
      <c r="D576" s="58" t="s">
        <v>4445</v>
      </c>
      <c r="E576" s="58">
        <v>1.5</v>
      </c>
      <c r="F576" s="58" t="s">
        <v>158</v>
      </c>
      <c r="G576" s="58" t="s">
        <v>4411</v>
      </c>
      <c r="H576" s="58" t="s">
        <v>3905</v>
      </c>
      <c r="I576" s="58" t="s">
        <v>3906</v>
      </c>
      <c r="J576" s="58" t="s">
        <v>3622</v>
      </c>
      <c r="K576" s="58" t="s">
        <v>4685</v>
      </c>
    </row>
    <row r="577" spans="1:11" ht="31.2">
      <c r="A577" s="58" t="s">
        <v>17</v>
      </c>
      <c r="B577" s="58" t="s">
        <v>19</v>
      </c>
      <c r="C577" s="58" t="s">
        <v>4409</v>
      </c>
      <c r="D577" s="58" t="s">
        <v>4447</v>
      </c>
      <c r="E577" s="58">
        <v>0.75</v>
      </c>
      <c r="F577" s="58" t="s">
        <v>158</v>
      </c>
      <c r="G577" s="58" t="s">
        <v>4411</v>
      </c>
      <c r="H577" s="58" t="s">
        <v>3905</v>
      </c>
      <c r="I577" s="58" t="s">
        <v>3906</v>
      </c>
      <c r="J577" s="58" t="s">
        <v>3703</v>
      </c>
      <c r="K577" s="58" t="s">
        <v>4686</v>
      </c>
    </row>
    <row r="578" spans="1:11" ht="31.2">
      <c r="A578" s="58" t="s">
        <v>17</v>
      </c>
      <c r="B578" s="58" t="s">
        <v>19</v>
      </c>
      <c r="C578" s="58" t="s">
        <v>4409</v>
      </c>
      <c r="D578" s="58" t="s">
        <v>4450</v>
      </c>
      <c r="E578" s="58">
        <v>2</v>
      </c>
      <c r="F578" s="58" t="s">
        <v>158</v>
      </c>
      <c r="G578" s="58" t="s">
        <v>4411</v>
      </c>
      <c r="H578" s="58" t="s">
        <v>3905</v>
      </c>
      <c r="I578" s="58" t="s">
        <v>3906</v>
      </c>
      <c r="J578" s="58" t="s">
        <v>3623</v>
      </c>
      <c r="K578" s="58" t="s">
        <v>4687</v>
      </c>
    </row>
    <row r="579" spans="1:11" ht="31.2">
      <c r="A579" s="58" t="s">
        <v>17</v>
      </c>
      <c r="B579" s="58" t="s">
        <v>19</v>
      </c>
      <c r="C579" s="58" t="s">
        <v>4409</v>
      </c>
      <c r="D579" s="58" t="s">
        <v>4452</v>
      </c>
      <c r="E579" s="58">
        <v>1.5</v>
      </c>
      <c r="F579" s="58" t="s">
        <v>158</v>
      </c>
      <c r="G579" s="58" t="s">
        <v>4411</v>
      </c>
      <c r="H579" s="58" t="s">
        <v>3905</v>
      </c>
      <c r="I579" s="58" t="s">
        <v>3906</v>
      </c>
      <c r="J579" s="58" t="s">
        <v>3624</v>
      </c>
      <c r="K579" s="58" t="s">
        <v>4688</v>
      </c>
    </row>
    <row r="580" spans="1:11" ht="31.2">
      <c r="A580" s="58" t="s">
        <v>17</v>
      </c>
      <c r="B580" s="58" t="s">
        <v>19</v>
      </c>
      <c r="C580" s="58" t="s">
        <v>4409</v>
      </c>
      <c r="D580" s="58" t="s">
        <v>4454</v>
      </c>
      <c r="E580" s="58">
        <v>0.75</v>
      </c>
      <c r="F580" s="58" t="s">
        <v>158</v>
      </c>
      <c r="G580" s="58" t="s">
        <v>4411</v>
      </c>
      <c r="H580" s="58" t="s">
        <v>3905</v>
      </c>
      <c r="I580" s="58" t="s">
        <v>3906</v>
      </c>
      <c r="J580" s="58" t="s">
        <v>3625</v>
      </c>
      <c r="K580" s="58" t="s">
        <v>4674</v>
      </c>
    </row>
    <row r="581" spans="1:11" ht="31.2">
      <c r="A581" s="58" t="s">
        <v>17</v>
      </c>
      <c r="B581" s="58" t="s">
        <v>19</v>
      </c>
      <c r="C581" s="58" t="s">
        <v>4409</v>
      </c>
      <c r="D581" s="58" t="s">
        <v>4456</v>
      </c>
      <c r="E581" s="58">
        <v>3</v>
      </c>
      <c r="F581" s="58" t="s">
        <v>158</v>
      </c>
      <c r="G581" s="58" t="s">
        <v>4411</v>
      </c>
      <c r="H581" s="58" t="s">
        <v>3905</v>
      </c>
      <c r="I581" s="58" t="s">
        <v>3906</v>
      </c>
      <c r="J581" s="58" t="s">
        <v>3713</v>
      </c>
      <c r="K581" s="58" t="s">
        <v>4689</v>
      </c>
    </row>
    <row r="582" spans="1:11" ht="31.2">
      <c r="A582" s="58" t="s">
        <v>17</v>
      </c>
      <c r="B582" s="58" t="s">
        <v>19</v>
      </c>
      <c r="C582" s="58" t="s">
        <v>4409</v>
      </c>
      <c r="D582" s="58" t="s">
        <v>4458</v>
      </c>
      <c r="E582" s="58">
        <v>0</v>
      </c>
      <c r="F582" s="58" t="s">
        <v>158</v>
      </c>
      <c r="G582" s="58" t="s">
        <v>4411</v>
      </c>
      <c r="H582" s="58" t="s">
        <v>3905</v>
      </c>
      <c r="I582" s="58" t="s">
        <v>3906</v>
      </c>
      <c r="J582" s="58" t="s">
        <v>3716</v>
      </c>
      <c r="K582" s="58" t="s">
        <v>4674</v>
      </c>
    </row>
    <row r="583" spans="1:11" ht="31.2">
      <c r="A583" s="58" t="s">
        <v>17</v>
      </c>
      <c r="B583" s="58" t="s">
        <v>19</v>
      </c>
      <c r="C583" s="58" t="s">
        <v>4409</v>
      </c>
      <c r="D583" s="58" t="s">
        <v>4460</v>
      </c>
      <c r="E583" s="58">
        <v>1.5</v>
      </c>
      <c r="F583" s="58" t="s">
        <v>158</v>
      </c>
      <c r="G583" s="58" t="s">
        <v>4411</v>
      </c>
      <c r="H583" s="58" t="s">
        <v>3905</v>
      </c>
      <c r="I583" s="58" t="s">
        <v>3906</v>
      </c>
      <c r="J583" s="58" t="s">
        <v>3719</v>
      </c>
      <c r="K583" s="58" t="s">
        <v>4690</v>
      </c>
    </row>
    <row r="584" spans="1:11" ht="31.2">
      <c r="A584" s="58" t="s">
        <v>17</v>
      </c>
      <c r="B584" s="58" t="s">
        <v>19</v>
      </c>
      <c r="C584" s="58" t="s">
        <v>4409</v>
      </c>
      <c r="D584" s="58" t="s">
        <v>4462</v>
      </c>
      <c r="E584" s="58">
        <v>2</v>
      </c>
      <c r="F584" s="58" t="s">
        <v>158</v>
      </c>
      <c r="G584" s="58" t="s">
        <v>4411</v>
      </c>
      <c r="H584" s="58" t="s">
        <v>3905</v>
      </c>
      <c r="I584" s="58" t="s">
        <v>3906</v>
      </c>
      <c r="J584" s="58" t="s">
        <v>3722</v>
      </c>
      <c r="K584" s="58" t="s">
        <v>4691</v>
      </c>
    </row>
    <row r="585" spans="1:11" ht="31.2">
      <c r="A585" s="58" t="s">
        <v>17</v>
      </c>
      <c r="B585" s="58" t="s">
        <v>35</v>
      </c>
      <c r="C585" s="58" t="s">
        <v>4409</v>
      </c>
      <c r="D585" s="58" t="s">
        <v>4410</v>
      </c>
      <c r="E585" s="58">
        <v>3</v>
      </c>
      <c r="F585" s="58" t="s">
        <v>4448</v>
      </c>
      <c r="G585" s="58" t="s">
        <v>4411</v>
      </c>
      <c r="H585" s="58" t="s">
        <v>4277</v>
      </c>
      <c r="I585" s="58" t="s">
        <v>4278</v>
      </c>
      <c r="J585" s="58" t="s">
        <v>3605</v>
      </c>
      <c r="K585" s="58" t="s">
        <v>4692</v>
      </c>
    </row>
    <row r="586" spans="1:11" ht="31.2">
      <c r="A586" s="58" t="s">
        <v>17</v>
      </c>
      <c r="B586" s="58" t="s">
        <v>35</v>
      </c>
      <c r="C586" s="58" t="s">
        <v>4409</v>
      </c>
      <c r="D586" s="58" t="s">
        <v>4415</v>
      </c>
      <c r="E586" s="58">
        <v>3</v>
      </c>
      <c r="F586" s="58" t="s">
        <v>4448</v>
      </c>
      <c r="G586" s="58" t="s">
        <v>4411</v>
      </c>
      <c r="H586" s="58" t="s">
        <v>4277</v>
      </c>
      <c r="I586" s="58" t="s">
        <v>4278</v>
      </c>
      <c r="J586" s="58" t="s">
        <v>3606</v>
      </c>
      <c r="K586" s="58" t="s">
        <v>4693</v>
      </c>
    </row>
    <row r="587" spans="1:11" ht="31.2">
      <c r="A587" s="58" t="s">
        <v>17</v>
      </c>
      <c r="B587" s="58" t="s">
        <v>35</v>
      </c>
      <c r="C587" s="58" t="s">
        <v>4409</v>
      </c>
      <c r="D587" s="58" t="s">
        <v>4417</v>
      </c>
      <c r="E587" s="58">
        <v>1.5</v>
      </c>
      <c r="F587" s="58" t="s">
        <v>4448</v>
      </c>
      <c r="G587" s="58" t="s">
        <v>4411</v>
      </c>
      <c r="H587" s="58" t="s">
        <v>4277</v>
      </c>
      <c r="I587" s="58" t="s">
        <v>4278</v>
      </c>
      <c r="J587" s="58" t="s">
        <v>3607</v>
      </c>
      <c r="K587" s="58" t="s">
        <v>4694</v>
      </c>
    </row>
    <row r="588" spans="1:11" ht="31.2">
      <c r="A588" s="58" t="s">
        <v>17</v>
      </c>
      <c r="B588" s="58" t="s">
        <v>35</v>
      </c>
      <c r="C588" s="58" t="s">
        <v>4409</v>
      </c>
      <c r="D588" s="58" t="s">
        <v>4419</v>
      </c>
      <c r="E588" s="58">
        <v>3</v>
      </c>
      <c r="F588" s="58" t="s">
        <v>4448</v>
      </c>
      <c r="G588" s="58" t="s">
        <v>4411</v>
      </c>
      <c r="H588" s="58" t="s">
        <v>4277</v>
      </c>
      <c r="I588" s="58" t="s">
        <v>4278</v>
      </c>
      <c r="J588" s="58" t="s">
        <v>3608</v>
      </c>
      <c r="K588" s="58" t="s">
        <v>4695</v>
      </c>
    </row>
    <row r="589" spans="1:11" ht="25.95" customHeight="1">
      <c r="A589" s="58" t="s">
        <v>17</v>
      </c>
      <c r="B589" s="58" t="s">
        <v>3</v>
      </c>
      <c r="C589" s="58" t="s">
        <v>4409</v>
      </c>
      <c r="D589" s="58" t="s">
        <v>4421</v>
      </c>
      <c r="E589" s="58">
        <v>3</v>
      </c>
      <c r="F589" s="58" t="s">
        <v>4448</v>
      </c>
      <c r="G589" s="58" t="s">
        <v>4411</v>
      </c>
      <c r="H589" s="58" t="s">
        <v>4277</v>
      </c>
      <c r="I589" s="58" t="s">
        <v>4278</v>
      </c>
      <c r="J589" s="58" t="s">
        <v>3609</v>
      </c>
      <c r="K589" s="58" t="s">
        <v>4693</v>
      </c>
    </row>
    <row r="590" spans="1:11" ht="25.95" customHeight="1">
      <c r="A590" s="58" t="s">
        <v>17</v>
      </c>
      <c r="B590" s="58" t="s">
        <v>3</v>
      </c>
      <c r="C590" s="58" t="s">
        <v>4409</v>
      </c>
      <c r="D590" s="58" t="s">
        <v>4423</v>
      </c>
      <c r="E590" s="58">
        <v>3.75</v>
      </c>
      <c r="F590" s="58" t="s">
        <v>4448</v>
      </c>
      <c r="G590" s="58" t="s">
        <v>4411</v>
      </c>
      <c r="H590" s="58" t="s">
        <v>4277</v>
      </c>
      <c r="I590" s="58" t="s">
        <v>4278</v>
      </c>
      <c r="J590" s="58" t="s">
        <v>3611</v>
      </c>
      <c r="K590" s="58" t="s">
        <v>4696</v>
      </c>
    </row>
    <row r="591" spans="1:11" ht="25.95" customHeight="1">
      <c r="A591" s="58" t="s">
        <v>17</v>
      </c>
      <c r="B591" s="58" t="s">
        <v>3</v>
      </c>
      <c r="C591" s="58" t="s">
        <v>4409</v>
      </c>
      <c r="D591" s="58" t="s">
        <v>4425</v>
      </c>
      <c r="E591" s="58">
        <v>3.75</v>
      </c>
      <c r="F591" s="58" t="s">
        <v>4448</v>
      </c>
      <c r="G591" s="58" t="s">
        <v>4411</v>
      </c>
      <c r="H591" s="58" t="s">
        <v>4277</v>
      </c>
      <c r="I591" s="58" t="s">
        <v>4278</v>
      </c>
      <c r="J591" s="58" t="s">
        <v>3612</v>
      </c>
      <c r="K591" s="58" t="s">
        <v>4697</v>
      </c>
    </row>
    <row r="592" spans="1:11" ht="25.95" customHeight="1">
      <c r="A592" s="58" t="s">
        <v>17</v>
      </c>
      <c r="B592" s="58" t="s">
        <v>3</v>
      </c>
      <c r="C592" s="58" t="s">
        <v>4409</v>
      </c>
      <c r="D592" s="58" t="s">
        <v>4427</v>
      </c>
      <c r="E592" s="58">
        <v>0</v>
      </c>
      <c r="F592" s="58" t="s">
        <v>4448</v>
      </c>
      <c r="G592" s="58" t="s">
        <v>4411</v>
      </c>
      <c r="H592" s="58" t="s">
        <v>4277</v>
      </c>
      <c r="I592" s="58" t="s">
        <v>4278</v>
      </c>
      <c r="J592" s="58" t="s">
        <v>3613</v>
      </c>
      <c r="K592" s="58" t="s">
        <v>4693</v>
      </c>
    </row>
    <row r="593" spans="1:11" ht="25.95" customHeight="1">
      <c r="A593" s="58" t="s">
        <v>17</v>
      </c>
      <c r="B593" s="58" t="s">
        <v>3</v>
      </c>
      <c r="C593" s="58" t="s">
        <v>4409</v>
      </c>
      <c r="D593" s="58" t="s">
        <v>4429</v>
      </c>
      <c r="E593" s="58">
        <v>4</v>
      </c>
      <c r="F593" s="58" t="s">
        <v>4448</v>
      </c>
      <c r="G593" s="58" t="s">
        <v>4411</v>
      </c>
      <c r="H593" s="58" t="s">
        <v>4277</v>
      </c>
      <c r="I593" s="58" t="s">
        <v>4278</v>
      </c>
      <c r="J593" s="58" t="s">
        <v>3614</v>
      </c>
      <c r="K593" s="58" t="s">
        <v>4698</v>
      </c>
    </row>
    <row r="594" spans="1:11" ht="25.95" customHeight="1">
      <c r="A594" s="58" t="s">
        <v>17</v>
      </c>
      <c r="B594" s="58" t="s">
        <v>3</v>
      </c>
      <c r="C594" s="58" t="s">
        <v>4409</v>
      </c>
      <c r="D594" s="58" t="s">
        <v>4431</v>
      </c>
      <c r="E594" s="58">
        <v>3</v>
      </c>
      <c r="F594" s="58" t="s">
        <v>4448</v>
      </c>
      <c r="G594" s="58" t="s">
        <v>4411</v>
      </c>
      <c r="H594" s="58" t="s">
        <v>4277</v>
      </c>
      <c r="I594" s="58" t="s">
        <v>4278</v>
      </c>
      <c r="J594" s="58" t="s">
        <v>3615</v>
      </c>
      <c r="K594" s="58" t="s">
        <v>4693</v>
      </c>
    </row>
    <row r="595" spans="1:11" ht="25.95" customHeight="1">
      <c r="A595" s="58" t="s">
        <v>17</v>
      </c>
      <c r="B595" s="58" t="s">
        <v>3</v>
      </c>
      <c r="C595" s="58" t="s">
        <v>4409</v>
      </c>
      <c r="D595" s="58" t="s">
        <v>4433</v>
      </c>
      <c r="E595" s="58">
        <v>2.5</v>
      </c>
      <c r="F595" s="58" t="s">
        <v>4448</v>
      </c>
      <c r="G595" s="58" t="s">
        <v>4411</v>
      </c>
      <c r="H595" s="58" t="s">
        <v>4277</v>
      </c>
      <c r="I595" s="58" t="s">
        <v>4278</v>
      </c>
      <c r="J595" s="58" t="s">
        <v>3616</v>
      </c>
      <c r="K595" s="58" t="s">
        <v>4699</v>
      </c>
    </row>
    <row r="596" spans="1:11" ht="31.2">
      <c r="A596" s="58" t="s">
        <v>17</v>
      </c>
      <c r="B596" s="58" t="s">
        <v>3</v>
      </c>
      <c r="C596" s="58" t="s">
        <v>4409</v>
      </c>
      <c r="D596" s="58" t="s">
        <v>4435</v>
      </c>
      <c r="E596" s="58">
        <v>1</v>
      </c>
      <c r="F596" s="58" t="s">
        <v>4448</v>
      </c>
      <c r="G596" s="58" t="s">
        <v>4411</v>
      </c>
      <c r="H596" s="58" t="s">
        <v>4277</v>
      </c>
      <c r="I596" s="58" t="s">
        <v>4278</v>
      </c>
      <c r="J596" s="58" t="s">
        <v>3617</v>
      </c>
      <c r="K596" s="58" t="s">
        <v>4693</v>
      </c>
    </row>
    <row r="597" spans="1:11" ht="31.2">
      <c r="A597" s="58" t="s">
        <v>17</v>
      </c>
      <c r="B597" s="58" t="s">
        <v>3</v>
      </c>
      <c r="C597" s="58" t="s">
        <v>4409</v>
      </c>
      <c r="D597" s="58" t="s">
        <v>4437</v>
      </c>
      <c r="E597" s="58">
        <v>0.75</v>
      </c>
      <c r="F597" s="58" t="s">
        <v>4448</v>
      </c>
      <c r="G597" s="58" t="s">
        <v>4411</v>
      </c>
      <c r="H597" s="58" t="s">
        <v>4277</v>
      </c>
      <c r="I597" s="58" t="s">
        <v>4278</v>
      </c>
      <c r="J597" s="58" t="s">
        <v>3618</v>
      </c>
      <c r="K597" s="58" t="s">
        <v>4700</v>
      </c>
    </row>
    <row r="598" spans="1:11" ht="25.95" customHeight="1">
      <c r="A598" s="58" t="s">
        <v>17</v>
      </c>
      <c r="B598" s="58" t="s">
        <v>3</v>
      </c>
      <c r="C598" s="58" t="s">
        <v>4409</v>
      </c>
      <c r="D598" s="58" t="s">
        <v>4439</v>
      </c>
      <c r="E598" s="58">
        <v>3</v>
      </c>
      <c r="F598" s="58" t="s">
        <v>4448</v>
      </c>
      <c r="G598" s="58" t="s">
        <v>4411</v>
      </c>
      <c r="H598" s="58" t="s">
        <v>4277</v>
      </c>
      <c r="I598" s="58" t="s">
        <v>4278</v>
      </c>
      <c r="J598" s="58" t="s">
        <v>3619</v>
      </c>
      <c r="K598" s="58" t="s">
        <v>4701</v>
      </c>
    </row>
    <row r="599" spans="1:11" ht="31.2">
      <c r="A599" s="58" t="s">
        <v>17</v>
      </c>
      <c r="B599" s="58" t="s">
        <v>3</v>
      </c>
      <c r="C599" s="58" t="s">
        <v>4409</v>
      </c>
      <c r="D599" s="58" t="s">
        <v>4441</v>
      </c>
      <c r="E599" s="58">
        <v>3</v>
      </c>
      <c r="F599" s="58" t="s">
        <v>4448</v>
      </c>
      <c r="G599" s="58" t="s">
        <v>4411</v>
      </c>
      <c r="H599" s="58" t="s">
        <v>4277</v>
      </c>
      <c r="I599" s="58" t="s">
        <v>4278</v>
      </c>
      <c r="J599" s="58" t="s">
        <v>3620</v>
      </c>
      <c r="K599" s="58" t="s">
        <v>4702</v>
      </c>
    </row>
    <row r="600" spans="1:11" ht="25.95" customHeight="1">
      <c r="A600" s="58" t="s">
        <v>17</v>
      </c>
      <c r="B600" s="58" t="s">
        <v>3</v>
      </c>
      <c r="C600" s="58" t="s">
        <v>4409</v>
      </c>
      <c r="D600" s="58" t="s">
        <v>4443</v>
      </c>
      <c r="E600" s="58">
        <v>6</v>
      </c>
      <c r="F600" s="58" t="s">
        <v>4448</v>
      </c>
      <c r="G600" s="58" t="s">
        <v>4411</v>
      </c>
      <c r="H600" s="58" t="s">
        <v>4277</v>
      </c>
      <c r="I600" s="58" t="s">
        <v>4278</v>
      </c>
      <c r="J600" s="58" t="s">
        <v>3621</v>
      </c>
      <c r="K600" s="58" t="s">
        <v>4703</v>
      </c>
    </row>
    <row r="601" spans="1:11" ht="25.95" customHeight="1">
      <c r="A601" s="58" t="s">
        <v>17</v>
      </c>
      <c r="B601" s="58" t="s">
        <v>3</v>
      </c>
      <c r="C601" s="58" t="s">
        <v>4409</v>
      </c>
      <c r="D601" s="58" t="s">
        <v>4445</v>
      </c>
      <c r="E601" s="58">
        <v>1.5</v>
      </c>
      <c r="F601" s="58" t="s">
        <v>4448</v>
      </c>
      <c r="G601" s="58" t="s">
        <v>4411</v>
      </c>
      <c r="H601" s="58" t="s">
        <v>4277</v>
      </c>
      <c r="I601" s="58" t="s">
        <v>4278</v>
      </c>
      <c r="J601" s="58" t="s">
        <v>3622</v>
      </c>
      <c r="K601" s="58" t="s">
        <v>4704</v>
      </c>
    </row>
    <row r="602" spans="1:11" ht="25.95" customHeight="1">
      <c r="A602" s="58" t="s">
        <v>17</v>
      </c>
      <c r="B602" s="58" t="s">
        <v>3</v>
      </c>
      <c r="C602" s="58" t="s">
        <v>4409</v>
      </c>
      <c r="D602" s="58" t="s">
        <v>4447</v>
      </c>
      <c r="E602" s="58">
        <v>0.75</v>
      </c>
      <c r="F602" s="58" t="s">
        <v>158</v>
      </c>
      <c r="G602" s="58" t="s">
        <v>4411</v>
      </c>
      <c r="H602" s="58" t="s">
        <v>4277</v>
      </c>
      <c r="I602" s="58" t="s">
        <v>4278</v>
      </c>
      <c r="J602" s="58" t="s">
        <v>3703</v>
      </c>
      <c r="K602" s="58" t="s">
        <v>4693</v>
      </c>
    </row>
    <row r="603" spans="1:11" ht="25.95" customHeight="1">
      <c r="A603" s="58" t="s">
        <v>17</v>
      </c>
      <c r="B603" s="58" t="s">
        <v>3</v>
      </c>
      <c r="C603" s="58" t="s">
        <v>4409</v>
      </c>
      <c r="D603" s="58" t="s">
        <v>4450</v>
      </c>
      <c r="E603" s="58">
        <v>3</v>
      </c>
      <c r="F603" s="58" t="s">
        <v>158</v>
      </c>
      <c r="G603" s="58" t="s">
        <v>4411</v>
      </c>
      <c r="H603" s="58" t="s">
        <v>4277</v>
      </c>
      <c r="I603" s="58" t="s">
        <v>4278</v>
      </c>
      <c r="J603" s="58" t="s">
        <v>3623</v>
      </c>
      <c r="K603" s="58" t="s">
        <v>4705</v>
      </c>
    </row>
    <row r="604" spans="1:11" ht="25.95" customHeight="1">
      <c r="A604" s="58" t="s">
        <v>17</v>
      </c>
      <c r="B604" s="58" t="s">
        <v>3</v>
      </c>
      <c r="C604" s="58" t="s">
        <v>4409</v>
      </c>
      <c r="D604" s="58" t="s">
        <v>4452</v>
      </c>
      <c r="E604" s="58">
        <v>2.25</v>
      </c>
      <c r="F604" s="58" t="s">
        <v>158</v>
      </c>
      <c r="G604" s="58" t="s">
        <v>4411</v>
      </c>
      <c r="H604" s="58" t="s">
        <v>4277</v>
      </c>
      <c r="I604" s="58" t="s">
        <v>4278</v>
      </c>
      <c r="J604" s="58" t="s">
        <v>3624</v>
      </c>
      <c r="K604" s="58" t="s">
        <v>4706</v>
      </c>
    </row>
    <row r="605" spans="1:11" ht="25.95" customHeight="1">
      <c r="A605" s="58" t="s">
        <v>17</v>
      </c>
      <c r="B605" s="58" t="s">
        <v>3</v>
      </c>
      <c r="C605" s="58" t="s">
        <v>4409</v>
      </c>
      <c r="D605" s="58" t="s">
        <v>4454</v>
      </c>
      <c r="E605" s="58">
        <v>0.75</v>
      </c>
      <c r="F605" s="58" t="s">
        <v>158</v>
      </c>
      <c r="G605" s="58" t="s">
        <v>4411</v>
      </c>
      <c r="H605" s="58" t="s">
        <v>4277</v>
      </c>
      <c r="I605" s="58" t="s">
        <v>4278</v>
      </c>
      <c r="J605" s="58" t="s">
        <v>3625</v>
      </c>
      <c r="K605" s="58" t="s">
        <v>4693</v>
      </c>
    </row>
    <row r="606" spans="1:11" ht="25.95" customHeight="1">
      <c r="A606" s="58" t="s">
        <v>17</v>
      </c>
      <c r="B606" s="58" t="s">
        <v>3</v>
      </c>
      <c r="C606" s="58" t="s">
        <v>4409</v>
      </c>
      <c r="D606" s="58" t="s">
        <v>4456</v>
      </c>
      <c r="E606" s="58">
        <v>3</v>
      </c>
      <c r="F606" s="58" t="s">
        <v>158</v>
      </c>
      <c r="G606" s="58" t="s">
        <v>4411</v>
      </c>
      <c r="H606" s="58" t="s">
        <v>4277</v>
      </c>
      <c r="I606" s="58" t="s">
        <v>4278</v>
      </c>
      <c r="J606" s="58" t="s">
        <v>3713</v>
      </c>
      <c r="K606" s="58" t="s">
        <v>4707</v>
      </c>
    </row>
    <row r="607" spans="1:11" ht="25.95" customHeight="1">
      <c r="A607" s="58" t="s">
        <v>17</v>
      </c>
      <c r="B607" s="58" t="s">
        <v>3</v>
      </c>
      <c r="C607" s="58" t="s">
        <v>4409</v>
      </c>
      <c r="D607" s="58" t="s">
        <v>4458</v>
      </c>
      <c r="E607" s="58">
        <v>0</v>
      </c>
      <c r="F607" s="58" t="s">
        <v>158</v>
      </c>
      <c r="G607" s="58" t="s">
        <v>4411</v>
      </c>
      <c r="H607" s="58" t="s">
        <v>4277</v>
      </c>
      <c r="I607" s="58" t="s">
        <v>4278</v>
      </c>
      <c r="J607" s="58" t="s">
        <v>3716</v>
      </c>
      <c r="K607" s="58" t="s">
        <v>4693</v>
      </c>
    </row>
    <row r="608" spans="1:11" ht="25.95" customHeight="1">
      <c r="A608" s="58" t="s">
        <v>17</v>
      </c>
      <c r="B608" s="58" t="s">
        <v>3</v>
      </c>
      <c r="C608" s="58" t="s">
        <v>4409</v>
      </c>
      <c r="D608" s="58" t="s">
        <v>4460</v>
      </c>
      <c r="E608" s="58">
        <v>2</v>
      </c>
      <c r="F608" s="58" t="s">
        <v>158</v>
      </c>
      <c r="G608" s="58" t="s">
        <v>4411</v>
      </c>
      <c r="H608" s="58" t="s">
        <v>4277</v>
      </c>
      <c r="I608" s="58" t="s">
        <v>4278</v>
      </c>
      <c r="J608" s="58" t="s">
        <v>3719</v>
      </c>
      <c r="K608" s="58" t="s">
        <v>4708</v>
      </c>
    </row>
    <row r="609" spans="1:11" ht="25.95" customHeight="1">
      <c r="A609" s="58" t="s">
        <v>17</v>
      </c>
      <c r="B609" s="58" t="s">
        <v>3</v>
      </c>
      <c r="C609" s="58" t="s">
        <v>4409</v>
      </c>
      <c r="D609" s="58" t="s">
        <v>4462</v>
      </c>
      <c r="E609" s="58">
        <v>2</v>
      </c>
      <c r="F609" s="58" t="s">
        <v>158</v>
      </c>
      <c r="G609" s="58" t="s">
        <v>4411</v>
      </c>
      <c r="H609" s="58" t="s">
        <v>4277</v>
      </c>
      <c r="I609" s="58" t="s">
        <v>4278</v>
      </c>
      <c r="J609" s="58" t="s">
        <v>3722</v>
      </c>
      <c r="K609" s="58" t="s">
        <v>4709</v>
      </c>
    </row>
    <row r="610" spans="1:11" ht="25.95" customHeight="1">
      <c r="A610" s="58" t="s">
        <v>115</v>
      </c>
      <c r="B610" s="58" t="s">
        <v>48</v>
      </c>
      <c r="C610" s="58" t="s">
        <v>4409</v>
      </c>
      <c r="D610" s="58" t="s">
        <v>4410</v>
      </c>
      <c r="E610" s="58">
        <v>3</v>
      </c>
      <c r="F610" s="58" t="s">
        <v>158</v>
      </c>
      <c r="G610" s="58" t="s">
        <v>4411</v>
      </c>
      <c r="H610" s="58" t="s">
        <v>119</v>
      </c>
      <c r="I610" s="58"/>
      <c r="J610" s="58" t="s">
        <v>3605</v>
      </c>
      <c r="K610" s="58" t="s">
        <v>4710</v>
      </c>
    </row>
    <row r="611" spans="1:11" ht="25.95" customHeight="1">
      <c r="A611" s="58" t="s">
        <v>115</v>
      </c>
      <c r="B611" s="58" t="s">
        <v>48</v>
      </c>
      <c r="C611" s="58" t="s">
        <v>4409</v>
      </c>
      <c r="D611" s="58" t="s">
        <v>4415</v>
      </c>
      <c r="E611" s="58">
        <v>2</v>
      </c>
      <c r="F611" s="58" t="s">
        <v>158</v>
      </c>
      <c r="G611" s="58" t="s">
        <v>4411</v>
      </c>
      <c r="H611" s="58" t="s">
        <v>119</v>
      </c>
      <c r="I611" s="58"/>
      <c r="J611" s="58" t="s">
        <v>3606</v>
      </c>
      <c r="K611" s="58" t="s">
        <v>4711</v>
      </c>
    </row>
    <row r="612" spans="1:11" ht="25.95" customHeight="1">
      <c r="A612" s="58" t="s">
        <v>115</v>
      </c>
      <c r="B612" s="58" t="s">
        <v>48</v>
      </c>
      <c r="C612" s="58" t="s">
        <v>4409</v>
      </c>
      <c r="D612" s="58" t="s">
        <v>4417</v>
      </c>
      <c r="E612" s="58">
        <v>2.25</v>
      </c>
      <c r="F612" s="58" t="s">
        <v>158</v>
      </c>
      <c r="G612" s="58" t="s">
        <v>4411</v>
      </c>
      <c r="H612" s="58" t="s">
        <v>119</v>
      </c>
      <c r="I612" s="58"/>
      <c r="J612" s="58" t="s">
        <v>3607</v>
      </c>
      <c r="K612" s="58" t="s">
        <v>4712</v>
      </c>
    </row>
    <row r="613" spans="1:11" ht="25.95" customHeight="1">
      <c r="A613" s="58" t="s">
        <v>115</v>
      </c>
      <c r="B613" s="58" t="s">
        <v>48</v>
      </c>
      <c r="C613" s="58" t="s">
        <v>4409</v>
      </c>
      <c r="D613" s="58" t="s">
        <v>4419</v>
      </c>
      <c r="E613" s="58">
        <v>4</v>
      </c>
      <c r="F613" s="58" t="s">
        <v>158</v>
      </c>
      <c r="G613" s="58" t="s">
        <v>4411</v>
      </c>
      <c r="H613" s="58" t="s">
        <v>119</v>
      </c>
      <c r="I613" s="58"/>
      <c r="J613" s="58" t="s">
        <v>3608</v>
      </c>
      <c r="K613" s="58" t="s">
        <v>4713</v>
      </c>
    </row>
    <row r="614" spans="1:11" ht="25.95" customHeight="1">
      <c r="A614" s="58" t="s">
        <v>115</v>
      </c>
      <c r="B614" s="58" t="s">
        <v>48</v>
      </c>
      <c r="C614" s="58" t="s">
        <v>4409</v>
      </c>
      <c r="D614" s="58" t="s">
        <v>4421</v>
      </c>
      <c r="E614" s="58">
        <v>4.5</v>
      </c>
      <c r="F614" s="58" t="s">
        <v>158</v>
      </c>
      <c r="G614" s="58" t="s">
        <v>4411</v>
      </c>
      <c r="H614" s="58" t="s">
        <v>119</v>
      </c>
      <c r="I614" s="58"/>
      <c r="J614" s="58" t="s">
        <v>3609</v>
      </c>
      <c r="K614" s="58" t="s">
        <v>4714</v>
      </c>
    </row>
    <row r="615" spans="1:11" ht="25.95" customHeight="1">
      <c r="A615" s="58" t="s">
        <v>115</v>
      </c>
      <c r="B615" s="58" t="s">
        <v>48</v>
      </c>
      <c r="C615" s="58" t="s">
        <v>4409</v>
      </c>
      <c r="D615" s="58" t="s">
        <v>4423</v>
      </c>
      <c r="E615" s="58">
        <v>3.75</v>
      </c>
      <c r="F615" s="58" t="s">
        <v>158</v>
      </c>
      <c r="G615" s="58" t="s">
        <v>4411</v>
      </c>
      <c r="H615" s="58" t="s">
        <v>119</v>
      </c>
      <c r="I615" s="58"/>
      <c r="J615" s="58" t="s">
        <v>3611</v>
      </c>
      <c r="K615" s="58" t="s">
        <v>4711</v>
      </c>
    </row>
    <row r="616" spans="1:11" ht="25.95" customHeight="1">
      <c r="A616" s="58" t="s">
        <v>115</v>
      </c>
      <c r="B616" s="58" t="s">
        <v>48</v>
      </c>
      <c r="C616" s="58" t="s">
        <v>4409</v>
      </c>
      <c r="D616" s="58" t="s">
        <v>4425</v>
      </c>
      <c r="E616" s="58">
        <v>5</v>
      </c>
      <c r="F616" s="58" t="s">
        <v>158</v>
      </c>
      <c r="G616" s="58" t="s">
        <v>4411</v>
      </c>
      <c r="H616" s="58" t="s">
        <v>119</v>
      </c>
      <c r="I616" s="58"/>
      <c r="J616" s="58" t="s">
        <v>3612</v>
      </c>
      <c r="K616" s="58" t="s">
        <v>4715</v>
      </c>
    </row>
    <row r="617" spans="1:11" ht="25.95" customHeight="1">
      <c r="A617" s="58" t="s">
        <v>115</v>
      </c>
      <c r="B617" s="58" t="s">
        <v>48</v>
      </c>
      <c r="C617" s="58" t="s">
        <v>4409</v>
      </c>
      <c r="D617" s="58" t="s">
        <v>4427</v>
      </c>
      <c r="E617" s="58">
        <v>2</v>
      </c>
      <c r="F617" s="58" t="s">
        <v>158</v>
      </c>
      <c r="G617" s="58" t="s">
        <v>4411</v>
      </c>
      <c r="H617" s="58" t="s">
        <v>119</v>
      </c>
      <c r="I617" s="58"/>
      <c r="J617" s="58" t="s">
        <v>3613</v>
      </c>
      <c r="K617" s="58" t="s">
        <v>4711</v>
      </c>
    </row>
    <row r="618" spans="1:11" ht="25.95" customHeight="1">
      <c r="A618" s="58" t="s">
        <v>115</v>
      </c>
      <c r="B618" s="58" t="s">
        <v>48</v>
      </c>
      <c r="C618" s="58" t="s">
        <v>4409</v>
      </c>
      <c r="D618" s="58" t="s">
        <v>4429</v>
      </c>
      <c r="E618" s="58">
        <v>4</v>
      </c>
      <c r="F618" s="58" t="s">
        <v>158</v>
      </c>
      <c r="G618" s="58" t="s">
        <v>4411</v>
      </c>
      <c r="H618" s="58" t="s">
        <v>119</v>
      </c>
      <c r="I618" s="58"/>
      <c r="J618" s="58" t="s">
        <v>3614</v>
      </c>
      <c r="K618" s="58" t="s">
        <v>4716</v>
      </c>
    </row>
    <row r="619" spans="1:11" ht="25.95" customHeight="1">
      <c r="A619" s="58" t="s">
        <v>115</v>
      </c>
      <c r="B619" s="58" t="s">
        <v>48</v>
      </c>
      <c r="C619" s="58" t="s">
        <v>4409</v>
      </c>
      <c r="D619" s="58" t="s">
        <v>4431</v>
      </c>
      <c r="E619" s="58">
        <v>4</v>
      </c>
      <c r="F619" s="58" t="s">
        <v>158</v>
      </c>
      <c r="G619" s="58" t="s">
        <v>4411</v>
      </c>
      <c r="H619" s="58" t="s">
        <v>119</v>
      </c>
      <c r="I619" s="58"/>
      <c r="J619" s="58" t="s">
        <v>3615</v>
      </c>
      <c r="K619" s="58" t="s">
        <v>4717</v>
      </c>
    </row>
    <row r="620" spans="1:11" ht="25.95" customHeight="1">
      <c r="A620" s="58" t="s">
        <v>115</v>
      </c>
      <c r="B620" s="58" t="s">
        <v>48</v>
      </c>
      <c r="C620" s="58" t="s">
        <v>4409</v>
      </c>
      <c r="D620" s="58" t="s">
        <v>4433</v>
      </c>
      <c r="E620" s="58">
        <v>2.5</v>
      </c>
      <c r="F620" s="58" t="s">
        <v>158</v>
      </c>
      <c r="G620" s="58" t="s">
        <v>4411</v>
      </c>
      <c r="H620" s="58" t="s">
        <v>119</v>
      </c>
      <c r="I620" s="58"/>
      <c r="J620" s="58" t="s">
        <v>3616</v>
      </c>
      <c r="K620" s="58" t="s">
        <v>4711</v>
      </c>
    </row>
    <row r="621" spans="1:11" ht="25.95" customHeight="1">
      <c r="A621" s="58" t="s">
        <v>115</v>
      </c>
      <c r="B621" s="58" t="s">
        <v>48</v>
      </c>
      <c r="C621" s="58" t="s">
        <v>4409</v>
      </c>
      <c r="D621" s="58" t="s">
        <v>4435</v>
      </c>
      <c r="E621" s="58">
        <v>3</v>
      </c>
      <c r="F621" s="58" t="s">
        <v>158</v>
      </c>
      <c r="G621" s="58" t="s">
        <v>4411</v>
      </c>
      <c r="H621" s="58" t="s">
        <v>119</v>
      </c>
      <c r="I621" s="58"/>
      <c r="J621" s="58" t="s">
        <v>3617</v>
      </c>
      <c r="K621" s="58" t="s">
        <v>4718</v>
      </c>
    </row>
    <row r="622" spans="1:11" ht="25.95" customHeight="1">
      <c r="A622" s="58" t="s">
        <v>115</v>
      </c>
      <c r="B622" s="58" t="s">
        <v>48</v>
      </c>
      <c r="C622" s="58" t="s">
        <v>4409</v>
      </c>
      <c r="D622" s="58" t="s">
        <v>4437</v>
      </c>
      <c r="E622" s="58">
        <v>2.25</v>
      </c>
      <c r="F622" s="58" t="s">
        <v>158</v>
      </c>
      <c r="G622" s="58" t="s">
        <v>4411</v>
      </c>
      <c r="H622" s="58" t="s">
        <v>119</v>
      </c>
      <c r="I622" s="58"/>
      <c r="J622" s="58" t="s">
        <v>3618</v>
      </c>
      <c r="K622" s="58" t="s">
        <v>4719</v>
      </c>
    </row>
    <row r="623" spans="1:11" ht="25.95" customHeight="1">
      <c r="A623" s="58" t="s">
        <v>21</v>
      </c>
      <c r="B623" s="58" t="s">
        <v>19</v>
      </c>
      <c r="C623" s="58" t="s">
        <v>4409</v>
      </c>
      <c r="D623" s="58" t="s">
        <v>4439</v>
      </c>
      <c r="E623" s="58">
        <v>4</v>
      </c>
      <c r="F623" s="58" t="s">
        <v>158</v>
      </c>
      <c r="G623" s="58" t="s">
        <v>4411</v>
      </c>
      <c r="H623" s="58" t="s">
        <v>4349</v>
      </c>
      <c r="I623" s="58"/>
      <c r="J623" s="58" t="s">
        <v>3619</v>
      </c>
      <c r="K623" s="58" t="s">
        <v>4720</v>
      </c>
    </row>
    <row r="624" spans="1:11" ht="15.6">
      <c r="A624" s="58" t="s">
        <v>21</v>
      </c>
      <c r="B624" s="58" t="s">
        <v>48</v>
      </c>
      <c r="C624" s="58" t="s">
        <v>4409</v>
      </c>
      <c r="D624" s="58" t="s">
        <v>4441</v>
      </c>
      <c r="E624" s="58">
        <v>4.5</v>
      </c>
      <c r="F624" s="58" t="s">
        <v>4448</v>
      </c>
      <c r="G624" s="58" t="s">
        <v>4411</v>
      </c>
      <c r="H624" s="58" t="s">
        <v>4349</v>
      </c>
      <c r="I624" s="58"/>
      <c r="J624" s="58" t="s">
        <v>3620</v>
      </c>
      <c r="K624" s="58" t="s">
        <v>4721</v>
      </c>
    </row>
    <row r="625" spans="1:11" ht="15.6">
      <c r="A625" s="58" t="s">
        <v>21</v>
      </c>
      <c r="B625" s="58" t="s">
        <v>48</v>
      </c>
      <c r="C625" s="58" t="s">
        <v>4409</v>
      </c>
      <c r="D625" s="58" t="s">
        <v>4443</v>
      </c>
      <c r="E625" s="58">
        <v>4.5</v>
      </c>
      <c r="F625" s="58" t="s">
        <v>4448</v>
      </c>
      <c r="G625" s="58" t="s">
        <v>4411</v>
      </c>
      <c r="H625" s="58" t="s">
        <v>4349</v>
      </c>
      <c r="I625" s="58"/>
      <c r="J625" s="58" t="s">
        <v>3621</v>
      </c>
      <c r="K625" s="58" t="s">
        <v>4722</v>
      </c>
    </row>
    <row r="626" spans="1:11" ht="15.6">
      <c r="A626" s="58" t="s">
        <v>21</v>
      </c>
      <c r="B626" s="58" t="s">
        <v>48</v>
      </c>
      <c r="C626" s="58" t="s">
        <v>4409</v>
      </c>
      <c r="D626" s="58" t="s">
        <v>4445</v>
      </c>
      <c r="E626" s="58">
        <v>3</v>
      </c>
      <c r="F626" s="58" t="s">
        <v>4448</v>
      </c>
      <c r="G626" s="58" t="s">
        <v>4411</v>
      </c>
      <c r="H626" s="58" t="s">
        <v>4349</v>
      </c>
      <c r="I626" s="58"/>
      <c r="J626" s="58" t="s">
        <v>3622</v>
      </c>
      <c r="K626" s="58" t="s">
        <v>4722</v>
      </c>
    </row>
    <row r="627" spans="1:11" ht="15.6">
      <c r="A627" s="58" t="s">
        <v>21</v>
      </c>
      <c r="B627" s="58" t="s">
        <v>48</v>
      </c>
      <c r="C627" s="58" t="s">
        <v>4409</v>
      </c>
      <c r="D627" s="58" t="s">
        <v>4447</v>
      </c>
      <c r="E627" s="58">
        <v>2.25</v>
      </c>
      <c r="F627" s="58" t="s">
        <v>4448</v>
      </c>
      <c r="G627" s="58" t="s">
        <v>4411</v>
      </c>
      <c r="H627" s="58" t="s">
        <v>4349</v>
      </c>
      <c r="I627" s="58"/>
      <c r="J627" s="58" t="s">
        <v>3703</v>
      </c>
      <c r="K627" s="58" t="s">
        <v>4723</v>
      </c>
    </row>
    <row r="628" spans="1:11" ht="15.6">
      <c r="A628" s="58" t="s">
        <v>21</v>
      </c>
      <c r="B628" s="58" t="s">
        <v>48</v>
      </c>
      <c r="C628" s="58" t="s">
        <v>4409</v>
      </c>
      <c r="D628" s="58" t="s">
        <v>4450</v>
      </c>
      <c r="E628" s="58">
        <v>3</v>
      </c>
      <c r="F628" s="58" t="s">
        <v>4448</v>
      </c>
      <c r="G628" s="58" t="s">
        <v>4411</v>
      </c>
      <c r="H628" s="58" t="s">
        <v>4349</v>
      </c>
      <c r="I628" s="58"/>
      <c r="J628" s="58" t="s">
        <v>3623</v>
      </c>
      <c r="K628" s="58" t="s">
        <v>4724</v>
      </c>
    </row>
    <row r="629" spans="1:11" ht="15.6">
      <c r="A629" s="58" t="s">
        <v>21</v>
      </c>
      <c r="B629" s="58" t="s">
        <v>48</v>
      </c>
      <c r="C629" s="58" t="s">
        <v>4409</v>
      </c>
      <c r="D629" s="58" t="s">
        <v>4452</v>
      </c>
      <c r="E629" s="58">
        <v>1.5</v>
      </c>
      <c r="F629" s="58" t="s">
        <v>4448</v>
      </c>
      <c r="G629" s="58" t="s">
        <v>4411</v>
      </c>
      <c r="H629" s="58" t="s">
        <v>4349</v>
      </c>
      <c r="I629" s="58"/>
      <c r="J629" s="58" t="s">
        <v>3624</v>
      </c>
      <c r="K629" s="58" t="s">
        <v>4725</v>
      </c>
    </row>
    <row r="630" spans="1:11" ht="15.6">
      <c r="A630" s="58" t="s">
        <v>21</v>
      </c>
      <c r="B630" s="58" t="s">
        <v>19</v>
      </c>
      <c r="C630" s="58" t="s">
        <v>4409</v>
      </c>
      <c r="D630" s="58" t="s">
        <v>4454</v>
      </c>
      <c r="E630" s="58">
        <v>1.5</v>
      </c>
      <c r="F630" s="58" t="s">
        <v>4448</v>
      </c>
      <c r="G630" s="58" t="s">
        <v>4411</v>
      </c>
      <c r="H630" s="58" t="s">
        <v>4349</v>
      </c>
      <c r="I630" s="58"/>
      <c r="J630" s="58" t="s">
        <v>3625</v>
      </c>
      <c r="K630" s="58" t="s">
        <v>4726</v>
      </c>
    </row>
    <row r="631" spans="1:11" ht="15.6">
      <c r="A631" s="58" t="s">
        <v>21</v>
      </c>
      <c r="B631" s="58" t="s">
        <v>19</v>
      </c>
      <c r="C631" s="58" t="s">
        <v>4409</v>
      </c>
      <c r="D631" s="58" t="s">
        <v>4456</v>
      </c>
      <c r="E631" s="58">
        <v>2.25</v>
      </c>
      <c r="F631" s="58" t="s">
        <v>4448</v>
      </c>
      <c r="G631" s="58" t="s">
        <v>4411</v>
      </c>
      <c r="H631" s="58" t="s">
        <v>4349</v>
      </c>
      <c r="I631" s="58"/>
      <c r="J631" s="58" t="s">
        <v>3713</v>
      </c>
      <c r="K631" s="58" t="s">
        <v>4727</v>
      </c>
    </row>
    <row r="632" spans="1:11" ht="15.6">
      <c r="A632" s="58" t="s">
        <v>21</v>
      </c>
      <c r="B632" s="58" t="s">
        <v>19</v>
      </c>
      <c r="C632" s="58" t="s">
        <v>4409</v>
      </c>
      <c r="D632" s="58" t="s">
        <v>4458</v>
      </c>
      <c r="E632" s="58">
        <v>0.75</v>
      </c>
      <c r="F632" s="58" t="s">
        <v>4448</v>
      </c>
      <c r="G632" s="58" t="s">
        <v>4411</v>
      </c>
      <c r="H632" s="58" t="s">
        <v>4349</v>
      </c>
      <c r="I632" s="58"/>
      <c r="J632" s="58" t="s">
        <v>3716</v>
      </c>
      <c r="K632" s="58" t="s">
        <v>4711</v>
      </c>
    </row>
    <row r="633" spans="1:11" ht="15.6">
      <c r="A633" s="58" t="s">
        <v>21</v>
      </c>
      <c r="B633" s="58" t="s">
        <v>19</v>
      </c>
      <c r="C633" s="58" t="s">
        <v>4409</v>
      </c>
      <c r="D633" s="58" t="s">
        <v>4460</v>
      </c>
      <c r="E633" s="58">
        <v>1</v>
      </c>
      <c r="F633" s="58" t="s">
        <v>4448</v>
      </c>
      <c r="G633" s="58" t="s">
        <v>4411</v>
      </c>
      <c r="H633" s="58" t="s">
        <v>4349</v>
      </c>
      <c r="I633" s="58"/>
      <c r="J633" s="58" t="s">
        <v>3719</v>
      </c>
      <c r="K633" s="58" t="s">
        <v>4728</v>
      </c>
    </row>
    <row r="634" spans="1:11" ht="15.6">
      <c r="A634" s="58" t="s">
        <v>21</v>
      </c>
      <c r="B634" s="58" t="s">
        <v>19</v>
      </c>
      <c r="C634" s="58" t="s">
        <v>4409</v>
      </c>
      <c r="D634" s="58" t="s">
        <v>4462</v>
      </c>
      <c r="E634" s="58">
        <v>1.5</v>
      </c>
      <c r="F634" s="58" t="s">
        <v>4448</v>
      </c>
      <c r="G634" s="58" t="s">
        <v>4411</v>
      </c>
      <c r="H634" s="58" t="s">
        <v>4349</v>
      </c>
      <c r="I634" s="58"/>
      <c r="J634" s="58" t="s">
        <v>3722</v>
      </c>
      <c r="K634" s="58" t="s">
        <v>4729</v>
      </c>
    </row>
    <row r="635" spans="1:11" ht="15.6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</row>
    <row r="636" spans="1:11" ht="15.6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</row>
    <row r="637" spans="1:11" ht="15.6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</row>
    <row r="638" spans="1:11" ht="15.6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</row>
    <row r="639" spans="1:11" ht="15.6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</row>
    <row r="640" spans="1:11" ht="15.6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</row>
    <row r="641" spans="1:11" ht="15.6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</row>
    <row r="642" spans="1:11" ht="15.6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</row>
    <row r="643" spans="1:11" ht="15.6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</row>
    <row r="644" spans="1:11" ht="15.6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</row>
    <row r="645" spans="1:11" ht="15.6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</row>
    <row r="646" spans="1:11" ht="15.6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</row>
    <row r="647" spans="1:11" ht="15.6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</row>
    <row r="648" spans="1:11" ht="15.6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</row>
    <row r="649" spans="1:11" ht="15.6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</row>
    <row r="650" spans="1:11" ht="15.6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</row>
    <row r="651" spans="1:11" ht="15.6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</row>
    <row r="652" spans="1:11" ht="15.6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</row>
    <row r="653" spans="1:11" ht="15.6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</row>
  </sheetData>
  <phoneticPr fontId="1" type="noConversion"/>
  <pageMargins left="0.75" right="0.75" top="1" bottom="1" header="0.5" footer="0.5"/>
  <legacyDrawing r:id="scoreNotesVml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3"/>
  <sheetViews>
    <sheetView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4"/>
  <cols>
    <col min="1" max="1" width="13.77734375" customWidth="1"/>
    <col min="2" max="2" width="12.77734375" customWidth="1"/>
    <col min="3" max="3" width="18.77734375" customWidth="1"/>
    <col min="4" max="4" width="12.77734375" customWidth="1"/>
    <col min="5" max="10" width="18.77734375" customWidth="1"/>
    <col min="11" max="11" width="24.77734375" customWidth="1"/>
    <col min="12" max="12" width="43.77734375" customWidth="1"/>
    <col min="13" max="13" width="36.77734375" customWidth="1"/>
    <col min="14" max="14" width="43.77734375" customWidth="1"/>
  </cols>
  <sheetData>
    <row r="1" spans="1:14" ht="36" customHeight="1">
      <c r="A1" s="57" t="s">
        <v>36</v>
      </c>
      <c r="B1" s="57" t="s">
        <v>37</v>
      </c>
      <c r="C1" s="57" t="s">
        <v>167</v>
      </c>
      <c r="D1" s="57" t="s">
        <v>168</v>
      </c>
      <c r="E1" s="57" t="s">
        <v>169</v>
      </c>
      <c r="F1" s="57" t="s">
        <v>170</v>
      </c>
      <c r="G1" s="57" t="s">
        <v>171</v>
      </c>
      <c r="H1" s="57" t="s">
        <v>172</v>
      </c>
      <c r="I1" s="57" t="s">
        <v>173</v>
      </c>
      <c r="J1" s="57" t="s">
        <v>174</v>
      </c>
      <c r="K1" s="57" t="s">
        <v>129</v>
      </c>
      <c r="L1" s="57" t="s">
        <v>45</v>
      </c>
      <c r="M1" s="57" t="s">
        <v>46</v>
      </c>
      <c r="N1" s="57" t="s">
        <v>47</v>
      </c>
    </row>
    <row r="2" spans="1:14" ht="25.95" customHeight="1">
      <c r="A2" s="58" t="s">
        <v>34</v>
      </c>
      <c r="B2" s="58" t="s">
        <v>48</v>
      </c>
      <c r="C2" s="58" t="s">
        <v>175</v>
      </c>
      <c r="D2" s="58" t="s">
        <v>176</v>
      </c>
      <c r="E2" s="64">
        <v>10</v>
      </c>
      <c r="F2" s="58" t="s">
        <v>177</v>
      </c>
      <c r="G2" s="62">
        <v>95370</v>
      </c>
      <c r="H2" s="64">
        <v>6.7628000000000004</v>
      </c>
      <c r="I2" s="62">
        <v>1000000</v>
      </c>
      <c r="J2" s="65">
        <v>6.4496823600000006</v>
      </c>
      <c r="K2" s="58" t="s">
        <v>178</v>
      </c>
      <c r="L2" s="58" t="s">
        <v>54</v>
      </c>
      <c r="M2" s="58" t="s">
        <v>55</v>
      </c>
      <c r="N2" s="58" t="s">
        <v>179</v>
      </c>
    </row>
    <row r="3" spans="1:14" ht="25.95" customHeight="1">
      <c r="A3" s="58" t="s">
        <v>34</v>
      </c>
      <c r="B3" s="58" t="s">
        <v>48</v>
      </c>
      <c r="C3" s="58" t="s">
        <v>175</v>
      </c>
      <c r="D3" s="58" t="s">
        <v>180</v>
      </c>
      <c r="E3" s="64">
        <v>10</v>
      </c>
      <c r="F3" s="58" t="s">
        <v>177</v>
      </c>
      <c r="G3" s="62">
        <v>95370</v>
      </c>
      <c r="H3" s="64">
        <v>6.7628000000000004</v>
      </c>
      <c r="I3" s="62">
        <v>1000000</v>
      </c>
      <c r="J3" s="65">
        <v>6.4496823600000006</v>
      </c>
      <c r="K3" s="58" t="s">
        <v>178</v>
      </c>
      <c r="L3" s="58" t="s">
        <v>54</v>
      </c>
      <c r="M3" s="58" t="s">
        <v>55</v>
      </c>
      <c r="N3" s="58" t="s">
        <v>181</v>
      </c>
    </row>
    <row r="4" spans="1:14" ht="25.95" customHeight="1">
      <c r="A4" s="58" t="s">
        <v>34</v>
      </c>
      <c r="B4" s="58" t="s">
        <v>48</v>
      </c>
      <c r="C4" s="58" t="s">
        <v>182</v>
      </c>
      <c r="D4" s="58" t="s">
        <v>176</v>
      </c>
      <c r="E4" s="64">
        <v>1</v>
      </c>
      <c r="F4" s="58" t="s">
        <v>177</v>
      </c>
      <c r="G4" s="62">
        <v>1874432</v>
      </c>
      <c r="H4" s="64">
        <v>6.7628000000000004</v>
      </c>
      <c r="I4" s="62">
        <v>1000000</v>
      </c>
      <c r="J4" s="65">
        <v>12.6764087296</v>
      </c>
      <c r="K4" s="58" t="s">
        <v>178</v>
      </c>
      <c r="L4" s="58" t="s">
        <v>54</v>
      </c>
      <c r="M4" s="58" t="s">
        <v>55</v>
      </c>
      <c r="N4" s="58" t="s">
        <v>183</v>
      </c>
    </row>
    <row r="5" spans="1:14" ht="25.95" customHeight="1">
      <c r="A5" s="58" t="s">
        <v>34</v>
      </c>
      <c r="B5" s="58" t="s">
        <v>48</v>
      </c>
      <c r="C5" s="58" t="s">
        <v>182</v>
      </c>
      <c r="D5" s="58" t="s">
        <v>180</v>
      </c>
      <c r="E5" s="64">
        <v>1</v>
      </c>
      <c r="F5" s="58" t="s">
        <v>177</v>
      </c>
      <c r="G5" s="62">
        <v>1874432</v>
      </c>
      <c r="H5" s="64">
        <v>6.7628000000000004</v>
      </c>
      <c r="I5" s="62">
        <v>1000000</v>
      </c>
      <c r="J5" s="65">
        <v>12.6764087296</v>
      </c>
      <c r="K5" s="58" t="s">
        <v>178</v>
      </c>
      <c r="L5" s="58" t="s">
        <v>54</v>
      </c>
      <c r="M5" s="58" t="s">
        <v>55</v>
      </c>
      <c r="N5" s="58" t="s">
        <v>184</v>
      </c>
    </row>
    <row r="6" spans="1:14" ht="25.95" customHeight="1">
      <c r="A6" s="58" t="s">
        <v>34</v>
      </c>
      <c r="B6" s="58" t="s">
        <v>48</v>
      </c>
      <c r="C6" s="58" t="s">
        <v>185</v>
      </c>
      <c r="D6" s="58" t="s">
        <v>176</v>
      </c>
      <c r="E6" s="64">
        <v>12.5</v>
      </c>
      <c r="F6" s="58" t="s">
        <v>177</v>
      </c>
      <c r="G6" s="62">
        <v>0</v>
      </c>
      <c r="H6" s="64">
        <v>6.7628000000000004</v>
      </c>
      <c r="I6" s="62">
        <v>1000000</v>
      </c>
      <c r="J6" s="65">
        <v>0</v>
      </c>
      <c r="K6" s="58" t="s">
        <v>178</v>
      </c>
      <c r="L6" s="58" t="s">
        <v>54</v>
      </c>
      <c r="M6" s="58" t="s">
        <v>55</v>
      </c>
      <c r="N6" s="58" t="s">
        <v>186</v>
      </c>
    </row>
    <row r="7" spans="1:14" ht="25.95" customHeight="1">
      <c r="A7" s="58" t="s">
        <v>34</v>
      </c>
      <c r="B7" s="58" t="s">
        <v>48</v>
      </c>
      <c r="C7" s="58" t="s">
        <v>185</v>
      </c>
      <c r="D7" s="58" t="s">
        <v>180</v>
      </c>
      <c r="E7" s="64">
        <v>12.5</v>
      </c>
      <c r="F7" s="58" t="s">
        <v>177</v>
      </c>
      <c r="G7" s="62">
        <v>0</v>
      </c>
      <c r="H7" s="64">
        <v>6.7628000000000004</v>
      </c>
      <c r="I7" s="62">
        <v>1000000</v>
      </c>
      <c r="J7" s="65">
        <v>0</v>
      </c>
      <c r="K7" s="58" t="s">
        <v>178</v>
      </c>
      <c r="L7" s="58" t="s">
        <v>54</v>
      </c>
      <c r="M7" s="58" t="s">
        <v>55</v>
      </c>
      <c r="N7" s="58" t="s">
        <v>187</v>
      </c>
    </row>
    <row r="8" spans="1:14" ht="25.95" customHeight="1">
      <c r="A8" s="58" t="s">
        <v>34</v>
      </c>
      <c r="B8" s="58" t="s">
        <v>48</v>
      </c>
      <c r="C8" s="58" t="s">
        <v>188</v>
      </c>
      <c r="D8" s="58" t="s">
        <v>176</v>
      </c>
      <c r="E8" s="64">
        <v>50</v>
      </c>
      <c r="F8" s="58" t="s">
        <v>177</v>
      </c>
      <c r="G8" s="62">
        <v>17224</v>
      </c>
      <c r="H8" s="64">
        <v>6.7628000000000004</v>
      </c>
      <c r="I8" s="62">
        <v>1000000</v>
      </c>
      <c r="J8" s="65">
        <v>5.8241233600000006</v>
      </c>
      <c r="K8" s="58" t="s">
        <v>178</v>
      </c>
      <c r="L8" s="58" t="s">
        <v>54</v>
      </c>
      <c r="M8" s="58" t="s">
        <v>55</v>
      </c>
      <c r="N8" s="58" t="s">
        <v>189</v>
      </c>
    </row>
    <row r="9" spans="1:14" ht="25.95" customHeight="1">
      <c r="A9" s="58" t="s">
        <v>34</v>
      </c>
      <c r="B9" s="58" t="s">
        <v>48</v>
      </c>
      <c r="C9" s="58" t="s">
        <v>188</v>
      </c>
      <c r="D9" s="58" t="s">
        <v>180</v>
      </c>
      <c r="E9" s="64">
        <v>50</v>
      </c>
      <c r="F9" s="58" t="s">
        <v>177</v>
      </c>
      <c r="G9" s="62">
        <v>17224</v>
      </c>
      <c r="H9" s="64">
        <v>6.7628000000000004</v>
      </c>
      <c r="I9" s="62">
        <v>1000000</v>
      </c>
      <c r="J9" s="65">
        <v>5.8241233600000006</v>
      </c>
      <c r="K9" s="58" t="s">
        <v>178</v>
      </c>
      <c r="L9" s="58" t="s">
        <v>54</v>
      </c>
      <c r="M9" s="58" t="s">
        <v>55</v>
      </c>
      <c r="N9" s="58" t="s">
        <v>190</v>
      </c>
    </row>
    <row r="10" spans="1:14" ht="31.2">
      <c r="A10" s="58" t="s">
        <v>63</v>
      </c>
      <c r="B10" s="58" t="s">
        <v>48</v>
      </c>
      <c r="C10" s="58" t="s">
        <v>175</v>
      </c>
      <c r="D10" s="58" t="s">
        <v>176</v>
      </c>
      <c r="E10" s="64">
        <v>1</v>
      </c>
      <c r="F10" s="58" t="s">
        <v>191</v>
      </c>
      <c r="G10" s="62">
        <v>311371</v>
      </c>
      <c r="H10" s="64">
        <v>1</v>
      </c>
      <c r="I10" s="62">
        <v>1000000</v>
      </c>
      <c r="J10" s="65">
        <v>0.31137100000000001</v>
      </c>
      <c r="K10" s="58" t="s">
        <v>178</v>
      </c>
      <c r="L10" s="58" t="s">
        <v>67</v>
      </c>
      <c r="M10" s="58" t="s">
        <v>68</v>
      </c>
      <c r="N10" s="58" t="s">
        <v>192</v>
      </c>
    </row>
    <row r="11" spans="1:14" ht="31.2">
      <c r="A11" s="58" t="s">
        <v>63</v>
      </c>
      <c r="B11" s="58" t="s">
        <v>48</v>
      </c>
      <c r="C11" s="58" t="s">
        <v>175</v>
      </c>
      <c r="D11" s="58" t="s">
        <v>180</v>
      </c>
      <c r="E11" s="64">
        <v>2</v>
      </c>
      <c r="F11" s="58" t="s">
        <v>191</v>
      </c>
      <c r="G11" s="62">
        <v>311371</v>
      </c>
      <c r="H11" s="64">
        <v>1</v>
      </c>
      <c r="I11" s="62">
        <v>1000000</v>
      </c>
      <c r="J11" s="65">
        <v>0.62274200000000002</v>
      </c>
      <c r="K11" s="58" t="s">
        <v>178</v>
      </c>
      <c r="L11" s="58" t="s">
        <v>67</v>
      </c>
      <c r="M11" s="58" t="s">
        <v>68</v>
      </c>
      <c r="N11" s="58" t="s">
        <v>193</v>
      </c>
    </row>
    <row r="12" spans="1:14" ht="31.2">
      <c r="A12" s="58" t="s">
        <v>63</v>
      </c>
      <c r="B12" s="58" t="s">
        <v>48</v>
      </c>
      <c r="C12" s="58" t="s">
        <v>182</v>
      </c>
      <c r="D12" s="58" t="s">
        <v>176</v>
      </c>
      <c r="E12" s="64">
        <v>0.1</v>
      </c>
      <c r="F12" s="58" t="s">
        <v>191</v>
      </c>
      <c r="G12" s="62">
        <v>12838400</v>
      </c>
      <c r="H12" s="64">
        <v>1</v>
      </c>
      <c r="I12" s="62">
        <v>1000000</v>
      </c>
      <c r="J12" s="65">
        <v>1.2838400000000001</v>
      </c>
      <c r="K12" s="58" t="s">
        <v>178</v>
      </c>
      <c r="L12" s="58" t="s">
        <v>67</v>
      </c>
      <c r="M12" s="58" t="s">
        <v>68</v>
      </c>
      <c r="N12" s="58" t="s">
        <v>194</v>
      </c>
    </row>
    <row r="13" spans="1:14" ht="31.2">
      <c r="A13" s="58" t="s">
        <v>63</v>
      </c>
      <c r="B13" s="58" t="s">
        <v>48</v>
      </c>
      <c r="C13" s="58" t="s">
        <v>182</v>
      </c>
      <c r="D13" s="58" t="s">
        <v>180</v>
      </c>
      <c r="E13" s="64">
        <v>0.2</v>
      </c>
      <c r="F13" s="58" t="s">
        <v>191</v>
      </c>
      <c r="G13" s="62">
        <v>12838400</v>
      </c>
      <c r="H13" s="64">
        <v>1</v>
      </c>
      <c r="I13" s="62">
        <v>1000000</v>
      </c>
      <c r="J13" s="65">
        <v>2.5676800000000002</v>
      </c>
      <c r="K13" s="58" t="s">
        <v>178</v>
      </c>
      <c r="L13" s="58" t="s">
        <v>67</v>
      </c>
      <c r="M13" s="58" t="s">
        <v>68</v>
      </c>
      <c r="N13" s="58" t="s">
        <v>195</v>
      </c>
    </row>
    <row r="14" spans="1:14" ht="31.2">
      <c r="A14" s="58" t="s">
        <v>63</v>
      </c>
      <c r="B14" s="58" t="s">
        <v>48</v>
      </c>
      <c r="C14" s="58" t="s">
        <v>185</v>
      </c>
      <c r="D14" s="58" t="s">
        <v>176</v>
      </c>
      <c r="E14" s="64">
        <v>0</v>
      </c>
      <c r="F14" s="58" t="s">
        <v>191</v>
      </c>
      <c r="G14" s="62">
        <v>0</v>
      </c>
      <c r="H14" s="64">
        <v>1</v>
      </c>
      <c r="I14" s="62">
        <v>1000000</v>
      </c>
      <c r="J14" s="65">
        <v>0</v>
      </c>
      <c r="K14" s="58" t="s">
        <v>178</v>
      </c>
      <c r="L14" s="58" t="s">
        <v>67</v>
      </c>
      <c r="M14" s="58" t="s">
        <v>68</v>
      </c>
      <c r="N14" s="58" t="s">
        <v>196</v>
      </c>
    </row>
    <row r="15" spans="1:14" ht="31.2">
      <c r="A15" s="58" t="s">
        <v>63</v>
      </c>
      <c r="B15" s="58" t="s">
        <v>48</v>
      </c>
      <c r="C15" s="58" t="s">
        <v>185</v>
      </c>
      <c r="D15" s="58" t="s">
        <v>180</v>
      </c>
      <c r="E15" s="64">
        <v>0</v>
      </c>
      <c r="F15" s="58" t="s">
        <v>191</v>
      </c>
      <c r="G15" s="62">
        <v>0</v>
      </c>
      <c r="H15" s="64">
        <v>1</v>
      </c>
      <c r="I15" s="62">
        <v>1000000</v>
      </c>
      <c r="J15" s="65">
        <v>0</v>
      </c>
      <c r="K15" s="58" t="s">
        <v>178</v>
      </c>
      <c r="L15" s="58" t="s">
        <v>67</v>
      </c>
      <c r="M15" s="58" t="s">
        <v>68</v>
      </c>
      <c r="N15" s="58" t="s">
        <v>197</v>
      </c>
    </row>
    <row r="16" spans="1:14" ht="31.2">
      <c r="A16" s="58" t="s">
        <v>63</v>
      </c>
      <c r="B16" s="58" t="s">
        <v>48</v>
      </c>
      <c r="C16" s="58" t="s">
        <v>188</v>
      </c>
      <c r="D16" s="58" t="s">
        <v>176</v>
      </c>
      <c r="E16" s="64">
        <v>4</v>
      </c>
      <c r="F16" s="58" t="s">
        <v>191</v>
      </c>
      <c r="G16" s="62">
        <v>95925</v>
      </c>
      <c r="H16" s="64">
        <v>1</v>
      </c>
      <c r="I16" s="62">
        <v>1000000</v>
      </c>
      <c r="J16" s="65">
        <v>0.38369999999999999</v>
      </c>
      <c r="K16" s="58" t="s">
        <v>178</v>
      </c>
      <c r="L16" s="58" t="s">
        <v>67</v>
      </c>
      <c r="M16" s="58" t="s">
        <v>68</v>
      </c>
      <c r="N16" s="58" t="s">
        <v>198</v>
      </c>
    </row>
    <row r="17" spans="1:14" ht="31.2">
      <c r="A17" s="58" t="s">
        <v>63</v>
      </c>
      <c r="B17" s="58" t="s">
        <v>48</v>
      </c>
      <c r="C17" s="58" t="s">
        <v>188</v>
      </c>
      <c r="D17" s="58" t="s">
        <v>180</v>
      </c>
      <c r="E17" s="64">
        <v>8</v>
      </c>
      <c r="F17" s="58" t="s">
        <v>191</v>
      </c>
      <c r="G17" s="62">
        <v>95925</v>
      </c>
      <c r="H17" s="64">
        <v>1</v>
      </c>
      <c r="I17" s="62">
        <v>1000000</v>
      </c>
      <c r="J17" s="65">
        <v>0.76739999999999997</v>
      </c>
      <c r="K17" s="58" t="s">
        <v>178</v>
      </c>
      <c r="L17" s="58" t="s">
        <v>67</v>
      </c>
      <c r="M17" s="58" t="s">
        <v>68</v>
      </c>
      <c r="N17" s="58" t="s">
        <v>199</v>
      </c>
    </row>
    <row r="18" spans="1:14" ht="31.2">
      <c r="A18" s="58" t="s">
        <v>76</v>
      </c>
      <c r="B18" s="58" t="s">
        <v>48</v>
      </c>
      <c r="C18" s="58" t="s">
        <v>175</v>
      </c>
      <c r="D18" s="58" t="s">
        <v>176</v>
      </c>
      <c r="E18" s="64">
        <v>12</v>
      </c>
      <c r="F18" s="58" t="s">
        <v>191</v>
      </c>
      <c r="G18" s="62">
        <v>2022</v>
      </c>
      <c r="H18" s="64">
        <v>1</v>
      </c>
      <c r="I18" s="62">
        <v>1000000</v>
      </c>
      <c r="J18" s="65">
        <v>2.4264000000000001E-2</v>
      </c>
      <c r="K18" s="58" t="s">
        <v>178</v>
      </c>
      <c r="L18" s="58" t="s">
        <v>79</v>
      </c>
      <c r="M18" s="58" t="s">
        <v>80</v>
      </c>
      <c r="N18" s="58" t="s">
        <v>200</v>
      </c>
    </row>
    <row r="19" spans="1:14" ht="31.2">
      <c r="A19" s="58" t="s">
        <v>76</v>
      </c>
      <c r="B19" s="58" t="s">
        <v>48</v>
      </c>
      <c r="C19" s="58" t="s">
        <v>175</v>
      </c>
      <c r="D19" s="58" t="s">
        <v>180</v>
      </c>
      <c r="E19" s="64">
        <v>12</v>
      </c>
      <c r="F19" s="58" t="s">
        <v>191</v>
      </c>
      <c r="G19" s="62">
        <v>2022</v>
      </c>
      <c r="H19" s="64">
        <v>1</v>
      </c>
      <c r="I19" s="62">
        <v>1000000</v>
      </c>
      <c r="J19" s="65">
        <v>2.4264000000000001E-2</v>
      </c>
      <c r="K19" s="58" t="s">
        <v>178</v>
      </c>
      <c r="L19" s="58" t="s">
        <v>79</v>
      </c>
      <c r="M19" s="58" t="s">
        <v>80</v>
      </c>
      <c r="N19" s="58" t="s">
        <v>201</v>
      </c>
    </row>
    <row r="20" spans="1:14" ht="31.2">
      <c r="A20" s="58" t="s">
        <v>76</v>
      </c>
      <c r="B20" s="58" t="s">
        <v>48</v>
      </c>
      <c r="C20" s="58" t="s">
        <v>182</v>
      </c>
      <c r="D20" s="58" t="s">
        <v>176</v>
      </c>
      <c r="E20" s="64">
        <v>1</v>
      </c>
      <c r="F20" s="58" t="s">
        <v>191</v>
      </c>
      <c r="G20" s="62">
        <v>1721958</v>
      </c>
      <c r="H20" s="64">
        <v>1</v>
      </c>
      <c r="I20" s="62">
        <v>1000000</v>
      </c>
      <c r="J20" s="65">
        <v>1.7219580000000001</v>
      </c>
      <c r="K20" s="58" t="s">
        <v>178</v>
      </c>
      <c r="L20" s="58" t="s">
        <v>79</v>
      </c>
      <c r="M20" s="58" t="s">
        <v>80</v>
      </c>
      <c r="N20" s="58" t="s">
        <v>202</v>
      </c>
    </row>
    <row r="21" spans="1:14" ht="31.2">
      <c r="A21" s="58" t="s">
        <v>76</v>
      </c>
      <c r="B21" s="58" t="s">
        <v>48</v>
      </c>
      <c r="C21" s="58" t="s">
        <v>182</v>
      </c>
      <c r="D21" s="58" t="s">
        <v>180</v>
      </c>
      <c r="E21" s="64">
        <v>1</v>
      </c>
      <c r="F21" s="58" t="s">
        <v>191</v>
      </c>
      <c r="G21" s="62">
        <v>1721958</v>
      </c>
      <c r="H21" s="64">
        <v>1</v>
      </c>
      <c r="I21" s="62">
        <v>1000000</v>
      </c>
      <c r="J21" s="65">
        <v>1.7219580000000001</v>
      </c>
      <c r="K21" s="58" t="s">
        <v>178</v>
      </c>
      <c r="L21" s="58" t="s">
        <v>79</v>
      </c>
      <c r="M21" s="58" t="s">
        <v>80</v>
      </c>
      <c r="N21" s="58" t="s">
        <v>203</v>
      </c>
    </row>
    <row r="22" spans="1:14" ht="31.2">
      <c r="A22" s="58" t="s">
        <v>76</v>
      </c>
      <c r="B22" s="58" t="s">
        <v>48</v>
      </c>
      <c r="C22" s="58" t="s">
        <v>185</v>
      </c>
      <c r="D22" s="58" t="s">
        <v>176</v>
      </c>
      <c r="E22" s="64">
        <v>15</v>
      </c>
      <c r="F22" s="58" t="s">
        <v>191</v>
      </c>
      <c r="G22" s="62">
        <v>81580</v>
      </c>
      <c r="H22" s="64">
        <v>1</v>
      </c>
      <c r="I22" s="62">
        <v>1000000</v>
      </c>
      <c r="J22" s="65">
        <v>1.2237</v>
      </c>
      <c r="K22" s="58" t="s">
        <v>178</v>
      </c>
      <c r="L22" s="58" t="s">
        <v>79</v>
      </c>
      <c r="M22" s="58" t="s">
        <v>80</v>
      </c>
      <c r="N22" s="58" t="s">
        <v>204</v>
      </c>
    </row>
    <row r="23" spans="1:14" ht="31.2">
      <c r="A23" s="58" t="s">
        <v>76</v>
      </c>
      <c r="B23" s="58" t="s">
        <v>48</v>
      </c>
      <c r="C23" s="58" t="s">
        <v>185</v>
      </c>
      <c r="D23" s="58" t="s">
        <v>180</v>
      </c>
      <c r="E23" s="64">
        <v>15</v>
      </c>
      <c r="F23" s="58" t="s">
        <v>191</v>
      </c>
      <c r="G23" s="62">
        <v>81580</v>
      </c>
      <c r="H23" s="64">
        <v>1</v>
      </c>
      <c r="I23" s="62">
        <v>1000000</v>
      </c>
      <c r="J23" s="65">
        <v>1.2237</v>
      </c>
      <c r="K23" s="58" t="s">
        <v>178</v>
      </c>
      <c r="L23" s="58" t="s">
        <v>79</v>
      </c>
      <c r="M23" s="58" t="s">
        <v>80</v>
      </c>
      <c r="N23" s="58" t="s">
        <v>205</v>
      </c>
    </row>
    <row r="24" spans="1:14" ht="31.2">
      <c r="A24" s="58" t="s">
        <v>76</v>
      </c>
      <c r="B24" s="58" t="s">
        <v>48</v>
      </c>
      <c r="C24" s="58" t="s">
        <v>188</v>
      </c>
      <c r="D24" s="58" t="s">
        <v>176</v>
      </c>
      <c r="E24" s="64">
        <v>36</v>
      </c>
      <c r="F24" s="58" t="s">
        <v>191</v>
      </c>
      <c r="G24" s="62">
        <v>31090</v>
      </c>
      <c r="H24" s="64">
        <v>1</v>
      </c>
      <c r="I24" s="62">
        <v>1000000</v>
      </c>
      <c r="J24" s="65">
        <v>1.11924</v>
      </c>
      <c r="K24" s="58" t="s">
        <v>178</v>
      </c>
      <c r="L24" s="58" t="s">
        <v>79</v>
      </c>
      <c r="M24" s="58" t="s">
        <v>80</v>
      </c>
      <c r="N24" s="58" t="s">
        <v>206</v>
      </c>
    </row>
    <row r="25" spans="1:14" ht="31.2">
      <c r="A25" s="58" t="s">
        <v>76</v>
      </c>
      <c r="B25" s="58" t="s">
        <v>48</v>
      </c>
      <c r="C25" s="58" t="s">
        <v>188</v>
      </c>
      <c r="D25" s="58" t="s">
        <v>180</v>
      </c>
      <c r="E25" s="64">
        <v>36</v>
      </c>
      <c r="F25" s="58" t="s">
        <v>191</v>
      </c>
      <c r="G25" s="62">
        <v>31090</v>
      </c>
      <c r="H25" s="64">
        <v>1</v>
      </c>
      <c r="I25" s="62">
        <v>1000000</v>
      </c>
      <c r="J25" s="65">
        <v>1.11924</v>
      </c>
      <c r="K25" s="58" t="s">
        <v>178</v>
      </c>
      <c r="L25" s="58" t="s">
        <v>79</v>
      </c>
      <c r="M25" s="58" t="s">
        <v>80</v>
      </c>
      <c r="N25" s="58" t="s">
        <v>207</v>
      </c>
    </row>
    <row r="26" spans="1:14" ht="25.95" customHeight="1">
      <c r="A26" s="58" t="s">
        <v>82</v>
      </c>
      <c r="B26" s="58" t="s">
        <v>48</v>
      </c>
      <c r="C26" s="58" t="s">
        <v>175</v>
      </c>
      <c r="D26" s="58" t="s">
        <v>176</v>
      </c>
      <c r="E26" s="64">
        <v>8</v>
      </c>
      <c r="F26" s="58" t="s">
        <v>191</v>
      </c>
      <c r="G26" s="62">
        <v>73925</v>
      </c>
      <c r="H26" s="64">
        <v>1</v>
      </c>
      <c r="I26" s="62">
        <v>1000000</v>
      </c>
      <c r="J26" s="65">
        <v>0.59140000000000004</v>
      </c>
      <c r="K26" s="58" t="s">
        <v>178</v>
      </c>
      <c r="L26" s="58" t="s">
        <v>85</v>
      </c>
      <c r="M26" s="58" t="s">
        <v>86</v>
      </c>
      <c r="N26" s="58" t="s">
        <v>208</v>
      </c>
    </row>
    <row r="27" spans="1:14" ht="25.95" customHeight="1">
      <c r="A27" s="58" t="s">
        <v>82</v>
      </c>
      <c r="B27" s="58" t="s">
        <v>48</v>
      </c>
      <c r="C27" s="58" t="s">
        <v>175</v>
      </c>
      <c r="D27" s="58" t="s">
        <v>180</v>
      </c>
      <c r="E27" s="64">
        <v>8</v>
      </c>
      <c r="F27" s="58" t="s">
        <v>191</v>
      </c>
      <c r="G27" s="62">
        <v>73925</v>
      </c>
      <c r="H27" s="64">
        <v>1</v>
      </c>
      <c r="I27" s="62">
        <v>1000000</v>
      </c>
      <c r="J27" s="65">
        <v>0.59140000000000004</v>
      </c>
      <c r="K27" s="58" t="s">
        <v>178</v>
      </c>
      <c r="L27" s="58" t="s">
        <v>85</v>
      </c>
      <c r="M27" s="58" t="s">
        <v>86</v>
      </c>
      <c r="N27" s="58" t="s">
        <v>209</v>
      </c>
    </row>
    <row r="28" spans="1:14" ht="25.95" customHeight="1">
      <c r="A28" s="58" t="s">
        <v>82</v>
      </c>
      <c r="B28" s="58" t="s">
        <v>48</v>
      </c>
      <c r="C28" s="58" t="s">
        <v>182</v>
      </c>
      <c r="D28" s="58" t="s">
        <v>176</v>
      </c>
      <c r="E28" s="64">
        <v>2</v>
      </c>
      <c r="F28" s="58" t="s">
        <v>191</v>
      </c>
      <c r="G28" s="62">
        <v>1867520</v>
      </c>
      <c r="H28" s="64">
        <v>1</v>
      </c>
      <c r="I28" s="62">
        <v>1000000</v>
      </c>
      <c r="J28" s="65">
        <v>3.7350400000000001</v>
      </c>
      <c r="K28" s="58" t="s">
        <v>178</v>
      </c>
      <c r="L28" s="58" t="s">
        <v>85</v>
      </c>
      <c r="M28" s="58" t="s">
        <v>86</v>
      </c>
      <c r="N28" s="58" t="s">
        <v>210</v>
      </c>
    </row>
    <row r="29" spans="1:14" ht="25.95" customHeight="1">
      <c r="A29" s="58" t="s">
        <v>82</v>
      </c>
      <c r="B29" s="58" t="s">
        <v>48</v>
      </c>
      <c r="C29" s="58" t="s">
        <v>182</v>
      </c>
      <c r="D29" s="58" t="s">
        <v>180</v>
      </c>
      <c r="E29" s="64">
        <v>2</v>
      </c>
      <c r="F29" s="58" t="s">
        <v>191</v>
      </c>
      <c r="G29" s="62">
        <v>1867520</v>
      </c>
      <c r="H29" s="64">
        <v>1</v>
      </c>
      <c r="I29" s="62">
        <v>1000000</v>
      </c>
      <c r="J29" s="65">
        <v>3.7350400000000001</v>
      </c>
      <c r="K29" s="58" t="s">
        <v>178</v>
      </c>
      <c r="L29" s="58" t="s">
        <v>85</v>
      </c>
      <c r="M29" s="58" t="s">
        <v>86</v>
      </c>
      <c r="N29" s="58" t="s">
        <v>211</v>
      </c>
    </row>
    <row r="30" spans="1:14" ht="25.95" customHeight="1">
      <c r="A30" s="58" t="s">
        <v>82</v>
      </c>
      <c r="B30" s="58" t="s">
        <v>48</v>
      </c>
      <c r="C30" s="58" t="s">
        <v>185</v>
      </c>
      <c r="D30" s="58" t="s">
        <v>176</v>
      </c>
      <c r="E30" s="64">
        <v>0</v>
      </c>
      <c r="F30" s="58" t="s">
        <v>191</v>
      </c>
      <c r="G30" s="62">
        <v>0</v>
      </c>
      <c r="H30" s="64">
        <v>1</v>
      </c>
      <c r="I30" s="62">
        <v>1000000</v>
      </c>
      <c r="J30" s="65">
        <v>0</v>
      </c>
      <c r="K30" s="58" t="s">
        <v>178</v>
      </c>
      <c r="L30" s="58" t="s">
        <v>85</v>
      </c>
      <c r="M30" s="58" t="s">
        <v>86</v>
      </c>
      <c r="N30" s="58" t="s">
        <v>212</v>
      </c>
    </row>
    <row r="31" spans="1:14" ht="25.95" customHeight="1">
      <c r="A31" s="58" t="s">
        <v>82</v>
      </c>
      <c r="B31" s="58" t="s">
        <v>48</v>
      </c>
      <c r="C31" s="58" t="s">
        <v>185</v>
      </c>
      <c r="D31" s="58" t="s">
        <v>180</v>
      </c>
      <c r="E31" s="64">
        <v>0</v>
      </c>
      <c r="F31" s="58" t="s">
        <v>191</v>
      </c>
      <c r="G31" s="62">
        <v>0</v>
      </c>
      <c r="H31" s="64">
        <v>1</v>
      </c>
      <c r="I31" s="62">
        <v>1000000</v>
      </c>
      <c r="J31" s="65">
        <v>0</v>
      </c>
      <c r="K31" s="58" t="s">
        <v>178</v>
      </c>
      <c r="L31" s="58" t="s">
        <v>85</v>
      </c>
      <c r="M31" s="58" t="s">
        <v>86</v>
      </c>
      <c r="N31" s="58" t="s">
        <v>213</v>
      </c>
    </row>
    <row r="32" spans="1:14" ht="25.95" customHeight="1">
      <c r="A32" s="58" t="s">
        <v>82</v>
      </c>
      <c r="B32" s="58" t="s">
        <v>48</v>
      </c>
      <c r="C32" s="58" t="s">
        <v>188</v>
      </c>
      <c r="D32" s="58" t="s">
        <v>176</v>
      </c>
      <c r="E32" s="64">
        <v>28</v>
      </c>
      <c r="F32" s="58" t="s">
        <v>191</v>
      </c>
      <c r="G32" s="62">
        <v>23039</v>
      </c>
      <c r="H32" s="64">
        <v>1</v>
      </c>
      <c r="I32" s="62">
        <v>1000000</v>
      </c>
      <c r="J32" s="65">
        <v>0.645092</v>
      </c>
      <c r="K32" s="58" t="s">
        <v>178</v>
      </c>
      <c r="L32" s="58" t="s">
        <v>85</v>
      </c>
      <c r="M32" s="58" t="s">
        <v>86</v>
      </c>
      <c r="N32" s="58" t="s">
        <v>214</v>
      </c>
    </row>
    <row r="33" spans="1:14" ht="25.95" customHeight="1">
      <c r="A33" s="58" t="s">
        <v>82</v>
      </c>
      <c r="B33" s="58" t="s">
        <v>48</v>
      </c>
      <c r="C33" s="58" t="s">
        <v>188</v>
      </c>
      <c r="D33" s="58" t="s">
        <v>180</v>
      </c>
      <c r="E33" s="64">
        <v>28</v>
      </c>
      <c r="F33" s="58" t="s">
        <v>191</v>
      </c>
      <c r="G33" s="62">
        <v>23039</v>
      </c>
      <c r="H33" s="64">
        <v>1</v>
      </c>
      <c r="I33" s="62">
        <v>1000000</v>
      </c>
      <c r="J33" s="65">
        <v>0.645092</v>
      </c>
      <c r="K33" s="58" t="s">
        <v>178</v>
      </c>
      <c r="L33" s="58" t="s">
        <v>85</v>
      </c>
      <c r="M33" s="58" t="s">
        <v>86</v>
      </c>
      <c r="N33" s="58" t="s">
        <v>215</v>
      </c>
    </row>
    <row r="34" spans="1:14" ht="31.2">
      <c r="A34" s="58" t="s">
        <v>63</v>
      </c>
      <c r="B34" s="58" t="s">
        <v>35</v>
      </c>
      <c r="C34" s="58" t="s">
        <v>175</v>
      </c>
      <c r="D34" s="58" t="s">
        <v>176</v>
      </c>
      <c r="E34" s="64">
        <v>1</v>
      </c>
      <c r="F34" s="58" t="s">
        <v>191</v>
      </c>
      <c r="G34" s="62">
        <v>176433</v>
      </c>
      <c r="H34" s="64">
        <v>1</v>
      </c>
      <c r="I34" s="62">
        <v>1000000</v>
      </c>
      <c r="J34" s="65">
        <v>0.17643300000000001</v>
      </c>
      <c r="K34" s="58" t="s">
        <v>178</v>
      </c>
      <c r="L34" s="58" t="s">
        <v>89</v>
      </c>
      <c r="M34" s="58" t="s">
        <v>90</v>
      </c>
      <c r="N34" s="58" t="s">
        <v>216</v>
      </c>
    </row>
    <row r="35" spans="1:14" ht="31.2">
      <c r="A35" s="58" t="s">
        <v>63</v>
      </c>
      <c r="B35" s="58" t="s">
        <v>35</v>
      </c>
      <c r="C35" s="58" t="s">
        <v>175</v>
      </c>
      <c r="D35" s="58" t="s">
        <v>180</v>
      </c>
      <c r="E35" s="64">
        <v>2</v>
      </c>
      <c r="F35" s="58" t="s">
        <v>191</v>
      </c>
      <c r="G35" s="62">
        <v>176433</v>
      </c>
      <c r="H35" s="64">
        <v>1</v>
      </c>
      <c r="I35" s="62">
        <v>1000000</v>
      </c>
      <c r="J35" s="65">
        <v>0.35286600000000001</v>
      </c>
      <c r="K35" s="58" t="s">
        <v>178</v>
      </c>
      <c r="L35" s="58" t="s">
        <v>89</v>
      </c>
      <c r="M35" s="58" t="s">
        <v>90</v>
      </c>
      <c r="N35" s="58" t="s">
        <v>217</v>
      </c>
    </row>
    <row r="36" spans="1:14" ht="31.2">
      <c r="A36" s="58" t="s">
        <v>63</v>
      </c>
      <c r="B36" s="58" t="s">
        <v>35</v>
      </c>
      <c r="C36" s="58" t="s">
        <v>182</v>
      </c>
      <c r="D36" s="58" t="s">
        <v>176</v>
      </c>
      <c r="E36" s="64">
        <v>0.1</v>
      </c>
      <c r="F36" s="58" t="s">
        <v>191</v>
      </c>
      <c r="G36" s="62">
        <v>8724224</v>
      </c>
      <c r="H36" s="64">
        <v>1</v>
      </c>
      <c r="I36" s="62">
        <v>1000000</v>
      </c>
      <c r="J36" s="65">
        <v>0.87242240000000004</v>
      </c>
      <c r="K36" s="58" t="s">
        <v>178</v>
      </c>
      <c r="L36" s="58" t="s">
        <v>89</v>
      </c>
      <c r="M36" s="58" t="s">
        <v>90</v>
      </c>
      <c r="N36" s="58" t="s">
        <v>218</v>
      </c>
    </row>
    <row r="37" spans="1:14" ht="31.2">
      <c r="A37" s="58" t="s">
        <v>63</v>
      </c>
      <c r="B37" s="58" t="s">
        <v>35</v>
      </c>
      <c r="C37" s="58" t="s">
        <v>182</v>
      </c>
      <c r="D37" s="58" t="s">
        <v>180</v>
      </c>
      <c r="E37" s="64">
        <v>0.2</v>
      </c>
      <c r="F37" s="58" t="s">
        <v>191</v>
      </c>
      <c r="G37" s="62">
        <v>8724224</v>
      </c>
      <c r="H37" s="64">
        <v>1</v>
      </c>
      <c r="I37" s="62">
        <v>1000000</v>
      </c>
      <c r="J37" s="65">
        <v>1.7448448000000001</v>
      </c>
      <c r="K37" s="58" t="s">
        <v>178</v>
      </c>
      <c r="L37" s="58" t="s">
        <v>89</v>
      </c>
      <c r="M37" s="58" t="s">
        <v>90</v>
      </c>
      <c r="N37" s="58" t="s">
        <v>219</v>
      </c>
    </row>
    <row r="38" spans="1:14" ht="31.2">
      <c r="A38" s="58" t="s">
        <v>63</v>
      </c>
      <c r="B38" s="58" t="s">
        <v>35</v>
      </c>
      <c r="C38" s="58" t="s">
        <v>185</v>
      </c>
      <c r="D38" s="58" t="s">
        <v>176</v>
      </c>
      <c r="E38" s="64">
        <v>0</v>
      </c>
      <c r="F38" s="58" t="s">
        <v>191</v>
      </c>
      <c r="G38" s="62">
        <v>0</v>
      </c>
      <c r="H38" s="64">
        <v>1</v>
      </c>
      <c r="I38" s="62">
        <v>1000000</v>
      </c>
      <c r="J38" s="65">
        <v>0</v>
      </c>
      <c r="K38" s="58" t="s">
        <v>178</v>
      </c>
      <c r="L38" s="58" t="s">
        <v>89</v>
      </c>
      <c r="M38" s="58" t="s">
        <v>90</v>
      </c>
      <c r="N38" s="58" t="s">
        <v>220</v>
      </c>
    </row>
    <row r="39" spans="1:14" ht="31.2">
      <c r="A39" s="58" t="s">
        <v>63</v>
      </c>
      <c r="B39" s="58" t="s">
        <v>35</v>
      </c>
      <c r="C39" s="58" t="s">
        <v>185</v>
      </c>
      <c r="D39" s="58" t="s">
        <v>180</v>
      </c>
      <c r="E39" s="64">
        <v>0</v>
      </c>
      <c r="F39" s="58" t="s">
        <v>191</v>
      </c>
      <c r="G39" s="62">
        <v>0</v>
      </c>
      <c r="H39" s="64">
        <v>1</v>
      </c>
      <c r="I39" s="62">
        <v>1000000</v>
      </c>
      <c r="J39" s="65">
        <v>0</v>
      </c>
      <c r="K39" s="58" t="s">
        <v>178</v>
      </c>
      <c r="L39" s="58" t="s">
        <v>89</v>
      </c>
      <c r="M39" s="58" t="s">
        <v>90</v>
      </c>
      <c r="N39" s="58" t="s">
        <v>221</v>
      </c>
    </row>
    <row r="40" spans="1:14" ht="31.2">
      <c r="A40" s="58" t="s">
        <v>63</v>
      </c>
      <c r="B40" s="58" t="s">
        <v>35</v>
      </c>
      <c r="C40" s="58" t="s">
        <v>188</v>
      </c>
      <c r="D40" s="58" t="s">
        <v>176</v>
      </c>
      <c r="E40" s="64">
        <v>4</v>
      </c>
      <c r="F40" s="58" t="s">
        <v>191</v>
      </c>
      <c r="G40" s="62">
        <v>79939</v>
      </c>
      <c r="H40" s="64">
        <v>1</v>
      </c>
      <c r="I40" s="62">
        <v>1000000</v>
      </c>
      <c r="J40" s="65">
        <v>0.31975599999999998</v>
      </c>
      <c r="K40" s="58" t="s">
        <v>178</v>
      </c>
      <c r="L40" s="58" t="s">
        <v>89</v>
      </c>
      <c r="M40" s="58" t="s">
        <v>90</v>
      </c>
      <c r="N40" s="58" t="s">
        <v>222</v>
      </c>
    </row>
    <row r="41" spans="1:14" ht="31.2">
      <c r="A41" s="58" t="s">
        <v>63</v>
      </c>
      <c r="B41" s="58" t="s">
        <v>35</v>
      </c>
      <c r="C41" s="58" t="s">
        <v>188</v>
      </c>
      <c r="D41" s="58" t="s">
        <v>180</v>
      </c>
      <c r="E41" s="64">
        <v>8</v>
      </c>
      <c r="F41" s="58" t="s">
        <v>191</v>
      </c>
      <c r="G41" s="62">
        <v>79939</v>
      </c>
      <c r="H41" s="64">
        <v>1</v>
      </c>
      <c r="I41" s="62">
        <v>1000000</v>
      </c>
      <c r="J41" s="65">
        <v>0.63951199999999997</v>
      </c>
      <c r="K41" s="58" t="s">
        <v>178</v>
      </c>
      <c r="L41" s="58" t="s">
        <v>89</v>
      </c>
      <c r="M41" s="58" t="s">
        <v>90</v>
      </c>
      <c r="N41" s="58" t="s">
        <v>223</v>
      </c>
    </row>
    <row r="42" spans="1:14" ht="25.95" customHeight="1">
      <c r="A42" s="58" t="s">
        <v>34</v>
      </c>
      <c r="B42" s="58" t="s">
        <v>35</v>
      </c>
      <c r="C42" s="58" t="s">
        <v>175</v>
      </c>
      <c r="D42" s="58" t="s">
        <v>176</v>
      </c>
      <c r="E42" s="64">
        <v>10</v>
      </c>
      <c r="F42" s="58" t="s">
        <v>177</v>
      </c>
      <c r="G42" s="62">
        <v>142815</v>
      </c>
      <c r="H42" s="64">
        <v>6.7628000000000004</v>
      </c>
      <c r="I42" s="62">
        <v>1000000</v>
      </c>
      <c r="J42" s="65">
        <v>9.6582928199999998</v>
      </c>
      <c r="K42" s="58" t="s">
        <v>178</v>
      </c>
      <c r="L42" s="58" t="s">
        <v>92</v>
      </c>
      <c r="M42" s="58" t="s">
        <v>93</v>
      </c>
      <c r="N42" s="58" t="s">
        <v>224</v>
      </c>
    </row>
    <row r="43" spans="1:14" ht="25.95" customHeight="1">
      <c r="A43" s="58" t="s">
        <v>34</v>
      </c>
      <c r="B43" s="58" t="s">
        <v>35</v>
      </c>
      <c r="C43" s="58" t="s">
        <v>175</v>
      </c>
      <c r="D43" s="58" t="s">
        <v>180</v>
      </c>
      <c r="E43" s="64">
        <v>10</v>
      </c>
      <c r="F43" s="58" t="s">
        <v>177</v>
      </c>
      <c r="G43" s="62">
        <v>142815</v>
      </c>
      <c r="H43" s="64">
        <v>6.7628000000000004</v>
      </c>
      <c r="I43" s="62">
        <v>1000000</v>
      </c>
      <c r="J43" s="65">
        <v>9.6582928199999998</v>
      </c>
      <c r="K43" s="58" t="s">
        <v>178</v>
      </c>
      <c r="L43" s="58" t="s">
        <v>92</v>
      </c>
      <c r="M43" s="58" t="s">
        <v>93</v>
      </c>
      <c r="N43" s="58" t="s">
        <v>225</v>
      </c>
    </row>
    <row r="44" spans="1:14" ht="25.95" customHeight="1">
      <c r="A44" s="58" t="s">
        <v>34</v>
      </c>
      <c r="B44" s="58" t="s">
        <v>35</v>
      </c>
      <c r="C44" s="58" t="s">
        <v>182</v>
      </c>
      <c r="D44" s="58" t="s">
        <v>176</v>
      </c>
      <c r="E44" s="64">
        <v>1</v>
      </c>
      <c r="F44" s="58" t="s">
        <v>177</v>
      </c>
      <c r="G44" s="62">
        <v>3076992</v>
      </c>
      <c r="H44" s="64">
        <v>6.7628000000000004</v>
      </c>
      <c r="I44" s="62">
        <v>1000000</v>
      </c>
      <c r="J44" s="65">
        <v>20.809081497600001</v>
      </c>
      <c r="K44" s="58" t="s">
        <v>178</v>
      </c>
      <c r="L44" s="58" t="s">
        <v>92</v>
      </c>
      <c r="M44" s="58" t="s">
        <v>93</v>
      </c>
      <c r="N44" s="58" t="s">
        <v>226</v>
      </c>
    </row>
    <row r="45" spans="1:14" ht="25.95" customHeight="1">
      <c r="A45" s="58" t="s">
        <v>34</v>
      </c>
      <c r="B45" s="58" t="s">
        <v>35</v>
      </c>
      <c r="C45" s="58" t="s">
        <v>182</v>
      </c>
      <c r="D45" s="58" t="s">
        <v>180</v>
      </c>
      <c r="E45" s="64">
        <v>1</v>
      </c>
      <c r="F45" s="58" t="s">
        <v>177</v>
      </c>
      <c r="G45" s="62">
        <v>3076992</v>
      </c>
      <c r="H45" s="64">
        <v>6.7628000000000004</v>
      </c>
      <c r="I45" s="62">
        <v>1000000</v>
      </c>
      <c r="J45" s="65">
        <v>20.809081497600001</v>
      </c>
      <c r="K45" s="58" t="s">
        <v>178</v>
      </c>
      <c r="L45" s="58" t="s">
        <v>92</v>
      </c>
      <c r="M45" s="58" t="s">
        <v>93</v>
      </c>
      <c r="N45" s="58" t="s">
        <v>227</v>
      </c>
    </row>
    <row r="46" spans="1:14" ht="25.95" customHeight="1">
      <c r="A46" s="58" t="s">
        <v>34</v>
      </c>
      <c r="B46" s="58" t="s">
        <v>35</v>
      </c>
      <c r="C46" s="58" t="s">
        <v>185</v>
      </c>
      <c r="D46" s="58" t="s">
        <v>176</v>
      </c>
      <c r="E46" s="64">
        <v>12.5</v>
      </c>
      <c r="F46" s="58" t="s">
        <v>177</v>
      </c>
      <c r="G46" s="62">
        <v>0</v>
      </c>
      <c r="H46" s="64">
        <v>6.7628000000000004</v>
      </c>
      <c r="I46" s="62">
        <v>1000000</v>
      </c>
      <c r="J46" s="65">
        <v>0</v>
      </c>
      <c r="K46" s="58" t="s">
        <v>178</v>
      </c>
      <c r="L46" s="58" t="s">
        <v>92</v>
      </c>
      <c r="M46" s="58" t="s">
        <v>93</v>
      </c>
      <c r="N46" s="58" t="s">
        <v>228</v>
      </c>
    </row>
    <row r="47" spans="1:14" ht="25.95" customHeight="1">
      <c r="A47" s="58" t="s">
        <v>34</v>
      </c>
      <c r="B47" s="58" t="s">
        <v>35</v>
      </c>
      <c r="C47" s="58" t="s">
        <v>185</v>
      </c>
      <c r="D47" s="58" t="s">
        <v>180</v>
      </c>
      <c r="E47" s="64">
        <v>12.5</v>
      </c>
      <c r="F47" s="58" t="s">
        <v>177</v>
      </c>
      <c r="G47" s="62">
        <v>0</v>
      </c>
      <c r="H47" s="64">
        <v>6.7628000000000004</v>
      </c>
      <c r="I47" s="62">
        <v>1000000</v>
      </c>
      <c r="J47" s="65">
        <v>0</v>
      </c>
      <c r="K47" s="58" t="s">
        <v>178</v>
      </c>
      <c r="L47" s="58" t="s">
        <v>92</v>
      </c>
      <c r="M47" s="58" t="s">
        <v>93</v>
      </c>
      <c r="N47" s="58" t="s">
        <v>229</v>
      </c>
    </row>
    <row r="48" spans="1:14" ht="25.95" customHeight="1">
      <c r="A48" s="58" t="s">
        <v>34</v>
      </c>
      <c r="B48" s="58" t="s">
        <v>35</v>
      </c>
      <c r="C48" s="58" t="s">
        <v>188</v>
      </c>
      <c r="D48" s="58" t="s">
        <v>176</v>
      </c>
      <c r="E48" s="64">
        <v>50</v>
      </c>
      <c r="F48" s="58" t="s">
        <v>177</v>
      </c>
      <c r="G48" s="62">
        <v>25111</v>
      </c>
      <c r="H48" s="64">
        <v>6.7628000000000004</v>
      </c>
      <c r="I48" s="62">
        <v>1000000</v>
      </c>
      <c r="J48" s="65">
        <v>8.4910335400000001</v>
      </c>
      <c r="K48" s="58" t="s">
        <v>178</v>
      </c>
      <c r="L48" s="58" t="s">
        <v>92</v>
      </c>
      <c r="M48" s="58" t="s">
        <v>93</v>
      </c>
      <c r="N48" s="58" t="s">
        <v>230</v>
      </c>
    </row>
    <row r="49" spans="1:14" ht="25.95" customHeight="1">
      <c r="A49" s="58" t="s">
        <v>34</v>
      </c>
      <c r="B49" s="58" t="s">
        <v>35</v>
      </c>
      <c r="C49" s="58" t="s">
        <v>188</v>
      </c>
      <c r="D49" s="58" t="s">
        <v>180</v>
      </c>
      <c r="E49" s="64">
        <v>50</v>
      </c>
      <c r="F49" s="58" t="s">
        <v>177</v>
      </c>
      <c r="G49" s="62">
        <v>25111</v>
      </c>
      <c r="H49" s="64">
        <v>6.7628000000000004</v>
      </c>
      <c r="I49" s="62">
        <v>1000000</v>
      </c>
      <c r="J49" s="65">
        <v>8.4910335400000001</v>
      </c>
      <c r="K49" s="58" t="s">
        <v>178</v>
      </c>
      <c r="L49" s="58" t="s">
        <v>92</v>
      </c>
      <c r="M49" s="58" t="s">
        <v>93</v>
      </c>
      <c r="N49" s="58" t="s">
        <v>231</v>
      </c>
    </row>
    <row r="50" spans="1:14" ht="25.95" customHeight="1">
      <c r="A50" s="58" t="s">
        <v>82</v>
      </c>
      <c r="B50" s="58" t="s">
        <v>35</v>
      </c>
      <c r="C50" s="58" t="s">
        <v>175</v>
      </c>
      <c r="D50" s="58" t="s">
        <v>176</v>
      </c>
      <c r="E50" s="64">
        <v>8</v>
      </c>
      <c r="F50" s="58" t="s">
        <v>191</v>
      </c>
      <c r="G50" s="62">
        <v>89382</v>
      </c>
      <c r="H50" s="64">
        <v>1</v>
      </c>
      <c r="I50" s="62">
        <v>1000000</v>
      </c>
      <c r="J50" s="65">
        <v>0.71505600000000002</v>
      </c>
      <c r="K50" s="58" t="s">
        <v>178</v>
      </c>
      <c r="L50" s="58" t="s">
        <v>95</v>
      </c>
      <c r="M50" s="58" t="s">
        <v>96</v>
      </c>
      <c r="N50" s="58" t="s">
        <v>232</v>
      </c>
    </row>
    <row r="51" spans="1:14" ht="25.95" customHeight="1">
      <c r="A51" s="58" t="s">
        <v>82</v>
      </c>
      <c r="B51" s="58" t="s">
        <v>35</v>
      </c>
      <c r="C51" s="58" t="s">
        <v>175</v>
      </c>
      <c r="D51" s="58" t="s">
        <v>180</v>
      </c>
      <c r="E51" s="64">
        <v>8</v>
      </c>
      <c r="F51" s="58" t="s">
        <v>191</v>
      </c>
      <c r="G51" s="62">
        <v>89382</v>
      </c>
      <c r="H51" s="64">
        <v>1</v>
      </c>
      <c r="I51" s="62">
        <v>1000000</v>
      </c>
      <c r="J51" s="65">
        <v>0.71505600000000002</v>
      </c>
      <c r="K51" s="58" t="s">
        <v>178</v>
      </c>
      <c r="L51" s="58" t="s">
        <v>95</v>
      </c>
      <c r="M51" s="58" t="s">
        <v>96</v>
      </c>
      <c r="N51" s="58" t="s">
        <v>233</v>
      </c>
    </row>
    <row r="52" spans="1:14" ht="25.95" customHeight="1">
      <c r="A52" s="58" t="s">
        <v>82</v>
      </c>
      <c r="B52" s="58" t="s">
        <v>35</v>
      </c>
      <c r="C52" s="58" t="s">
        <v>182</v>
      </c>
      <c r="D52" s="58" t="s">
        <v>176</v>
      </c>
      <c r="E52" s="64">
        <v>2</v>
      </c>
      <c r="F52" s="58" t="s">
        <v>191</v>
      </c>
      <c r="G52" s="62">
        <v>2327552</v>
      </c>
      <c r="H52" s="64">
        <v>1</v>
      </c>
      <c r="I52" s="62">
        <v>1000000</v>
      </c>
      <c r="J52" s="65">
        <v>4.6551039999999997</v>
      </c>
      <c r="K52" s="58" t="s">
        <v>178</v>
      </c>
      <c r="L52" s="58" t="s">
        <v>95</v>
      </c>
      <c r="M52" s="58" t="s">
        <v>96</v>
      </c>
      <c r="N52" s="58" t="s">
        <v>234</v>
      </c>
    </row>
    <row r="53" spans="1:14" ht="25.95" customHeight="1">
      <c r="A53" s="58" t="s">
        <v>82</v>
      </c>
      <c r="B53" s="58" t="s">
        <v>35</v>
      </c>
      <c r="C53" s="58" t="s">
        <v>182</v>
      </c>
      <c r="D53" s="58" t="s">
        <v>180</v>
      </c>
      <c r="E53" s="64">
        <v>2</v>
      </c>
      <c r="F53" s="58" t="s">
        <v>191</v>
      </c>
      <c r="G53" s="62">
        <v>2327552</v>
      </c>
      <c r="H53" s="64">
        <v>1</v>
      </c>
      <c r="I53" s="62">
        <v>1000000</v>
      </c>
      <c r="J53" s="65">
        <v>4.6551039999999997</v>
      </c>
      <c r="K53" s="58" t="s">
        <v>178</v>
      </c>
      <c r="L53" s="58" t="s">
        <v>95</v>
      </c>
      <c r="M53" s="58" t="s">
        <v>96</v>
      </c>
      <c r="N53" s="58" t="s">
        <v>235</v>
      </c>
    </row>
    <row r="54" spans="1:14" ht="25.95" customHeight="1">
      <c r="A54" s="58" t="s">
        <v>82</v>
      </c>
      <c r="B54" s="58" t="s">
        <v>35</v>
      </c>
      <c r="C54" s="58" t="s">
        <v>185</v>
      </c>
      <c r="D54" s="58" t="s">
        <v>176</v>
      </c>
      <c r="E54" s="64">
        <v>0</v>
      </c>
      <c r="F54" s="58" t="s">
        <v>191</v>
      </c>
      <c r="G54" s="62">
        <v>0</v>
      </c>
      <c r="H54" s="64">
        <v>1</v>
      </c>
      <c r="I54" s="62">
        <v>1000000</v>
      </c>
      <c r="J54" s="65">
        <v>0</v>
      </c>
      <c r="K54" s="58" t="s">
        <v>178</v>
      </c>
      <c r="L54" s="58" t="s">
        <v>95</v>
      </c>
      <c r="M54" s="58" t="s">
        <v>96</v>
      </c>
      <c r="N54" s="58" t="s">
        <v>236</v>
      </c>
    </row>
    <row r="55" spans="1:14" ht="25.95" customHeight="1">
      <c r="A55" s="58" t="s">
        <v>82</v>
      </c>
      <c r="B55" s="58" t="s">
        <v>35</v>
      </c>
      <c r="C55" s="58" t="s">
        <v>185</v>
      </c>
      <c r="D55" s="58" t="s">
        <v>180</v>
      </c>
      <c r="E55" s="64">
        <v>0</v>
      </c>
      <c r="F55" s="58" t="s">
        <v>191</v>
      </c>
      <c r="G55" s="62">
        <v>0</v>
      </c>
      <c r="H55" s="64">
        <v>1</v>
      </c>
      <c r="I55" s="62">
        <v>1000000</v>
      </c>
      <c r="J55" s="65">
        <v>0</v>
      </c>
      <c r="K55" s="58" t="s">
        <v>178</v>
      </c>
      <c r="L55" s="58" t="s">
        <v>95</v>
      </c>
      <c r="M55" s="58" t="s">
        <v>96</v>
      </c>
      <c r="N55" s="58" t="s">
        <v>237</v>
      </c>
    </row>
    <row r="56" spans="1:14" ht="25.95" customHeight="1">
      <c r="A56" s="58" t="s">
        <v>82</v>
      </c>
      <c r="B56" s="58" t="s">
        <v>35</v>
      </c>
      <c r="C56" s="58" t="s">
        <v>188</v>
      </c>
      <c r="D56" s="58" t="s">
        <v>176</v>
      </c>
      <c r="E56" s="64">
        <v>28</v>
      </c>
      <c r="F56" s="58" t="s">
        <v>191</v>
      </c>
      <c r="G56" s="62">
        <v>39647</v>
      </c>
      <c r="H56" s="64">
        <v>1</v>
      </c>
      <c r="I56" s="62">
        <v>1000000</v>
      </c>
      <c r="J56" s="65">
        <v>1.1101160000000001</v>
      </c>
      <c r="K56" s="58" t="s">
        <v>178</v>
      </c>
      <c r="L56" s="58" t="s">
        <v>95</v>
      </c>
      <c r="M56" s="58" t="s">
        <v>96</v>
      </c>
      <c r="N56" s="58" t="s">
        <v>238</v>
      </c>
    </row>
    <row r="57" spans="1:14" ht="25.95" customHeight="1">
      <c r="A57" s="58" t="s">
        <v>82</v>
      </c>
      <c r="B57" s="58" t="s">
        <v>35</v>
      </c>
      <c r="C57" s="58" t="s">
        <v>188</v>
      </c>
      <c r="D57" s="58" t="s">
        <v>180</v>
      </c>
      <c r="E57" s="64">
        <v>28</v>
      </c>
      <c r="F57" s="58" t="s">
        <v>191</v>
      </c>
      <c r="G57" s="62">
        <v>39647</v>
      </c>
      <c r="H57" s="64">
        <v>1</v>
      </c>
      <c r="I57" s="62">
        <v>1000000</v>
      </c>
      <c r="J57" s="65">
        <v>1.1101160000000001</v>
      </c>
      <c r="K57" s="58" t="s">
        <v>178</v>
      </c>
      <c r="L57" s="58" t="s">
        <v>95</v>
      </c>
      <c r="M57" s="58" t="s">
        <v>96</v>
      </c>
      <c r="N57" s="58" t="s">
        <v>239</v>
      </c>
    </row>
    <row r="58" spans="1:14" ht="25.95" customHeight="1">
      <c r="A58" s="58" t="s">
        <v>98</v>
      </c>
      <c r="B58" s="58" t="s">
        <v>35</v>
      </c>
      <c r="C58" s="58" t="s">
        <v>175</v>
      </c>
      <c r="D58" s="58" t="s">
        <v>176</v>
      </c>
      <c r="E58" s="64">
        <v>20</v>
      </c>
      <c r="F58" s="58" t="s">
        <v>191</v>
      </c>
      <c r="G58" s="62">
        <v>14461</v>
      </c>
      <c r="H58" s="64">
        <v>1</v>
      </c>
      <c r="I58" s="62">
        <v>1000000</v>
      </c>
      <c r="J58" s="65">
        <v>0.28921999999999998</v>
      </c>
      <c r="K58" s="58" t="s">
        <v>178</v>
      </c>
      <c r="L58" s="58" t="s">
        <v>103</v>
      </c>
      <c r="M58" s="58" t="s">
        <v>104</v>
      </c>
      <c r="N58" s="58" t="s">
        <v>240</v>
      </c>
    </row>
    <row r="59" spans="1:14" ht="25.95" customHeight="1">
      <c r="A59" s="58" t="s">
        <v>98</v>
      </c>
      <c r="B59" s="58" t="s">
        <v>35</v>
      </c>
      <c r="C59" s="58" t="s">
        <v>175</v>
      </c>
      <c r="D59" s="58" t="s">
        <v>180</v>
      </c>
      <c r="E59" s="64">
        <v>20</v>
      </c>
      <c r="F59" s="58" t="s">
        <v>191</v>
      </c>
      <c r="G59" s="62">
        <v>14461</v>
      </c>
      <c r="H59" s="64">
        <v>1</v>
      </c>
      <c r="I59" s="62">
        <v>1000000</v>
      </c>
      <c r="J59" s="65">
        <v>0.28921999999999998</v>
      </c>
      <c r="K59" s="58" t="s">
        <v>178</v>
      </c>
      <c r="L59" s="58" t="s">
        <v>103</v>
      </c>
      <c r="M59" s="58" t="s">
        <v>104</v>
      </c>
      <c r="N59" s="58" t="s">
        <v>241</v>
      </c>
    </row>
    <row r="60" spans="1:14" ht="25.95" customHeight="1">
      <c r="A60" s="58" t="s">
        <v>98</v>
      </c>
      <c r="B60" s="58" t="s">
        <v>35</v>
      </c>
      <c r="C60" s="58" t="s">
        <v>182</v>
      </c>
      <c r="D60" s="58" t="s">
        <v>176</v>
      </c>
      <c r="E60" s="64">
        <v>2</v>
      </c>
      <c r="F60" s="58" t="s">
        <v>191</v>
      </c>
      <c r="G60" s="62">
        <v>482816</v>
      </c>
      <c r="H60" s="64">
        <v>1</v>
      </c>
      <c r="I60" s="62">
        <v>1000000</v>
      </c>
      <c r="J60" s="65">
        <v>0.96563200000000005</v>
      </c>
      <c r="K60" s="58" t="s">
        <v>178</v>
      </c>
      <c r="L60" s="58" t="s">
        <v>103</v>
      </c>
      <c r="M60" s="58" t="s">
        <v>104</v>
      </c>
      <c r="N60" s="58" t="s">
        <v>242</v>
      </c>
    </row>
    <row r="61" spans="1:14" ht="25.95" customHeight="1">
      <c r="A61" s="58" t="s">
        <v>98</v>
      </c>
      <c r="B61" s="58" t="s">
        <v>35</v>
      </c>
      <c r="C61" s="58" t="s">
        <v>182</v>
      </c>
      <c r="D61" s="58" t="s">
        <v>180</v>
      </c>
      <c r="E61" s="64">
        <v>2</v>
      </c>
      <c r="F61" s="58" t="s">
        <v>191</v>
      </c>
      <c r="G61" s="62">
        <v>482816</v>
      </c>
      <c r="H61" s="64">
        <v>1</v>
      </c>
      <c r="I61" s="62">
        <v>1000000</v>
      </c>
      <c r="J61" s="65">
        <v>0.96563200000000005</v>
      </c>
      <c r="K61" s="58" t="s">
        <v>178</v>
      </c>
      <c r="L61" s="58" t="s">
        <v>103</v>
      </c>
      <c r="M61" s="58" t="s">
        <v>104</v>
      </c>
      <c r="N61" s="58" t="s">
        <v>243</v>
      </c>
    </row>
    <row r="62" spans="1:14" ht="25.95" customHeight="1">
      <c r="A62" s="58" t="s">
        <v>98</v>
      </c>
      <c r="B62" s="58" t="s">
        <v>35</v>
      </c>
      <c r="C62" s="58" t="s">
        <v>185</v>
      </c>
      <c r="D62" s="58" t="s">
        <v>176</v>
      </c>
      <c r="E62" s="64">
        <v>0</v>
      </c>
      <c r="F62" s="58" t="s">
        <v>191</v>
      </c>
      <c r="G62" s="62">
        <v>0</v>
      </c>
      <c r="H62" s="64">
        <v>1</v>
      </c>
      <c r="I62" s="62">
        <v>1000000</v>
      </c>
      <c r="J62" s="65">
        <v>0</v>
      </c>
      <c r="K62" s="58" t="s">
        <v>178</v>
      </c>
      <c r="L62" s="58" t="s">
        <v>103</v>
      </c>
      <c r="M62" s="58" t="s">
        <v>104</v>
      </c>
      <c r="N62" s="58" t="s">
        <v>244</v>
      </c>
    </row>
    <row r="63" spans="1:14" ht="25.95" customHeight="1">
      <c r="A63" s="58" t="s">
        <v>98</v>
      </c>
      <c r="B63" s="58" t="s">
        <v>35</v>
      </c>
      <c r="C63" s="58" t="s">
        <v>185</v>
      </c>
      <c r="D63" s="58" t="s">
        <v>180</v>
      </c>
      <c r="E63" s="64">
        <v>0</v>
      </c>
      <c r="F63" s="58" t="s">
        <v>191</v>
      </c>
      <c r="G63" s="62">
        <v>0</v>
      </c>
      <c r="H63" s="64">
        <v>1</v>
      </c>
      <c r="I63" s="62">
        <v>1000000</v>
      </c>
      <c r="J63" s="65">
        <v>0</v>
      </c>
      <c r="K63" s="58" t="s">
        <v>178</v>
      </c>
      <c r="L63" s="58" t="s">
        <v>103</v>
      </c>
      <c r="M63" s="58" t="s">
        <v>104</v>
      </c>
      <c r="N63" s="58" t="s">
        <v>245</v>
      </c>
    </row>
    <row r="64" spans="1:14" ht="25.95" customHeight="1">
      <c r="A64" s="58" t="s">
        <v>98</v>
      </c>
      <c r="B64" s="58" t="s">
        <v>35</v>
      </c>
      <c r="C64" s="58" t="s">
        <v>188</v>
      </c>
      <c r="D64" s="58" t="s">
        <v>176</v>
      </c>
      <c r="E64" s="64">
        <v>100</v>
      </c>
      <c r="F64" s="58" t="s">
        <v>191</v>
      </c>
      <c r="G64" s="62">
        <v>2208</v>
      </c>
      <c r="H64" s="64">
        <v>1</v>
      </c>
      <c r="I64" s="62">
        <v>1000000</v>
      </c>
      <c r="J64" s="65">
        <v>0.2208</v>
      </c>
      <c r="K64" s="58" t="s">
        <v>178</v>
      </c>
      <c r="L64" s="58" t="s">
        <v>103</v>
      </c>
      <c r="M64" s="58" t="s">
        <v>104</v>
      </c>
      <c r="N64" s="58" t="s">
        <v>246</v>
      </c>
    </row>
    <row r="65" spans="1:14" ht="25.95" customHeight="1">
      <c r="A65" s="58" t="s">
        <v>98</v>
      </c>
      <c r="B65" s="58" t="s">
        <v>35</v>
      </c>
      <c r="C65" s="58" t="s">
        <v>188</v>
      </c>
      <c r="D65" s="58" t="s">
        <v>180</v>
      </c>
      <c r="E65" s="64">
        <v>100</v>
      </c>
      <c r="F65" s="58" t="s">
        <v>191</v>
      </c>
      <c r="G65" s="62">
        <v>2208</v>
      </c>
      <c r="H65" s="64">
        <v>1</v>
      </c>
      <c r="I65" s="62">
        <v>1000000</v>
      </c>
      <c r="J65" s="65">
        <v>0.2208</v>
      </c>
      <c r="K65" s="58" t="s">
        <v>178</v>
      </c>
      <c r="L65" s="58" t="s">
        <v>103</v>
      </c>
      <c r="M65" s="58" t="s">
        <v>104</v>
      </c>
      <c r="N65" s="58" t="s">
        <v>247</v>
      </c>
    </row>
    <row r="66" spans="1:14" ht="25.95" customHeight="1">
      <c r="A66" s="58" t="s">
        <v>76</v>
      </c>
      <c r="B66" s="58" t="s">
        <v>35</v>
      </c>
      <c r="C66" s="58" t="s">
        <v>175</v>
      </c>
      <c r="D66" s="58" t="s">
        <v>176</v>
      </c>
      <c r="E66" s="64">
        <v>12</v>
      </c>
      <c r="F66" s="58" t="s">
        <v>191</v>
      </c>
      <c r="G66" s="62">
        <v>3195</v>
      </c>
      <c r="H66" s="64">
        <v>1</v>
      </c>
      <c r="I66" s="62">
        <v>1000000</v>
      </c>
      <c r="J66" s="65">
        <v>3.8339999999999999E-2</v>
      </c>
      <c r="K66" s="58" t="s">
        <v>178</v>
      </c>
      <c r="L66" s="58" t="s">
        <v>106</v>
      </c>
      <c r="M66" s="58" t="s">
        <v>107</v>
      </c>
      <c r="N66" s="58" t="s">
        <v>248</v>
      </c>
    </row>
    <row r="67" spans="1:14" ht="25.95" customHeight="1">
      <c r="A67" s="58" t="s">
        <v>76</v>
      </c>
      <c r="B67" s="58" t="s">
        <v>35</v>
      </c>
      <c r="C67" s="58" t="s">
        <v>175</v>
      </c>
      <c r="D67" s="58" t="s">
        <v>180</v>
      </c>
      <c r="E67" s="64">
        <v>12</v>
      </c>
      <c r="F67" s="58" t="s">
        <v>191</v>
      </c>
      <c r="G67" s="62">
        <v>3195</v>
      </c>
      <c r="H67" s="64">
        <v>1</v>
      </c>
      <c r="I67" s="62">
        <v>1000000</v>
      </c>
      <c r="J67" s="65">
        <v>3.8339999999999999E-2</v>
      </c>
      <c r="K67" s="58" t="s">
        <v>178</v>
      </c>
      <c r="L67" s="58" t="s">
        <v>106</v>
      </c>
      <c r="M67" s="58" t="s">
        <v>107</v>
      </c>
      <c r="N67" s="58" t="s">
        <v>249</v>
      </c>
    </row>
    <row r="68" spans="1:14" ht="25.95" customHeight="1">
      <c r="A68" s="58" t="s">
        <v>76</v>
      </c>
      <c r="B68" s="58" t="s">
        <v>35</v>
      </c>
      <c r="C68" s="58" t="s">
        <v>182</v>
      </c>
      <c r="D68" s="58" t="s">
        <v>176</v>
      </c>
      <c r="E68" s="64">
        <v>1</v>
      </c>
      <c r="F68" s="58" t="s">
        <v>191</v>
      </c>
      <c r="G68" s="62">
        <v>8007784</v>
      </c>
      <c r="H68" s="64">
        <v>1</v>
      </c>
      <c r="I68" s="62">
        <v>1000000</v>
      </c>
      <c r="J68" s="65">
        <v>8.0077839999999991</v>
      </c>
      <c r="K68" s="58" t="s">
        <v>178</v>
      </c>
      <c r="L68" s="58" t="s">
        <v>106</v>
      </c>
      <c r="M68" s="58" t="s">
        <v>107</v>
      </c>
      <c r="N68" s="58" t="s">
        <v>250</v>
      </c>
    </row>
    <row r="69" spans="1:14" ht="25.95" customHeight="1">
      <c r="A69" s="58" t="s">
        <v>76</v>
      </c>
      <c r="B69" s="58" t="s">
        <v>35</v>
      </c>
      <c r="C69" s="58" t="s">
        <v>182</v>
      </c>
      <c r="D69" s="58" t="s">
        <v>180</v>
      </c>
      <c r="E69" s="64">
        <v>1</v>
      </c>
      <c r="F69" s="58" t="s">
        <v>191</v>
      </c>
      <c r="G69" s="62">
        <v>8007784</v>
      </c>
      <c r="H69" s="64">
        <v>1</v>
      </c>
      <c r="I69" s="62">
        <v>1000000</v>
      </c>
      <c r="J69" s="65">
        <v>8.0077839999999991</v>
      </c>
      <c r="K69" s="58" t="s">
        <v>178</v>
      </c>
      <c r="L69" s="58" t="s">
        <v>106</v>
      </c>
      <c r="M69" s="58" t="s">
        <v>107</v>
      </c>
      <c r="N69" s="58" t="s">
        <v>251</v>
      </c>
    </row>
    <row r="70" spans="1:14" ht="25.95" customHeight="1">
      <c r="A70" s="58" t="s">
        <v>76</v>
      </c>
      <c r="B70" s="58" t="s">
        <v>35</v>
      </c>
      <c r="C70" s="58" t="s">
        <v>185</v>
      </c>
      <c r="D70" s="58" t="s">
        <v>176</v>
      </c>
      <c r="E70" s="64">
        <v>15</v>
      </c>
      <c r="F70" s="58" t="s">
        <v>191</v>
      </c>
      <c r="G70" s="62">
        <v>176495</v>
      </c>
      <c r="H70" s="64">
        <v>1</v>
      </c>
      <c r="I70" s="62">
        <v>1000000</v>
      </c>
      <c r="J70" s="65">
        <v>2.6474250000000001</v>
      </c>
      <c r="K70" s="58" t="s">
        <v>178</v>
      </c>
      <c r="L70" s="58" t="s">
        <v>106</v>
      </c>
      <c r="M70" s="58" t="s">
        <v>107</v>
      </c>
      <c r="N70" s="58" t="s">
        <v>252</v>
      </c>
    </row>
    <row r="71" spans="1:14" ht="25.95" customHeight="1">
      <c r="A71" s="58" t="s">
        <v>76</v>
      </c>
      <c r="B71" s="58" t="s">
        <v>35</v>
      </c>
      <c r="C71" s="58" t="s">
        <v>185</v>
      </c>
      <c r="D71" s="58" t="s">
        <v>180</v>
      </c>
      <c r="E71" s="64">
        <v>15</v>
      </c>
      <c r="F71" s="58" t="s">
        <v>191</v>
      </c>
      <c r="G71" s="62">
        <v>176495</v>
      </c>
      <c r="H71" s="64">
        <v>1</v>
      </c>
      <c r="I71" s="62">
        <v>1000000</v>
      </c>
      <c r="J71" s="65">
        <v>2.6474250000000001</v>
      </c>
      <c r="K71" s="58" t="s">
        <v>178</v>
      </c>
      <c r="L71" s="58" t="s">
        <v>106</v>
      </c>
      <c r="M71" s="58" t="s">
        <v>107</v>
      </c>
      <c r="N71" s="58" t="s">
        <v>253</v>
      </c>
    </row>
    <row r="72" spans="1:14" ht="25.95" customHeight="1">
      <c r="A72" s="58" t="s">
        <v>76</v>
      </c>
      <c r="B72" s="58" t="s">
        <v>35</v>
      </c>
      <c r="C72" s="58" t="s">
        <v>188</v>
      </c>
      <c r="D72" s="58" t="s">
        <v>176</v>
      </c>
      <c r="E72" s="64">
        <v>36</v>
      </c>
      <c r="F72" s="58" t="s">
        <v>191</v>
      </c>
      <c r="G72" s="62">
        <v>100976</v>
      </c>
      <c r="H72" s="64">
        <v>1</v>
      </c>
      <c r="I72" s="62">
        <v>1000000</v>
      </c>
      <c r="J72" s="65">
        <v>3.6351360000000001</v>
      </c>
      <c r="K72" s="58" t="s">
        <v>178</v>
      </c>
      <c r="L72" s="58" t="s">
        <v>106</v>
      </c>
      <c r="M72" s="58" t="s">
        <v>107</v>
      </c>
      <c r="N72" s="58" t="s">
        <v>254</v>
      </c>
    </row>
    <row r="73" spans="1:14" ht="25.95" customHeight="1">
      <c r="A73" s="58" t="s">
        <v>76</v>
      </c>
      <c r="B73" s="58" t="s">
        <v>35</v>
      </c>
      <c r="C73" s="58" t="s">
        <v>188</v>
      </c>
      <c r="D73" s="58" t="s">
        <v>180</v>
      </c>
      <c r="E73" s="64">
        <v>36</v>
      </c>
      <c r="F73" s="58" t="s">
        <v>191</v>
      </c>
      <c r="G73" s="62">
        <v>100976</v>
      </c>
      <c r="H73" s="64">
        <v>1</v>
      </c>
      <c r="I73" s="62">
        <v>1000000</v>
      </c>
      <c r="J73" s="65">
        <v>3.6351360000000001</v>
      </c>
      <c r="K73" s="58" t="s">
        <v>178</v>
      </c>
      <c r="L73" s="58" t="s">
        <v>106</v>
      </c>
      <c r="M73" s="58" t="s">
        <v>107</v>
      </c>
      <c r="N73" s="58" t="s">
        <v>255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816"/>
  <sheetViews>
    <sheetView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4"/>
  <cols>
    <col min="1" max="1" width="13.77734375" customWidth="1"/>
    <col min="2" max="2" width="12.77734375" customWidth="1"/>
    <col min="3" max="4" width="18.77734375" customWidth="1"/>
    <col min="5" max="5" width="48.77734375" customWidth="1"/>
    <col min="6" max="7" width="18.77734375" customWidth="1"/>
    <col min="8" max="8" width="22.77734375" customWidth="1"/>
    <col min="9" max="14" width="18.77734375" customWidth="1"/>
    <col min="15" max="15" width="24.77734375" customWidth="1"/>
    <col min="16" max="16" width="43.77734375" customWidth="1"/>
    <col min="17" max="17" width="36.77734375" customWidth="1"/>
    <col min="18" max="19" width="43.77734375" customWidth="1"/>
    <col min="20" max="20" width="24.77734375" customWidth="1"/>
  </cols>
  <sheetData>
    <row r="1" spans="1:20" ht="36" customHeight="1">
      <c r="A1" s="57" t="s">
        <v>36</v>
      </c>
      <c r="B1" s="57" t="s">
        <v>37</v>
      </c>
      <c r="C1" s="57" t="s">
        <v>256</v>
      </c>
      <c r="D1" s="57" t="s">
        <v>257</v>
      </c>
      <c r="E1" s="57" t="s">
        <v>258</v>
      </c>
      <c r="F1" s="57" t="s">
        <v>259</v>
      </c>
      <c r="G1" s="57" t="s">
        <v>260</v>
      </c>
      <c r="H1" s="57" t="s">
        <v>261</v>
      </c>
      <c r="I1" s="57" t="s">
        <v>262</v>
      </c>
      <c r="J1" s="57" t="s">
        <v>263</v>
      </c>
      <c r="K1" s="57" t="s">
        <v>264</v>
      </c>
      <c r="L1" s="57" t="s">
        <v>265</v>
      </c>
      <c r="M1" s="57" t="s">
        <v>266</v>
      </c>
      <c r="N1" s="57" t="s">
        <v>267</v>
      </c>
      <c r="O1" s="57" t="s">
        <v>268</v>
      </c>
      <c r="P1" s="57" t="s">
        <v>45</v>
      </c>
      <c r="Q1" s="57" t="s">
        <v>46</v>
      </c>
      <c r="R1" s="57" t="s">
        <v>269</v>
      </c>
      <c r="S1" s="57" t="s">
        <v>47</v>
      </c>
      <c r="T1" s="57" t="s">
        <v>270</v>
      </c>
    </row>
    <row r="2" spans="1:20" ht="31.2">
      <c r="A2" s="58" t="s">
        <v>34</v>
      </c>
      <c r="B2" s="58" t="s">
        <v>48</v>
      </c>
      <c r="C2" s="58">
        <v>1</v>
      </c>
      <c r="D2" s="58" t="s">
        <v>271</v>
      </c>
      <c r="E2" s="58" t="s">
        <v>272</v>
      </c>
      <c r="F2" s="58" t="s">
        <v>273</v>
      </c>
      <c r="G2" s="58" t="s">
        <v>274</v>
      </c>
      <c r="H2" s="58" t="s">
        <v>273</v>
      </c>
      <c r="I2" s="58" t="s">
        <v>274</v>
      </c>
      <c r="J2" s="58"/>
      <c r="K2" s="58"/>
      <c r="L2" s="58" t="s">
        <v>275</v>
      </c>
      <c r="M2" s="58" t="s">
        <v>48</v>
      </c>
      <c r="N2" s="58">
        <v>3.0670000000000002</v>
      </c>
      <c r="O2" s="58" t="s">
        <v>276</v>
      </c>
      <c r="P2" s="58" t="s">
        <v>54</v>
      </c>
      <c r="Q2" s="58" t="s">
        <v>55</v>
      </c>
      <c r="R2" s="58" t="s">
        <v>277</v>
      </c>
      <c r="S2" s="58" t="s">
        <v>278</v>
      </c>
      <c r="T2" s="58" t="s">
        <v>279</v>
      </c>
    </row>
    <row r="3" spans="1:20" ht="31.2">
      <c r="A3" s="58" t="s">
        <v>34</v>
      </c>
      <c r="B3" s="58" t="s">
        <v>48</v>
      </c>
      <c r="C3" s="58">
        <v>2</v>
      </c>
      <c r="D3" s="58" t="s">
        <v>271</v>
      </c>
      <c r="E3" s="58" t="s">
        <v>272</v>
      </c>
      <c r="F3" s="58" t="s">
        <v>273</v>
      </c>
      <c r="G3" s="58" t="s">
        <v>274</v>
      </c>
      <c r="H3" s="58" t="s">
        <v>274</v>
      </c>
      <c r="I3" s="58" t="s">
        <v>274</v>
      </c>
      <c r="J3" s="58"/>
      <c r="K3" s="58"/>
      <c r="L3" s="58" t="s">
        <v>275</v>
      </c>
      <c r="M3" s="58" t="s">
        <v>48</v>
      </c>
      <c r="N3" s="58">
        <v>1.4390000000000001</v>
      </c>
      <c r="O3" s="58" t="s">
        <v>276</v>
      </c>
      <c r="P3" s="58" t="s">
        <v>54</v>
      </c>
      <c r="Q3" s="58" t="s">
        <v>55</v>
      </c>
      <c r="R3" s="58" t="s">
        <v>280</v>
      </c>
      <c r="S3" s="58" t="s">
        <v>281</v>
      </c>
      <c r="T3" s="58" t="s">
        <v>279</v>
      </c>
    </row>
    <row r="4" spans="1:20" ht="31.2">
      <c r="A4" s="58" t="s">
        <v>34</v>
      </c>
      <c r="B4" s="58" t="s">
        <v>48</v>
      </c>
      <c r="C4" s="58">
        <v>3</v>
      </c>
      <c r="D4" s="58" t="s">
        <v>271</v>
      </c>
      <c r="E4" s="58" t="s">
        <v>272</v>
      </c>
      <c r="F4" s="58" t="s">
        <v>273</v>
      </c>
      <c r="G4" s="58"/>
      <c r="H4" s="58" t="s">
        <v>274</v>
      </c>
      <c r="I4" s="58" t="s">
        <v>274</v>
      </c>
      <c r="J4" s="58"/>
      <c r="K4" s="58"/>
      <c r="L4" s="58" t="s">
        <v>275</v>
      </c>
      <c r="M4" s="58" t="s">
        <v>48</v>
      </c>
      <c r="N4" s="58">
        <v>1.4179999999999999</v>
      </c>
      <c r="O4" s="58" t="s">
        <v>276</v>
      </c>
      <c r="P4" s="58" t="s">
        <v>54</v>
      </c>
      <c r="Q4" s="58" t="s">
        <v>55</v>
      </c>
      <c r="R4" s="58" t="s">
        <v>282</v>
      </c>
      <c r="S4" s="58" t="s">
        <v>283</v>
      </c>
      <c r="T4" s="58" t="s">
        <v>279</v>
      </c>
    </row>
    <row r="5" spans="1:20" ht="31.2">
      <c r="A5" s="58" t="s">
        <v>34</v>
      </c>
      <c r="B5" s="58" t="s">
        <v>48</v>
      </c>
      <c r="C5" s="58">
        <v>4</v>
      </c>
      <c r="D5" s="58" t="s">
        <v>271</v>
      </c>
      <c r="E5" s="58" t="s">
        <v>272</v>
      </c>
      <c r="F5" s="58" t="s">
        <v>273</v>
      </c>
      <c r="G5" s="58" t="s">
        <v>274</v>
      </c>
      <c r="H5" s="58" t="s">
        <v>273</v>
      </c>
      <c r="I5" s="58" t="s">
        <v>274</v>
      </c>
      <c r="J5" s="58"/>
      <c r="K5" s="58"/>
      <c r="L5" s="58" t="s">
        <v>275</v>
      </c>
      <c r="M5" s="58" t="s">
        <v>48</v>
      </c>
      <c r="N5" s="58">
        <v>3.331</v>
      </c>
      <c r="O5" s="58" t="s">
        <v>276</v>
      </c>
      <c r="P5" s="58" t="s">
        <v>54</v>
      </c>
      <c r="Q5" s="58" t="s">
        <v>55</v>
      </c>
      <c r="R5" s="58" t="s">
        <v>284</v>
      </c>
      <c r="S5" s="58" t="s">
        <v>285</v>
      </c>
      <c r="T5" s="58" t="s">
        <v>279</v>
      </c>
    </row>
    <row r="6" spans="1:20" ht="31.2">
      <c r="A6" s="58" t="s">
        <v>34</v>
      </c>
      <c r="B6" s="58" t="s">
        <v>48</v>
      </c>
      <c r="C6" s="58">
        <v>5</v>
      </c>
      <c r="D6" s="58" t="s">
        <v>271</v>
      </c>
      <c r="E6" s="58" t="s">
        <v>272</v>
      </c>
      <c r="F6" s="58" t="s">
        <v>273</v>
      </c>
      <c r="G6" s="58" t="s">
        <v>273</v>
      </c>
      <c r="H6" s="58" t="s">
        <v>274</v>
      </c>
      <c r="I6" s="58" t="s">
        <v>274</v>
      </c>
      <c r="J6" s="58"/>
      <c r="K6" s="58"/>
      <c r="L6" s="58" t="s">
        <v>275</v>
      </c>
      <c r="M6" s="58" t="s">
        <v>48</v>
      </c>
      <c r="N6" s="58">
        <v>1.79</v>
      </c>
      <c r="O6" s="58" t="s">
        <v>276</v>
      </c>
      <c r="P6" s="58" t="s">
        <v>54</v>
      </c>
      <c r="Q6" s="58" t="s">
        <v>55</v>
      </c>
      <c r="R6" s="58" t="s">
        <v>286</v>
      </c>
      <c r="S6" s="58" t="s">
        <v>287</v>
      </c>
      <c r="T6" s="58" t="s">
        <v>279</v>
      </c>
    </row>
    <row r="7" spans="1:20" ht="31.2">
      <c r="A7" s="58" t="s">
        <v>34</v>
      </c>
      <c r="B7" s="58" t="s">
        <v>48</v>
      </c>
      <c r="C7" s="58">
        <v>6</v>
      </c>
      <c r="D7" s="58" t="s">
        <v>271</v>
      </c>
      <c r="E7" s="58" t="s">
        <v>272</v>
      </c>
      <c r="F7" s="58" t="s">
        <v>273</v>
      </c>
      <c r="G7" s="58" t="s">
        <v>273</v>
      </c>
      <c r="H7" s="58" t="s">
        <v>274</v>
      </c>
      <c r="I7" s="58" t="s">
        <v>274</v>
      </c>
      <c r="J7" s="58"/>
      <c r="K7" s="58"/>
      <c r="L7" s="58" t="s">
        <v>288</v>
      </c>
      <c r="M7" s="58" t="s">
        <v>48</v>
      </c>
      <c r="N7" s="58">
        <v>2.879</v>
      </c>
      <c r="O7" s="58" t="s">
        <v>276</v>
      </c>
      <c r="P7" s="58" t="s">
        <v>54</v>
      </c>
      <c r="Q7" s="58" t="s">
        <v>55</v>
      </c>
      <c r="R7" s="58" t="s">
        <v>289</v>
      </c>
      <c r="S7" s="58" t="s">
        <v>290</v>
      </c>
      <c r="T7" s="58" t="s">
        <v>279</v>
      </c>
    </row>
    <row r="8" spans="1:20" ht="31.2">
      <c r="A8" s="58" t="s">
        <v>34</v>
      </c>
      <c r="B8" s="58" t="s">
        <v>48</v>
      </c>
      <c r="C8" s="58">
        <v>7</v>
      </c>
      <c r="D8" s="58" t="s">
        <v>271</v>
      </c>
      <c r="E8" s="58" t="s">
        <v>272</v>
      </c>
      <c r="F8" s="58" t="s">
        <v>273</v>
      </c>
      <c r="G8" s="58" t="s">
        <v>273</v>
      </c>
      <c r="H8" s="58" t="s">
        <v>274</v>
      </c>
      <c r="I8" s="58" t="s">
        <v>274</v>
      </c>
      <c r="J8" s="58"/>
      <c r="K8" s="58"/>
      <c r="L8" s="58" t="s">
        <v>288</v>
      </c>
      <c r="M8" s="58" t="s">
        <v>48</v>
      </c>
      <c r="N8" s="58">
        <v>12.066000000000001</v>
      </c>
      <c r="O8" s="58" t="s">
        <v>276</v>
      </c>
      <c r="P8" s="58" t="s">
        <v>54</v>
      </c>
      <c r="Q8" s="58" t="s">
        <v>55</v>
      </c>
      <c r="R8" s="58" t="s">
        <v>291</v>
      </c>
      <c r="S8" s="58" t="s">
        <v>292</v>
      </c>
      <c r="T8" s="58" t="s">
        <v>279</v>
      </c>
    </row>
    <row r="9" spans="1:20" ht="31.2">
      <c r="A9" s="58" t="s">
        <v>34</v>
      </c>
      <c r="B9" s="58" t="s">
        <v>48</v>
      </c>
      <c r="C9" s="58">
        <v>8</v>
      </c>
      <c r="D9" s="58" t="s">
        <v>271</v>
      </c>
      <c r="E9" s="58" t="s">
        <v>272</v>
      </c>
      <c r="F9" s="58" t="s">
        <v>273</v>
      </c>
      <c r="G9" s="58" t="s">
        <v>273</v>
      </c>
      <c r="H9" s="58" t="s">
        <v>274</v>
      </c>
      <c r="I9" s="58" t="s">
        <v>274</v>
      </c>
      <c r="J9" s="58"/>
      <c r="K9" s="58"/>
      <c r="L9" s="58" t="s">
        <v>288</v>
      </c>
      <c r="M9" s="58" t="s">
        <v>48</v>
      </c>
      <c r="N9" s="58">
        <v>5.9109999999999996</v>
      </c>
      <c r="O9" s="58" t="s">
        <v>276</v>
      </c>
      <c r="P9" s="58" t="s">
        <v>54</v>
      </c>
      <c r="Q9" s="58" t="s">
        <v>55</v>
      </c>
      <c r="R9" s="58" t="s">
        <v>293</v>
      </c>
      <c r="S9" s="58" t="s">
        <v>294</v>
      </c>
      <c r="T9" s="58" t="s">
        <v>279</v>
      </c>
    </row>
    <row r="10" spans="1:20" ht="31.2">
      <c r="A10" s="58" t="s">
        <v>34</v>
      </c>
      <c r="B10" s="58" t="s">
        <v>48</v>
      </c>
      <c r="C10" s="58">
        <v>9</v>
      </c>
      <c r="D10" s="58" t="s">
        <v>271</v>
      </c>
      <c r="E10" s="58" t="s">
        <v>272</v>
      </c>
      <c r="F10" s="58" t="s">
        <v>273</v>
      </c>
      <c r="G10" s="58"/>
      <c r="H10" s="58" t="s">
        <v>274</v>
      </c>
      <c r="I10" s="58" t="s">
        <v>274</v>
      </c>
      <c r="J10" s="58"/>
      <c r="K10" s="58"/>
      <c r="L10" s="58" t="s">
        <v>288</v>
      </c>
      <c r="M10" s="58" t="s">
        <v>48</v>
      </c>
      <c r="N10" s="58">
        <v>5.0529999999999999</v>
      </c>
      <c r="O10" s="58" t="s">
        <v>276</v>
      </c>
      <c r="P10" s="58" t="s">
        <v>54</v>
      </c>
      <c r="Q10" s="58" t="s">
        <v>55</v>
      </c>
      <c r="R10" s="58" t="s">
        <v>295</v>
      </c>
      <c r="S10" s="58" t="s">
        <v>296</v>
      </c>
      <c r="T10" s="58" t="s">
        <v>279</v>
      </c>
    </row>
    <row r="11" spans="1:20" ht="31.2">
      <c r="A11" s="58" t="s">
        <v>34</v>
      </c>
      <c r="B11" s="58" t="s">
        <v>48</v>
      </c>
      <c r="C11" s="58">
        <v>10</v>
      </c>
      <c r="D11" s="58" t="s">
        <v>271</v>
      </c>
      <c r="E11" s="58" t="s">
        <v>272</v>
      </c>
      <c r="F11" s="58" t="s">
        <v>273</v>
      </c>
      <c r="G11" s="58" t="s">
        <v>273</v>
      </c>
      <c r="H11" s="58" t="s">
        <v>274</v>
      </c>
      <c r="I11" s="58" t="s">
        <v>274</v>
      </c>
      <c r="J11" s="58"/>
      <c r="K11" s="58"/>
      <c r="L11" s="58" t="s">
        <v>288</v>
      </c>
      <c r="M11" s="58" t="s">
        <v>48</v>
      </c>
      <c r="N11" s="58">
        <v>5.8579999999999997</v>
      </c>
      <c r="O11" s="58" t="s">
        <v>276</v>
      </c>
      <c r="P11" s="58" t="s">
        <v>54</v>
      </c>
      <c r="Q11" s="58" t="s">
        <v>55</v>
      </c>
      <c r="R11" s="58" t="s">
        <v>297</v>
      </c>
      <c r="S11" s="58" t="s">
        <v>298</v>
      </c>
      <c r="T11" s="58" t="s">
        <v>279</v>
      </c>
    </row>
    <row r="12" spans="1:20" ht="31.2">
      <c r="A12" s="58" t="s">
        <v>34</v>
      </c>
      <c r="B12" s="58" t="s">
        <v>48</v>
      </c>
      <c r="C12" s="58">
        <v>11</v>
      </c>
      <c r="D12" s="58" t="s">
        <v>271</v>
      </c>
      <c r="E12" s="58" t="s">
        <v>272</v>
      </c>
      <c r="F12" s="58" t="s">
        <v>273</v>
      </c>
      <c r="G12" s="58"/>
      <c r="H12" s="58" t="s">
        <v>274</v>
      </c>
      <c r="I12" s="58" t="s">
        <v>274</v>
      </c>
      <c r="J12" s="58"/>
      <c r="K12" s="58"/>
      <c r="L12" s="58" t="s">
        <v>288</v>
      </c>
      <c r="M12" s="58" t="s">
        <v>48</v>
      </c>
      <c r="N12" s="58">
        <v>5.0389999999999997</v>
      </c>
      <c r="O12" s="58" t="s">
        <v>276</v>
      </c>
      <c r="P12" s="58" t="s">
        <v>54</v>
      </c>
      <c r="Q12" s="58" t="s">
        <v>55</v>
      </c>
      <c r="R12" s="58" t="s">
        <v>299</v>
      </c>
      <c r="S12" s="58" t="s">
        <v>300</v>
      </c>
      <c r="T12" s="58" t="s">
        <v>279</v>
      </c>
    </row>
    <row r="13" spans="1:20" ht="31.2">
      <c r="A13" s="58" t="s">
        <v>34</v>
      </c>
      <c r="B13" s="58" t="s">
        <v>48</v>
      </c>
      <c r="C13" s="58">
        <v>12</v>
      </c>
      <c r="D13" s="58" t="s">
        <v>271</v>
      </c>
      <c r="E13" s="58" t="s">
        <v>272</v>
      </c>
      <c r="F13" s="58" t="s">
        <v>273</v>
      </c>
      <c r="G13" s="58" t="s">
        <v>273</v>
      </c>
      <c r="H13" s="58" t="s">
        <v>274</v>
      </c>
      <c r="I13" s="58" t="s">
        <v>274</v>
      </c>
      <c r="J13" s="58"/>
      <c r="K13" s="58"/>
      <c r="L13" s="58" t="s">
        <v>288</v>
      </c>
      <c r="M13" s="58" t="s">
        <v>48</v>
      </c>
      <c r="N13" s="58">
        <v>6.0780000000000003</v>
      </c>
      <c r="O13" s="58" t="s">
        <v>276</v>
      </c>
      <c r="P13" s="58" t="s">
        <v>54</v>
      </c>
      <c r="Q13" s="58" t="s">
        <v>55</v>
      </c>
      <c r="R13" s="58" t="s">
        <v>301</v>
      </c>
      <c r="S13" s="58" t="s">
        <v>302</v>
      </c>
      <c r="T13" s="58" t="s">
        <v>279</v>
      </c>
    </row>
    <row r="14" spans="1:20" ht="31.2">
      <c r="A14" s="58" t="s">
        <v>34</v>
      </c>
      <c r="B14" s="58" t="s">
        <v>48</v>
      </c>
      <c r="C14" s="58">
        <v>13</v>
      </c>
      <c r="D14" s="58" t="s">
        <v>271</v>
      </c>
      <c r="E14" s="58" t="s">
        <v>272</v>
      </c>
      <c r="F14" s="58" t="s">
        <v>273</v>
      </c>
      <c r="G14" s="58" t="s">
        <v>273</v>
      </c>
      <c r="H14" s="58" t="s">
        <v>274</v>
      </c>
      <c r="I14" s="58" t="s">
        <v>274</v>
      </c>
      <c r="J14" s="58"/>
      <c r="K14" s="58"/>
      <c r="L14" s="58" t="s">
        <v>288</v>
      </c>
      <c r="M14" s="58" t="s">
        <v>48</v>
      </c>
      <c r="N14" s="58">
        <v>6.593</v>
      </c>
      <c r="O14" s="58" t="s">
        <v>276</v>
      </c>
      <c r="P14" s="58" t="s">
        <v>54</v>
      </c>
      <c r="Q14" s="58" t="s">
        <v>55</v>
      </c>
      <c r="R14" s="58" t="s">
        <v>303</v>
      </c>
      <c r="S14" s="58" t="s">
        <v>304</v>
      </c>
      <c r="T14" s="58" t="s">
        <v>279</v>
      </c>
    </row>
    <row r="15" spans="1:20" ht="31.2">
      <c r="A15" s="58" t="s">
        <v>34</v>
      </c>
      <c r="B15" s="58" t="s">
        <v>48</v>
      </c>
      <c r="C15" s="58">
        <v>14</v>
      </c>
      <c r="D15" s="58" t="s">
        <v>271</v>
      </c>
      <c r="E15" s="58" t="s">
        <v>272</v>
      </c>
      <c r="F15" s="58" t="s">
        <v>273</v>
      </c>
      <c r="G15" s="58"/>
      <c r="H15" s="58" t="s">
        <v>274</v>
      </c>
      <c r="I15" s="58" t="s">
        <v>274</v>
      </c>
      <c r="J15" s="58"/>
      <c r="K15" s="58"/>
      <c r="L15" s="58" t="s">
        <v>288</v>
      </c>
      <c r="M15" s="58" t="s">
        <v>48</v>
      </c>
      <c r="N15" s="58">
        <v>5.0469999999999997</v>
      </c>
      <c r="O15" s="58" t="s">
        <v>276</v>
      </c>
      <c r="P15" s="58" t="s">
        <v>54</v>
      </c>
      <c r="Q15" s="58" t="s">
        <v>55</v>
      </c>
      <c r="R15" s="58" t="s">
        <v>305</v>
      </c>
      <c r="S15" s="58" t="s">
        <v>306</v>
      </c>
      <c r="T15" s="58" t="s">
        <v>279</v>
      </c>
    </row>
    <row r="16" spans="1:20" ht="31.2">
      <c r="A16" s="58" t="s">
        <v>34</v>
      </c>
      <c r="B16" s="58" t="s">
        <v>48</v>
      </c>
      <c r="C16" s="58">
        <v>15</v>
      </c>
      <c r="D16" s="58" t="s">
        <v>271</v>
      </c>
      <c r="E16" s="58" t="s">
        <v>272</v>
      </c>
      <c r="F16" s="58" t="s">
        <v>273</v>
      </c>
      <c r="G16" s="58" t="s">
        <v>274</v>
      </c>
      <c r="H16" s="58" t="s">
        <v>273</v>
      </c>
      <c r="I16" s="58" t="s">
        <v>274</v>
      </c>
      <c r="J16" s="58"/>
      <c r="K16" s="58"/>
      <c r="L16" s="58" t="s">
        <v>288</v>
      </c>
      <c r="M16" s="58" t="s">
        <v>48</v>
      </c>
      <c r="N16" s="58">
        <v>7.28</v>
      </c>
      <c r="O16" s="58" t="s">
        <v>276</v>
      </c>
      <c r="P16" s="58" t="s">
        <v>54</v>
      </c>
      <c r="Q16" s="58" t="s">
        <v>55</v>
      </c>
      <c r="R16" s="58" t="s">
        <v>307</v>
      </c>
      <c r="S16" s="58" t="s">
        <v>308</v>
      </c>
      <c r="T16" s="58" t="s">
        <v>279</v>
      </c>
    </row>
    <row r="17" spans="1:20" ht="31.2">
      <c r="A17" s="58" t="s">
        <v>34</v>
      </c>
      <c r="B17" s="58" t="s">
        <v>48</v>
      </c>
      <c r="C17" s="58">
        <v>16</v>
      </c>
      <c r="D17" s="58" t="s">
        <v>271</v>
      </c>
      <c r="E17" s="58" t="s">
        <v>272</v>
      </c>
      <c r="F17" s="58" t="s">
        <v>273</v>
      </c>
      <c r="G17" s="58"/>
      <c r="H17" s="58" t="s">
        <v>274</v>
      </c>
      <c r="I17" s="58" t="s">
        <v>274</v>
      </c>
      <c r="J17" s="58"/>
      <c r="K17" s="58"/>
      <c r="L17" s="58" t="s">
        <v>288</v>
      </c>
      <c r="M17" s="58" t="s">
        <v>48</v>
      </c>
      <c r="N17" s="58">
        <v>5.0250000000000004</v>
      </c>
      <c r="O17" s="58" t="s">
        <v>276</v>
      </c>
      <c r="P17" s="58" t="s">
        <v>54</v>
      </c>
      <c r="Q17" s="58" t="s">
        <v>55</v>
      </c>
      <c r="R17" s="58" t="s">
        <v>309</v>
      </c>
      <c r="S17" s="58" t="s">
        <v>310</v>
      </c>
      <c r="T17" s="58" t="s">
        <v>279</v>
      </c>
    </row>
    <row r="18" spans="1:20" ht="31.2">
      <c r="A18" s="58" t="s">
        <v>34</v>
      </c>
      <c r="B18" s="58" t="s">
        <v>48</v>
      </c>
      <c r="C18" s="58">
        <v>17</v>
      </c>
      <c r="D18" s="58" t="s">
        <v>271</v>
      </c>
      <c r="E18" s="58" t="s">
        <v>272</v>
      </c>
      <c r="F18" s="58" t="s">
        <v>273</v>
      </c>
      <c r="G18" s="58" t="s">
        <v>273</v>
      </c>
      <c r="H18" s="58" t="s">
        <v>274</v>
      </c>
      <c r="I18" s="58" t="s">
        <v>274</v>
      </c>
      <c r="J18" s="58"/>
      <c r="K18" s="58"/>
      <c r="L18" s="58" t="s">
        <v>288</v>
      </c>
      <c r="M18" s="58" t="s">
        <v>48</v>
      </c>
      <c r="N18" s="58">
        <v>7.4999999999999997E-2</v>
      </c>
      <c r="O18" s="58" t="s">
        <v>276</v>
      </c>
      <c r="P18" s="58" t="s">
        <v>54</v>
      </c>
      <c r="Q18" s="58" t="s">
        <v>55</v>
      </c>
      <c r="R18" s="58" t="s">
        <v>311</v>
      </c>
      <c r="S18" s="58" t="s">
        <v>312</v>
      </c>
      <c r="T18" s="58" t="s">
        <v>279</v>
      </c>
    </row>
    <row r="19" spans="1:20" ht="31.2">
      <c r="A19" s="58" t="s">
        <v>34</v>
      </c>
      <c r="B19" s="58" t="s">
        <v>48</v>
      </c>
      <c r="C19" s="58">
        <v>18</v>
      </c>
      <c r="D19" s="58" t="s">
        <v>271</v>
      </c>
      <c r="E19" s="58" t="s">
        <v>272</v>
      </c>
      <c r="F19" s="58" t="s">
        <v>273</v>
      </c>
      <c r="G19" s="58" t="s">
        <v>273</v>
      </c>
      <c r="H19" s="58" t="s">
        <v>274</v>
      </c>
      <c r="I19" s="58" t="s">
        <v>274</v>
      </c>
      <c r="J19" s="58"/>
      <c r="K19" s="58"/>
      <c r="L19" s="58" t="s">
        <v>288</v>
      </c>
      <c r="M19" s="58" t="s">
        <v>48</v>
      </c>
      <c r="N19" s="58">
        <v>1.4530000000000001</v>
      </c>
      <c r="O19" s="58" t="s">
        <v>276</v>
      </c>
      <c r="P19" s="58" t="s">
        <v>54</v>
      </c>
      <c r="Q19" s="58" t="s">
        <v>55</v>
      </c>
      <c r="R19" s="58" t="s">
        <v>313</v>
      </c>
      <c r="S19" s="58" t="s">
        <v>314</v>
      </c>
      <c r="T19" s="58" t="s">
        <v>279</v>
      </c>
    </row>
    <row r="20" spans="1:20" ht="31.2">
      <c r="A20" s="58" t="s">
        <v>34</v>
      </c>
      <c r="B20" s="58" t="s">
        <v>48</v>
      </c>
      <c r="C20" s="58">
        <v>19</v>
      </c>
      <c r="D20" s="58" t="s">
        <v>271</v>
      </c>
      <c r="E20" s="58" t="s">
        <v>272</v>
      </c>
      <c r="F20" s="58" t="s">
        <v>273</v>
      </c>
      <c r="G20" s="58" t="s">
        <v>273</v>
      </c>
      <c r="H20" s="58" t="s">
        <v>274</v>
      </c>
      <c r="I20" s="58" t="s">
        <v>274</v>
      </c>
      <c r="J20" s="58"/>
      <c r="K20" s="58"/>
      <c r="L20" s="58" t="s">
        <v>288</v>
      </c>
      <c r="M20" s="58" t="s">
        <v>48</v>
      </c>
      <c r="N20" s="58">
        <v>1.3120000000000001</v>
      </c>
      <c r="O20" s="58" t="s">
        <v>276</v>
      </c>
      <c r="P20" s="58" t="s">
        <v>54</v>
      </c>
      <c r="Q20" s="58" t="s">
        <v>55</v>
      </c>
      <c r="R20" s="58" t="s">
        <v>315</v>
      </c>
      <c r="S20" s="58" t="s">
        <v>316</v>
      </c>
      <c r="T20" s="58" t="s">
        <v>279</v>
      </c>
    </row>
    <row r="21" spans="1:20" ht="31.2">
      <c r="A21" s="58" t="s">
        <v>34</v>
      </c>
      <c r="B21" s="58" t="s">
        <v>48</v>
      </c>
      <c r="C21" s="58">
        <v>20</v>
      </c>
      <c r="D21" s="58" t="s">
        <v>271</v>
      </c>
      <c r="E21" s="58" t="s">
        <v>272</v>
      </c>
      <c r="F21" s="58" t="s">
        <v>273</v>
      </c>
      <c r="G21" s="58" t="s">
        <v>273</v>
      </c>
      <c r="H21" s="58" t="s">
        <v>274</v>
      </c>
      <c r="I21" s="58" t="s">
        <v>274</v>
      </c>
      <c r="J21" s="58"/>
      <c r="K21" s="58"/>
      <c r="L21" s="58" t="s">
        <v>288</v>
      </c>
      <c r="M21" s="58" t="s">
        <v>48</v>
      </c>
      <c r="N21" s="58">
        <v>7.218</v>
      </c>
      <c r="O21" s="58" t="s">
        <v>276</v>
      </c>
      <c r="P21" s="58" t="s">
        <v>54</v>
      </c>
      <c r="Q21" s="58" t="s">
        <v>55</v>
      </c>
      <c r="R21" s="58" t="s">
        <v>317</v>
      </c>
      <c r="S21" s="58" t="s">
        <v>318</v>
      </c>
      <c r="T21" s="58" t="s">
        <v>279</v>
      </c>
    </row>
    <row r="22" spans="1:20" ht="31.2">
      <c r="A22" s="58" t="s">
        <v>34</v>
      </c>
      <c r="B22" s="58" t="s">
        <v>48</v>
      </c>
      <c r="C22" s="58">
        <v>21</v>
      </c>
      <c r="D22" s="58" t="s">
        <v>271</v>
      </c>
      <c r="E22" s="58" t="s">
        <v>272</v>
      </c>
      <c r="F22" s="58" t="s">
        <v>273</v>
      </c>
      <c r="G22" s="58" t="s">
        <v>273</v>
      </c>
      <c r="H22" s="58" t="s">
        <v>274</v>
      </c>
      <c r="I22" s="58" t="s">
        <v>274</v>
      </c>
      <c r="J22" s="58"/>
      <c r="K22" s="58"/>
      <c r="L22" s="58" t="s">
        <v>288</v>
      </c>
      <c r="M22" s="58" t="s">
        <v>48</v>
      </c>
      <c r="N22" s="58">
        <v>0.89200000000000002</v>
      </c>
      <c r="O22" s="58" t="s">
        <v>276</v>
      </c>
      <c r="P22" s="58" t="s">
        <v>54</v>
      </c>
      <c r="Q22" s="58" t="s">
        <v>55</v>
      </c>
      <c r="R22" s="58" t="s">
        <v>319</v>
      </c>
      <c r="S22" s="58" t="s">
        <v>320</v>
      </c>
      <c r="T22" s="58" t="s">
        <v>279</v>
      </c>
    </row>
    <row r="23" spans="1:20" ht="31.2">
      <c r="A23" s="58" t="s">
        <v>34</v>
      </c>
      <c r="B23" s="58" t="s">
        <v>48</v>
      </c>
      <c r="C23" s="58">
        <v>22</v>
      </c>
      <c r="D23" s="58" t="s">
        <v>271</v>
      </c>
      <c r="E23" s="58" t="s">
        <v>272</v>
      </c>
      <c r="F23" s="58" t="s">
        <v>273</v>
      </c>
      <c r="G23" s="58"/>
      <c r="H23" s="58" t="s">
        <v>274</v>
      </c>
      <c r="I23" s="58" t="s">
        <v>274</v>
      </c>
      <c r="J23" s="58"/>
      <c r="K23" s="58"/>
      <c r="L23" s="58" t="s">
        <v>288</v>
      </c>
      <c r="M23" s="58" t="s">
        <v>48</v>
      </c>
      <c r="N23" s="58">
        <v>0.254</v>
      </c>
      <c r="O23" s="58" t="s">
        <v>276</v>
      </c>
      <c r="P23" s="58" t="s">
        <v>54</v>
      </c>
      <c r="Q23" s="58" t="s">
        <v>55</v>
      </c>
      <c r="R23" s="58" t="s">
        <v>321</v>
      </c>
      <c r="S23" s="58" t="s">
        <v>322</v>
      </c>
      <c r="T23" s="58" t="s">
        <v>279</v>
      </c>
    </row>
    <row r="24" spans="1:20" ht="31.2">
      <c r="A24" s="58" t="s">
        <v>34</v>
      </c>
      <c r="B24" s="58" t="s">
        <v>48</v>
      </c>
      <c r="C24" s="58">
        <v>23</v>
      </c>
      <c r="D24" s="58" t="s">
        <v>271</v>
      </c>
      <c r="E24" s="58" t="s">
        <v>272</v>
      </c>
      <c r="F24" s="58" t="s">
        <v>273</v>
      </c>
      <c r="G24" s="58" t="s">
        <v>274</v>
      </c>
      <c r="H24" s="58" t="s">
        <v>273</v>
      </c>
      <c r="I24" s="58" t="s">
        <v>274</v>
      </c>
      <c r="J24" s="58"/>
      <c r="K24" s="58"/>
      <c r="L24" s="58" t="s">
        <v>288</v>
      </c>
      <c r="M24" s="58" t="s">
        <v>48</v>
      </c>
      <c r="N24" s="58">
        <v>5.6379999999999999</v>
      </c>
      <c r="O24" s="58" t="s">
        <v>276</v>
      </c>
      <c r="P24" s="58" t="s">
        <v>54</v>
      </c>
      <c r="Q24" s="58" t="s">
        <v>55</v>
      </c>
      <c r="R24" s="58" t="s">
        <v>323</v>
      </c>
      <c r="S24" s="58" t="s">
        <v>324</v>
      </c>
      <c r="T24" s="58" t="s">
        <v>279</v>
      </c>
    </row>
    <row r="25" spans="1:20" ht="31.2">
      <c r="A25" s="58" t="s">
        <v>34</v>
      </c>
      <c r="B25" s="58" t="s">
        <v>48</v>
      </c>
      <c r="C25" s="58">
        <v>24</v>
      </c>
      <c r="D25" s="58" t="s">
        <v>271</v>
      </c>
      <c r="E25" s="58" t="s">
        <v>272</v>
      </c>
      <c r="F25" s="58" t="s">
        <v>273</v>
      </c>
      <c r="G25" s="58" t="s">
        <v>273</v>
      </c>
      <c r="H25" s="58" t="s">
        <v>274</v>
      </c>
      <c r="I25" s="58" t="s">
        <v>274</v>
      </c>
      <c r="J25" s="58"/>
      <c r="K25" s="58"/>
      <c r="L25" s="58" t="s">
        <v>288</v>
      </c>
      <c r="M25" s="58" t="s">
        <v>48</v>
      </c>
      <c r="N25" s="58">
        <v>0.72</v>
      </c>
      <c r="O25" s="58" t="s">
        <v>276</v>
      </c>
      <c r="P25" s="58" t="s">
        <v>54</v>
      </c>
      <c r="Q25" s="58" t="s">
        <v>55</v>
      </c>
      <c r="R25" s="58" t="s">
        <v>325</v>
      </c>
      <c r="S25" s="58" t="s">
        <v>326</v>
      </c>
      <c r="T25" s="58" t="s">
        <v>279</v>
      </c>
    </row>
    <row r="26" spans="1:20" ht="31.2">
      <c r="A26" s="58" t="s">
        <v>34</v>
      </c>
      <c r="B26" s="58" t="s">
        <v>48</v>
      </c>
      <c r="C26" s="58">
        <v>25</v>
      </c>
      <c r="D26" s="58" t="s">
        <v>271</v>
      </c>
      <c r="E26" s="58" t="s">
        <v>272</v>
      </c>
      <c r="F26" s="58" t="s">
        <v>273</v>
      </c>
      <c r="G26" s="58" t="s">
        <v>273</v>
      </c>
      <c r="H26" s="58" t="s">
        <v>274</v>
      </c>
      <c r="I26" s="58" t="s">
        <v>274</v>
      </c>
      <c r="J26" s="58"/>
      <c r="K26" s="58"/>
      <c r="L26" s="58" t="s">
        <v>288</v>
      </c>
      <c r="M26" s="58" t="s">
        <v>48</v>
      </c>
      <c r="N26" s="58">
        <v>2.423</v>
      </c>
      <c r="O26" s="58" t="s">
        <v>276</v>
      </c>
      <c r="P26" s="58" t="s">
        <v>54</v>
      </c>
      <c r="Q26" s="58" t="s">
        <v>55</v>
      </c>
      <c r="R26" s="58" t="s">
        <v>327</v>
      </c>
      <c r="S26" s="58" t="s">
        <v>328</v>
      </c>
      <c r="T26" s="58" t="s">
        <v>279</v>
      </c>
    </row>
    <row r="27" spans="1:20" ht="31.2">
      <c r="A27" s="58" t="s">
        <v>34</v>
      </c>
      <c r="B27" s="58" t="s">
        <v>48</v>
      </c>
      <c r="C27" s="58">
        <v>26</v>
      </c>
      <c r="D27" s="58" t="s">
        <v>271</v>
      </c>
      <c r="E27" s="58" t="s">
        <v>272</v>
      </c>
      <c r="F27" s="58" t="s">
        <v>273</v>
      </c>
      <c r="G27" s="58" t="s">
        <v>273</v>
      </c>
      <c r="H27" s="58" t="s">
        <v>273</v>
      </c>
      <c r="I27" s="58" t="s">
        <v>274</v>
      </c>
      <c r="J27" s="58"/>
      <c r="K27" s="58"/>
      <c r="L27" s="58" t="s">
        <v>288</v>
      </c>
      <c r="M27" s="58" t="s">
        <v>48</v>
      </c>
      <c r="N27" s="58">
        <v>1.5960000000000001</v>
      </c>
      <c r="O27" s="58" t="s">
        <v>276</v>
      </c>
      <c r="P27" s="58" t="s">
        <v>54</v>
      </c>
      <c r="Q27" s="58" t="s">
        <v>55</v>
      </c>
      <c r="R27" s="58" t="s">
        <v>329</v>
      </c>
      <c r="S27" s="58" t="s">
        <v>330</v>
      </c>
      <c r="T27" s="58" t="s">
        <v>279</v>
      </c>
    </row>
    <row r="28" spans="1:20" ht="31.2">
      <c r="A28" s="58" t="s">
        <v>34</v>
      </c>
      <c r="B28" s="58" t="s">
        <v>48</v>
      </c>
      <c r="C28" s="58">
        <v>27</v>
      </c>
      <c r="D28" s="58" t="s">
        <v>271</v>
      </c>
      <c r="E28" s="58" t="s">
        <v>272</v>
      </c>
      <c r="F28" s="58" t="s">
        <v>273</v>
      </c>
      <c r="G28" s="58" t="s">
        <v>273</v>
      </c>
      <c r="H28" s="58" t="s">
        <v>274</v>
      </c>
      <c r="I28" s="58" t="s">
        <v>274</v>
      </c>
      <c r="J28" s="58"/>
      <c r="K28" s="58"/>
      <c r="L28" s="58" t="s">
        <v>288</v>
      </c>
      <c r="M28" s="58" t="s">
        <v>48</v>
      </c>
      <c r="N28" s="58">
        <v>1.274</v>
      </c>
      <c r="O28" s="58" t="s">
        <v>276</v>
      </c>
      <c r="P28" s="58" t="s">
        <v>54</v>
      </c>
      <c r="Q28" s="58" t="s">
        <v>55</v>
      </c>
      <c r="R28" s="58" t="s">
        <v>331</v>
      </c>
      <c r="S28" s="58" t="s">
        <v>332</v>
      </c>
      <c r="T28" s="58" t="s">
        <v>279</v>
      </c>
    </row>
    <row r="29" spans="1:20" ht="31.2">
      <c r="A29" s="58" t="s">
        <v>57</v>
      </c>
      <c r="B29" s="58" t="s">
        <v>48</v>
      </c>
      <c r="C29" s="58">
        <v>1</v>
      </c>
      <c r="D29" s="58" t="s">
        <v>333</v>
      </c>
      <c r="E29" s="58" t="s">
        <v>334</v>
      </c>
      <c r="F29" s="58" t="s">
        <v>274</v>
      </c>
      <c r="G29" s="58" t="s">
        <v>273</v>
      </c>
      <c r="H29" s="58"/>
      <c r="I29" s="58" t="s">
        <v>274</v>
      </c>
      <c r="J29" s="58"/>
      <c r="K29" s="58"/>
      <c r="L29" s="58" t="s">
        <v>275</v>
      </c>
      <c r="M29" s="58" t="s">
        <v>48</v>
      </c>
      <c r="N29" s="58">
        <v>1.5209999999999999</v>
      </c>
      <c r="O29" s="58" t="s">
        <v>335</v>
      </c>
      <c r="P29" s="58" t="s">
        <v>60</v>
      </c>
      <c r="Q29" s="58" t="s">
        <v>61</v>
      </c>
      <c r="R29" s="58" t="s">
        <v>336</v>
      </c>
      <c r="S29" s="58" t="s">
        <v>337</v>
      </c>
      <c r="T29" s="58" t="s">
        <v>279</v>
      </c>
    </row>
    <row r="30" spans="1:20" ht="31.2">
      <c r="A30" s="58" t="s">
        <v>57</v>
      </c>
      <c r="B30" s="58" t="s">
        <v>48</v>
      </c>
      <c r="C30" s="58">
        <v>2</v>
      </c>
      <c r="D30" s="58" t="s">
        <v>338</v>
      </c>
      <c r="E30" s="58" t="s">
        <v>339</v>
      </c>
      <c r="F30" s="58" t="s">
        <v>274</v>
      </c>
      <c r="G30" s="58" t="s">
        <v>273</v>
      </c>
      <c r="H30" s="58"/>
      <c r="I30" s="58" t="s">
        <v>274</v>
      </c>
      <c r="J30" s="58"/>
      <c r="K30" s="58"/>
      <c r="L30" s="58" t="s">
        <v>275</v>
      </c>
      <c r="M30" s="58" t="s">
        <v>48</v>
      </c>
      <c r="N30" s="58">
        <v>1.454</v>
      </c>
      <c r="O30" s="58" t="s">
        <v>340</v>
      </c>
      <c r="P30" s="58" t="s">
        <v>60</v>
      </c>
      <c r="Q30" s="58" t="s">
        <v>61</v>
      </c>
      <c r="R30" s="58" t="s">
        <v>341</v>
      </c>
      <c r="S30" s="58" t="s">
        <v>342</v>
      </c>
      <c r="T30" s="58" t="s">
        <v>279</v>
      </c>
    </row>
    <row r="31" spans="1:20" ht="31.2">
      <c r="A31" s="58" t="s">
        <v>57</v>
      </c>
      <c r="B31" s="58" t="s">
        <v>48</v>
      </c>
      <c r="C31" s="58">
        <v>3</v>
      </c>
      <c r="D31" s="58" t="s">
        <v>338</v>
      </c>
      <c r="E31" s="58" t="s">
        <v>343</v>
      </c>
      <c r="F31" s="58" t="s">
        <v>274</v>
      </c>
      <c r="G31" s="58" t="s">
        <v>273</v>
      </c>
      <c r="H31" s="58"/>
      <c r="I31" s="58" t="s">
        <v>274</v>
      </c>
      <c r="J31" s="58"/>
      <c r="K31" s="58"/>
      <c r="L31" s="58" t="s">
        <v>275</v>
      </c>
      <c r="M31" s="58" t="s">
        <v>48</v>
      </c>
      <c r="N31" s="58">
        <v>1.1990000000000001</v>
      </c>
      <c r="O31" s="58" t="s">
        <v>340</v>
      </c>
      <c r="P31" s="58" t="s">
        <v>60</v>
      </c>
      <c r="Q31" s="58" t="s">
        <v>61</v>
      </c>
      <c r="R31" s="58" t="s">
        <v>344</v>
      </c>
      <c r="S31" s="58" t="s">
        <v>345</v>
      </c>
      <c r="T31" s="58" t="s">
        <v>279</v>
      </c>
    </row>
    <row r="32" spans="1:20" ht="31.2">
      <c r="A32" s="58" t="s">
        <v>57</v>
      </c>
      <c r="B32" s="58" t="s">
        <v>48</v>
      </c>
      <c r="C32" s="58">
        <v>4</v>
      </c>
      <c r="D32" s="58" t="s">
        <v>338</v>
      </c>
      <c r="E32" s="58" t="s">
        <v>346</v>
      </c>
      <c r="F32" s="58" t="s">
        <v>274</v>
      </c>
      <c r="G32" s="58" t="s">
        <v>273</v>
      </c>
      <c r="H32" s="58"/>
      <c r="I32" s="58" t="s">
        <v>274</v>
      </c>
      <c r="J32" s="58"/>
      <c r="K32" s="58"/>
      <c r="L32" s="58" t="s">
        <v>275</v>
      </c>
      <c r="M32" s="58" t="s">
        <v>48</v>
      </c>
      <c r="N32" s="58">
        <v>0.94199999999999995</v>
      </c>
      <c r="O32" s="58" t="s">
        <v>340</v>
      </c>
      <c r="P32" s="58" t="s">
        <v>60</v>
      </c>
      <c r="Q32" s="58" t="s">
        <v>61</v>
      </c>
      <c r="R32" s="58" t="s">
        <v>347</v>
      </c>
      <c r="S32" s="58" t="s">
        <v>348</v>
      </c>
      <c r="T32" s="58" t="s">
        <v>279</v>
      </c>
    </row>
    <row r="33" spans="1:20" ht="31.2">
      <c r="A33" s="58" t="s">
        <v>57</v>
      </c>
      <c r="B33" s="58" t="s">
        <v>48</v>
      </c>
      <c r="C33" s="58">
        <v>5</v>
      </c>
      <c r="D33" s="58" t="s">
        <v>349</v>
      </c>
      <c r="E33" s="58" t="s">
        <v>350</v>
      </c>
      <c r="F33" s="58" t="s">
        <v>274</v>
      </c>
      <c r="G33" s="58" t="s">
        <v>273</v>
      </c>
      <c r="H33" s="58"/>
      <c r="I33" s="58" t="s">
        <v>274</v>
      </c>
      <c r="J33" s="58"/>
      <c r="K33" s="58"/>
      <c r="L33" s="58" t="s">
        <v>351</v>
      </c>
      <c r="M33" s="58" t="s">
        <v>48</v>
      </c>
      <c r="N33" s="58">
        <v>0.45300000000000001</v>
      </c>
      <c r="O33" s="58" t="s">
        <v>352</v>
      </c>
      <c r="P33" s="58" t="s">
        <v>60</v>
      </c>
      <c r="Q33" s="58" t="s">
        <v>61</v>
      </c>
      <c r="R33" s="58" t="s">
        <v>353</v>
      </c>
      <c r="S33" s="58" t="s">
        <v>354</v>
      </c>
      <c r="T33" s="58" t="s">
        <v>279</v>
      </c>
    </row>
    <row r="34" spans="1:20" ht="31.2">
      <c r="A34" s="58" t="s">
        <v>57</v>
      </c>
      <c r="B34" s="58" t="s">
        <v>48</v>
      </c>
      <c r="C34" s="58">
        <v>6</v>
      </c>
      <c r="D34" s="58" t="s">
        <v>333</v>
      </c>
      <c r="E34" s="58" t="s">
        <v>355</v>
      </c>
      <c r="F34" s="58" t="s">
        <v>274</v>
      </c>
      <c r="G34" s="58" t="s">
        <v>273</v>
      </c>
      <c r="H34" s="58"/>
      <c r="I34" s="58" t="s">
        <v>274</v>
      </c>
      <c r="J34" s="58"/>
      <c r="K34" s="58" t="s">
        <v>274</v>
      </c>
      <c r="L34" s="58" t="s">
        <v>275</v>
      </c>
      <c r="M34" s="58" t="s">
        <v>48</v>
      </c>
      <c r="N34" s="58">
        <v>0.70399999999999996</v>
      </c>
      <c r="O34" s="58" t="s">
        <v>335</v>
      </c>
      <c r="P34" s="58" t="s">
        <v>60</v>
      </c>
      <c r="Q34" s="58" t="s">
        <v>61</v>
      </c>
      <c r="R34" s="58" t="s">
        <v>356</v>
      </c>
      <c r="S34" s="58" t="s">
        <v>357</v>
      </c>
      <c r="T34" s="58" t="s">
        <v>279</v>
      </c>
    </row>
    <row r="35" spans="1:20" ht="31.2">
      <c r="A35" s="58" t="s">
        <v>57</v>
      </c>
      <c r="B35" s="58" t="s">
        <v>48</v>
      </c>
      <c r="C35" s="58">
        <v>7</v>
      </c>
      <c r="D35" s="58" t="s">
        <v>333</v>
      </c>
      <c r="E35" s="58" t="s">
        <v>358</v>
      </c>
      <c r="F35" s="58" t="s">
        <v>274</v>
      </c>
      <c r="G35" s="58" t="s">
        <v>273</v>
      </c>
      <c r="H35" s="58"/>
      <c r="I35" s="58" t="s">
        <v>274</v>
      </c>
      <c r="J35" s="58"/>
      <c r="K35" s="58" t="s">
        <v>274</v>
      </c>
      <c r="L35" s="58" t="s">
        <v>275</v>
      </c>
      <c r="M35" s="58" t="s">
        <v>48</v>
      </c>
      <c r="N35" s="58">
        <v>1.49</v>
      </c>
      <c r="O35" s="58" t="s">
        <v>335</v>
      </c>
      <c r="P35" s="58" t="s">
        <v>60</v>
      </c>
      <c r="Q35" s="58" t="s">
        <v>61</v>
      </c>
      <c r="R35" s="58" t="s">
        <v>359</v>
      </c>
      <c r="S35" s="58" t="s">
        <v>360</v>
      </c>
      <c r="T35" s="58" t="s">
        <v>279</v>
      </c>
    </row>
    <row r="36" spans="1:20" ht="31.2">
      <c r="A36" s="58" t="s">
        <v>57</v>
      </c>
      <c r="B36" s="58" t="s">
        <v>48</v>
      </c>
      <c r="C36" s="58">
        <v>8</v>
      </c>
      <c r="D36" s="58" t="s">
        <v>361</v>
      </c>
      <c r="E36" s="58" t="s">
        <v>362</v>
      </c>
      <c r="F36" s="58" t="s">
        <v>274</v>
      </c>
      <c r="G36" s="58" t="s">
        <v>274</v>
      </c>
      <c r="H36" s="58"/>
      <c r="I36" s="58" t="s">
        <v>274</v>
      </c>
      <c r="J36" s="58"/>
      <c r="K36" s="58"/>
      <c r="L36" s="58" t="s">
        <v>275</v>
      </c>
      <c r="M36" s="58" t="s">
        <v>48</v>
      </c>
      <c r="N36" s="58">
        <v>0.624</v>
      </c>
      <c r="O36" s="58" t="s">
        <v>363</v>
      </c>
      <c r="P36" s="58" t="s">
        <v>60</v>
      </c>
      <c r="Q36" s="58" t="s">
        <v>61</v>
      </c>
      <c r="R36" s="58" t="s">
        <v>364</v>
      </c>
      <c r="S36" s="58" t="s">
        <v>365</v>
      </c>
      <c r="T36" s="58" t="s">
        <v>279</v>
      </c>
    </row>
    <row r="37" spans="1:20" ht="31.2">
      <c r="A37" s="58" t="s">
        <v>57</v>
      </c>
      <c r="B37" s="58" t="s">
        <v>48</v>
      </c>
      <c r="C37" s="58">
        <v>9</v>
      </c>
      <c r="D37" s="58" t="s">
        <v>361</v>
      </c>
      <c r="E37" s="58" t="s">
        <v>366</v>
      </c>
      <c r="F37" s="58" t="s">
        <v>274</v>
      </c>
      <c r="G37" s="58" t="s">
        <v>273</v>
      </c>
      <c r="H37" s="58"/>
      <c r="I37" s="58" t="s">
        <v>274</v>
      </c>
      <c r="J37" s="58"/>
      <c r="K37" s="58"/>
      <c r="L37" s="58" t="s">
        <v>275</v>
      </c>
      <c r="M37" s="58" t="s">
        <v>48</v>
      </c>
      <c r="N37" s="58">
        <v>3.6240000000000001</v>
      </c>
      <c r="O37" s="58" t="s">
        <v>363</v>
      </c>
      <c r="P37" s="58" t="s">
        <v>60</v>
      </c>
      <c r="Q37" s="58" t="s">
        <v>61</v>
      </c>
      <c r="R37" s="58" t="s">
        <v>367</v>
      </c>
      <c r="S37" s="58" t="s">
        <v>368</v>
      </c>
      <c r="T37" s="58" t="s">
        <v>279</v>
      </c>
    </row>
    <row r="38" spans="1:20" ht="31.2">
      <c r="A38" s="58" t="s">
        <v>57</v>
      </c>
      <c r="B38" s="58" t="s">
        <v>48</v>
      </c>
      <c r="C38" s="58">
        <v>10</v>
      </c>
      <c r="D38" s="58" t="s">
        <v>361</v>
      </c>
      <c r="E38" s="58" t="s">
        <v>369</v>
      </c>
      <c r="F38" s="58" t="s">
        <v>274</v>
      </c>
      <c r="G38" s="58" t="s">
        <v>273</v>
      </c>
      <c r="H38" s="58"/>
      <c r="I38" s="58" t="s">
        <v>274</v>
      </c>
      <c r="J38" s="58"/>
      <c r="K38" s="58"/>
      <c r="L38" s="58" t="s">
        <v>275</v>
      </c>
      <c r="M38" s="58" t="s">
        <v>48</v>
      </c>
      <c r="N38" s="58">
        <v>5.3440000000000003</v>
      </c>
      <c r="O38" s="58" t="s">
        <v>363</v>
      </c>
      <c r="P38" s="58" t="s">
        <v>60</v>
      </c>
      <c r="Q38" s="58" t="s">
        <v>61</v>
      </c>
      <c r="R38" s="58" t="s">
        <v>370</v>
      </c>
      <c r="S38" s="58" t="s">
        <v>371</v>
      </c>
      <c r="T38" s="58" t="s">
        <v>279</v>
      </c>
    </row>
    <row r="39" spans="1:20" ht="31.2">
      <c r="A39" s="58" t="s">
        <v>57</v>
      </c>
      <c r="B39" s="58" t="s">
        <v>48</v>
      </c>
      <c r="C39" s="58">
        <v>11</v>
      </c>
      <c r="D39" s="58" t="s">
        <v>361</v>
      </c>
      <c r="E39" s="58" t="s">
        <v>372</v>
      </c>
      <c r="F39" s="58" t="s">
        <v>274</v>
      </c>
      <c r="G39" s="58" t="s">
        <v>273</v>
      </c>
      <c r="H39" s="58"/>
      <c r="I39" s="58" t="s">
        <v>274</v>
      </c>
      <c r="J39" s="58"/>
      <c r="K39" s="58"/>
      <c r="L39" s="58" t="s">
        <v>275</v>
      </c>
      <c r="M39" s="58" t="s">
        <v>48</v>
      </c>
      <c r="N39" s="58">
        <v>3.806</v>
      </c>
      <c r="O39" s="58" t="s">
        <v>363</v>
      </c>
      <c r="P39" s="58" t="s">
        <v>60</v>
      </c>
      <c r="Q39" s="58" t="s">
        <v>61</v>
      </c>
      <c r="R39" s="58" t="s">
        <v>373</v>
      </c>
      <c r="S39" s="58" t="s">
        <v>374</v>
      </c>
      <c r="T39" s="58" t="s">
        <v>279</v>
      </c>
    </row>
    <row r="40" spans="1:20" ht="31.2">
      <c r="A40" s="58" t="s">
        <v>57</v>
      </c>
      <c r="B40" s="58" t="s">
        <v>48</v>
      </c>
      <c r="C40" s="58">
        <v>12</v>
      </c>
      <c r="D40" s="58" t="s">
        <v>361</v>
      </c>
      <c r="E40" s="58" t="s">
        <v>375</v>
      </c>
      <c r="F40" s="58" t="s">
        <v>274</v>
      </c>
      <c r="G40" s="58" t="s">
        <v>273</v>
      </c>
      <c r="H40" s="58"/>
      <c r="I40" s="58" t="s">
        <v>274</v>
      </c>
      <c r="J40" s="58"/>
      <c r="K40" s="58"/>
      <c r="L40" s="58" t="s">
        <v>275</v>
      </c>
      <c r="M40" s="58" t="s">
        <v>48</v>
      </c>
      <c r="N40" s="58">
        <v>5.7709999999999999</v>
      </c>
      <c r="O40" s="58" t="s">
        <v>363</v>
      </c>
      <c r="P40" s="58" t="s">
        <v>60</v>
      </c>
      <c r="Q40" s="58" t="s">
        <v>61</v>
      </c>
      <c r="R40" s="58" t="s">
        <v>376</v>
      </c>
      <c r="S40" s="58" t="s">
        <v>377</v>
      </c>
      <c r="T40" s="58" t="s">
        <v>279</v>
      </c>
    </row>
    <row r="41" spans="1:20" ht="31.2">
      <c r="A41" s="58" t="s">
        <v>57</v>
      </c>
      <c r="B41" s="58" t="s">
        <v>48</v>
      </c>
      <c r="C41" s="58">
        <v>13</v>
      </c>
      <c r="D41" s="58" t="s">
        <v>378</v>
      </c>
      <c r="E41" s="58" t="s">
        <v>379</v>
      </c>
      <c r="F41" s="58" t="s">
        <v>274</v>
      </c>
      <c r="G41" s="58" t="s">
        <v>273</v>
      </c>
      <c r="H41" s="58"/>
      <c r="I41" s="58" t="s">
        <v>274</v>
      </c>
      <c r="J41" s="58"/>
      <c r="K41" s="58"/>
      <c r="L41" s="58" t="s">
        <v>288</v>
      </c>
      <c r="M41" s="58" t="s">
        <v>48</v>
      </c>
      <c r="N41" s="58">
        <v>0.78</v>
      </c>
      <c r="O41" s="58" t="s">
        <v>380</v>
      </c>
      <c r="P41" s="58" t="s">
        <v>60</v>
      </c>
      <c r="Q41" s="58" t="s">
        <v>61</v>
      </c>
      <c r="R41" s="58" t="s">
        <v>381</v>
      </c>
      <c r="S41" s="58" t="s">
        <v>382</v>
      </c>
      <c r="T41" s="58" t="s">
        <v>279</v>
      </c>
    </row>
    <row r="42" spans="1:20" ht="31.2">
      <c r="A42" s="58" t="s">
        <v>57</v>
      </c>
      <c r="B42" s="58" t="s">
        <v>48</v>
      </c>
      <c r="C42" s="58">
        <v>14</v>
      </c>
      <c r="D42" s="58" t="s">
        <v>361</v>
      </c>
      <c r="E42" s="58" t="s">
        <v>383</v>
      </c>
      <c r="F42" s="58" t="s">
        <v>274</v>
      </c>
      <c r="G42" s="58" t="s">
        <v>273</v>
      </c>
      <c r="H42" s="58"/>
      <c r="I42" s="58" t="s">
        <v>274</v>
      </c>
      <c r="J42" s="58"/>
      <c r="K42" s="58"/>
      <c r="L42" s="58" t="s">
        <v>288</v>
      </c>
      <c r="M42" s="58" t="s">
        <v>48</v>
      </c>
      <c r="N42" s="58">
        <v>32.777999999999999</v>
      </c>
      <c r="O42" s="58" t="s">
        <v>363</v>
      </c>
      <c r="P42" s="58" t="s">
        <v>60</v>
      </c>
      <c r="Q42" s="58" t="s">
        <v>61</v>
      </c>
      <c r="R42" s="58" t="s">
        <v>384</v>
      </c>
      <c r="S42" s="58" t="s">
        <v>385</v>
      </c>
      <c r="T42" s="58" t="s">
        <v>279</v>
      </c>
    </row>
    <row r="43" spans="1:20" ht="31.2">
      <c r="A43" s="58" t="s">
        <v>57</v>
      </c>
      <c r="B43" s="58" t="s">
        <v>48</v>
      </c>
      <c r="C43" s="58">
        <v>15</v>
      </c>
      <c r="D43" s="58" t="s">
        <v>333</v>
      </c>
      <c r="E43" s="58" t="s">
        <v>386</v>
      </c>
      <c r="F43" s="58" t="s">
        <v>274</v>
      </c>
      <c r="G43" s="58" t="s">
        <v>273</v>
      </c>
      <c r="H43" s="58"/>
      <c r="I43" s="58" t="s">
        <v>274</v>
      </c>
      <c r="J43" s="58"/>
      <c r="K43" s="58" t="s">
        <v>274</v>
      </c>
      <c r="L43" s="58" t="s">
        <v>288</v>
      </c>
      <c r="M43" s="58" t="s">
        <v>48</v>
      </c>
      <c r="N43" s="58">
        <v>0.52400000000000002</v>
      </c>
      <c r="O43" s="58" t="s">
        <v>335</v>
      </c>
      <c r="P43" s="58" t="s">
        <v>60</v>
      </c>
      <c r="Q43" s="58" t="s">
        <v>61</v>
      </c>
      <c r="R43" s="58" t="s">
        <v>387</v>
      </c>
      <c r="S43" s="58" t="s">
        <v>388</v>
      </c>
      <c r="T43" s="58" t="s">
        <v>279</v>
      </c>
    </row>
    <row r="44" spans="1:20" ht="31.2">
      <c r="A44" s="58" t="s">
        <v>57</v>
      </c>
      <c r="B44" s="58" t="s">
        <v>48</v>
      </c>
      <c r="C44" s="58">
        <v>16</v>
      </c>
      <c r="D44" s="58" t="s">
        <v>333</v>
      </c>
      <c r="E44" s="58" t="s">
        <v>389</v>
      </c>
      <c r="F44" s="58" t="s">
        <v>274</v>
      </c>
      <c r="G44" s="58" t="s">
        <v>273</v>
      </c>
      <c r="H44" s="58"/>
      <c r="I44" s="58" t="s">
        <v>274</v>
      </c>
      <c r="J44" s="58"/>
      <c r="K44" s="58" t="s">
        <v>274</v>
      </c>
      <c r="L44" s="58" t="s">
        <v>288</v>
      </c>
      <c r="M44" s="58" t="s">
        <v>48</v>
      </c>
      <c r="N44" s="58">
        <v>11.364000000000001</v>
      </c>
      <c r="O44" s="58" t="s">
        <v>335</v>
      </c>
      <c r="P44" s="58" t="s">
        <v>60</v>
      </c>
      <c r="Q44" s="58" t="s">
        <v>61</v>
      </c>
      <c r="R44" s="58" t="s">
        <v>390</v>
      </c>
      <c r="S44" s="58" t="s">
        <v>391</v>
      </c>
      <c r="T44" s="58" t="s">
        <v>279</v>
      </c>
    </row>
    <row r="45" spans="1:20" ht="31.2">
      <c r="A45" s="58" t="s">
        <v>57</v>
      </c>
      <c r="B45" s="58" t="s">
        <v>48</v>
      </c>
      <c r="C45" s="58">
        <v>17</v>
      </c>
      <c r="D45" s="58" t="s">
        <v>333</v>
      </c>
      <c r="E45" s="58" t="s">
        <v>392</v>
      </c>
      <c r="F45" s="58" t="s">
        <v>274</v>
      </c>
      <c r="G45" s="58" t="s">
        <v>273</v>
      </c>
      <c r="H45" s="58"/>
      <c r="I45" s="58" t="s">
        <v>274</v>
      </c>
      <c r="J45" s="58"/>
      <c r="K45" s="58" t="s">
        <v>274</v>
      </c>
      <c r="L45" s="58" t="s">
        <v>288</v>
      </c>
      <c r="M45" s="58" t="s">
        <v>48</v>
      </c>
      <c r="N45" s="58">
        <v>11.56</v>
      </c>
      <c r="O45" s="58" t="s">
        <v>335</v>
      </c>
      <c r="P45" s="58" t="s">
        <v>60</v>
      </c>
      <c r="Q45" s="58" t="s">
        <v>61</v>
      </c>
      <c r="R45" s="58" t="s">
        <v>393</v>
      </c>
      <c r="S45" s="58" t="s">
        <v>394</v>
      </c>
      <c r="T45" s="58" t="s">
        <v>279</v>
      </c>
    </row>
    <row r="46" spans="1:20" ht="31.2">
      <c r="A46" s="58" t="s">
        <v>57</v>
      </c>
      <c r="B46" s="58" t="s">
        <v>48</v>
      </c>
      <c r="C46" s="58">
        <v>18</v>
      </c>
      <c r="D46" s="58" t="s">
        <v>333</v>
      </c>
      <c r="E46" s="58" t="s">
        <v>395</v>
      </c>
      <c r="F46" s="58" t="s">
        <v>274</v>
      </c>
      <c r="G46" s="58" t="s">
        <v>273</v>
      </c>
      <c r="H46" s="58"/>
      <c r="I46" s="58" t="s">
        <v>274</v>
      </c>
      <c r="J46" s="58"/>
      <c r="K46" s="58" t="s">
        <v>274</v>
      </c>
      <c r="L46" s="58" t="s">
        <v>288</v>
      </c>
      <c r="M46" s="58" t="s">
        <v>48</v>
      </c>
      <c r="N46" s="58">
        <v>11.558</v>
      </c>
      <c r="O46" s="58" t="s">
        <v>335</v>
      </c>
      <c r="P46" s="58" t="s">
        <v>60</v>
      </c>
      <c r="Q46" s="58" t="s">
        <v>61</v>
      </c>
      <c r="R46" s="58" t="s">
        <v>396</v>
      </c>
      <c r="S46" s="58" t="s">
        <v>397</v>
      </c>
      <c r="T46" s="58" t="s">
        <v>279</v>
      </c>
    </row>
    <row r="47" spans="1:20" ht="31.2">
      <c r="A47" s="58" t="s">
        <v>57</v>
      </c>
      <c r="B47" s="58" t="s">
        <v>48</v>
      </c>
      <c r="C47" s="58">
        <v>19</v>
      </c>
      <c r="D47" s="58" t="s">
        <v>333</v>
      </c>
      <c r="E47" s="58" t="s">
        <v>398</v>
      </c>
      <c r="F47" s="58" t="s">
        <v>274</v>
      </c>
      <c r="G47" s="58" t="s">
        <v>273</v>
      </c>
      <c r="H47" s="58"/>
      <c r="I47" s="58" t="s">
        <v>274</v>
      </c>
      <c r="J47" s="58"/>
      <c r="K47" s="58" t="s">
        <v>274</v>
      </c>
      <c r="L47" s="58" t="s">
        <v>288</v>
      </c>
      <c r="M47" s="58" t="s">
        <v>48</v>
      </c>
      <c r="N47" s="58">
        <v>11.555999999999999</v>
      </c>
      <c r="O47" s="58" t="s">
        <v>335</v>
      </c>
      <c r="P47" s="58" t="s">
        <v>60</v>
      </c>
      <c r="Q47" s="58" t="s">
        <v>61</v>
      </c>
      <c r="R47" s="58" t="s">
        <v>399</v>
      </c>
      <c r="S47" s="58" t="s">
        <v>400</v>
      </c>
      <c r="T47" s="58" t="s">
        <v>279</v>
      </c>
    </row>
    <row r="48" spans="1:20" ht="31.2">
      <c r="A48" s="58" t="s">
        <v>57</v>
      </c>
      <c r="B48" s="58" t="s">
        <v>48</v>
      </c>
      <c r="C48" s="58">
        <v>20</v>
      </c>
      <c r="D48" s="58" t="s">
        <v>333</v>
      </c>
      <c r="E48" s="58" t="s">
        <v>401</v>
      </c>
      <c r="F48" s="58" t="s">
        <v>274</v>
      </c>
      <c r="G48" s="58" t="s">
        <v>273</v>
      </c>
      <c r="H48" s="58"/>
      <c r="I48" s="58" t="s">
        <v>274</v>
      </c>
      <c r="J48" s="58"/>
      <c r="K48" s="58" t="s">
        <v>274</v>
      </c>
      <c r="L48" s="58" t="s">
        <v>288</v>
      </c>
      <c r="M48" s="58" t="s">
        <v>48</v>
      </c>
      <c r="N48" s="58">
        <v>11.593999999999999</v>
      </c>
      <c r="O48" s="58" t="s">
        <v>335</v>
      </c>
      <c r="P48" s="58" t="s">
        <v>60</v>
      </c>
      <c r="Q48" s="58" t="s">
        <v>61</v>
      </c>
      <c r="R48" s="58" t="s">
        <v>402</v>
      </c>
      <c r="S48" s="58" t="s">
        <v>403</v>
      </c>
      <c r="T48" s="58" t="s">
        <v>279</v>
      </c>
    </row>
    <row r="49" spans="1:20" ht="31.2">
      <c r="A49" s="58" t="s">
        <v>57</v>
      </c>
      <c r="B49" s="58" t="s">
        <v>48</v>
      </c>
      <c r="C49" s="58">
        <v>21</v>
      </c>
      <c r="D49" s="58" t="s">
        <v>333</v>
      </c>
      <c r="E49" s="58" t="s">
        <v>404</v>
      </c>
      <c r="F49" s="58" t="s">
        <v>274</v>
      </c>
      <c r="G49" s="58" t="s">
        <v>273</v>
      </c>
      <c r="H49" s="58"/>
      <c r="I49" s="58" t="s">
        <v>274</v>
      </c>
      <c r="J49" s="58"/>
      <c r="K49" s="58" t="s">
        <v>274</v>
      </c>
      <c r="L49" s="58" t="s">
        <v>288</v>
      </c>
      <c r="M49" s="58" t="s">
        <v>48</v>
      </c>
      <c r="N49" s="58">
        <v>11.592000000000001</v>
      </c>
      <c r="O49" s="58" t="s">
        <v>335</v>
      </c>
      <c r="P49" s="58" t="s">
        <v>60</v>
      </c>
      <c r="Q49" s="58" t="s">
        <v>61</v>
      </c>
      <c r="R49" s="58" t="s">
        <v>405</v>
      </c>
      <c r="S49" s="58" t="s">
        <v>406</v>
      </c>
      <c r="T49" s="58" t="s">
        <v>279</v>
      </c>
    </row>
    <row r="50" spans="1:20" ht="46.8">
      <c r="A50" s="58" t="s">
        <v>57</v>
      </c>
      <c r="B50" s="58" t="s">
        <v>48</v>
      </c>
      <c r="C50" s="58">
        <v>22</v>
      </c>
      <c r="D50" s="58" t="s">
        <v>333</v>
      </c>
      <c r="E50" s="58" t="s">
        <v>407</v>
      </c>
      <c r="F50" s="58" t="s">
        <v>274</v>
      </c>
      <c r="G50" s="58" t="s">
        <v>273</v>
      </c>
      <c r="H50" s="58"/>
      <c r="I50" s="58" t="s">
        <v>274</v>
      </c>
      <c r="J50" s="58"/>
      <c r="K50" s="58" t="s">
        <v>274</v>
      </c>
      <c r="L50" s="58" t="s">
        <v>288</v>
      </c>
      <c r="M50" s="58" t="s">
        <v>48</v>
      </c>
      <c r="N50" s="58">
        <v>11.651</v>
      </c>
      <c r="O50" s="58" t="s">
        <v>335</v>
      </c>
      <c r="P50" s="58" t="s">
        <v>60</v>
      </c>
      <c r="Q50" s="58" t="s">
        <v>61</v>
      </c>
      <c r="R50" s="58" t="s">
        <v>408</v>
      </c>
      <c r="S50" s="58" t="s">
        <v>409</v>
      </c>
      <c r="T50" s="58" t="s">
        <v>279</v>
      </c>
    </row>
    <row r="51" spans="1:20" ht="31.2">
      <c r="A51" s="58" t="s">
        <v>57</v>
      </c>
      <c r="B51" s="58" t="s">
        <v>48</v>
      </c>
      <c r="C51" s="58">
        <v>23</v>
      </c>
      <c r="D51" s="58" t="s">
        <v>333</v>
      </c>
      <c r="E51" s="58" t="s">
        <v>410</v>
      </c>
      <c r="F51" s="58" t="s">
        <v>274</v>
      </c>
      <c r="G51" s="58" t="s">
        <v>273</v>
      </c>
      <c r="H51" s="58"/>
      <c r="I51" s="58" t="s">
        <v>274</v>
      </c>
      <c r="J51" s="58"/>
      <c r="K51" s="58" t="s">
        <v>274</v>
      </c>
      <c r="L51" s="58" t="s">
        <v>288</v>
      </c>
      <c r="M51" s="58" t="s">
        <v>48</v>
      </c>
      <c r="N51" s="58">
        <v>11.648</v>
      </c>
      <c r="O51" s="58" t="s">
        <v>335</v>
      </c>
      <c r="P51" s="58" t="s">
        <v>60</v>
      </c>
      <c r="Q51" s="58" t="s">
        <v>61</v>
      </c>
      <c r="R51" s="58" t="s">
        <v>411</v>
      </c>
      <c r="S51" s="58" t="s">
        <v>412</v>
      </c>
      <c r="T51" s="58" t="s">
        <v>279</v>
      </c>
    </row>
    <row r="52" spans="1:20" ht="31.2">
      <c r="A52" s="58" t="s">
        <v>57</v>
      </c>
      <c r="B52" s="58" t="s">
        <v>48</v>
      </c>
      <c r="C52" s="58">
        <v>24</v>
      </c>
      <c r="D52" s="58" t="s">
        <v>333</v>
      </c>
      <c r="E52" s="58" t="s">
        <v>413</v>
      </c>
      <c r="F52" s="58" t="s">
        <v>274</v>
      </c>
      <c r="G52" s="58" t="s">
        <v>273</v>
      </c>
      <c r="H52" s="58"/>
      <c r="I52" s="58" t="s">
        <v>274</v>
      </c>
      <c r="J52" s="58"/>
      <c r="K52" s="58" t="s">
        <v>274</v>
      </c>
      <c r="L52" s="58" t="s">
        <v>288</v>
      </c>
      <c r="M52" s="58" t="s">
        <v>48</v>
      </c>
      <c r="N52" s="58">
        <v>11.646000000000001</v>
      </c>
      <c r="O52" s="58" t="s">
        <v>335</v>
      </c>
      <c r="P52" s="58" t="s">
        <v>60</v>
      </c>
      <c r="Q52" s="58" t="s">
        <v>61</v>
      </c>
      <c r="R52" s="58" t="s">
        <v>414</v>
      </c>
      <c r="S52" s="58" t="s">
        <v>415</v>
      </c>
      <c r="T52" s="58" t="s">
        <v>279</v>
      </c>
    </row>
    <row r="53" spans="1:20" ht="31.2">
      <c r="A53" s="58" t="s">
        <v>57</v>
      </c>
      <c r="B53" s="58" t="s">
        <v>48</v>
      </c>
      <c r="C53" s="58">
        <v>25</v>
      </c>
      <c r="D53" s="58" t="s">
        <v>378</v>
      </c>
      <c r="E53" s="58" t="s">
        <v>416</v>
      </c>
      <c r="F53" s="58" t="s">
        <v>274</v>
      </c>
      <c r="G53" s="58" t="s">
        <v>273</v>
      </c>
      <c r="H53" s="58"/>
      <c r="I53" s="58" t="s">
        <v>274</v>
      </c>
      <c r="J53" s="58"/>
      <c r="K53" s="58"/>
      <c r="L53" s="58" t="s">
        <v>288</v>
      </c>
      <c r="M53" s="58" t="s">
        <v>48</v>
      </c>
      <c r="N53" s="58">
        <v>1.113</v>
      </c>
      <c r="O53" s="58" t="s">
        <v>380</v>
      </c>
      <c r="P53" s="58" t="s">
        <v>60</v>
      </c>
      <c r="Q53" s="58" t="s">
        <v>61</v>
      </c>
      <c r="R53" s="58" t="s">
        <v>417</v>
      </c>
      <c r="S53" s="58" t="s">
        <v>418</v>
      </c>
      <c r="T53" s="58" t="s">
        <v>279</v>
      </c>
    </row>
    <row r="54" spans="1:20" ht="31.2">
      <c r="A54" s="58" t="s">
        <v>57</v>
      </c>
      <c r="B54" s="58" t="s">
        <v>48</v>
      </c>
      <c r="C54" s="58">
        <v>26</v>
      </c>
      <c r="D54" s="58" t="s">
        <v>361</v>
      </c>
      <c r="E54" s="58" t="s">
        <v>419</v>
      </c>
      <c r="F54" s="58" t="s">
        <v>274</v>
      </c>
      <c r="G54" s="58" t="s">
        <v>273</v>
      </c>
      <c r="H54" s="58"/>
      <c r="I54" s="58" t="s">
        <v>274</v>
      </c>
      <c r="J54" s="58"/>
      <c r="K54" s="58"/>
      <c r="L54" s="58" t="s">
        <v>288</v>
      </c>
      <c r="M54" s="58" t="s">
        <v>48</v>
      </c>
      <c r="N54" s="58">
        <v>10.612</v>
      </c>
      <c r="O54" s="58" t="s">
        <v>363</v>
      </c>
      <c r="P54" s="58" t="s">
        <v>60</v>
      </c>
      <c r="Q54" s="58" t="s">
        <v>61</v>
      </c>
      <c r="R54" s="58" t="s">
        <v>420</v>
      </c>
      <c r="S54" s="58" t="s">
        <v>421</v>
      </c>
      <c r="T54" s="58" t="s">
        <v>279</v>
      </c>
    </row>
    <row r="55" spans="1:20" ht="31.2">
      <c r="A55" s="58" t="s">
        <v>57</v>
      </c>
      <c r="B55" s="58" t="s">
        <v>48</v>
      </c>
      <c r="C55" s="58">
        <v>27</v>
      </c>
      <c r="D55" s="58" t="s">
        <v>333</v>
      </c>
      <c r="E55" s="58" t="s">
        <v>422</v>
      </c>
      <c r="F55" s="58" t="s">
        <v>274</v>
      </c>
      <c r="G55" s="58" t="s">
        <v>273</v>
      </c>
      <c r="H55" s="58"/>
      <c r="I55" s="58" t="s">
        <v>274</v>
      </c>
      <c r="J55" s="58"/>
      <c r="K55" s="58" t="s">
        <v>274</v>
      </c>
      <c r="L55" s="58" t="s">
        <v>288</v>
      </c>
      <c r="M55" s="58" t="s">
        <v>48</v>
      </c>
      <c r="N55" s="58">
        <v>0.501</v>
      </c>
      <c r="O55" s="58" t="s">
        <v>335</v>
      </c>
      <c r="P55" s="58" t="s">
        <v>60</v>
      </c>
      <c r="Q55" s="58" t="s">
        <v>61</v>
      </c>
      <c r="R55" s="58" t="s">
        <v>423</v>
      </c>
      <c r="S55" s="58" t="s">
        <v>424</v>
      </c>
      <c r="T55" s="58" t="s">
        <v>279</v>
      </c>
    </row>
    <row r="56" spans="1:20" ht="31.2">
      <c r="A56" s="58" t="s">
        <v>57</v>
      </c>
      <c r="B56" s="58" t="s">
        <v>48</v>
      </c>
      <c r="C56" s="58">
        <v>28</v>
      </c>
      <c r="D56" s="58" t="s">
        <v>333</v>
      </c>
      <c r="E56" s="58" t="s">
        <v>425</v>
      </c>
      <c r="F56" s="58" t="s">
        <v>274</v>
      </c>
      <c r="G56" s="58" t="s">
        <v>273</v>
      </c>
      <c r="H56" s="58"/>
      <c r="I56" s="58" t="s">
        <v>274</v>
      </c>
      <c r="J56" s="58"/>
      <c r="K56" s="58" t="s">
        <v>274</v>
      </c>
      <c r="L56" s="58" t="s">
        <v>288</v>
      </c>
      <c r="M56" s="58" t="s">
        <v>48</v>
      </c>
      <c r="N56" s="58">
        <v>0.502</v>
      </c>
      <c r="O56" s="58" t="s">
        <v>335</v>
      </c>
      <c r="P56" s="58" t="s">
        <v>60</v>
      </c>
      <c r="Q56" s="58" t="s">
        <v>61</v>
      </c>
      <c r="R56" s="58" t="s">
        <v>426</v>
      </c>
      <c r="S56" s="58" t="s">
        <v>427</v>
      </c>
      <c r="T56" s="58" t="s">
        <v>279</v>
      </c>
    </row>
    <row r="57" spans="1:20" ht="31.2">
      <c r="A57" s="58" t="s">
        <v>57</v>
      </c>
      <c r="B57" s="58" t="s">
        <v>48</v>
      </c>
      <c r="C57" s="58">
        <v>29</v>
      </c>
      <c r="D57" s="58" t="s">
        <v>333</v>
      </c>
      <c r="E57" s="58" t="s">
        <v>428</v>
      </c>
      <c r="F57" s="58" t="s">
        <v>274</v>
      </c>
      <c r="G57" s="58" t="s">
        <v>273</v>
      </c>
      <c r="H57" s="58"/>
      <c r="I57" s="58" t="s">
        <v>274</v>
      </c>
      <c r="J57" s="58"/>
      <c r="K57" s="58" t="s">
        <v>274</v>
      </c>
      <c r="L57" s="58" t="s">
        <v>288</v>
      </c>
      <c r="M57" s="58" t="s">
        <v>48</v>
      </c>
      <c r="N57" s="58">
        <v>0.5</v>
      </c>
      <c r="O57" s="58" t="s">
        <v>335</v>
      </c>
      <c r="P57" s="58" t="s">
        <v>60</v>
      </c>
      <c r="Q57" s="58" t="s">
        <v>61</v>
      </c>
      <c r="R57" s="58" t="s">
        <v>429</v>
      </c>
      <c r="S57" s="58" t="s">
        <v>430</v>
      </c>
      <c r="T57" s="58" t="s">
        <v>279</v>
      </c>
    </row>
    <row r="58" spans="1:20" ht="31.2">
      <c r="A58" s="58" t="s">
        <v>57</v>
      </c>
      <c r="B58" s="58" t="s">
        <v>48</v>
      </c>
      <c r="C58" s="58">
        <v>30</v>
      </c>
      <c r="D58" s="58" t="s">
        <v>333</v>
      </c>
      <c r="E58" s="58" t="s">
        <v>431</v>
      </c>
      <c r="F58" s="58" t="s">
        <v>274</v>
      </c>
      <c r="G58" s="58" t="s">
        <v>273</v>
      </c>
      <c r="H58" s="58"/>
      <c r="I58" s="58" t="s">
        <v>274</v>
      </c>
      <c r="J58" s="58"/>
      <c r="K58" s="58" t="s">
        <v>274</v>
      </c>
      <c r="L58" s="58" t="s">
        <v>288</v>
      </c>
      <c r="M58" s="58" t="s">
        <v>48</v>
      </c>
      <c r="N58" s="58">
        <v>0.498</v>
      </c>
      <c r="O58" s="58" t="s">
        <v>335</v>
      </c>
      <c r="P58" s="58" t="s">
        <v>60</v>
      </c>
      <c r="Q58" s="58" t="s">
        <v>61</v>
      </c>
      <c r="R58" s="58" t="s">
        <v>432</v>
      </c>
      <c r="S58" s="58" t="s">
        <v>433</v>
      </c>
      <c r="T58" s="58" t="s">
        <v>279</v>
      </c>
    </row>
    <row r="59" spans="1:20" ht="31.2">
      <c r="A59" s="58" t="s">
        <v>57</v>
      </c>
      <c r="B59" s="58" t="s">
        <v>48</v>
      </c>
      <c r="C59" s="58">
        <v>31</v>
      </c>
      <c r="D59" s="58" t="s">
        <v>333</v>
      </c>
      <c r="E59" s="58" t="s">
        <v>434</v>
      </c>
      <c r="F59" s="58" t="s">
        <v>274</v>
      </c>
      <c r="G59" s="58" t="s">
        <v>273</v>
      </c>
      <c r="H59" s="58"/>
      <c r="I59" s="58" t="s">
        <v>274</v>
      </c>
      <c r="J59" s="58"/>
      <c r="K59" s="58" t="s">
        <v>274</v>
      </c>
      <c r="L59" s="58" t="s">
        <v>288</v>
      </c>
      <c r="M59" s="58" t="s">
        <v>48</v>
      </c>
      <c r="N59" s="58">
        <v>0.495</v>
      </c>
      <c r="O59" s="58" t="s">
        <v>335</v>
      </c>
      <c r="P59" s="58" t="s">
        <v>60</v>
      </c>
      <c r="Q59" s="58" t="s">
        <v>61</v>
      </c>
      <c r="R59" s="58" t="s">
        <v>435</v>
      </c>
      <c r="S59" s="58" t="s">
        <v>436</v>
      </c>
      <c r="T59" s="58" t="s">
        <v>279</v>
      </c>
    </row>
    <row r="60" spans="1:20" ht="31.2">
      <c r="A60" s="58" t="s">
        <v>57</v>
      </c>
      <c r="B60" s="58" t="s">
        <v>48</v>
      </c>
      <c r="C60" s="58">
        <v>32</v>
      </c>
      <c r="D60" s="58" t="s">
        <v>333</v>
      </c>
      <c r="E60" s="58" t="s">
        <v>437</v>
      </c>
      <c r="F60" s="58" t="s">
        <v>274</v>
      </c>
      <c r="G60" s="58" t="s">
        <v>273</v>
      </c>
      <c r="H60" s="58"/>
      <c r="I60" s="58" t="s">
        <v>274</v>
      </c>
      <c r="J60" s="58"/>
      <c r="K60" s="58" t="s">
        <v>274</v>
      </c>
      <c r="L60" s="58" t="s">
        <v>288</v>
      </c>
      <c r="M60" s="58" t="s">
        <v>48</v>
      </c>
      <c r="N60" s="58">
        <v>0.49299999999999999</v>
      </c>
      <c r="O60" s="58" t="s">
        <v>335</v>
      </c>
      <c r="P60" s="58" t="s">
        <v>60</v>
      </c>
      <c r="Q60" s="58" t="s">
        <v>61</v>
      </c>
      <c r="R60" s="58" t="s">
        <v>438</v>
      </c>
      <c r="S60" s="58" t="s">
        <v>439</v>
      </c>
      <c r="T60" s="58" t="s">
        <v>279</v>
      </c>
    </row>
    <row r="61" spans="1:20" ht="31.2">
      <c r="A61" s="58" t="s">
        <v>57</v>
      </c>
      <c r="B61" s="58" t="s">
        <v>48</v>
      </c>
      <c r="C61" s="58">
        <v>33</v>
      </c>
      <c r="D61" s="58" t="s">
        <v>333</v>
      </c>
      <c r="E61" s="58" t="s">
        <v>440</v>
      </c>
      <c r="F61" s="58" t="s">
        <v>274</v>
      </c>
      <c r="G61" s="58" t="s">
        <v>273</v>
      </c>
      <c r="H61" s="58"/>
      <c r="I61" s="58" t="s">
        <v>274</v>
      </c>
      <c r="J61" s="58"/>
      <c r="K61" s="58" t="s">
        <v>274</v>
      </c>
      <c r="L61" s="58" t="s">
        <v>288</v>
      </c>
      <c r="M61" s="58" t="s">
        <v>48</v>
      </c>
      <c r="N61" s="58">
        <v>0.51400000000000001</v>
      </c>
      <c r="O61" s="58" t="s">
        <v>335</v>
      </c>
      <c r="P61" s="58" t="s">
        <v>60</v>
      </c>
      <c r="Q61" s="58" t="s">
        <v>61</v>
      </c>
      <c r="R61" s="58" t="s">
        <v>441</v>
      </c>
      <c r="S61" s="58" t="s">
        <v>442</v>
      </c>
      <c r="T61" s="58" t="s">
        <v>279</v>
      </c>
    </row>
    <row r="62" spans="1:20" ht="31.2">
      <c r="A62" s="58" t="s">
        <v>57</v>
      </c>
      <c r="B62" s="58" t="s">
        <v>48</v>
      </c>
      <c r="C62" s="58">
        <v>34</v>
      </c>
      <c r="D62" s="58" t="s">
        <v>333</v>
      </c>
      <c r="E62" s="58" t="s">
        <v>443</v>
      </c>
      <c r="F62" s="58" t="s">
        <v>274</v>
      </c>
      <c r="G62" s="58" t="s">
        <v>273</v>
      </c>
      <c r="H62" s="58"/>
      <c r="I62" s="58" t="s">
        <v>274</v>
      </c>
      <c r="J62" s="58"/>
      <c r="K62" s="58" t="s">
        <v>274</v>
      </c>
      <c r="L62" s="58" t="s">
        <v>288</v>
      </c>
      <c r="M62" s="58" t="s">
        <v>48</v>
      </c>
      <c r="N62" s="58">
        <v>0.53100000000000003</v>
      </c>
      <c r="O62" s="58" t="s">
        <v>335</v>
      </c>
      <c r="P62" s="58" t="s">
        <v>60</v>
      </c>
      <c r="Q62" s="58" t="s">
        <v>61</v>
      </c>
      <c r="R62" s="58" t="s">
        <v>444</v>
      </c>
      <c r="S62" s="58" t="s">
        <v>445</v>
      </c>
      <c r="T62" s="58" t="s">
        <v>279</v>
      </c>
    </row>
    <row r="63" spans="1:20" ht="31.2">
      <c r="A63" s="58" t="s">
        <v>57</v>
      </c>
      <c r="B63" s="58" t="s">
        <v>48</v>
      </c>
      <c r="C63" s="58">
        <v>35</v>
      </c>
      <c r="D63" s="58" t="s">
        <v>333</v>
      </c>
      <c r="E63" s="58" t="s">
        <v>446</v>
      </c>
      <c r="F63" s="58" t="s">
        <v>274</v>
      </c>
      <c r="G63" s="58" t="s">
        <v>273</v>
      </c>
      <c r="H63" s="58"/>
      <c r="I63" s="58" t="s">
        <v>274</v>
      </c>
      <c r="J63" s="58"/>
      <c r="K63" s="58" t="s">
        <v>274</v>
      </c>
      <c r="L63" s="58" t="s">
        <v>288</v>
      </c>
      <c r="M63" s="58" t="s">
        <v>48</v>
      </c>
      <c r="N63" s="58">
        <v>0.52900000000000003</v>
      </c>
      <c r="O63" s="58" t="s">
        <v>335</v>
      </c>
      <c r="P63" s="58" t="s">
        <v>60</v>
      </c>
      <c r="Q63" s="58" t="s">
        <v>61</v>
      </c>
      <c r="R63" s="58" t="s">
        <v>447</v>
      </c>
      <c r="S63" s="58" t="s">
        <v>448</v>
      </c>
      <c r="T63" s="58" t="s">
        <v>279</v>
      </c>
    </row>
    <row r="64" spans="1:20" ht="31.2">
      <c r="A64" s="58" t="s">
        <v>57</v>
      </c>
      <c r="B64" s="58" t="s">
        <v>48</v>
      </c>
      <c r="C64" s="58">
        <v>36</v>
      </c>
      <c r="D64" s="58" t="s">
        <v>333</v>
      </c>
      <c r="E64" s="58" t="s">
        <v>449</v>
      </c>
      <c r="F64" s="58" t="s">
        <v>274</v>
      </c>
      <c r="G64" s="58" t="s">
        <v>273</v>
      </c>
      <c r="H64" s="58"/>
      <c r="I64" s="58" t="s">
        <v>274</v>
      </c>
      <c r="J64" s="58"/>
      <c r="K64" s="58" t="s">
        <v>274</v>
      </c>
      <c r="L64" s="58" t="s">
        <v>288</v>
      </c>
      <c r="M64" s="58" t="s">
        <v>48</v>
      </c>
      <c r="N64" s="58">
        <v>0.60099999999999998</v>
      </c>
      <c r="O64" s="58" t="s">
        <v>335</v>
      </c>
      <c r="P64" s="58" t="s">
        <v>60</v>
      </c>
      <c r="Q64" s="58" t="s">
        <v>61</v>
      </c>
      <c r="R64" s="58" t="s">
        <v>450</v>
      </c>
      <c r="S64" s="58" t="s">
        <v>451</v>
      </c>
      <c r="T64" s="58" t="s">
        <v>279</v>
      </c>
    </row>
    <row r="65" spans="1:20" ht="31.2">
      <c r="A65" s="58" t="s">
        <v>57</v>
      </c>
      <c r="B65" s="58" t="s">
        <v>48</v>
      </c>
      <c r="C65" s="58">
        <v>37</v>
      </c>
      <c r="D65" s="58" t="s">
        <v>333</v>
      </c>
      <c r="E65" s="58" t="s">
        <v>452</v>
      </c>
      <c r="F65" s="58" t="s">
        <v>274</v>
      </c>
      <c r="G65" s="58" t="s">
        <v>273</v>
      </c>
      <c r="H65" s="58"/>
      <c r="I65" s="58" t="s">
        <v>274</v>
      </c>
      <c r="J65" s="58"/>
      <c r="K65" s="58" t="s">
        <v>274</v>
      </c>
      <c r="L65" s="58" t="s">
        <v>288</v>
      </c>
      <c r="M65" s="58" t="s">
        <v>48</v>
      </c>
      <c r="N65" s="58">
        <v>0.90200000000000002</v>
      </c>
      <c r="O65" s="58" t="s">
        <v>335</v>
      </c>
      <c r="P65" s="58" t="s">
        <v>60</v>
      </c>
      <c r="Q65" s="58" t="s">
        <v>61</v>
      </c>
      <c r="R65" s="58" t="s">
        <v>453</v>
      </c>
      <c r="S65" s="58" t="s">
        <v>454</v>
      </c>
      <c r="T65" s="58" t="s">
        <v>279</v>
      </c>
    </row>
    <row r="66" spans="1:20" ht="31.2">
      <c r="A66" s="58" t="s">
        <v>57</v>
      </c>
      <c r="B66" s="58" t="s">
        <v>48</v>
      </c>
      <c r="C66" s="58">
        <v>38</v>
      </c>
      <c r="D66" s="58" t="s">
        <v>333</v>
      </c>
      <c r="E66" s="58" t="s">
        <v>455</v>
      </c>
      <c r="F66" s="58" t="s">
        <v>274</v>
      </c>
      <c r="G66" s="58" t="s">
        <v>273</v>
      </c>
      <c r="H66" s="58"/>
      <c r="I66" s="58" t="s">
        <v>274</v>
      </c>
      <c r="J66" s="58"/>
      <c r="K66" s="58" t="s">
        <v>274</v>
      </c>
      <c r="L66" s="58" t="s">
        <v>288</v>
      </c>
      <c r="M66" s="58" t="s">
        <v>48</v>
      </c>
      <c r="N66" s="58">
        <v>0.621</v>
      </c>
      <c r="O66" s="58" t="s">
        <v>335</v>
      </c>
      <c r="P66" s="58" t="s">
        <v>60</v>
      </c>
      <c r="Q66" s="58" t="s">
        <v>61</v>
      </c>
      <c r="R66" s="58" t="s">
        <v>456</v>
      </c>
      <c r="S66" s="58" t="s">
        <v>457</v>
      </c>
      <c r="T66" s="58" t="s">
        <v>279</v>
      </c>
    </row>
    <row r="67" spans="1:20" ht="31.2">
      <c r="A67" s="58" t="s">
        <v>57</v>
      </c>
      <c r="B67" s="58" t="s">
        <v>48</v>
      </c>
      <c r="C67" s="58">
        <v>39</v>
      </c>
      <c r="D67" s="58" t="s">
        <v>333</v>
      </c>
      <c r="E67" s="58" t="s">
        <v>458</v>
      </c>
      <c r="F67" s="58" t="s">
        <v>274</v>
      </c>
      <c r="G67" s="58" t="s">
        <v>273</v>
      </c>
      <c r="H67" s="58"/>
      <c r="I67" s="58" t="s">
        <v>274</v>
      </c>
      <c r="J67" s="58"/>
      <c r="K67" s="58" t="s">
        <v>274</v>
      </c>
      <c r="L67" s="58" t="s">
        <v>288</v>
      </c>
      <c r="M67" s="58" t="s">
        <v>48</v>
      </c>
      <c r="N67" s="58">
        <v>0.52600000000000002</v>
      </c>
      <c r="O67" s="58" t="s">
        <v>335</v>
      </c>
      <c r="P67" s="58" t="s">
        <v>60</v>
      </c>
      <c r="Q67" s="58" t="s">
        <v>61</v>
      </c>
      <c r="R67" s="58" t="s">
        <v>459</v>
      </c>
      <c r="S67" s="58" t="s">
        <v>460</v>
      </c>
      <c r="T67" s="58" t="s">
        <v>279</v>
      </c>
    </row>
    <row r="68" spans="1:20" ht="31.2">
      <c r="A68" s="58" t="s">
        <v>57</v>
      </c>
      <c r="B68" s="58" t="s">
        <v>48</v>
      </c>
      <c r="C68" s="58">
        <v>40</v>
      </c>
      <c r="D68" s="58" t="s">
        <v>333</v>
      </c>
      <c r="E68" s="58" t="s">
        <v>461</v>
      </c>
      <c r="F68" s="58" t="s">
        <v>274</v>
      </c>
      <c r="G68" s="58" t="s">
        <v>273</v>
      </c>
      <c r="H68" s="58"/>
      <c r="I68" s="58" t="s">
        <v>274</v>
      </c>
      <c r="J68" s="58"/>
      <c r="K68" s="58" t="s">
        <v>274</v>
      </c>
      <c r="L68" s="58" t="s">
        <v>288</v>
      </c>
      <c r="M68" s="58" t="s">
        <v>48</v>
      </c>
      <c r="N68" s="58">
        <v>0.57799999999999996</v>
      </c>
      <c r="O68" s="58" t="s">
        <v>335</v>
      </c>
      <c r="P68" s="58" t="s">
        <v>60</v>
      </c>
      <c r="Q68" s="58" t="s">
        <v>61</v>
      </c>
      <c r="R68" s="58" t="s">
        <v>462</v>
      </c>
      <c r="S68" s="58" t="s">
        <v>463</v>
      </c>
      <c r="T68" s="58" t="s">
        <v>279</v>
      </c>
    </row>
    <row r="69" spans="1:20" ht="31.2">
      <c r="A69" s="58" t="s">
        <v>57</v>
      </c>
      <c r="B69" s="58" t="s">
        <v>48</v>
      </c>
      <c r="C69" s="58">
        <v>41</v>
      </c>
      <c r="D69" s="58" t="s">
        <v>333</v>
      </c>
      <c r="E69" s="58" t="s">
        <v>464</v>
      </c>
      <c r="F69" s="58" t="s">
        <v>274</v>
      </c>
      <c r="G69" s="58" t="s">
        <v>273</v>
      </c>
      <c r="H69" s="58"/>
      <c r="I69" s="58" t="s">
        <v>274</v>
      </c>
      <c r="J69" s="58"/>
      <c r="K69" s="58" t="s">
        <v>274</v>
      </c>
      <c r="L69" s="58" t="s">
        <v>288</v>
      </c>
      <c r="M69" s="58" t="s">
        <v>48</v>
      </c>
      <c r="N69" s="58">
        <v>0.27100000000000002</v>
      </c>
      <c r="O69" s="58" t="s">
        <v>335</v>
      </c>
      <c r="P69" s="58" t="s">
        <v>60</v>
      </c>
      <c r="Q69" s="58" t="s">
        <v>61</v>
      </c>
      <c r="R69" s="58" t="s">
        <v>465</v>
      </c>
      <c r="S69" s="58" t="s">
        <v>466</v>
      </c>
      <c r="T69" s="58" t="s">
        <v>279</v>
      </c>
    </row>
    <row r="70" spans="1:20" ht="31.2">
      <c r="A70" s="58" t="s">
        <v>57</v>
      </c>
      <c r="B70" s="58" t="s">
        <v>48</v>
      </c>
      <c r="C70" s="58">
        <v>42</v>
      </c>
      <c r="D70" s="58" t="s">
        <v>378</v>
      </c>
      <c r="E70" s="58" t="s">
        <v>467</v>
      </c>
      <c r="F70" s="58" t="s">
        <v>274</v>
      </c>
      <c r="G70" s="58" t="s">
        <v>273</v>
      </c>
      <c r="H70" s="58"/>
      <c r="I70" s="58" t="s">
        <v>274</v>
      </c>
      <c r="J70" s="58"/>
      <c r="K70" s="58"/>
      <c r="L70" s="58" t="s">
        <v>288</v>
      </c>
      <c r="M70" s="58" t="s">
        <v>48</v>
      </c>
      <c r="N70" s="58">
        <v>2.81</v>
      </c>
      <c r="O70" s="58" t="s">
        <v>380</v>
      </c>
      <c r="P70" s="58" t="s">
        <v>60</v>
      </c>
      <c r="Q70" s="58" t="s">
        <v>61</v>
      </c>
      <c r="R70" s="58" t="s">
        <v>468</v>
      </c>
      <c r="S70" s="58" t="s">
        <v>469</v>
      </c>
      <c r="T70" s="58" t="s">
        <v>279</v>
      </c>
    </row>
    <row r="71" spans="1:20" ht="31.2">
      <c r="A71" s="58" t="s">
        <v>57</v>
      </c>
      <c r="B71" s="58" t="s">
        <v>48</v>
      </c>
      <c r="C71" s="58">
        <v>43</v>
      </c>
      <c r="D71" s="58" t="s">
        <v>378</v>
      </c>
      <c r="E71" s="58" t="s">
        <v>470</v>
      </c>
      <c r="F71" s="58" t="s">
        <v>274</v>
      </c>
      <c r="G71" s="58" t="s">
        <v>273</v>
      </c>
      <c r="H71" s="58"/>
      <c r="I71" s="58" t="s">
        <v>274</v>
      </c>
      <c r="J71" s="58"/>
      <c r="K71" s="58"/>
      <c r="L71" s="58" t="s">
        <v>288</v>
      </c>
      <c r="M71" s="58" t="s">
        <v>48</v>
      </c>
      <c r="N71" s="58">
        <v>0.92300000000000004</v>
      </c>
      <c r="O71" s="58" t="s">
        <v>380</v>
      </c>
      <c r="P71" s="58" t="s">
        <v>60</v>
      </c>
      <c r="Q71" s="58" t="s">
        <v>61</v>
      </c>
      <c r="R71" s="58" t="s">
        <v>471</v>
      </c>
      <c r="S71" s="58" t="s">
        <v>472</v>
      </c>
      <c r="T71" s="58" t="s">
        <v>279</v>
      </c>
    </row>
    <row r="72" spans="1:20" ht="31.2">
      <c r="A72" s="58" t="s">
        <v>57</v>
      </c>
      <c r="B72" s="58" t="s">
        <v>48</v>
      </c>
      <c r="C72" s="58">
        <v>44</v>
      </c>
      <c r="D72" s="58" t="s">
        <v>361</v>
      </c>
      <c r="E72" s="58" t="s">
        <v>473</v>
      </c>
      <c r="F72" s="58" t="s">
        <v>274</v>
      </c>
      <c r="G72" s="58" t="s">
        <v>273</v>
      </c>
      <c r="H72" s="58"/>
      <c r="I72" s="58" t="s">
        <v>274</v>
      </c>
      <c r="J72" s="58"/>
      <c r="K72" s="58"/>
      <c r="L72" s="58" t="s">
        <v>288</v>
      </c>
      <c r="M72" s="58" t="s">
        <v>48</v>
      </c>
      <c r="N72" s="58">
        <v>7.0540000000000003</v>
      </c>
      <c r="O72" s="58" t="s">
        <v>363</v>
      </c>
      <c r="P72" s="58" t="s">
        <v>60</v>
      </c>
      <c r="Q72" s="58" t="s">
        <v>61</v>
      </c>
      <c r="R72" s="58" t="s">
        <v>474</v>
      </c>
      <c r="S72" s="58" t="s">
        <v>475</v>
      </c>
      <c r="T72" s="58" t="s">
        <v>279</v>
      </c>
    </row>
    <row r="73" spans="1:20" ht="31.2">
      <c r="A73" s="58" t="s">
        <v>57</v>
      </c>
      <c r="B73" s="58" t="s">
        <v>48</v>
      </c>
      <c r="C73" s="58">
        <v>45</v>
      </c>
      <c r="D73" s="58" t="s">
        <v>361</v>
      </c>
      <c r="E73" s="58" t="s">
        <v>476</v>
      </c>
      <c r="F73" s="58" t="s">
        <v>274</v>
      </c>
      <c r="G73" s="58" t="s">
        <v>273</v>
      </c>
      <c r="H73" s="58"/>
      <c r="I73" s="58" t="s">
        <v>274</v>
      </c>
      <c r="J73" s="58"/>
      <c r="K73" s="58"/>
      <c r="L73" s="58" t="s">
        <v>288</v>
      </c>
      <c r="M73" s="58" t="s">
        <v>48</v>
      </c>
      <c r="N73" s="58">
        <v>6.726</v>
      </c>
      <c r="O73" s="58" t="s">
        <v>363</v>
      </c>
      <c r="P73" s="58" t="s">
        <v>60</v>
      </c>
      <c r="Q73" s="58" t="s">
        <v>61</v>
      </c>
      <c r="R73" s="58" t="s">
        <v>477</v>
      </c>
      <c r="S73" s="58" t="s">
        <v>478</v>
      </c>
      <c r="T73" s="58" t="s">
        <v>279</v>
      </c>
    </row>
    <row r="74" spans="1:20" ht="31.2">
      <c r="A74" s="58" t="s">
        <v>57</v>
      </c>
      <c r="B74" s="58" t="s">
        <v>48</v>
      </c>
      <c r="C74" s="58">
        <v>46</v>
      </c>
      <c r="D74" s="58" t="s">
        <v>479</v>
      </c>
      <c r="E74" s="58" t="s">
        <v>467</v>
      </c>
      <c r="F74" s="58" t="s">
        <v>274</v>
      </c>
      <c r="G74" s="58" t="s">
        <v>273</v>
      </c>
      <c r="H74" s="58"/>
      <c r="I74" s="58" t="s">
        <v>273</v>
      </c>
      <c r="J74" s="58"/>
      <c r="K74" s="58"/>
      <c r="L74" s="58" t="s">
        <v>288</v>
      </c>
      <c r="M74" s="58" t="s">
        <v>48</v>
      </c>
      <c r="N74" s="58">
        <v>2.1389999999999998</v>
      </c>
      <c r="O74" s="58" t="s">
        <v>480</v>
      </c>
      <c r="P74" s="58" t="s">
        <v>60</v>
      </c>
      <c r="Q74" s="58" t="s">
        <v>61</v>
      </c>
      <c r="R74" s="58" t="s">
        <v>481</v>
      </c>
      <c r="S74" s="58" t="s">
        <v>482</v>
      </c>
      <c r="T74" s="58" t="s">
        <v>279</v>
      </c>
    </row>
    <row r="75" spans="1:20" ht="31.2">
      <c r="A75" s="58" t="s">
        <v>57</v>
      </c>
      <c r="B75" s="58" t="s">
        <v>48</v>
      </c>
      <c r="C75" s="58">
        <v>47</v>
      </c>
      <c r="D75" s="58" t="s">
        <v>479</v>
      </c>
      <c r="E75" s="58" t="s">
        <v>467</v>
      </c>
      <c r="F75" s="58" t="s">
        <v>274</v>
      </c>
      <c r="G75" s="58" t="s">
        <v>273</v>
      </c>
      <c r="H75" s="58"/>
      <c r="I75" s="58" t="s">
        <v>273</v>
      </c>
      <c r="J75" s="58"/>
      <c r="K75" s="58"/>
      <c r="L75" s="58" t="s">
        <v>288</v>
      </c>
      <c r="M75" s="58" t="s">
        <v>48</v>
      </c>
      <c r="N75" s="58">
        <v>5.2919999999999998</v>
      </c>
      <c r="O75" s="58" t="s">
        <v>480</v>
      </c>
      <c r="P75" s="58" t="s">
        <v>60</v>
      </c>
      <c r="Q75" s="58" t="s">
        <v>61</v>
      </c>
      <c r="R75" s="58" t="s">
        <v>483</v>
      </c>
      <c r="S75" s="58" t="s">
        <v>484</v>
      </c>
      <c r="T75" s="58" t="s">
        <v>279</v>
      </c>
    </row>
    <row r="76" spans="1:20" ht="31.2">
      <c r="A76" s="58" t="s">
        <v>57</v>
      </c>
      <c r="B76" s="58" t="s">
        <v>48</v>
      </c>
      <c r="C76" s="58">
        <v>48</v>
      </c>
      <c r="D76" s="58" t="s">
        <v>479</v>
      </c>
      <c r="E76" s="58" t="s">
        <v>470</v>
      </c>
      <c r="F76" s="58" t="s">
        <v>274</v>
      </c>
      <c r="G76" s="58" t="s">
        <v>273</v>
      </c>
      <c r="H76" s="58"/>
      <c r="I76" s="58" t="s">
        <v>273</v>
      </c>
      <c r="J76" s="58"/>
      <c r="K76" s="58"/>
      <c r="L76" s="58" t="s">
        <v>288</v>
      </c>
      <c r="M76" s="58" t="s">
        <v>48</v>
      </c>
      <c r="N76" s="58">
        <v>4.306</v>
      </c>
      <c r="O76" s="58" t="s">
        <v>480</v>
      </c>
      <c r="P76" s="58" t="s">
        <v>60</v>
      </c>
      <c r="Q76" s="58" t="s">
        <v>61</v>
      </c>
      <c r="R76" s="58" t="s">
        <v>485</v>
      </c>
      <c r="S76" s="58" t="s">
        <v>486</v>
      </c>
      <c r="T76" s="58" t="s">
        <v>279</v>
      </c>
    </row>
    <row r="77" spans="1:20" ht="31.2">
      <c r="A77" s="58" t="s">
        <v>57</v>
      </c>
      <c r="B77" s="58" t="s">
        <v>48</v>
      </c>
      <c r="C77" s="58">
        <v>49</v>
      </c>
      <c r="D77" s="58" t="s">
        <v>361</v>
      </c>
      <c r="E77" s="58" t="s">
        <v>487</v>
      </c>
      <c r="F77" s="58" t="s">
        <v>274</v>
      </c>
      <c r="G77" s="58" t="s">
        <v>273</v>
      </c>
      <c r="H77" s="58"/>
      <c r="I77" s="58" t="s">
        <v>274</v>
      </c>
      <c r="J77" s="58"/>
      <c r="K77" s="58"/>
      <c r="L77" s="58" t="s">
        <v>288</v>
      </c>
      <c r="M77" s="58" t="s">
        <v>48</v>
      </c>
      <c r="N77" s="58">
        <v>2.9780000000000002</v>
      </c>
      <c r="O77" s="58" t="s">
        <v>363</v>
      </c>
      <c r="P77" s="58" t="s">
        <v>60</v>
      </c>
      <c r="Q77" s="58" t="s">
        <v>61</v>
      </c>
      <c r="R77" s="58" t="s">
        <v>488</v>
      </c>
      <c r="S77" s="58" t="s">
        <v>489</v>
      </c>
      <c r="T77" s="58" t="s">
        <v>279</v>
      </c>
    </row>
    <row r="78" spans="1:20" ht="31.2">
      <c r="A78" s="58" t="s">
        <v>57</v>
      </c>
      <c r="B78" s="58" t="s">
        <v>48</v>
      </c>
      <c r="C78" s="58">
        <v>50</v>
      </c>
      <c r="D78" s="58" t="s">
        <v>361</v>
      </c>
      <c r="E78" s="58" t="s">
        <v>490</v>
      </c>
      <c r="F78" s="58" t="s">
        <v>274</v>
      </c>
      <c r="G78" s="58" t="s">
        <v>273</v>
      </c>
      <c r="H78" s="58"/>
      <c r="I78" s="58" t="s">
        <v>274</v>
      </c>
      <c r="J78" s="58"/>
      <c r="K78" s="58"/>
      <c r="L78" s="58" t="s">
        <v>288</v>
      </c>
      <c r="M78" s="58" t="s">
        <v>48</v>
      </c>
      <c r="N78" s="58">
        <v>5.4969999999999999</v>
      </c>
      <c r="O78" s="58" t="s">
        <v>363</v>
      </c>
      <c r="P78" s="58" t="s">
        <v>60</v>
      </c>
      <c r="Q78" s="58" t="s">
        <v>61</v>
      </c>
      <c r="R78" s="58" t="s">
        <v>491</v>
      </c>
      <c r="S78" s="58" t="s">
        <v>492</v>
      </c>
      <c r="T78" s="58" t="s">
        <v>279</v>
      </c>
    </row>
    <row r="79" spans="1:20" ht="31.2">
      <c r="A79" s="58" t="s">
        <v>63</v>
      </c>
      <c r="B79" s="58" t="s">
        <v>48</v>
      </c>
      <c r="C79" s="58">
        <v>1</v>
      </c>
      <c r="D79" s="58" t="s">
        <v>361</v>
      </c>
      <c r="E79" s="58" t="s">
        <v>493</v>
      </c>
      <c r="F79" s="58" t="s">
        <v>273</v>
      </c>
      <c r="G79" s="58" t="s">
        <v>273</v>
      </c>
      <c r="H79" s="58" t="s">
        <v>274</v>
      </c>
      <c r="I79" s="58" t="s">
        <v>274</v>
      </c>
      <c r="J79" s="58"/>
      <c r="K79" s="58"/>
      <c r="L79" s="58" t="s">
        <v>275</v>
      </c>
      <c r="M79" s="58" t="s">
        <v>48</v>
      </c>
      <c r="N79" s="58">
        <v>3.746</v>
      </c>
      <c r="O79" s="58" t="s">
        <v>494</v>
      </c>
      <c r="P79" s="58" t="s">
        <v>67</v>
      </c>
      <c r="Q79" s="58" t="s">
        <v>68</v>
      </c>
      <c r="R79" s="58" t="s">
        <v>495</v>
      </c>
      <c r="S79" s="58" t="s">
        <v>496</v>
      </c>
      <c r="T79" s="58" t="s">
        <v>279</v>
      </c>
    </row>
    <row r="80" spans="1:20" ht="31.2">
      <c r="A80" s="58" t="s">
        <v>63</v>
      </c>
      <c r="B80" s="58" t="s">
        <v>48</v>
      </c>
      <c r="C80" s="58">
        <v>2</v>
      </c>
      <c r="D80" s="58" t="s">
        <v>361</v>
      </c>
      <c r="E80" s="58" t="s">
        <v>497</v>
      </c>
      <c r="F80" s="58" t="s">
        <v>273</v>
      </c>
      <c r="G80" s="58" t="s">
        <v>273</v>
      </c>
      <c r="H80" s="58" t="s">
        <v>274</v>
      </c>
      <c r="I80" s="58" t="s">
        <v>274</v>
      </c>
      <c r="J80" s="58"/>
      <c r="K80" s="58"/>
      <c r="L80" s="58" t="s">
        <v>275</v>
      </c>
      <c r="M80" s="58" t="s">
        <v>48</v>
      </c>
      <c r="N80" s="58">
        <v>3.02</v>
      </c>
      <c r="O80" s="58" t="s">
        <v>494</v>
      </c>
      <c r="P80" s="58" t="s">
        <v>67</v>
      </c>
      <c r="Q80" s="58" t="s">
        <v>68</v>
      </c>
      <c r="R80" s="58" t="s">
        <v>498</v>
      </c>
      <c r="S80" s="58" t="s">
        <v>499</v>
      </c>
      <c r="T80" s="58" t="s">
        <v>279</v>
      </c>
    </row>
    <row r="81" spans="1:20" ht="31.2">
      <c r="A81" s="58" t="s">
        <v>63</v>
      </c>
      <c r="B81" s="58" t="s">
        <v>48</v>
      </c>
      <c r="C81" s="58">
        <v>3</v>
      </c>
      <c r="D81" s="58" t="s">
        <v>333</v>
      </c>
      <c r="E81" s="58" t="s">
        <v>500</v>
      </c>
      <c r="F81" s="58" t="s">
        <v>273</v>
      </c>
      <c r="G81" s="58" t="s">
        <v>273</v>
      </c>
      <c r="H81" s="58" t="s">
        <v>274</v>
      </c>
      <c r="I81" s="58" t="s">
        <v>274</v>
      </c>
      <c r="J81" s="58"/>
      <c r="K81" s="58" t="s">
        <v>274</v>
      </c>
      <c r="L81" s="58" t="s">
        <v>275</v>
      </c>
      <c r="M81" s="58" t="s">
        <v>48</v>
      </c>
      <c r="N81" s="58">
        <v>2.3E-2</v>
      </c>
      <c r="O81" s="58" t="s">
        <v>335</v>
      </c>
      <c r="P81" s="58" t="s">
        <v>67</v>
      </c>
      <c r="Q81" s="58" t="s">
        <v>68</v>
      </c>
      <c r="R81" s="58" t="s">
        <v>501</v>
      </c>
      <c r="S81" s="58" t="s">
        <v>502</v>
      </c>
      <c r="T81" s="58" t="s">
        <v>279</v>
      </c>
    </row>
    <row r="82" spans="1:20" ht="31.2">
      <c r="A82" s="58" t="s">
        <v>63</v>
      </c>
      <c r="B82" s="58" t="s">
        <v>48</v>
      </c>
      <c r="C82" s="58">
        <v>4</v>
      </c>
      <c r="D82" s="58" t="s">
        <v>333</v>
      </c>
      <c r="E82" s="58" t="s">
        <v>503</v>
      </c>
      <c r="F82" s="58" t="s">
        <v>273</v>
      </c>
      <c r="G82" s="58" t="s">
        <v>273</v>
      </c>
      <c r="H82" s="58" t="s">
        <v>274</v>
      </c>
      <c r="I82" s="58" t="s">
        <v>274</v>
      </c>
      <c r="J82" s="58"/>
      <c r="K82" s="58" t="s">
        <v>274</v>
      </c>
      <c r="L82" s="58" t="s">
        <v>275</v>
      </c>
      <c r="M82" s="58" t="s">
        <v>48</v>
      </c>
      <c r="N82" s="58">
        <v>1.9E-2</v>
      </c>
      <c r="O82" s="58" t="s">
        <v>335</v>
      </c>
      <c r="P82" s="58" t="s">
        <v>67</v>
      </c>
      <c r="Q82" s="58" t="s">
        <v>68</v>
      </c>
      <c r="R82" s="58" t="s">
        <v>504</v>
      </c>
      <c r="S82" s="58" t="s">
        <v>505</v>
      </c>
      <c r="T82" s="58" t="s">
        <v>279</v>
      </c>
    </row>
    <row r="83" spans="1:20" ht="31.2">
      <c r="A83" s="58" t="s">
        <v>63</v>
      </c>
      <c r="B83" s="58" t="s">
        <v>48</v>
      </c>
      <c r="C83" s="58">
        <v>5</v>
      </c>
      <c r="D83" s="58" t="s">
        <v>361</v>
      </c>
      <c r="E83" s="58" t="s">
        <v>506</v>
      </c>
      <c r="F83" s="58" t="s">
        <v>273</v>
      </c>
      <c r="G83" s="58" t="s">
        <v>273</v>
      </c>
      <c r="H83" s="58" t="s">
        <v>274</v>
      </c>
      <c r="I83" s="58" t="s">
        <v>274</v>
      </c>
      <c r="J83" s="58"/>
      <c r="K83" s="58"/>
      <c r="L83" s="58" t="s">
        <v>275</v>
      </c>
      <c r="M83" s="58" t="s">
        <v>48</v>
      </c>
      <c r="N83" s="58">
        <v>4.8630000000000004</v>
      </c>
      <c r="O83" s="58" t="s">
        <v>494</v>
      </c>
      <c r="P83" s="58" t="s">
        <v>67</v>
      </c>
      <c r="Q83" s="58" t="s">
        <v>68</v>
      </c>
      <c r="R83" s="58" t="s">
        <v>507</v>
      </c>
      <c r="S83" s="58" t="s">
        <v>508</v>
      </c>
      <c r="T83" s="58" t="s">
        <v>279</v>
      </c>
    </row>
    <row r="84" spans="1:20" ht="31.2">
      <c r="A84" s="58" t="s">
        <v>63</v>
      </c>
      <c r="B84" s="58" t="s">
        <v>48</v>
      </c>
      <c r="C84" s="58">
        <v>6</v>
      </c>
      <c r="D84" s="58" t="s">
        <v>361</v>
      </c>
      <c r="E84" s="58" t="s">
        <v>509</v>
      </c>
      <c r="F84" s="58" t="s">
        <v>273</v>
      </c>
      <c r="G84" s="58" t="s">
        <v>273</v>
      </c>
      <c r="H84" s="58" t="s">
        <v>274</v>
      </c>
      <c r="I84" s="58" t="s">
        <v>274</v>
      </c>
      <c r="J84" s="58"/>
      <c r="K84" s="58"/>
      <c r="L84" s="58" t="s">
        <v>275</v>
      </c>
      <c r="M84" s="58" t="s">
        <v>48</v>
      </c>
      <c r="N84" s="58">
        <v>2.2730000000000001</v>
      </c>
      <c r="O84" s="58" t="s">
        <v>494</v>
      </c>
      <c r="P84" s="58" t="s">
        <v>67</v>
      </c>
      <c r="Q84" s="58" t="s">
        <v>68</v>
      </c>
      <c r="R84" s="58" t="s">
        <v>510</v>
      </c>
      <c r="S84" s="58" t="s">
        <v>511</v>
      </c>
      <c r="T84" s="58" t="s">
        <v>279</v>
      </c>
    </row>
    <row r="85" spans="1:20" ht="31.2">
      <c r="A85" s="58" t="s">
        <v>63</v>
      </c>
      <c r="B85" s="58" t="s">
        <v>48</v>
      </c>
      <c r="C85" s="58">
        <v>7</v>
      </c>
      <c r="D85" s="58" t="s">
        <v>361</v>
      </c>
      <c r="E85" s="58" t="s">
        <v>512</v>
      </c>
      <c r="F85" s="58" t="s">
        <v>273</v>
      </c>
      <c r="G85" s="58" t="s">
        <v>274</v>
      </c>
      <c r="H85" s="58" t="s">
        <v>273</v>
      </c>
      <c r="I85" s="58" t="s">
        <v>274</v>
      </c>
      <c r="J85" s="58"/>
      <c r="K85" s="58"/>
      <c r="L85" s="58" t="s">
        <v>275</v>
      </c>
      <c r="M85" s="58" t="s">
        <v>48</v>
      </c>
      <c r="N85" s="58">
        <v>2.3079999999999998</v>
      </c>
      <c r="O85" s="58" t="s">
        <v>494</v>
      </c>
      <c r="P85" s="58" t="s">
        <v>67</v>
      </c>
      <c r="Q85" s="58" t="s">
        <v>68</v>
      </c>
      <c r="R85" s="58" t="s">
        <v>513</v>
      </c>
      <c r="S85" s="58" t="s">
        <v>514</v>
      </c>
      <c r="T85" s="58" t="s">
        <v>279</v>
      </c>
    </row>
    <row r="86" spans="1:20" ht="31.2">
      <c r="A86" s="58" t="s">
        <v>63</v>
      </c>
      <c r="B86" s="58" t="s">
        <v>48</v>
      </c>
      <c r="C86" s="58">
        <v>8</v>
      </c>
      <c r="D86" s="58" t="s">
        <v>378</v>
      </c>
      <c r="E86" s="58" t="s">
        <v>515</v>
      </c>
      <c r="F86" s="58" t="s">
        <v>273</v>
      </c>
      <c r="G86" s="58" t="s">
        <v>273</v>
      </c>
      <c r="H86" s="58" t="s">
        <v>274</v>
      </c>
      <c r="I86" s="58" t="s">
        <v>274</v>
      </c>
      <c r="J86" s="58"/>
      <c r="K86" s="58"/>
      <c r="L86" s="58" t="s">
        <v>275</v>
      </c>
      <c r="M86" s="58" t="s">
        <v>48</v>
      </c>
      <c r="N86" s="58">
        <v>1.2110000000000001</v>
      </c>
      <c r="O86" s="58" t="s">
        <v>380</v>
      </c>
      <c r="P86" s="58" t="s">
        <v>67</v>
      </c>
      <c r="Q86" s="58" t="s">
        <v>68</v>
      </c>
      <c r="R86" s="58" t="s">
        <v>516</v>
      </c>
      <c r="S86" s="58" t="s">
        <v>517</v>
      </c>
      <c r="T86" s="58" t="s">
        <v>279</v>
      </c>
    </row>
    <row r="87" spans="1:20" ht="31.2">
      <c r="A87" s="58" t="s">
        <v>63</v>
      </c>
      <c r="B87" s="58" t="s">
        <v>48</v>
      </c>
      <c r="C87" s="58">
        <v>9</v>
      </c>
      <c r="D87" s="58" t="s">
        <v>361</v>
      </c>
      <c r="E87" s="58" t="s">
        <v>518</v>
      </c>
      <c r="F87" s="58" t="s">
        <v>273</v>
      </c>
      <c r="G87" s="58" t="s">
        <v>273</v>
      </c>
      <c r="H87" s="58" t="s">
        <v>274</v>
      </c>
      <c r="I87" s="58" t="s">
        <v>274</v>
      </c>
      <c r="J87" s="58"/>
      <c r="K87" s="58"/>
      <c r="L87" s="58" t="s">
        <v>275</v>
      </c>
      <c r="M87" s="58" t="s">
        <v>48</v>
      </c>
      <c r="N87" s="58">
        <v>9.125</v>
      </c>
      <c r="O87" s="58" t="s">
        <v>494</v>
      </c>
      <c r="P87" s="58" t="s">
        <v>67</v>
      </c>
      <c r="Q87" s="58" t="s">
        <v>68</v>
      </c>
      <c r="R87" s="58" t="s">
        <v>519</v>
      </c>
      <c r="S87" s="58" t="s">
        <v>520</v>
      </c>
      <c r="T87" s="58" t="s">
        <v>279</v>
      </c>
    </row>
    <row r="88" spans="1:20" ht="31.2">
      <c r="A88" s="58" t="s">
        <v>63</v>
      </c>
      <c r="B88" s="58" t="s">
        <v>48</v>
      </c>
      <c r="C88" s="58">
        <v>10</v>
      </c>
      <c r="D88" s="58" t="s">
        <v>521</v>
      </c>
      <c r="E88" s="58" t="s">
        <v>522</v>
      </c>
      <c r="F88" s="58" t="s">
        <v>273</v>
      </c>
      <c r="G88" s="58" t="s">
        <v>273</v>
      </c>
      <c r="H88" s="58" t="s">
        <v>274</v>
      </c>
      <c r="I88" s="58" t="s">
        <v>274</v>
      </c>
      <c r="J88" s="58"/>
      <c r="K88" s="58"/>
      <c r="L88" s="58" t="s">
        <v>351</v>
      </c>
      <c r="M88" s="58" t="s">
        <v>48</v>
      </c>
      <c r="N88" s="58">
        <v>3.5999999999999997E-2</v>
      </c>
      <c r="O88" s="58" t="s">
        <v>523</v>
      </c>
      <c r="P88" s="58" t="s">
        <v>67</v>
      </c>
      <c r="Q88" s="58" t="s">
        <v>68</v>
      </c>
      <c r="R88" s="58" t="s">
        <v>524</v>
      </c>
      <c r="S88" s="58" t="s">
        <v>525</v>
      </c>
      <c r="T88" s="58" t="s">
        <v>279</v>
      </c>
    </row>
    <row r="89" spans="1:20" ht="31.2">
      <c r="A89" s="58" t="s">
        <v>63</v>
      </c>
      <c r="B89" s="58" t="s">
        <v>48</v>
      </c>
      <c r="C89" s="58">
        <v>11</v>
      </c>
      <c r="D89" s="58" t="s">
        <v>521</v>
      </c>
      <c r="E89" s="58" t="s">
        <v>526</v>
      </c>
      <c r="F89" s="58" t="s">
        <v>273</v>
      </c>
      <c r="G89" s="58" t="s">
        <v>273</v>
      </c>
      <c r="H89" s="58" t="s">
        <v>274</v>
      </c>
      <c r="I89" s="58" t="s">
        <v>274</v>
      </c>
      <c r="J89" s="58"/>
      <c r="K89" s="58"/>
      <c r="L89" s="58" t="s">
        <v>351</v>
      </c>
      <c r="M89" s="58" t="s">
        <v>48</v>
      </c>
      <c r="N89" s="58">
        <v>0.06</v>
      </c>
      <c r="O89" s="58" t="s">
        <v>523</v>
      </c>
      <c r="P89" s="58" t="s">
        <v>67</v>
      </c>
      <c r="Q89" s="58" t="s">
        <v>68</v>
      </c>
      <c r="R89" s="58" t="s">
        <v>527</v>
      </c>
      <c r="S89" s="58" t="s">
        <v>528</v>
      </c>
      <c r="T89" s="58" t="s">
        <v>279</v>
      </c>
    </row>
    <row r="90" spans="1:20" ht="31.2">
      <c r="A90" s="58" t="s">
        <v>63</v>
      </c>
      <c r="B90" s="58" t="s">
        <v>48</v>
      </c>
      <c r="C90" s="58">
        <v>12</v>
      </c>
      <c r="D90" s="58" t="s">
        <v>521</v>
      </c>
      <c r="E90" s="58" t="s">
        <v>529</v>
      </c>
      <c r="F90" s="58" t="s">
        <v>273</v>
      </c>
      <c r="G90" s="58" t="s">
        <v>273</v>
      </c>
      <c r="H90" s="58" t="s">
        <v>274</v>
      </c>
      <c r="I90" s="58" t="s">
        <v>274</v>
      </c>
      <c r="J90" s="58"/>
      <c r="K90" s="58"/>
      <c r="L90" s="58" t="s">
        <v>351</v>
      </c>
      <c r="M90" s="58" t="s">
        <v>48</v>
      </c>
      <c r="N90" s="58">
        <v>6.4000000000000001E-2</v>
      </c>
      <c r="O90" s="58" t="s">
        <v>523</v>
      </c>
      <c r="P90" s="58" t="s">
        <v>67</v>
      </c>
      <c r="Q90" s="58" t="s">
        <v>68</v>
      </c>
      <c r="R90" s="58" t="s">
        <v>530</v>
      </c>
      <c r="S90" s="58" t="s">
        <v>531</v>
      </c>
      <c r="T90" s="58" t="s">
        <v>279</v>
      </c>
    </row>
    <row r="91" spans="1:20" ht="31.2">
      <c r="A91" s="58" t="s">
        <v>63</v>
      </c>
      <c r="B91" s="58" t="s">
        <v>48</v>
      </c>
      <c r="C91" s="58">
        <v>13</v>
      </c>
      <c r="D91" s="58" t="s">
        <v>521</v>
      </c>
      <c r="E91" s="58" t="s">
        <v>532</v>
      </c>
      <c r="F91" s="58" t="s">
        <v>273</v>
      </c>
      <c r="G91" s="58" t="s">
        <v>273</v>
      </c>
      <c r="H91" s="58" t="s">
        <v>274</v>
      </c>
      <c r="I91" s="58" t="s">
        <v>274</v>
      </c>
      <c r="J91" s="58"/>
      <c r="K91" s="58"/>
      <c r="L91" s="58" t="s">
        <v>351</v>
      </c>
      <c r="M91" s="58" t="s">
        <v>48</v>
      </c>
      <c r="N91" s="58">
        <v>5.5E-2</v>
      </c>
      <c r="O91" s="58" t="s">
        <v>523</v>
      </c>
      <c r="P91" s="58" t="s">
        <v>67</v>
      </c>
      <c r="Q91" s="58" t="s">
        <v>68</v>
      </c>
      <c r="R91" s="58" t="s">
        <v>533</v>
      </c>
      <c r="S91" s="58" t="s">
        <v>534</v>
      </c>
      <c r="T91" s="58" t="s">
        <v>279</v>
      </c>
    </row>
    <row r="92" spans="1:20" ht="31.2">
      <c r="A92" s="58" t="s">
        <v>63</v>
      </c>
      <c r="B92" s="58" t="s">
        <v>48</v>
      </c>
      <c r="C92" s="58">
        <v>14</v>
      </c>
      <c r="D92" s="58" t="s">
        <v>521</v>
      </c>
      <c r="E92" s="58" t="s">
        <v>535</v>
      </c>
      <c r="F92" s="58" t="s">
        <v>273</v>
      </c>
      <c r="G92" s="58" t="s">
        <v>273</v>
      </c>
      <c r="H92" s="58" t="s">
        <v>274</v>
      </c>
      <c r="I92" s="58" t="s">
        <v>274</v>
      </c>
      <c r="J92" s="58"/>
      <c r="K92" s="58"/>
      <c r="L92" s="58" t="s">
        <v>351</v>
      </c>
      <c r="M92" s="58" t="s">
        <v>48</v>
      </c>
      <c r="N92" s="58">
        <v>2.8000000000000001E-2</v>
      </c>
      <c r="O92" s="58" t="s">
        <v>523</v>
      </c>
      <c r="P92" s="58" t="s">
        <v>67</v>
      </c>
      <c r="Q92" s="58" t="s">
        <v>68</v>
      </c>
      <c r="R92" s="58" t="s">
        <v>536</v>
      </c>
      <c r="S92" s="58" t="s">
        <v>537</v>
      </c>
      <c r="T92" s="58" t="s">
        <v>279</v>
      </c>
    </row>
    <row r="93" spans="1:20" ht="31.2">
      <c r="A93" s="58" t="s">
        <v>63</v>
      </c>
      <c r="B93" s="58" t="s">
        <v>48</v>
      </c>
      <c r="C93" s="58">
        <v>15</v>
      </c>
      <c r="D93" s="58" t="s">
        <v>521</v>
      </c>
      <c r="E93" s="58" t="s">
        <v>538</v>
      </c>
      <c r="F93" s="58" t="s">
        <v>273</v>
      </c>
      <c r="G93" s="58" t="s">
        <v>273</v>
      </c>
      <c r="H93" s="58" t="s">
        <v>274</v>
      </c>
      <c r="I93" s="58" t="s">
        <v>274</v>
      </c>
      <c r="J93" s="58"/>
      <c r="K93" s="58"/>
      <c r="L93" s="58" t="s">
        <v>351</v>
      </c>
      <c r="M93" s="58" t="s">
        <v>48</v>
      </c>
      <c r="N93" s="58">
        <v>2.4E-2</v>
      </c>
      <c r="O93" s="58" t="s">
        <v>539</v>
      </c>
      <c r="P93" s="58" t="s">
        <v>67</v>
      </c>
      <c r="Q93" s="58" t="s">
        <v>68</v>
      </c>
      <c r="R93" s="58" t="s">
        <v>540</v>
      </c>
      <c r="S93" s="58" t="s">
        <v>541</v>
      </c>
      <c r="T93" s="58" t="s">
        <v>279</v>
      </c>
    </row>
    <row r="94" spans="1:20" ht="31.2">
      <c r="A94" s="58" t="s">
        <v>63</v>
      </c>
      <c r="B94" s="58" t="s">
        <v>48</v>
      </c>
      <c r="C94" s="58">
        <v>16</v>
      </c>
      <c r="D94" s="58" t="s">
        <v>378</v>
      </c>
      <c r="E94" s="58" t="s">
        <v>542</v>
      </c>
      <c r="F94" s="58" t="s">
        <v>273</v>
      </c>
      <c r="G94" s="58" t="s">
        <v>273</v>
      </c>
      <c r="H94" s="58" t="s">
        <v>274</v>
      </c>
      <c r="I94" s="58" t="s">
        <v>274</v>
      </c>
      <c r="J94" s="58"/>
      <c r="K94" s="58"/>
      <c r="L94" s="58" t="s">
        <v>275</v>
      </c>
      <c r="M94" s="58" t="s">
        <v>48</v>
      </c>
      <c r="N94" s="58">
        <v>0.04</v>
      </c>
      <c r="O94" s="58" t="s">
        <v>380</v>
      </c>
      <c r="P94" s="58" t="s">
        <v>67</v>
      </c>
      <c r="Q94" s="58" t="s">
        <v>68</v>
      </c>
      <c r="R94" s="58" t="s">
        <v>543</v>
      </c>
      <c r="S94" s="58" t="s">
        <v>544</v>
      </c>
      <c r="T94" s="58" t="s">
        <v>279</v>
      </c>
    </row>
    <row r="95" spans="1:20" ht="31.2">
      <c r="A95" s="58" t="s">
        <v>63</v>
      </c>
      <c r="B95" s="58" t="s">
        <v>48</v>
      </c>
      <c r="C95" s="58">
        <v>17</v>
      </c>
      <c r="D95" s="58" t="s">
        <v>361</v>
      </c>
      <c r="E95" s="58" t="s">
        <v>545</v>
      </c>
      <c r="F95" s="58" t="s">
        <v>273</v>
      </c>
      <c r="G95" s="58" t="s">
        <v>273</v>
      </c>
      <c r="H95" s="58" t="s">
        <v>274</v>
      </c>
      <c r="I95" s="58" t="s">
        <v>274</v>
      </c>
      <c r="J95" s="58"/>
      <c r="K95" s="58"/>
      <c r="L95" s="58" t="s">
        <v>275</v>
      </c>
      <c r="M95" s="58" t="s">
        <v>48</v>
      </c>
      <c r="N95" s="58">
        <v>16.562999999999999</v>
      </c>
      <c r="O95" s="58" t="s">
        <v>494</v>
      </c>
      <c r="P95" s="58" t="s">
        <v>67</v>
      </c>
      <c r="Q95" s="58" t="s">
        <v>68</v>
      </c>
      <c r="R95" s="58" t="s">
        <v>546</v>
      </c>
      <c r="S95" s="58" t="s">
        <v>547</v>
      </c>
      <c r="T95" s="58" t="s">
        <v>279</v>
      </c>
    </row>
    <row r="96" spans="1:20" ht="31.2">
      <c r="A96" s="58" t="s">
        <v>63</v>
      </c>
      <c r="B96" s="58" t="s">
        <v>48</v>
      </c>
      <c r="C96" s="58">
        <v>18</v>
      </c>
      <c r="D96" s="58" t="s">
        <v>378</v>
      </c>
      <c r="E96" s="58" t="s">
        <v>548</v>
      </c>
      <c r="F96" s="58" t="s">
        <v>273</v>
      </c>
      <c r="G96" s="58" t="s">
        <v>273</v>
      </c>
      <c r="H96" s="58" t="s">
        <v>274</v>
      </c>
      <c r="I96" s="58" t="s">
        <v>274</v>
      </c>
      <c r="J96" s="58"/>
      <c r="K96" s="58"/>
      <c r="L96" s="58" t="s">
        <v>275</v>
      </c>
      <c r="M96" s="58" t="s">
        <v>48</v>
      </c>
      <c r="N96" s="58">
        <v>4.2000000000000003E-2</v>
      </c>
      <c r="O96" s="58" t="s">
        <v>380</v>
      </c>
      <c r="P96" s="58" t="s">
        <v>67</v>
      </c>
      <c r="Q96" s="58" t="s">
        <v>68</v>
      </c>
      <c r="R96" s="58" t="s">
        <v>549</v>
      </c>
      <c r="S96" s="58" t="s">
        <v>550</v>
      </c>
      <c r="T96" s="58" t="s">
        <v>279</v>
      </c>
    </row>
    <row r="97" spans="1:20" ht="31.2">
      <c r="A97" s="58" t="s">
        <v>63</v>
      </c>
      <c r="B97" s="58" t="s">
        <v>48</v>
      </c>
      <c r="C97" s="58">
        <v>19</v>
      </c>
      <c r="D97" s="58" t="s">
        <v>361</v>
      </c>
      <c r="E97" s="58" t="s">
        <v>551</v>
      </c>
      <c r="F97" s="58" t="s">
        <v>273</v>
      </c>
      <c r="G97" s="58" t="s">
        <v>273</v>
      </c>
      <c r="H97" s="58" t="s">
        <v>273</v>
      </c>
      <c r="I97" s="58" t="s">
        <v>274</v>
      </c>
      <c r="J97" s="58"/>
      <c r="K97" s="58"/>
      <c r="L97" s="58" t="s">
        <v>275</v>
      </c>
      <c r="M97" s="58" t="s">
        <v>48</v>
      </c>
      <c r="N97" s="58">
        <v>11.509</v>
      </c>
      <c r="O97" s="58" t="s">
        <v>494</v>
      </c>
      <c r="P97" s="58" t="s">
        <v>67</v>
      </c>
      <c r="Q97" s="58" t="s">
        <v>68</v>
      </c>
      <c r="R97" s="58" t="s">
        <v>552</v>
      </c>
      <c r="S97" s="58" t="s">
        <v>553</v>
      </c>
      <c r="T97" s="58" t="s">
        <v>279</v>
      </c>
    </row>
    <row r="98" spans="1:20" ht="31.2">
      <c r="A98" s="58" t="s">
        <v>63</v>
      </c>
      <c r="B98" s="58" t="s">
        <v>48</v>
      </c>
      <c r="C98" s="58">
        <v>20</v>
      </c>
      <c r="D98" s="58" t="s">
        <v>479</v>
      </c>
      <c r="E98" s="58" t="s">
        <v>548</v>
      </c>
      <c r="F98" s="58" t="s">
        <v>273</v>
      </c>
      <c r="G98" s="58" t="s">
        <v>273</v>
      </c>
      <c r="H98" s="58" t="s">
        <v>274</v>
      </c>
      <c r="I98" s="58" t="s">
        <v>273</v>
      </c>
      <c r="J98" s="58" t="s">
        <v>273</v>
      </c>
      <c r="K98" s="58"/>
      <c r="L98" s="58" t="s">
        <v>275</v>
      </c>
      <c r="M98" s="58" t="s">
        <v>48</v>
      </c>
      <c r="N98" s="58">
        <v>3.5999999999999997E-2</v>
      </c>
      <c r="O98" s="58" t="s">
        <v>554</v>
      </c>
      <c r="P98" s="58" t="s">
        <v>67</v>
      </c>
      <c r="Q98" s="58" t="s">
        <v>68</v>
      </c>
      <c r="R98" s="58" t="s">
        <v>555</v>
      </c>
      <c r="S98" s="58" t="s">
        <v>556</v>
      </c>
      <c r="T98" s="58" t="s">
        <v>279</v>
      </c>
    </row>
    <row r="99" spans="1:20" ht="31.2">
      <c r="A99" s="58" t="s">
        <v>63</v>
      </c>
      <c r="B99" s="58" t="s">
        <v>48</v>
      </c>
      <c r="C99" s="58">
        <v>21</v>
      </c>
      <c r="D99" s="58" t="s">
        <v>361</v>
      </c>
      <c r="E99" s="58" t="s">
        <v>557</v>
      </c>
      <c r="F99" s="58" t="s">
        <v>273</v>
      </c>
      <c r="G99" s="58" t="s">
        <v>273</v>
      </c>
      <c r="H99" s="58" t="s">
        <v>274</v>
      </c>
      <c r="I99" s="58" t="s">
        <v>274</v>
      </c>
      <c r="J99" s="58"/>
      <c r="K99" s="58"/>
      <c r="L99" s="58" t="s">
        <v>275</v>
      </c>
      <c r="M99" s="58" t="s">
        <v>48</v>
      </c>
      <c r="N99" s="58">
        <v>10.065</v>
      </c>
      <c r="O99" s="58" t="s">
        <v>494</v>
      </c>
      <c r="P99" s="58" t="s">
        <v>67</v>
      </c>
      <c r="Q99" s="58" t="s">
        <v>68</v>
      </c>
      <c r="R99" s="58" t="s">
        <v>558</v>
      </c>
      <c r="S99" s="58" t="s">
        <v>559</v>
      </c>
      <c r="T99" s="58" t="s">
        <v>279</v>
      </c>
    </row>
    <row r="100" spans="1:20" ht="31.2">
      <c r="A100" s="58" t="s">
        <v>63</v>
      </c>
      <c r="B100" s="58" t="s">
        <v>48</v>
      </c>
      <c r="C100" s="58">
        <v>22</v>
      </c>
      <c r="D100" s="58" t="s">
        <v>378</v>
      </c>
      <c r="E100" s="58" t="s">
        <v>560</v>
      </c>
      <c r="F100" s="58" t="s">
        <v>273</v>
      </c>
      <c r="G100" s="58" t="s">
        <v>273</v>
      </c>
      <c r="H100" s="58" t="s">
        <v>274</v>
      </c>
      <c r="I100" s="58" t="s">
        <v>274</v>
      </c>
      <c r="J100" s="58"/>
      <c r="K100" s="58"/>
      <c r="L100" s="58" t="s">
        <v>275</v>
      </c>
      <c r="M100" s="58" t="s">
        <v>48</v>
      </c>
      <c r="N100" s="58">
        <v>4.9000000000000002E-2</v>
      </c>
      <c r="O100" s="58" t="s">
        <v>380</v>
      </c>
      <c r="P100" s="58" t="s">
        <v>67</v>
      </c>
      <c r="Q100" s="58" t="s">
        <v>68</v>
      </c>
      <c r="R100" s="58" t="s">
        <v>561</v>
      </c>
      <c r="S100" s="58" t="s">
        <v>562</v>
      </c>
      <c r="T100" s="58" t="s">
        <v>279</v>
      </c>
    </row>
    <row r="101" spans="1:20" ht="31.2">
      <c r="A101" s="58" t="s">
        <v>63</v>
      </c>
      <c r="B101" s="58" t="s">
        <v>48</v>
      </c>
      <c r="C101" s="58">
        <v>23</v>
      </c>
      <c r="D101" s="58" t="s">
        <v>361</v>
      </c>
      <c r="E101" s="58" t="s">
        <v>563</v>
      </c>
      <c r="F101" s="58" t="s">
        <v>273</v>
      </c>
      <c r="G101" s="58" t="s">
        <v>273</v>
      </c>
      <c r="H101" s="58" t="s">
        <v>274</v>
      </c>
      <c r="I101" s="58" t="s">
        <v>274</v>
      </c>
      <c r="J101" s="58"/>
      <c r="K101" s="58"/>
      <c r="L101" s="58" t="s">
        <v>275</v>
      </c>
      <c r="M101" s="58" t="s">
        <v>48</v>
      </c>
      <c r="N101" s="58">
        <v>13.006</v>
      </c>
      <c r="O101" s="58" t="s">
        <v>494</v>
      </c>
      <c r="P101" s="58" t="s">
        <v>67</v>
      </c>
      <c r="Q101" s="58" t="s">
        <v>68</v>
      </c>
      <c r="R101" s="58" t="s">
        <v>564</v>
      </c>
      <c r="S101" s="58" t="s">
        <v>565</v>
      </c>
      <c r="T101" s="58" t="s">
        <v>279</v>
      </c>
    </row>
    <row r="102" spans="1:20" ht="31.2">
      <c r="A102" s="58" t="s">
        <v>63</v>
      </c>
      <c r="B102" s="58" t="s">
        <v>48</v>
      </c>
      <c r="C102" s="58">
        <v>24</v>
      </c>
      <c r="D102" s="58" t="s">
        <v>378</v>
      </c>
      <c r="E102" s="58" t="s">
        <v>566</v>
      </c>
      <c r="F102" s="58" t="s">
        <v>273</v>
      </c>
      <c r="G102" s="58" t="s">
        <v>273</v>
      </c>
      <c r="H102" s="58" t="s">
        <v>274</v>
      </c>
      <c r="I102" s="58" t="s">
        <v>274</v>
      </c>
      <c r="J102" s="58"/>
      <c r="K102" s="58"/>
      <c r="L102" s="58" t="s">
        <v>275</v>
      </c>
      <c r="M102" s="58" t="s">
        <v>48</v>
      </c>
      <c r="N102" s="58">
        <v>0.05</v>
      </c>
      <c r="O102" s="58" t="s">
        <v>380</v>
      </c>
      <c r="P102" s="58" t="s">
        <v>67</v>
      </c>
      <c r="Q102" s="58" t="s">
        <v>68</v>
      </c>
      <c r="R102" s="58" t="s">
        <v>567</v>
      </c>
      <c r="S102" s="58" t="s">
        <v>568</v>
      </c>
      <c r="T102" s="58" t="s">
        <v>279</v>
      </c>
    </row>
    <row r="103" spans="1:20" ht="31.2">
      <c r="A103" s="58" t="s">
        <v>63</v>
      </c>
      <c r="B103" s="58" t="s">
        <v>48</v>
      </c>
      <c r="C103" s="58">
        <v>25</v>
      </c>
      <c r="D103" s="58" t="s">
        <v>361</v>
      </c>
      <c r="E103" s="58" t="s">
        <v>569</v>
      </c>
      <c r="F103" s="58" t="s">
        <v>273</v>
      </c>
      <c r="G103" s="58" t="s">
        <v>273</v>
      </c>
      <c r="H103" s="58" t="s">
        <v>273</v>
      </c>
      <c r="I103" s="58" t="s">
        <v>274</v>
      </c>
      <c r="J103" s="58"/>
      <c r="K103" s="58"/>
      <c r="L103" s="58" t="s">
        <v>275</v>
      </c>
      <c r="M103" s="58" t="s">
        <v>48</v>
      </c>
      <c r="N103" s="58">
        <v>3.2570000000000001</v>
      </c>
      <c r="O103" s="58" t="s">
        <v>494</v>
      </c>
      <c r="P103" s="58" t="s">
        <v>67</v>
      </c>
      <c r="Q103" s="58" t="s">
        <v>68</v>
      </c>
      <c r="R103" s="58" t="s">
        <v>570</v>
      </c>
      <c r="S103" s="58" t="s">
        <v>571</v>
      </c>
      <c r="T103" s="58" t="s">
        <v>279</v>
      </c>
    </row>
    <row r="104" spans="1:20" ht="31.2">
      <c r="A104" s="58" t="s">
        <v>63</v>
      </c>
      <c r="B104" s="58" t="s">
        <v>48</v>
      </c>
      <c r="C104" s="58">
        <v>26</v>
      </c>
      <c r="D104" s="58" t="s">
        <v>479</v>
      </c>
      <c r="E104" s="58" t="s">
        <v>566</v>
      </c>
      <c r="F104" s="58" t="s">
        <v>273</v>
      </c>
      <c r="G104" s="58" t="s">
        <v>273</v>
      </c>
      <c r="H104" s="58" t="s">
        <v>274</v>
      </c>
      <c r="I104" s="58" t="s">
        <v>273</v>
      </c>
      <c r="J104" s="58" t="s">
        <v>273</v>
      </c>
      <c r="K104" s="58"/>
      <c r="L104" s="58" t="s">
        <v>275</v>
      </c>
      <c r="M104" s="58" t="s">
        <v>48</v>
      </c>
      <c r="N104" s="58">
        <v>7.3999999999999996E-2</v>
      </c>
      <c r="O104" s="58" t="s">
        <v>554</v>
      </c>
      <c r="P104" s="58" t="s">
        <v>67</v>
      </c>
      <c r="Q104" s="58" t="s">
        <v>68</v>
      </c>
      <c r="R104" s="58" t="s">
        <v>572</v>
      </c>
      <c r="S104" s="58" t="s">
        <v>573</v>
      </c>
      <c r="T104" s="58" t="s">
        <v>279</v>
      </c>
    </row>
    <row r="105" spans="1:20" ht="31.2">
      <c r="A105" s="58" t="s">
        <v>63</v>
      </c>
      <c r="B105" s="58" t="s">
        <v>48</v>
      </c>
      <c r="C105" s="58">
        <v>27</v>
      </c>
      <c r="D105" s="58" t="s">
        <v>361</v>
      </c>
      <c r="E105" s="58" t="s">
        <v>574</v>
      </c>
      <c r="F105" s="58" t="s">
        <v>273</v>
      </c>
      <c r="G105" s="58" t="s">
        <v>273</v>
      </c>
      <c r="H105" s="58" t="s">
        <v>274</v>
      </c>
      <c r="I105" s="58" t="s">
        <v>274</v>
      </c>
      <c r="J105" s="58"/>
      <c r="K105" s="58"/>
      <c r="L105" s="58" t="s">
        <v>275</v>
      </c>
      <c r="M105" s="58" t="s">
        <v>48</v>
      </c>
      <c r="N105" s="58">
        <v>19.373999999999999</v>
      </c>
      <c r="O105" s="58" t="s">
        <v>494</v>
      </c>
      <c r="P105" s="58" t="s">
        <v>67</v>
      </c>
      <c r="Q105" s="58" t="s">
        <v>68</v>
      </c>
      <c r="R105" s="58" t="s">
        <v>575</v>
      </c>
      <c r="S105" s="58" t="s">
        <v>576</v>
      </c>
      <c r="T105" s="58" t="s">
        <v>279</v>
      </c>
    </row>
    <row r="106" spans="1:20" ht="31.2">
      <c r="A106" s="58" t="s">
        <v>63</v>
      </c>
      <c r="B106" s="58" t="s">
        <v>48</v>
      </c>
      <c r="C106" s="58">
        <v>28</v>
      </c>
      <c r="D106" s="58" t="s">
        <v>521</v>
      </c>
      <c r="E106" s="58" t="s">
        <v>577</v>
      </c>
      <c r="F106" s="58" t="s">
        <v>273</v>
      </c>
      <c r="G106" s="58" t="s">
        <v>273</v>
      </c>
      <c r="H106" s="58" t="s">
        <v>274</v>
      </c>
      <c r="I106" s="58" t="s">
        <v>274</v>
      </c>
      <c r="J106" s="58"/>
      <c r="K106" s="58"/>
      <c r="L106" s="58" t="s">
        <v>351</v>
      </c>
      <c r="M106" s="58" t="s">
        <v>48</v>
      </c>
      <c r="N106" s="58">
        <v>4.1000000000000002E-2</v>
      </c>
      <c r="O106" s="58" t="s">
        <v>539</v>
      </c>
      <c r="P106" s="58" t="s">
        <v>67</v>
      </c>
      <c r="Q106" s="58" t="s">
        <v>68</v>
      </c>
      <c r="R106" s="58" t="s">
        <v>578</v>
      </c>
      <c r="S106" s="58" t="s">
        <v>579</v>
      </c>
      <c r="T106" s="58" t="s">
        <v>279</v>
      </c>
    </row>
    <row r="107" spans="1:20" ht="31.2">
      <c r="A107" s="58" t="s">
        <v>63</v>
      </c>
      <c r="B107" s="58" t="s">
        <v>48</v>
      </c>
      <c r="C107" s="58">
        <v>29</v>
      </c>
      <c r="D107" s="58" t="s">
        <v>521</v>
      </c>
      <c r="E107" s="58" t="s">
        <v>580</v>
      </c>
      <c r="F107" s="58" t="s">
        <v>273</v>
      </c>
      <c r="G107" s="58" t="s">
        <v>273</v>
      </c>
      <c r="H107" s="58" t="s">
        <v>274</v>
      </c>
      <c r="I107" s="58" t="s">
        <v>274</v>
      </c>
      <c r="J107" s="58"/>
      <c r="K107" s="58"/>
      <c r="L107" s="58" t="s">
        <v>351</v>
      </c>
      <c r="M107" s="58" t="s">
        <v>48</v>
      </c>
      <c r="N107" s="58">
        <v>3.9E-2</v>
      </c>
      <c r="O107" s="58" t="s">
        <v>539</v>
      </c>
      <c r="P107" s="58" t="s">
        <v>67</v>
      </c>
      <c r="Q107" s="58" t="s">
        <v>68</v>
      </c>
      <c r="R107" s="58" t="s">
        <v>581</v>
      </c>
      <c r="S107" s="58" t="s">
        <v>582</v>
      </c>
      <c r="T107" s="58" t="s">
        <v>279</v>
      </c>
    </row>
    <row r="108" spans="1:20" ht="31.2">
      <c r="A108" s="58" t="s">
        <v>63</v>
      </c>
      <c r="B108" s="58" t="s">
        <v>48</v>
      </c>
      <c r="C108" s="58">
        <v>30</v>
      </c>
      <c r="D108" s="58" t="s">
        <v>378</v>
      </c>
      <c r="E108" s="58" t="s">
        <v>583</v>
      </c>
      <c r="F108" s="58" t="s">
        <v>273</v>
      </c>
      <c r="G108" s="58" t="s">
        <v>273</v>
      </c>
      <c r="H108" s="58" t="s">
        <v>274</v>
      </c>
      <c r="I108" s="58" t="s">
        <v>274</v>
      </c>
      <c r="J108" s="58"/>
      <c r="K108" s="58"/>
      <c r="L108" s="58" t="s">
        <v>275</v>
      </c>
      <c r="M108" s="58" t="s">
        <v>48</v>
      </c>
      <c r="N108" s="58">
        <v>4.8000000000000001E-2</v>
      </c>
      <c r="O108" s="58" t="s">
        <v>380</v>
      </c>
      <c r="P108" s="58" t="s">
        <v>67</v>
      </c>
      <c r="Q108" s="58" t="s">
        <v>68</v>
      </c>
      <c r="R108" s="58" t="s">
        <v>584</v>
      </c>
      <c r="S108" s="58" t="s">
        <v>585</v>
      </c>
      <c r="T108" s="58" t="s">
        <v>279</v>
      </c>
    </row>
    <row r="109" spans="1:20" ht="31.2">
      <c r="A109" s="58" t="s">
        <v>63</v>
      </c>
      <c r="B109" s="58" t="s">
        <v>48</v>
      </c>
      <c r="C109" s="58">
        <v>31</v>
      </c>
      <c r="D109" s="58" t="s">
        <v>361</v>
      </c>
      <c r="E109" s="58" t="s">
        <v>586</v>
      </c>
      <c r="F109" s="58" t="s">
        <v>273</v>
      </c>
      <c r="G109" s="58" t="s">
        <v>273</v>
      </c>
      <c r="H109" s="58" t="s">
        <v>274</v>
      </c>
      <c r="I109" s="58" t="s">
        <v>274</v>
      </c>
      <c r="J109" s="58"/>
      <c r="K109" s="58"/>
      <c r="L109" s="58" t="s">
        <v>275</v>
      </c>
      <c r="M109" s="58" t="s">
        <v>48</v>
      </c>
      <c r="N109" s="58">
        <v>8.5090000000000003</v>
      </c>
      <c r="O109" s="58" t="s">
        <v>494</v>
      </c>
      <c r="P109" s="58" t="s">
        <v>67</v>
      </c>
      <c r="Q109" s="58" t="s">
        <v>68</v>
      </c>
      <c r="R109" s="58" t="s">
        <v>587</v>
      </c>
      <c r="S109" s="58" t="s">
        <v>588</v>
      </c>
      <c r="T109" s="58" t="s">
        <v>279</v>
      </c>
    </row>
    <row r="110" spans="1:20" ht="31.2">
      <c r="A110" s="58" t="s">
        <v>63</v>
      </c>
      <c r="B110" s="58" t="s">
        <v>48</v>
      </c>
      <c r="C110" s="58">
        <v>32</v>
      </c>
      <c r="D110" s="58" t="s">
        <v>378</v>
      </c>
      <c r="E110" s="58" t="s">
        <v>589</v>
      </c>
      <c r="F110" s="58" t="s">
        <v>273</v>
      </c>
      <c r="G110" s="58" t="s">
        <v>273</v>
      </c>
      <c r="H110" s="58" t="s">
        <v>274</v>
      </c>
      <c r="I110" s="58" t="s">
        <v>274</v>
      </c>
      <c r="J110" s="58"/>
      <c r="K110" s="58"/>
      <c r="L110" s="58" t="s">
        <v>275</v>
      </c>
      <c r="M110" s="58" t="s">
        <v>48</v>
      </c>
      <c r="N110" s="58">
        <v>4.7E-2</v>
      </c>
      <c r="O110" s="58" t="s">
        <v>380</v>
      </c>
      <c r="P110" s="58" t="s">
        <v>67</v>
      </c>
      <c r="Q110" s="58" t="s">
        <v>68</v>
      </c>
      <c r="R110" s="58" t="s">
        <v>590</v>
      </c>
      <c r="S110" s="58" t="s">
        <v>591</v>
      </c>
      <c r="T110" s="58" t="s">
        <v>279</v>
      </c>
    </row>
    <row r="111" spans="1:20" ht="31.2">
      <c r="A111" s="58" t="s">
        <v>63</v>
      </c>
      <c r="B111" s="58" t="s">
        <v>48</v>
      </c>
      <c r="C111" s="58">
        <v>33</v>
      </c>
      <c r="D111" s="58" t="s">
        <v>361</v>
      </c>
      <c r="E111" s="58" t="s">
        <v>592</v>
      </c>
      <c r="F111" s="58" t="s">
        <v>273</v>
      </c>
      <c r="G111" s="58" t="s">
        <v>273</v>
      </c>
      <c r="H111" s="58" t="s">
        <v>274</v>
      </c>
      <c r="I111" s="58" t="s">
        <v>274</v>
      </c>
      <c r="J111" s="58"/>
      <c r="K111" s="58"/>
      <c r="L111" s="58" t="s">
        <v>275</v>
      </c>
      <c r="M111" s="58" t="s">
        <v>48</v>
      </c>
      <c r="N111" s="58">
        <v>5.81</v>
      </c>
      <c r="O111" s="58" t="s">
        <v>494</v>
      </c>
      <c r="P111" s="58" t="s">
        <v>67</v>
      </c>
      <c r="Q111" s="58" t="s">
        <v>68</v>
      </c>
      <c r="R111" s="58" t="s">
        <v>593</v>
      </c>
      <c r="S111" s="58" t="s">
        <v>594</v>
      </c>
      <c r="T111" s="58" t="s">
        <v>279</v>
      </c>
    </row>
    <row r="112" spans="1:20" ht="31.2">
      <c r="A112" s="58" t="s">
        <v>63</v>
      </c>
      <c r="B112" s="58" t="s">
        <v>48</v>
      </c>
      <c r="C112" s="58">
        <v>34</v>
      </c>
      <c r="D112" s="58" t="s">
        <v>378</v>
      </c>
      <c r="E112" s="58" t="s">
        <v>595</v>
      </c>
      <c r="F112" s="58" t="s">
        <v>273</v>
      </c>
      <c r="G112" s="58" t="s">
        <v>273</v>
      </c>
      <c r="H112" s="58" t="s">
        <v>274</v>
      </c>
      <c r="I112" s="58" t="s">
        <v>274</v>
      </c>
      <c r="J112" s="58"/>
      <c r="K112" s="58"/>
      <c r="L112" s="58" t="s">
        <v>288</v>
      </c>
      <c r="M112" s="58" t="s">
        <v>48</v>
      </c>
      <c r="N112" s="58">
        <v>9.2999999999999999E-2</v>
      </c>
      <c r="O112" s="58" t="s">
        <v>380</v>
      </c>
      <c r="P112" s="58" t="s">
        <v>67</v>
      </c>
      <c r="Q112" s="58" t="s">
        <v>68</v>
      </c>
      <c r="R112" s="58" t="s">
        <v>596</v>
      </c>
      <c r="S112" s="58" t="s">
        <v>597</v>
      </c>
      <c r="T112" s="58" t="s">
        <v>279</v>
      </c>
    </row>
    <row r="113" spans="1:20" ht="31.2">
      <c r="A113" s="58" t="s">
        <v>63</v>
      </c>
      <c r="B113" s="58" t="s">
        <v>48</v>
      </c>
      <c r="C113" s="58">
        <v>35</v>
      </c>
      <c r="D113" s="58" t="s">
        <v>361</v>
      </c>
      <c r="E113" s="58" t="s">
        <v>598</v>
      </c>
      <c r="F113" s="58" t="s">
        <v>273</v>
      </c>
      <c r="G113" s="58" t="s">
        <v>273</v>
      </c>
      <c r="H113" s="58" t="s">
        <v>274</v>
      </c>
      <c r="I113" s="58" t="s">
        <v>274</v>
      </c>
      <c r="J113" s="58"/>
      <c r="K113" s="58"/>
      <c r="L113" s="58" t="s">
        <v>288</v>
      </c>
      <c r="M113" s="58" t="s">
        <v>48</v>
      </c>
      <c r="N113" s="58">
        <v>50.347999999999999</v>
      </c>
      <c r="O113" s="58" t="s">
        <v>494</v>
      </c>
      <c r="P113" s="58" t="s">
        <v>67</v>
      </c>
      <c r="Q113" s="58" t="s">
        <v>68</v>
      </c>
      <c r="R113" s="58" t="s">
        <v>599</v>
      </c>
      <c r="S113" s="58" t="s">
        <v>600</v>
      </c>
      <c r="T113" s="58" t="s">
        <v>279</v>
      </c>
    </row>
    <row r="114" spans="1:20" ht="31.2">
      <c r="A114" s="58" t="s">
        <v>63</v>
      </c>
      <c r="B114" s="58" t="s">
        <v>48</v>
      </c>
      <c r="C114" s="58">
        <v>36</v>
      </c>
      <c r="D114" s="58" t="s">
        <v>378</v>
      </c>
      <c r="E114" s="58" t="s">
        <v>595</v>
      </c>
      <c r="F114" s="58" t="s">
        <v>273</v>
      </c>
      <c r="G114" s="58" t="s">
        <v>273</v>
      </c>
      <c r="H114" s="58" t="s">
        <v>274</v>
      </c>
      <c r="I114" s="58" t="s">
        <v>274</v>
      </c>
      <c r="J114" s="58"/>
      <c r="K114" s="58"/>
      <c r="L114" s="58" t="s">
        <v>288</v>
      </c>
      <c r="M114" s="58" t="s">
        <v>48</v>
      </c>
      <c r="N114" s="58">
        <v>7.5999999999999998E-2</v>
      </c>
      <c r="O114" s="58" t="s">
        <v>380</v>
      </c>
      <c r="P114" s="58" t="s">
        <v>67</v>
      </c>
      <c r="Q114" s="58" t="s">
        <v>68</v>
      </c>
      <c r="R114" s="58" t="s">
        <v>601</v>
      </c>
      <c r="S114" s="58" t="s">
        <v>602</v>
      </c>
      <c r="T114" s="58" t="s">
        <v>279</v>
      </c>
    </row>
    <row r="115" spans="1:20" ht="31.2">
      <c r="A115" s="58" t="s">
        <v>63</v>
      </c>
      <c r="B115" s="58" t="s">
        <v>48</v>
      </c>
      <c r="C115" s="58">
        <v>37</v>
      </c>
      <c r="D115" s="58" t="s">
        <v>361</v>
      </c>
      <c r="E115" s="58" t="s">
        <v>603</v>
      </c>
      <c r="F115" s="58" t="s">
        <v>273</v>
      </c>
      <c r="G115" s="58" t="s">
        <v>273</v>
      </c>
      <c r="H115" s="58" t="s">
        <v>273</v>
      </c>
      <c r="I115" s="58" t="s">
        <v>274</v>
      </c>
      <c r="J115" s="58"/>
      <c r="K115" s="58"/>
      <c r="L115" s="58" t="s">
        <v>604</v>
      </c>
      <c r="M115" s="58" t="s">
        <v>48</v>
      </c>
      <c r="N115" s="58">
        <v>2.5030000000000001</v>
      </c>
      <c r="O115" s="58" t="s">
        <v>494</v>
      </c>
      <c r="P115" s="58" t="s">
        <v>67</v>
      </c>
      <c r="Q115" s="58" t="s">
        <v>68</v>
      </c>
      <c r="R115" s="58" t="s">
        <v>605</v>
      </c>
      <c r="S115" s="58" t="s">
        <v>606</v>
      </c>
      <c r="T115" s="58" t="s">
        <v>279</v>
      </c>
    </row>
    <row r="116" spans="1:20" ht="31.2">
      <c r="A116" s="58" t="s">
        <v>63</v>
      </c>
      <c r="B116" s="58" t="s">
        <v>48</v>
      </c>
      <c r="C116" s="58">
        <v>38</v>
      </c>
      <c r="D116" s="58" t="s">
        <v>479</v>
      </c>
      <c r="E116" s="58" t="s">
        <v>595</v>
      </c>
      <c r="F116" s="58" t="s">
        <v>273</v>
      </c>
      <c r="G116" s="58" t="s">
        <v>273</v>
      </c>
      <c r="H116" s="58" t="s">
        <v>274</v>
      </c>
      <c r="I116" s="58" t="s">
        <v>273</v>
      </c>
      <c r="J116" s="58" t="s">
        <v>273</v>
      </c>
      <c r="K116" s="58"/>
      <c r="L116" s="58" t="s">
        <v>288</v>
      </c>
      <c r="M116" s="58" t="s">
        <v>48</v>
      </c>
      <c r="N116" s="58">
        <v>6.6000000000000003E-2</v>
      </c>
      <c r="O116" s="58" t="s">
        <v>554</v>
      </c>
      <c r="P116" s="58" t="s">
        <v>67</v>
      </c>
      <c r="Q116" s="58" t="s">
        <v>68</v>
      </c>
      <c r="R116" s="58" t="s">
        <v>607</v>
      </c>
      <c r="S116" s="58" t="s">
        <v>608</v>
      </c>
      <c r="T116" s="58" t="s">
        <v>279</v>
      </c>
    </row>
    <row r="117" spans="1:20" ht="31.2">
      <c r="A117" s="58" t="s">
        <v>63</v>
      </c>
      <c r="B117" s="58" t="s">
        <v>48</v>
      </c>
      <c r="C117" s="58">
        <v>39</v>
      </c>
      <c r="D117" s="58" t="s">
        <v>361</v>
      </c>
      <c r="E117" s="58" t="s">
        <v>609</v>
      </c>
      <c r="F117" s="58" t="s">
        <v>273</v>
      </c>
      <c r="G117" s="58" t="s">
        <v>273</v>
      </c>
      <c r="H117" s="58" t="s">
        <v>274</v>
      </c>
      <c r="I117" s="58" t="s">
        <v>274</v>
      </c>
      <c r="J117" s="58"/>
      <c r="K117" s="58"/>
      <c r="L117" s="58" t="s">
        <v>288</v>
      </c>
      <c r="M117" s="58" t="s">
        <v>48</v>
      </c>
      <c r="N117" s="58">
        <v>16.228000000000002</v>
      </c>
      <c r="O117" s="58" t="s">
        <v>494</v>
      </c>
      <c r="P117" s="58" t="s">
        <v>67</v>
      </c>
      <c r="Q117" s="58" t="s">
        <v>68</v>
      </c>
      <c r="R117" s="58" t="s">
        <v>610</v>
      </c>
      <c r="S117" s="58" t="s">
        <v>611</v>
      </c>
      <c r="T117" s="58" t="s">
        <v>279</v>
      </c>
    </row>
    <row r="118" spans="1:20" ht="31.2">
      <c r="A118" s="58" t="s">
        <v>63</v>
      </c>
      <c r="B118" s="58" t="s">
        <v>48</v>
      </c>
      <c r="C118" s="58">
        <v>40</v>
      </c>
      <c r="D118" s="58" t="s">
        <v>479</v>
      </c>
      <c r="E118" s="58" t="s">
        <v>595</v>
      </c>
      <c r="F118" s="58" t="s">
        <v>273</v>
      </c>
      <c r="G118" s="58" t="s">
        <v>273</v>
      </c>
      <c r="H118" s="58" t="s">
        <v>274</v>
      </c>
      <c r="I118" s="58" t="s">
        <v>273</v>
      </c>
      <c r="J118" s="58" t="s">
        <v>273</v>
      </c>
      <c r="K118" s="58"/>
      <c r="L118" s="58" t="s">
        <v>288</v>
      </c>
      <c r="M118" s="58" t="s">
        <v>48</v>
      </c>
      <c r="N118" s="58">
        <v>4.3999999999999997E-2</v>
      </c>
      <c r="O118" s="58" t="s">
        <v>554</v>
      </c>
      <c r="P118" s="58" t="s">
        <v>67</v>
      </c>
      <c r="Q118" s="58" t="s">
        <v>68</v>
      </c>
      <c r="R118" s="58" t="s">
        <v>612</v>
      </c>
      <c r="S118" s="58" t="s">
        <v>613</v>
      </c>
      <c r="T118" s="58" t="s">
        <v>279</v>
      </c>
    </row>
    <row r="119" spans="1:20" ht="31.2">
      <c r="A119" s="58" t="s">
        <v>63</v>
      </c>
      <c r="B119" s="58" t="s">
        <v>48</v>
      </c>
      <c r="C119" s="58">
        <v>41</v>
      </c>
      <c r="D119" s="58" t="s">
        <v>479</v>
      </c>
      <c r="E119" s="58" t="s">
        <v>595</v>
      </c>
      <c r="F119" s="58" t="s">
        <v>273</v>
      </c>
      <c r="G119" s="58" t="s">
        <v>273</v>
      </c>
      <c r="H119" s="58" t="s">
        <v>274</v>
      </c>
      <c r="I119" s="58" t="s">
        <v>273</v>
      </c>
      <c r="J119" s="58" t="s">
        <v>273</v>
      </c>
      <c r="K119" s="58"/>
      <c r="L119" s="58" t="s">
        <v>288</v>
      </c>
      <c r="M119" s="58" t="s">
        <v>48</v>
      </c>
      <c r="N119" s="58">
        <v>6.3E-2</v>
      </c>
      <c r="O119" s="58" t="s">
        <v>554</v>
      </c>
      <c r="P119" s="58" t="s">
        <v>67</v>
      </c>
      <c r="Q119" s="58" t="s">
        <v>68</v>
      </c>
      <c r="R119" s="58" t="s">
        <v>614</v>
      </c>
      <c r="S119" s="58" t="s">
        <v>615</v>
      </c>
      <c r="T119" s="58" t="s">
        <v>279</v>
      </c>
    </row>
    <row r="120" spans="1:20" ht="31.2">
      <c r="A120" s="58" t="s">
        <v>63</v>
      </c>
      <c r="B120" s="58" t="s">
        <v>48</v>
      </c>
      <c r="C120" s="58">
        <v>42</v>
      </c>
      <c r="D120" s="58" t="s">
        <v>361</v>
      </c>
      <c r="E120" s="58" t="s">
        <v>616</v>
      </c>
      <c r="F120" s="58" t="s">
        <v>273</v>
      </c>
      <c r="G120" s="58" t="s">
        <v>273</v>
      </c>
      <c r="H120" s="58" t="s">
        <v>273</v>
      </c>
      <c r="I120" s="58" t="s">
        <v>274</v>
      </c>
      <c r="J120" s="58"/>
      <c r="K120" s="58"/>
      <c r="L120" s="58" t="s">
        <v>604</v>
      </c>
      <c r="M120" s="58" t="s">
        <v>48</v>
      </c>
      <c r="N120" s="58">
        <v>1.752</v>
      </c>
      <c r="O120" s="58" t="s">
        <v>494</v>
      </c>
      <c r="P120" s="58" t="s">
        <v>67</v>
      </c>
      <c r="Q120" s="58" t="s">
        <v>68</v>
      </c>
      <c r="R120" s="58" t="s">
        <v>617</v>
      </c>
      <c r="S120" s="58" t="s">
        <v>618</v>
      </c>
      <c r="T120" s="58" t="s">
        <v>279</v>
      </c>
    </row>
    <row r="121" spans="1:20" ht="31.2">
      <c r="A121" s="58" t="s">
        <v>63</v>
      </c>
      <c r="B121" s="58" t="s">
        <v>48</v>
      </c>
      <c r="C121" s="58">
        <v>43</v>
      </c>
      <c r="D121" s="58" t="s">
        <v>479</v>
      </c>
      <c r="E121" s="58" t="s">
        <v>595</v>
      </c>
      <c r="F121" s="58" t="s">
        <v>273</v>
      </c>
      <c r="G121" s="58" t="s">
        <v>273</v>
      </c>
      <c r="H121" s="58" t="s">
        <v>274</v>
      </c>
      <c r="I121" s="58" t="s">
        <v>273</v>
      </c>
      <c r="J121" s="58" t="s">
        <v>273</v>
      </c>
      <c r="K121" s="58"/>
      <c r="L121" s="58" t="s">
        <v>288</v>
      </c>
      <c r="M121" s="58" t="s">
        <v>48</v>
      </c>
      <c r="N121" s="58">
        <v>7.1999999999999995E-2</v>
      </c>
      <c r="O121" s="58" t="s">
        <v>554</v>
      </c>
      <c r="P121" s="58" t="s">
        <v>67</v>
      </c>
      <c r="Q121" s="58" t="s">
        <v>68</v>
      </c>
      <c r="R121" s="58" t="s">
        <v>619</v>
      </c>
      <c r="S121" s="58" t="s">
        <v>620</v>
      </c>
      <c r="T121" s="58" t="s">
        <v>279</v>
      </c>
    </row>
    <row r="122" spans="1:20" ht="31.2">
      <c r="A122" s="58" t="s">
        <v>63</v>
      </c>
      <c r="B122" s="58" t="s">
        <v>48</v>
      </c>
      <c r="C122" s="58">
        <v>44</v>
      </c>
      <c r="D122" s="58" t="s">
        <v>361</v>
      </c>
      <c r="E122" s="58" t="s">
        <v>621</v>
      </c>
      <c r="F122" s="58" t="s">
        <v>273</v>
      </c>
      <c r="G122" s="58" t="s">
        <v>273</v>
      </c>
      <c r="H122" s="58" t="s">
        <v>274</v>
      </c>
      <c r="I122" s="58" t="s">
        <v>274</v>
      </c>
      <c r="J122" s="58"/>
      <c r="K122" s="58"/>
      <c r="L122" s="58" t="s">
        <v>288</v>
      </c>
      <c r="M122" s="58" t="s">
        <v>48</v>
      </c>
      <c r="N122" s="58">
        <v>4.0410000000000004</v>
      </c>
      <c r="O122" s="58" t="s">
        <v>494</v>
      </c>
      <c r="P122" s="58" t="s">
        <v>67</v>
      </c>
      <c r="Q122" s="58" t="s">
        <v>68</v>
      </c>
      <c r="R122" s="58" t="s">
        <v>622</v>
      </c>
      <c r="S122" s="58" t="s">
        <v>623</v>
      </c>
      <c r="T122" s="58" t="s">
        <v>279</v>
      </c>
    </row>
    <row r="123" spans="1:20" ht="31.2">
      <c r="A123" s="58" t="s">
        <v>63</v>
      </c>
      <c r="B123" s="58" t="s">
        <v>48</v>
      </c>
      <c r="C123" s="58">
        <v>45</v>
      </c>
      <c r="D123" s="58" t="s">
        <v>378</v>
      </c>
      <c r="E123" s="58" t="s">
        <v>624</v>
      </c>
      <c r="F123" s="58" t="s">
        <v>273</v>
      </c>
      <c r="G123" s="58" t="s">
        <v>273</v>
      </c>
      <c r="H123" s="58" t="s">
        <v>274</v>
      </c>
      <c r="I123" s="58" t="s">
        <v>274</v>
      </c>
      <c r="J123" s="58"/>
      <c r="K123" s="58"/>
      <c r="L123" s="58" t="s">
        <v>288</v>
      </c>
      <c r="M123" s="58" t="s">
        <v>48</v>
      </c>
      <c r="N123" s="58">
        <v>7.1999999999999995E-2</v>
      </c>
      <c r="O123" s="58" t="s">
        <v>380</v>
      </c>
      <c r="P123" s="58" t="s">
        <v>67</v>
      </c>
      <c r="Q123" s="58" t="s">
        <v>68</v>
      </c>
      <c r="R123" s="58" t="s">
        <v>625</v>
      </c>
      <c r="S123" s="58" t="s">
        <v>626</v>
      </c>
      <c r="T123" s="58" t="s">
        <v>279</v>
      </c>
    </row>
    <row r="124" spans="1:20" ht="31.2">
      <c r="A124" s="58" t="s">
        <v>63</v>
      </c>
      <c r="B124" s="58" t="s">
        <v>48</v>
      </c>
      <c r="C124" s="58">
        <v>46</v>
      </c>
      <c r="D124" s="58" t="s">
        <v>361</v>
      </c>
      <c r="E124" s="58" t="s">
        <v>627</v>
      </c>
      <c r="F124" s="58" t="s">
        <v>273</v>
      </c>
      <c r="G124" s="58" t="s">
        <v>273</v>
      </c>
      <c r="H124" s="58" t="s">
        <v>274</v>
      </c>
      <c r="I124" s="58" t="s">
        <v>274</v>
      </c>
      <c r="J124" s="58"/>
      <c r="K124" s="58"/>
      <c r="L124" s="58" t="s">
        <v>288</v>
      </c>
      <c r="M124" s="58" t="s">
        <v>48</v>
      </c>
      <c r="N124" s="58">
        <v>81.962000000000003</v>
      </c>
      <c r="O124" s="58" t="s">
        <v>494</v>
      </c>
      <c r="P124" s="58" t="s">
        <v>67</v>
      </c>
      <c r="Q124" s="58" t="s">
        <v>68</v>
      </c>
      <c r="R124" s="58" t="s">
        <v>628</v>
      </c>
      <c r="S124" s="58" t="s">
        <v>629</v>
      </c>
      <c r="T124" s="58" t="s">
        <v>279</v>
      </c>
    </row>
    <row r="125" spans="1:20" ht="31.2">
      <c r="A125" s="58" t="s">
        <v>63</v>
      </c>
      <c r="B125" s="58" t="s">
        <v>48</v>
      </c>
      <c r="C125" s="58">
        <v>47</v>
      </c>
      <c r="D125" s="58" t="s">
        <v>479</v>
      </c>
      <c r="E125" s="58" t="s">
        <v>624</v>
      </c>
      <c r="F125" s="58" t="s">
        <v>273</v>
      </c>
      <c r="G125" s="58" t="s">
        <v>273</v>
      </c>
      <c r="H125" s="58" t="s">
        <v>274</v>
      </c>
      <c r="I125" s="58" t="s">
        <v>273</v>
      </c>
      <c r="J125" s="58" t="s">
        <v>273</v>
      </c>
      <c r="K125" s="58"/>
      <c r="L125" s="58" t="s">
        <v>288</v>
      </c>
      <c r="M125" s="58" t="s">
        <v>48</v>
      </c>
      <c r="N125" s="58">
        <v>7.0999999999999994E-2</v>
      </c>
      <c r="O125" s="58" t="s">
        <v>554</v>
      </c>
      <c r="P125" s="58" t="s">
        <v>67</v>
      </c>
      <c r="Q125" s="58" t="s">
        <v>68</v>
      </c>
      <c r="R125" s="58" t="s">
        <v>630</v>
      </c>
      <c r="S125" s="58" t="s">
        <v>631</v>
      </c>
      <c r="T125" s="58" t="s">
        <v>279</v>
      </c>
    </row>
    <row r="126" spans="1:20" ht="31.2">
      <c r="A126" s="58" t="s">
        <v>63</v>
      </c>
      <c r="B126" s="58" t="s">
        <v>48</v>
      </c>
      <c r="C126" s="58">
        <v>48</v>
      </c>
      <c r="D126" s="58" t="s">
        <v>479</v>
      </c>
      <c r="E126" s="58" t="s">
        <v>624</v>
      </c>
      <c r="F126" s="58" t="s">
        <v>273</v>
      </c>
      <c r="G126" s="58" t="s">
        <v>273</v>
      </c>
      <c r="H126" s="58" t="s">
        <v>274</v>
      </c>
      <c r="I126" s="58" t="s">
        <v>273</v>
      </c>
      <c r="J126" s="58" t="s">
        <v>273</v>
      </c>
      <c r="K126" s="58"/>
      <c r="L126" s="58" t="s">
        <v>288</v>
      </c>
      <c r="M126" s="58" t="s">
        <v>48</v>
      </c>
      <c r="N126" s="58">
        <v>6.6000000000000003E-2</v>
      </c>
      <c r="O126" s="58" t="s">
        <v>554</v>
      </c>
      <c r="P126" s="58" t="s">
        <v>67</v>
      </c>
      <c r="Q126" s="58" t="s">
        <v>68</v>
      </c>
      <c r="R126" s="58" t="s">
        <v>632</v>
      </c>
      <c r="S126" s="58" t="s">
        <v>633</v>
      </c>
      <c r="T126" s="58" t="s">
        <v>279</v>
      </c>
    </row>
    <row r="127" spans="1:20" ht="31.2">
      <c r="A127" s="58" t="s">
        <v>63</v>
      </c>
      <c r="B127" s="58" t="s">
        <v>48</v>
      </c>
      <c r="C127" s="58">
        <v>49</v>
      </c>
      <c r="D127" s="58" t="s">
        <v>361</v>
      </c>
      <c r="E127" s="58" t="s">
        <v>634</v>
      </c>
      <c r="F127" s="58" t="s">
        <v>273</v>
      </c>
      <c r="G127" s="58" t="s">
        <v>273</v>
      </c>
      <c r="H127" s="58" t="s">
        <v>274</v>
      </c>
      <c r="I127" s="58" t="s">
        <v>274</v>
      </c>
      <c r="J127" s="58"/>
      <c r="K127" s="58"/>
      <c r="L127" s="58" t="s">
        <v>288</v>
      </c>
      <c r="M127" s="58" t="s">
        <v>48</v>
      </c>
      <c r="N127" s="58">
        <v>42.296999999999997</v>
      </c>
      <c r="O127" s="58" t="s">
        <v>494</v>
      </c>
      <c r="P127" s="58" t="s">
        <v>67</v>
      </c>
      <c r="Q127" s="58" t="s">
        <v>68</v>
      </c>
      <c r="R127" s="58" t="s">
        <v>635</v>
      </c>
      <c r="S127" s="58" t="s">
        <v>636</v>
      </c>
      <c r="T127" s="58" t="s">
        <v>279</v>
      </c>
    </row>
    <row r="128" spans="1:20" ht="31.2">
      <c r="A128" s="58" t="s">
        <v>63</v>
      </c>
      <c r="B128" s="58" t="s">
        <v>48</v>
      </c>
      <c r="C128" s="58">
        <v>50</v>
      </c>
      <c r="D128" s="58" t="s">
        <v>361</v>
      </c>
      <c r="E128" s="58" t="s">
        <v>637</v>
      </c>
      <c r="F128" s="58" t="s">
        <v>273</v>
      </c>
      <c r="G128" s="58" t="s">
        <v>273</v>
      </c>
      <c r="H128" s="58" t="s">
        <v>274</v>
      </c>
      <c r="I128" s="58" t="s">
        <v>274</v>
      </c>
      <c r="J128" s="58"/>
      <c r="K128" s="58"/>
      <c r="L128" s="58" t="s">
        <v>288</v>
      </c>
      <c r="M128" s="58" t="s">
        <v>48</v>
      </c>
      <c r="N128" s="58">
        <v>31.553000000000001</v>
      </c>
      <c r="O128" s="58" t="s">
        <v>494</v>
      </c>
      <c r="P128" s="58" t="s">
        <v>67</v>
      </c>
      <c r="Q128" s="58" t="s">
        <v>68</v>
      </c>
      <c r="R128" s="58" t="s">
        <v>638</v>
      </c>
      <c r="S128" s="58" t="s">
        <v>639</v>
      </c>
      <c r="T128" s="58" t="s">
        <v>279</v>
      </c>
    </row>
    <row r="129" spans="1:20" ht="31.2">
      <c r="A129" s="58" t="s">
        <v>63</v>
      </c>
      <c r="B129" s="58" t="s">
        <v>48</v>
      </c>
      <c r="C129" s="58">
        <v>51</v>
      </c>
      <c r="D129" s="58" t="s">
        <v>378</v>
      </c>
      <c r="E129" s="58" t="s">
        <v>640</v>
      </c>
      <c r="F129" s="58" t="s">
        <v>273</v>
      </c>
      <c r="G129" s="58" t="s">
        <v>273</v>
      </c>
      <c r="H129" s="58" t="s">
        <v>274</v>
      </c>
      <c r="I129" s="58" t="s">
        <v>274</v>
      </c>
      <c r="J129" s="58"/>
      <c r="K129" s="58"/>
      <c r="L129" s="58" t="s">
        <v>288</v>
      </c>
      <c r="M129" s="58" t="s">
        <v>48</v>
      </c>
      <c r="N129" s="58">
        <v>5.5E-2</v>
      </c>
      <c r="O129" s="58" t="s">
        <v>380</v>
      </c>
      <c r="P129" s="58" t="s">
        <v>67</v>
      </c>
      <c r="Q129" s="58" t="s">
        <v>68</v>
      </c>
      <c r="R129" s="58" t="s">
        <v>641</v>
      </c>
      <c r="S129" s="58" t="s">
        <v>642</v>
      </c>
      <c r="T129" s="58" t="s">
        <v>279</v>
      </c>
    </row>
    <row r="130" spans="1:20" ht="31.2">
      <c r="A130" s="58" t="s">
        <v>63</v>
      </c>
      <c r="B130" s="58" t="s">
        <v>48</v>
      </c>
      <c r="C130" s="58">
        <v>52</v>
      </c>
      <c r="D130" s="58" t="s">
        <v>361</v>
      </c>
      <c r="E130" s="58" t="s">
        <v>643</v>
      </c>
      <c r="F130" s="58" t="s">
        <v>273</v>
      </c>
      <c r="G130" s="58" t="s">
        <v>273</v>
      </c>
      <c r="H130" s="58" t="s">
        <v>274</v>
      </c>
      <c r="I130" s="58" t="s">
        <v>274</v>
      </c>
      <c r="J130" s="58"/>
      <c r="K130" s="58"/>
      <c r="L130" s="58" t="s">
        <v>288</v>
      </c>
      <c r="M130" s="58" t="s">
        <v>48</v>
      </c>
      <c r="N130" s="58">
        <v>14.343</v>
      </c>
      <c r="O130" s="58" t="s">
        <v>494</v>
      </c>
      <c r="P130" s="58" t="s">
        <v>67</v>
      </c>
      <c r="Q130" s="58" t="s">
        <v>68</v>
      </c>
      <c r="R130" s="58" t="s">
        <v>644</v>
      </c>
      <c r="S130" s="58" t="s">
        <v>645</v>
      </c>
      <c r="T130" s="58" t="s">
        <v>279</v>
      </c>
    </row>
    <row r="131" spans="1:20" ht="31.2">
      <c r="A131" s="58" t="s">
        <v>63</v>
      </c>
      <c r="B131" s="58" t="s">
        <v>48</v>
      </c>
      <c r="C131" s="58">
        <v>53</v>
      </c>
      <c r="D131" s="58" t="s">
        <v>378</v>
      </c>
      <c r="E131" s="58" t="s">
        <v>646</v>
      </c>
      <c r="F131" s="58" t="s">
        <v>273</v>
      </c>
      <c r="G131" s="58" t="s">
        <v>273</v>
      </c>
      <c r="H131" s="58" t="s">
        <v>274</v>
      </c>
      <c r="I131" s="58" t="s">
        <v>274</v>
      </c>
      <c r="J131" s="58"/>
      <c r="K131" s="58"/>
      <c r="L131" s="58" t="s">
        <v>288</v>
      </c>
      <c r="M131" s="58" t="s">
        <v>48</v>
      </c>
      <c r="N131" s="58">
        <v>5.1999999999999998E-2</v>
      </c>
      <c r="O131" s="58" t="s">
        <v>380</v>
      </c>
      <c r="P131" s="58" t="s">
        <v>67</v>
      </c>
      <c r="Q131" s="58" t="s">
        <v>68</v>
      </c>
      <c r="R131" s="58" t="s">
        <v>647</v>
      </c>
      <c r="S131" s="58" t="s">
        <v>648</v>
      </c>
      <c r="T131" s="58" t="s">
        <v>279</v>
      </c>
    </row>
    <row r="132" spans="1:20" ht="31.2">
      <c r="A132" s="58" t="s">
        <v>63</v>
      </c>
      <c r="B132" s="58" t="s">
        <v>48</v>
      </c>
      <c r="C132" s="58">
        <v>54</v>
      </c>
      <c r="D132" s="58" t="s">
        <v>361</v>
      </c>
      <c r="E132" s="58" t="s">
        <v>649</v>
      </c>
      <c r="F132" s="58" t="s">
        <v>273</v>
      </c>
      <c r="G132" s="58" t="s">
        <v>273</v>
      </c>
      <c r="H132" s="58" t="s">
        <v>274</v>
      </c>
      <c r="I132" s="58" t="s">
        <v>274</v>
      </c>
      <c r="J132" s="58"/>
      <c r="K132" s="58"/>
      <c r="L132" s="58" t="s">
        <v>288</v>
      </c>
      <c r="M132" s="58" t="s">
        <v>48</v>
      </c>
      <c r="N132" s="58">
        <v>21.155000000000001</v>
      </c>
      <c r="O132" s="58" t="s">
        <v>494</v>
      </c>
      <c r="P132" s="58" t="s">
        <v>67</v>
      </c>
      <c r="Q132" s="58" t="s">
        <v>68</v>
      </c>
      <c r="R132" s="58" t="s">
        <v>650</v>
      </c>
      <c r="S132" s="58" t="s">
        <v>651</v>
      </c>
      <c r="T132" s="58" t="s">
        <v>279</v>
      </c>
    </row>
    <row r="133" spans="1:20" ht="31.2">
      <c r="A133" s="58" t="s">
        <v>63</v>
      </c>
      <c r="B133" s="58" t="s">
        <v>48</v>
      </c>
      <c r="C133" s="58">
        <v>55</v>
      </c>
      <c r="D133" s="58" t="s">
        <v>361</v>
      </c>
      <c r="E133" s="58" t="s">
        <v>652</v>
      </c>
      <c r="F133" s="58" t="s">
        <v>273</v>
      </c>
      <c r="G133" s="58" t="s">
        <v>274</v>
      </c>
      <c r="H133" s="58" t="s">
        <v>273</v>
      </c>
      <c r="I133" s="58" t="s">
        <v>274</v>
      </c>
      <c r="J133" s="58"/>
      <c r="K133" s="58"/>
      <c r="L133" s="58" t="s">
        <v>604</v>
      </c>
      <c r="M133" s="58" t="s">
        <v>48</v>
      </c>
      <c r="N133" s="58">
        <v>32.155000000000001</v>
      </c>
      <c r="O133" s="58" t="s">
        <v>494</v>
      </c>
      <c r="P133" s="58" t="s">
        <v>67</v>
      </c>
      <c r="Q133" s="58" t="s">
        <v>68</v>
      </c>
      <c r="R133" s="58" t="s">
        <v>653</v>
      </c>
      <c r="S133" s="58" t="s">
        <v>654</v>
      </c>
      <c r="T133" s="58" t="s">
        <v>279</v>
      </c>
    </row>
    <row r="134" spans="1:20" ht="31.2">
      <c r="A134" s="58" t="s">
        <v>63</v>
      </c>
      <c r="B134" s="58" t="s">
        <v>48</v>
      </c>
      <c r="C134" s="58">
        <v>56</v>
      </c>
      <c r="D134" s="58" t="s">
        <v>361</v>
      </c>
      <c r="E134" s="58" t="s">
        <v>652</v>
      </c>
      <c r="F134" s="58" t="s">
        <v>273</v>
      </c>
      <c r="G134" s="58" t="s">
        <v>273</v>
      </c>
      <c r="H134" s="58" t="s">
        <v>274</v>
      </c>
      <c r="I134" s="58" t="s">
        <v>274</v>
      </c>
      <c r="J134" s="58"/>
      <c r="K134" s="58"/>
      <c r="L134" s="58" t="s">
        <v>288</v>
      </c>
      <c r="M134" s="58" t="s">
        <v>48</v>
      </c>
      <c r="N134" s="58">
        <v>4.5570000000000004</v>
      </c>
      <c r="O134" s="58" t="s">
        <v>494</v>
      </c>
      <c r="P134" s="58" t="s">
        <v>67</v>
      </c>
      <c r="Q134" s="58" t="s">
        <v>68</v>
      </c>
      <c r="R134" s="58" t="s">
        <v>655</v>
      </c>
      <c r="S134" s="58" t="s">
        <v>656</v>
      </c>
      <c r="T134" s="58" t="s">
        <v>279</v>
      </c>
    </row>
    <row r="135" spans="1:20" ht="31.2">
      <c r="A135" s="58" t="s">
        <v>63</v>
      </c>
      <c r="B135" s="58" t="s">
        <v>48</v>
      </c>
      <c r="C135" s="58">
        <v>57</v>
      </c>
      <c r="D135" s="58" t="s">
        <v>521</v>
      </c>
      <c r="E135" s="58" t="s">
        <v>657</v>
      </c>
      <c r="F135" s="58" t="s">
        <v>273</v>
      </c>
      <c r="G135" s="58" t="s">
        <v>273</v>
      </c>
      <c r="H135" s="58" t="s">
        <v>274</v>
      </c>
      <c r="I135" s="58" t="s">
        <v>274</v>
      </c>
      <c r="J135" s="58"/>
      <c r="K135" s="58"/>
      <c r="L135" s="58" t="s">
        <v>351</v>
      </c>
      <c r="M135" s="58" t="s">
        <v>48</v>
      </c>
      <c r="N135" s="58">
        <v>0.11</v>
      </c>
      <c r="O135" s="58" t="s">
        <v>539</v>
      </c>
      <c r="P135" s="58" t="s">
        <v>67</v>
      </c>
      <c r="Q135" s="58" t="s">
        <v>68</v>
      </c>
      <c r="R135" s="58" t="s">
        <v>658</v>
      </c>
      <c r="S135" s="58" t="s">
        <v>659</v>
      </c>
      <c r="T135" s="58" t="s">
        <v>279</v>
      </c>
    </row>
    <row r="136" spans="1:20" ht="31.2">
      <c r="A136" s="58" t="s">
        <v>63</v>
      </c>
      <c r="B136" s="58" t="s">
        <v>48</v>
      </c>
      <c r="C136" s="58">
        <v>58</v>
      </c>
      <c r="D136" s="58" t="s">
        <v>521</v>
      </c>
      <c r="E136" s="58" t="s">
        <v>660</v>
      </c>
      <c r="F136" s="58" t="s">
        <v>273</v>
      </c>
      <c r="G136" s="58" t="s">
        <v>273</v>
      </c>
      <c r="H136" s="58" t="s">
        <v>274</v>
      </c>
      <c r="I136" s="58" t="s">
        <v>274</v>
      </c>
      <c r="J136" s="58"/>
      <c r="K136" s="58"/>
      <c r="L136" s="58" t="s">
        <v>351</v>
      </c>
      <c r="M136" s="58" t="s">
        <v>48</v>
      </c>
      <c r="N136" s="58">
        <v>0.127</v>
      </c>
      <c r="O136" s="58" t="s">
        <v>539</v>
      </c>
      <c r="P136" s="58" t="s">
        <v>67</v>
      </c>
      <c r="Q136" s="58" t="s">
        <v>68</v>
      </c>
      <c r="R136" s="58" t="s">
        <v>661</v>
      </c>
      <c r="S136" s="58" t="s">
        <v>662</v>
      </c>
      <c r="T136" s="58" t="s">
        <v>279</v>
      </c>
    </row>
    <row r="137" spans="1:20" ht="31.2">
      <c r="A137" s="58" t="s">
        <v>63</v>
      </c>
      <c r="B137" s="58" t="s">
        <v>48</v>
      </c>
      <c r="C137" s="58">
        <v>59</v>
      </c>
      <c r="D137" s="58" t="s">
        <v>521</v>
      </c>
      <c r="E137" s="58" t="s">
        <v>663</v>
      </c>
      <c r="F137" s="58" t="s">
        <v>273</v>
      </c>
      <c r="G137" s="58" t="s">
        <v>273</v>
      </c>
      <c r="H137" s="58" t="s">
        <v>274</v>
      </c>
      <c r="I137" s="58" t="s">
        <v>274</v>
      </c>
      <c r="J137" s="58"/>
      <c r="K137" s="58"/>
      <c r="L137" s="58" t="s">
        <v>351</v>
      </c>
      <c r="M137" s="58" t="s">
        <v>48</v>
      </c>
      <c r="N137" s="58">
        <v>0.1</v>
      </c>
      <c r="O137" s="58" t="s">
        <v>539</v>
      </c>
      <c r="P137" s="58" t="s">
        <v>67</v>
      </c>
      <c r="Q137" s="58" t="s">
        <v>68</v>
      </c>
      <c r="R137" s="58" t="s">
        <v>664</v>
      </c>
      <c r="S137" s="58" t="s">
        <v>665</v>
      </c>
      <c r="T137" s="58" t="s">
        <v>279</v>
      </c>
    </row>
    <row r="138" spans="1:20" ht="31.2">
      <c r="A138" s="58" t="s">
        <v>63</v>
      </c>
      <c r="B138" s="58" t="s">
        <v>48</v>
      </c>
      <c r="C138" s="58">
        <v>60</v>
      </c>
      <c r="D138" s="58" t="s">
        <v>378</v>
      </c>
      <c r="E138" s="58" t="s">
        <v>666</v>
      </c>
      <c r="F138" s="58" t="s">
        <v>273</v>
      </c>
      <c r="G138" s="58" t="s">
        <v>273</v>
      </c>
      <c r="H138" s="58" t="s">
        <v>274</v>
      </c>
      <c r="I138" s="58" t="s">
        <v>274</v>
      </c>
      <c r="J138" s="58"/>
      <c r="K138" s="58"/>
      <c r="L138" s="58" t="s">
        <v>288</v>
      </c>
      <c r="M138" s="58" t="s">
        <v>48</v>
      </c>
      <c r="N138" s="58">
        <v>9.2999999999999999E-2</v>
      </c>
      <c r="O138" s="58" t="s">
        <v>380</v>
      </c>
      <c r="P138" s="58" t="s">
        <v>67</v>
      </c>
      <c r="Q138" s="58" t="s">
        <v>68</v>
      </c>
      <c r="R138" s="58" t="s">
        <v>667</v>
      </c>
      <c r="S138" s="58" t="s">
        <v>668</v>
      </c>
      <c r="T138" s="58" t="s">
        <v>279</v>
      </c>
    </row>
    <row r="139" spans="1:20" ht="31.2">
      <c r="A139" s="58" t="s">
        <v>63</v>
      </c>
      <c r="B139" s="58" t="s">
        <v>48</v>
      </c>
      <c r="C139" s="58">
        <v>61</v>
      </c>
      <c r="D139" s="58" t="s">
        <v>361</v>
      </c>
      <c r="E139" s="58" t="s">
        <v>669</v>
      </c>
      <c r="F139" s="58" t="s">
        <v>273</v>
      </c>
      <c r="G139" s="58" t="s">
        <v>273</v>
      </c>
      <c r="H139" s="58" t="s">
        <v>274</v>
      </c>
      <c r="I139" s="58" t="s">
        <v>274</v>
      </c>
      <c r="J139" s="58"/>
      <c r="K139" s="58"/>
      <c r="L139" s="58" t="s">
        <v>288</v>
      </c>
      <c r="M139" s="58" t="s">
        <v>48</v>
      </c>
      <c r="N139" s="58">
        <v>27.887</v>
      </c>
      <c r="O139" s="58" t="s">
        <v>494</v>
      </c>
      <c r="P139" s="58" t="s">
        <v>67</v>
      </c>
      <c r="Q139" s="58" t="s">
        <v>68</v>
      </c>
      <c r="R139" s="58" t="s">
        <v>670</v>
      </c>
      <c r="S139" s="58" t="s">
        <v>671</v>
      </c>
      <c r="T139" s="58" t="s">
        <v>279</v>
      </c>
    </row>
    <row r="140" spans="1:20" ht="31.2">
      <c r="A140" s="58" t="s">
        <v>63</v>
      </c>
      <c r="B140" s="58" t="s">
        <v>48</v>
      </c>
      <c r="C140" s="58">
        <v>62</v>
      </c>
      <c r="D140" s="58" t="s">
        <v>361</v>
      </c>
      <c r="E140" s="58" t="s">
        <v>672</v>
      </c>
      <c r="F140" s="58" t="s">
        <v>273</v>
      </c>
      <c r="G140" s="58" t="s">
        <v>273</v>
      </c>
      <c r="H140" s="58" t="s">
        <v>274</v>
      </c>
      <c r="I140" s="58" t="s">
        <v>274</v>
      </c>
      <c r="J140" s="58"/>
      <c r="K140" s="58"/>
      <c r="L140" s="58" t="s">
        <v>288</v>
      </c>
      <c r="M140" s="58" t="s">
        <v>48</v>
      </c>
      <c r="N140" s="58">
        <v>17.908999999999999</v>
      </c>
      <c r="O140" s="58" t="s">
        <v>494</v>
      </c>
      <c r="P140" s="58" t="s">
        <v>67</v>
      </c>
      <c r="Q140" s="58" t="s">
        <v>68</v>
      </c>
      <c r="R140" s="58" t="s">
        <v>673</v>
      </c>
      <c r="S140" s="58" t="s">
        <v>674</v>
      </c>
      <c r="T140" s="58" t="s">
        <v>279</v>
      </c>
    </row>
    <row r="141" spans="1:20" ht="31.2">
      <c r="A141" s="58" t="s">
        <v>63</v>
      </c>
      <c r="B141" s="58" t="s">
        <v>48</v>
      </c>
      <c r="C141" s="58">
        <v>63</v>
      </c>
      <c r="D141" s="58" t="s">
        <v>479</v>
      </c>
      <c r="E141" s="58" t="s">
        <v>666</v>
      </c>
      <c r="F141" s="58" t="s">
        <v>273</v>
      </c>
      <c r="G141" s="58" t="s">
        <v>273</v>
      </c>
      <c r="H141" s="58" t="s">
        <v>274</v>
      </c>
      <c r="I141" s="58" t="s">
        <v>273</v>
      </c>
      <c r="J141" s="58" t="s">
        <v>273</v>
      </c>
      <c r="K141" s="58"/>
      <c r="L141" s="58" t="s">
        <v>288</v>
      </c>
      <c r="M141" s="58" t="s">
        <v>48</v>
      </c>
      <c r="N141" s="58">
        <v>0.05</v>
      </c>
      <c r="O141" s="58" t="s">
        <v>554</v>
      </c>
      <c r="P141" s="58" t="s">
        <v>67</v>
      </c>
      <c r="Q141" s="58" t="s">
        <v>68</v>
      </c>
      <c r="R141" s="58" t="s">
        <v>675</v>
      </c>
      <c r="S141" s="58" t="s">
        <v>676</v>
      </c>
      <c r="T141" s="58" t="s">
        <v>279</v>
      </c>
    </row>
    <row r="142" spans="1:20" ht="31.2">
      <c r="A142" s="58" t="s">
        <v>63</v>
      </c>
      <c r="B142" s="58" t="s">
        <v>48</v>
      </c>
      <c r="C142" s="58">
        <v>64</v>
      </c>
      <c r="D142" s="58" t="s">
        <v>479</v>
      </c>
      <c r="E142" s="58" t="s">
        <v>666</v>
      </c>
      <c r="F142" s="58" t="s">
        <v>273</v>
      </c>
      <c r="G142" s="58" t="s">
        <v>273</v>
      </c>
      <c r="H142" s="58" t="s">
        <v>274</v>
      </c>
      <c r="I142" s="58" t="s">
        <v>273</v>
      </c>
      <c r="J142" s="58" t="s">
        <v>273</v>
      </c>
      <c r="K142" s="58"/>
      <c r="L142" s="58" t="s">
        <v>288</v>
      </c>
      <c r="M142" s="58" t="s">
        <v>48</v>
      </c>
      <c r="N142" s="58">
        <v>5.8999999999999997E-2</v>
      </c>
      <c r="O142" s="58" t="s">
        <v>554</v>
      </c>
      <c r="P142" s="58" t="s">
        <v>67</v>
      </c>
      <c r="Q142" s="58" t="s">
        <v>68</v>
      </c>
      <c r="R142" s="58" t="s">
        <v>677</v>
      </c>
      <c r="S142" s="58" t="s">
        <v>678</v>
      </c>
      <c r="T142" s="58" t="s">
        <v>279</v>
      </c>
    </row>
    <row r="143" spans="1:20" ht="31.2">
      <c r="A143" s="58" t="s">
        <v>63</v>
      </c>
      <c r="B143" s="58" t="s">
        <v>48</v>
      </c>
      <c r="C143" s="58">
        <v>65</v>
      </c>
      <c r="D143" s="58" t="s">
        <v>479</v>
      </c>
      <c r="E143" s="58" t="s">
        <v>666</v>
      </c>
      <c r="F143" s="58" t="s">
        <v>273</v>
      </c>
      <c r="G143" s="58" t="s">
        <v>273</v>
      </c>
      <c r="H143" s="58" t="s">
        <v>274</v>
      </c>
      <c r="I143" s="58" t="s">
        <v>273</v>
      </c>
      <c r="J143" s="58" t="s">
        <v>273</v>
      </c>
      <c r="K143" s="58"/>
      <c r="L143" s="58" t="s">
        <v>288</v>
      </c>
      <c r="M143" s="58" t="s">
        <v>48</v>
      </c>
      <c r="N143" s="58">
        <v>6.2E-2</v>
      </c>
      <c r="O143" s="58" t="s">
        <v>554</v>
      </c>
      <c r="P143" s="58" t="s">
        <v>67</v>
      </c>
      <c r="Q143" s="58" t="s">
        <v>68</v>
      </c>
      <c r="R143" s="58" t="s">
        <v>679</v>
      </c>
      <c r="S143" s="58" t="s">
        <v>680</v>
      </c>
      <c r="T143" s="58" t="s">
        <v>279</v>
      </c>
    </row>
    <row r="144" spans="1:20" ht="31.2">
      <c r="A144" s="58" t="s">
        <v>63</v>
      </c>
      <c r="B144" s="58" t="s">
        <v>48</v>
      </c>
      <c r="C144" s="58">
        <v>66</v>
      </c>
      <c r="D144" s="58" t="s">
        <v>479</v>
      </c>
      <c r="E144" s="58" t="s">
        <v>666</v>
      </c>
      <c r="F144" s="58" t="s">
        <v>273</v>
      </c>
      <c r="G144" s="58" t="s">
        <v>273</v>
      </c>
      <c r="H144" s="58" t="s">
        <v>274</v>
      </c>
      <c r="I144" s="58" t="s">
        <v>273</v>
      </c>
      <c r="J144" s="58" t="s">
        <v>273</v>
      </c>
      <c r="K144" s="58"/>
      <c r="L144" s="58" t="s">
        <v>288</v>
      </c>
      <c r="M144" s="58" t="s">
        <v>48</v>
      </c>
      <c r="N144" s="58">
        <v>4.5999999999999999E-2</v>
      </c>
      <c r="O144" s="58" t="s">
        <v>554</v>
      </c>
      <c r="P144" s="58" t="s">
        <v>67</v>
      </c>
      <c r="Q144" s="58" t="s">
        <v>68</v>
      </c>
      <c r="R144" s="58" t="s">
        <v>681</v>
      </c>
      <c r="S144" s="58" t="s">
        <v>682</v>
      </c>
      <c r="T144" s="58" t="s">
        <v>279</v>
      </c>
    </row>
    <row r="145" spans="1:20" ht="31.2">
      <c r="A145" s="58" t="s">
        <v>63</v>
      </c>
      <c r="B145" s="58" t="s">
        <v>48</v>
      </c>
      <c r="C145" s="58">
        <v>67</v>
      </c>
      <c r="D145" s="58" t="s">
        <v>479</v>
      </c>
      <c r="E145" s="58" t="s">
        <v>666</v>
      </c>
      <c r="F145" s="58" t="s">
        <v>273</v>
      </c>
      <c r="G145" s="58" t="s">
        <v>273</v>
      </c>
      <c r="H145" s="58" t="s">
        <v>274</v>
      </c>
      <c r="I145" s="58" t="s">
        <v>273</v>
      </c>
      <c r="J145" s="58" t="s">
        <v>273</v>
      </c>
      <c r="K145" s="58"/>
      <c r="L145" s="58" t="s">
        <v>288</v>
      </c>
      <c r="M145" s="58" t="s">
        <v>48</v>
      </c>
      <c r="N145" s="58">
        <v>4.5999999999999999E-2</v>
      </c>
      <c r="O145" s="58" t="s">
        <v>554</v>
      </c>
      <c r="P145" s="58" t="s">
        <v>67</v>
      </c>
      <c r="Q145" s="58" t="s">
        <v>68</v>
      </c>
      <c r="R145" s="58" t="s">
        <v>683</v>
      </c>
      <c r="S145" s="58" t="s">
        <v>684</v>
      </c>
      <c r="T145" s="58" t="s">
        <v>279</v>
      </c>
    </row>
    <row r="146" spans="1:20" ht="31.2">
      <c r="A146" s="58" t="s">
        <v>63</v>
      </c>
      <c r="B146" s="58" t="s">
        <v>48</v>
      </c>
      <c r="C146" s="58">
        <v>68</v>
      </c>
      <c r="D146" s="58" t="s">
        <v>361</v>
      </c>
      <c r="E146" s="58" t="s">
        <v>685</v>
      </c>
      <c r="F146" s="58" t="s">
        <v>273</v>
      </c>
      <c r="G146" s="58" t="s">
        <v>273</v>
      </c>
      <c r="H146" s="58" t="s">
        <v>274</v>
      </c>
      <c r="I146" s="58" t="s">
        <v>274</v>
      </c>
      <c r="J146" s="58"/>
      <c r="K146" s="58"/>
      <c r="L146" s="58" t="s">
        <v>288</v>
      </c>
      <c r="M146" s="58" t="s">
        <v>48</v>
      </c>
      <c r="N146" s="58">
        <v>2.7229999999999999</v>
      </c>
      <c r="O146" s="58" t="s">
        <v>494</v>
      </c>
      <c r="P146" s="58" t="s">
        <v>67</v>
      </c>
      <c r="Q146" s="58" t="s">
        <v>68</v>
      </c>
      <c r="R146" s="58" t="s">
        <v>686</v>
      </c>
      <c r="S146" s="58" t="s">
        <v>687</v>
      </c>
      <c r="T146" s="58" t="s">
        <v>279</v>
      </c>
    </row>
    <row r="147" spans="1:20" ht="31.2">
      <c r="A147" s="58" t="s">
        <v>63</v>
      </c>
      <c r="B147" s="58" t="s">
        <v>48</v>
      </c>
      <c r="C147" s="58">
        <v>69</v>
      </c>
      <c r="D147" s="58" t="s">
        <v>361</v>
      </c>
      <c r="E147" s="58" t="s">
        <v>688</v>
      </c>
      <c r="F147" s="58" t="s">
        <v>273</v>
      </c>
      <c r="G147" s="58" t="s">
        <v>273</v>
      </c>
      <c r="H147" s="58" t="s">
        <v>274</v>
      </c>
      <c r="I147" s="58" t="s">
        <v>274</v>
      </c>
      <c r="J147" s="58"/>
      <c r="K147" s="58"/>
      <c r="L147" s="58" t="s">
        <v>288</v>
      </c>
      <c r="M147" s="58" t="s">
        <v>48</v>
      </c>
      <c r="N147" s="58">
        <v>1.62</v>
      </c>
      <c r="O147" s="58" t="s">
        <v>494</v>
      </c>
      <c r="P147" s="58" t="s">
        <v>67</v>
      </c>
      <c r="Q147" s="58" t="s">
        <v>68</v>
      </c>
      <c r="R147" s="58" t="s">
        <v>689</v>
      </c>
      <c r="S147" s="58" t="s">
        <v>690</v>
      </c>
      <c r="T147" s="58" t="s">
        <v>279</v>
      </c>
    </row>
    <row r="148" spans="1:20" ht="31.2">
      <c r="A148" s="58" t="s">
        <v>63</v>
      </c>
      <c r="B148" s="58" t="s">
        <v>48</v>
      </c>
      <c r="C148" s="58">
        <v>70</v>
      </c>
      <c r="D148" s="58" t="s">
        <v>479</v>
      </c>
      <c r="E148" s="58" t="s">
        <v>666</v>
      </c>
      <c r="F148" s="58" t="s">
        <v>273</v>
      </c>
      <c r="G148" s="58" t="s">
        <v>273</v>
      </c>
      <c r="H148" s="58" t="s">
        <v>274</v>
      </c>
      <c r="I148" s="58" t="s">
        <v>273</v>
      </c>
      <c r="J148" s="58" t="s">
        <v>273</v>
      </c>
      <c r="K148" s="58"/>
      <c r="L148" s="58" t="s">
        <v>288</v>
      </c>
      <c r="M148" s="58" t="s">
        <v>48</v>
      </c>
      <c r="N148" s="58">
        <v>5.0999999999999997E-2</v>
      </c>
      <c r="O148" s="58" t="s">
        <v>554</v>
      </c>
      <c r="P148" s="58" t="s">
        <v>67</v>
      </c>
      <c r="Q148" s="58" t="s">
        <v>68</v>
      </c>
      <c r="R148" s="58" t="s">
        <v>691</v>
      </c>
      <c r="S148" s="58" t="s">
        <v>692</v>
      </c>
      <c r="T148" s="58" t="s">
        <v>279</v>
      </c>
    </row>
    <row r="149" spans="1:20" ht="31.2">
      <c r="A149" s="58" t="s">
        <v>63</v>
      </c>
      <c r="B149" s="58" t="s">
        <v>48</v>
      </c>
      <c r="C149" s="58">
        <v>71</v>
      </c>
      <c r="D149" s="58" t="s">
        <v>479</v>
      </c>
      <c r="E149" s="58" t="s">
        <v>666</v>
      </c>
      <c r="F149" s="58" t="s">
        <v>273</v>
      </c>
      <c r="G149" s="58" t="s">
        <v>273</v>
      </c>
      <c r="H149" s="58" t="s">
        <v>274</v>
      </c>
      <c r="I149" s="58" t="s">
        <v>273</v>
      </c>
      <c r="J149" s="58" t="s">
        <v>273</v>
      </c>
      <c r="K149" s="58"/>
      <c r="L149" s="58" t="s">
        <v>288</v>
      </c>
      <c r="M149" s="58" t="s">
        <v>48</v>
      </c>
      <c r="N149" s="58">
        <v>5.6000000000000001E-2</v>
      </c>
      <c r="O149" s="58" t="s">
        <v>554</v>
      </c>
      <c r="P149" s="58" t="s">
        <v>67</v>
      </c>
      <c r="Q149" s="58" t="s">
        <v>68</v>
      </c>
      <c r="R149" s="58" t="s">
        <v>693</v>
      </c>
      <c r="S149" s="58" t="s">
        <v>694</v>
      </c>
      <c r="T149" s="58" t="s">
        <v>279</v>
      </c>
    </row>
    <row r="150" spans="1:20" ht="31.2">
      <c r="A150" s="58" t="s">
        <v>63</v>
      </c>
      <c r="B150" s="58" t="s">
        <v>48</v>
      </c>
      <c r="C150" s="58">
        <v>72</v>
      </c>
      <c r="D150" s="58" t="s">
        <v>361</v>
      </c>
      <c r="E150" s="58" t="s">
        <v>695</v>
      </c>
      <c r="F150" s="58" t="s">
        <v>273</v>
      </c>
      <c r="G150" s="58" t="s">
        <v>273</v>
      </c>
      <c r="H150" s="58" t="s">
        <v>273</v>
      </c>
      <c r="I150" s="58" t="s">
        <v>274</v>
      </c>
      <c r="J150" s="58"/>
      <c r="K150" s="58"/>
      <c r="L150" s="58" t="s">
        <v>604</v>
      </c>
      <c r="M150" s="58" t="s">
        <v>48</v>
      </c>
      <c r="N150" s="58">
        <v>4.2220000000000004</v>
      </c>
      <c r="O150" s="58" t="s">
        <v>494</v>
      </c>
      <c r="P150" s="58" t="s">
        <v>67</v>
      </c>
      <c r="Q150" s="58" t="s">
        <v>68</v>
      </c>
      <c r="R150" s="58" t="s">
        <v>696</v>
      </c>
      <c r="S150" s="58" t="s">
        <v>697</v>
      </c>
      <c r="T150" s="58" t="s">
        <v>279</v>
      </c>
    </row>
    <row r="151" spans="1:20" ht="31.2">
      <c r="A151" s="58" t="s">
        <v>63</v>
      </c>
      <c r="B151" s="58" t="s">
        <v>48</v>
      </c>
      <c r="C151" s="58">
        <v>73</v>
      </c>
      <c r="D151" s="58" t="s">
        <v>479</v>
      </c>
      <c r="E151" s="58" t="s">
        <v>666</v>
      </c>
      <c r="F151" s="58" t="s">
        <v>273</v>
      </c>
      <c r="G151" s="58" t="s">
        <v>273</v>
      </c>
      <c r="H151" s="58" t="s">
        <v>274</v>
      </c>
      <c r="I151" s="58" t="s">
        <v>273</v>
      </c>
      <c r="J151" s="58" t="s">
        <v>273</v>
      </c>
      <c r="K151" s="58"/>
      <c r="L151" s="58" t="s">
        <v>288</v>
      </c>
      <c r="M151" s="58" t="s">
        <v>48</v>
      </c>
      <c r="N151" s="58">
        <v>7.4999999999999997E-2</v>
      </c>
      <c r="O151" s="58" t="s">
        <v>554</v>
      </c>
      <c r="P151" s="58" t="s">
        <v>67</v>
      </c>
      <c r="Q151" s="58" t="s">
        <v>68</v>
      </c>
      <c r="R151" s="58" t="s">
        <v>698</v>
      </c>
      <c r="S151" s="58" t="s">
        <v>699</v>
      </c>
      <c r="T151" s="58" t="s">
        <v>279</v>
      </c>
    </row>
    <row r="152" spans="1:20" ht="31.2">
      <c r="A152" s="58" t="s">
        <v>63</v>
      </c>
      <c r="B152" s="58" t="s">
        <v>48</v>
      </c>
      <c r="C152" s="58">
        <v>74</v>
      </c>
      <c r="D152" s="58" t="s">
        <v>361</v>
      </c>
      <c r="E152" s="58" t="s">
        <v>700</v>
      </c>
      <c r="F152" s="58" t="s">
        <v>273</v>
      </c>
      <c r="G152" s="58" t="s">
        <v>273</v>
      </c>
      <c r="H152" s="58" t="s">
        <v>274</v>
      </c>
      <c r="I152" s="58" t="s">
        <v>274</v>
      </c>
      <c r="J152" s="58"/>
      <c r="K152" s="58"/>
      <c r="L152" s="58" t="s">
        <v>288</v>
      </c>
      <c r="M152" s="58" t="s">
        <v>48</v>
      </c>
      <c r="N152" s="58">
        <v>3.01</v>
      </c>
      <c r="O152" s="58" t="s">
        <v>494</v>
      </c>
      <c r="P152" s="58" t="s">
        <v>67</v>
      </c>
      <c r="Q152" s="58" t="s">
        <v>68</v>
      </c>
      <c r="R152" s="58" t="s">
        <v>701</v>
      </c>
      <c r="S152" s="58" t="s">
        <v>702</v>
      </c>
      <c r="T152" s="58" t="s">
        <v>279</v>
      </c>
    </row>
    <row r="153" spans="1:20" ht="31.2">
      <c r="A153" s="58" t="s">
        <v>63</v>
      </c>
      <c r="B153" s="58" t="s">
        <v>48</v>
      </c>
      <c r="C153" s="58">
        <v>75</v>
      </c>
      <c r="D153" s="58" t="s">
        <v>333</v>
      </c>
      <c r="E153" s="58" t="s">
        <v>666</v>
      </c>
      <c r="F153" s="58" t="s">
        <v>273</v>
      </c>
      <c r="G153" s="58" t="s">
        <v>273</v>
      </c>
      <c r="H153" s="58" t="s">
        <v>274</v>
      </c>
      <c r="I153" s="58" t="s">
        <v>274</v>
      </c>
      <c r="J153" s="58"/>
      <c r="K153" s="58" t="s">
        <v>274</v>
      </c>
      <c r="L153" s="58" t="s">
        <v>288</v>
      </c>
      <c r="M153" s="58" t="s">
        <v>48</v>
      </c>
      <c r="N153" s="58">
        <v>2.8000000000000001E-2</v>
      </c>
      <c r="O153" s="58" t="s">
        <v>335</v>
      </c>
      <c r="P153" s="58" t="s">
        <v>67</v>
      </c>
      <c r="Q153" s="58" t="s">
        <v>68</v>
      </c>
      <c r="R153" s="58" t="s">
        <v>703</v>
      </c>
      <c r="S153" s="58" t="s">
        <v>704</v>
      </c>
      <c r="T153" s="58" t="s">
        <v>279</v>
      </c>
    </row>
    <row r="154" spans="1:20" ht="31.2">
      <c r="A154" s="58" t="s">
        <v>63</v>
      </c>
      <c r="B154" s="58" t="s">
        <v>48</v>
      </c>
      <c r="C154" s="58">
        <v>76</v>
      </c>
      <c r="D154" s="58" t="s">
        <v>479</v>
      </c>
      <c r="E154" s="58" t="s">
        <v>666</v>
      </c>
      <c r="F154" s="58" t="s">
        <v>273</v>
      </c>
      <c r="G154" s="58" t="s">
        <v>273</v>
      </c>
      <c r="H154" s="58" t="s">
        <v>274</v>
      </c>
      <c r="I154" s="58" t="s">
        <v>273</v>
      </c>
      <c r="J154" s="58" t="s">
        <v>273</v>
      </c>
      <c r="K154" s="58"/>
      <c r="L154" s="58" t="s">
        <v>288</v>
      </c>
      <c r="M154" s="58" t="s">
        <v>48</v>
      </c>
      <c r="N154" s="58">
        <v>6.4000000000000001E-2</v>
      </c>
      <c r="O154" s="58" t="s">
        <v>554</v>
      </c>
      <c r="P154" s="58" t="s">
        <v>67</v>
      </c>
      <c r="Q154" s="58" t="s">
        <v>68</v>
      </c>
      <c r="R154" s="58" t="s">
        <v>705</v>
      </c>
      <c r="S154" s="58" t="s">
        <v>706</v>
      </c>
      <c r="T154" s="58" t="s">
        <v>279</v>
      </c>
    </row>
    <row r="155" spans="1:20" ht="31.2">
      <c r="A155" s="58" t="s">
        <v>63</v>
      </c>
      <c r="B155" s="58" t="s">
        <v>48</v>
      </c>
      <c r="C155" s="58">
        <v>77</v>
      </c>
      <c r="D155" s="58" t="s">
        <v>479</v>
      </c>
      <c r="E155" s="58" t="s">
        <v>666</v>
      </c>
      <c r="F155" s="58" t="s">
        <v>273</v>
      </c>
      <c r="G155" s="58" t="s">
        <v>273</v>
      </c>
      <c r="H155" s="58" t="s">
        <v>274</v>
      </c>
      <c r="I155" s="58" t="s">
        <v>273</v>
      </c>
      <c r="J155" s="58" t="s">
        <v>273</v>
      </c>
      <c r="K155" s="58"/>
      <c r="L155" s="58" t="s">
        <v>288</v>
      </c>
      <c r="M155" s="58" t="s">
        <v>48</v>
      </c>
      <c r="N155" s="58">
        <v>6.2E-2</v>
      </c>
      <c r="O155" s="58" t="s">
        <v>554</v>
      </c>
      <c r="P155" s="58" t="s">
        <v>67</v>
      </c>
      <c r="Q155" s="58" t="s">
        <v>68</v>
      </c>
      <c r="R155" s="58" t="s">
        <v>707</v>
      </c>
      <c r="S155" s="58" t="s">
        <v>708</v>
      </c>
      <c r="T155" s="58" t="s">
        <v>279</v>
      </c>
    </row>
    <row r="156" spans="1:20" ht="31.2">
      <c r="A156" s="58" t="s">
        <v>63</v>
      </c>
      <c r="B156" s="58" t="s">
        <v>48</v>
      </c>
      <c r="C156" s="58">
        <v>78</v>
      </c>
      <c r="D156" s="58" t="s">
        <v>479</v>
      </c>
      <c r="E156" s="58" t="s">
        <v>666</v>
      </c>
      <c r="F156" s="58" t="s">
        <v>273</v>
      </c>
      <c r="G156" s="58" t="s">
        <v>273</v>
      </c>
      <c r="H156" s="58" t="s">
        <v>274</v>
      </c>
      <c r="I156" s="58" t="s">
        <v>273</v>
      </c>
      <c r="J156" s="58" t="s">
        <v>273</v>
      </c>
      <c r="K156" s="58"/>
      <c r="L156" s="58" t="s">
        <v>288</v>
      </c>
      <c r="M156" s="58" t="s">
        <v>48</v>
      </c>
      <c r="N156" s="58">
        <v>5.2999999999999999E-2</v>
      </c>
      <c r="O156" s="58" t="s">
        <v>554</v>
      </c>
      <c r="P156" s="58" t="s">
        <v>67</v>
      </c>
      <c r="Q156" s="58" t="s">
        <v>68</v>
      </c>
      <c r="R156" s="58" t="s">
        <v>709</v>
      </c>
      <c r="S156" s="58" t="s">
        <v>710</v>
      </c>
      <c r="T156" s="58" t="s">
        <v>279</v>
      </c>
    </row>
    <row r="157" spans="1:20" ht="31.2">
      <c r="A157" s="58" t="s">
        <v>63</v>
      </c>
      <c r="B157" s="58" t="s">
        <v>48</v>
      </c>
      <c r="C157" s="58">
        <v>79</v>
      </c>
      <c r="D157" s="58" t="s">
        <v>479</v>
      </c>
      <c r="E157" s="58" t="s">
        <v>666</v>
      </c>
      <c r="F157" s="58" t="s">
        <v>273</v>
      </c>
      <c r="G157" s="58" t="s">
        <v>273</v>
      </c>
      <c r="H157" s="58" t="s">
        <v>274</v>
      </c>
      <c r="I157" s="58" t="s">
        <v>273</v>
      </c>
      <c r="J157" s="58" t="s">
        <v>273</v>
      </c>
      <c r="K157" s="58"/>
      <c r="L157" s="58" t="s">
        <v>288</v>
      </c>
      <c r="M157" s="58" t="s">
        <v>48</v>
      </c>
      <c r="N157" s="58">
        <v>5.2999999999999999E-2</v>
      </c>
      <c r="O157" s="58" t="s">
        <v>554</v>
      </c>
      <c r="P157" s="58" t="s">
        <v>67</v>
      </c>
      <c r="Q157" s="58" t="s">
        <v>68</v>
      </c>
      <c r="R157" s="58" t="s">
        <v>711</v>
      </c>
      <c r="S157" s="58" t="s">
        <v>712</v>
      </c>
      <c r="T157" s="58" t="s">
        <v>279</v>
      </c>
    </row>
    <row r="158" spans="1:20" ht="31.2">
      <c r="A158" s="58" t="s">
        <v>63</v>
      </c>
      <c r="B158" s="58" t="s">
        <v>48</v>
      </c>
      <c r="C158" s="58">
        <v>80</v>
      </c>
      <c r="D158" s="58" t="s">
        <v>479</v>
      </c>
      <c r="E158" s="58" t="s">
        <v>666</v>
      </c>
      <c r="F158" s="58" t="s">
        <v>273</v>
      </c>
      <c r="G158" s="58" t="s">
        <v>273</v>
      </c>
      <c r="H158" s="58" t="s">
        <v>274</v>
      </c>
      <c r="I158" s="58" t="s">
        <v>273</v>
      </c>
      <c r="J158" s="58" t="s">
        <v>273</v>
      </c>
      <c r="K158" s="58"/>
      <c r="L158" s="58" t="s">
        <v>288</v>
      </c>
      <c r="M158" s="58" t="s">
        <v>48</v>
      </c>
      <c r="N158" s="58">
        <v>4.3999999999999997E-2</v>
      </c>
      <c r="O158" s="58" t="s">
        <v>554</v>
      </c>
      <c r="P158" s="58" t="s">
        <v>67</v>
      </c>
      <c r="Q158" s="58" t="s">
        <v>68</v>
      </c>
      <c r="R158" s="58" t="s">
        <v>713</v>
      </c>
      <c r="S158" s="58" t="s">
        <v>714</v>
      </c>
      <c r="T158" s="58" t="s">
        <v>279</v>
      </c>
    </row>
    <row r="159" spans="1:20" ht="31.2">
      <c r="A159" s="58" t="s">
        <v>63</v>
      </c>
      <c r="B159" s="58" t="s">
        <v>48</v>
      </c>
      <c r="C159" s="58">
        <v>81</v>
      </c>
      <c r="D159" s="58" t="s">
        <v>361</v>
      </c>
      <c r="E159" s="58" t="s">
        <v>715</v>
      </c>
      <c r="F159" s="58" t="s">
        <v>273</v>
      </c>
      <c r="G159" s="58" t="s">
        <v>273</v>
      </c>
      <c r="H159" s="58" t="s">
        <v>273</v>
      </c>
      <c r="I159" s="58" t="s">
        <v>274</v>
      </c>
      <c r="J159" s="58"/>
      <c r="K159" s="58"/>
      <c r="L159" s="58" t="s">
        <v>604</v>
      </c>
      <c r="M159" s="58" t="s">
        <v>48</v>
      </c>
      <c r="N159" s="58">
        <v>7.0609999999999999</v>
      </c>
      <c r="O159" s="58" t="s">
        <v>494</v>
      </c>
      <c r="P159" s="58" t="s">
        <v>67</v>
      </c>
      <c r="Q159" s="58" t="s">
        <v>68</v>
      </c>
      <c r="R159" s="58" t="s">
        <v>716</v>
      </c>
      <c r="S159" s="58" t="s">
        <v>717</v>
      </c>
      <c r="T159" s="58" t="s">
        <v>279</v>
      </c>
    </row>
    <row r="160" spans="1:20" ht="31.2">
      <c r="A160" s="58" t="s">
        <v>63</v>
      </c>
      <c r="B160" s="58" t="s">
        <v>48</v>
      </c>
      <c r="C160" s="58">
        <v>82</v>
      </c>
      <c r="D160" s="58" t="s">
        <v>479</v>
      </c>
      <c r="E160" s="58" t="s">
        <v>666</v>
      </c>
      <c r="F160" s="58" t="s">
        <v>273</v>
      </c>
      <c r="G160" s="58" t="s">
        <v>273</v>
      </c>
      <c r="H160" s="58" t="s">
        <v>274</v>
      </c>
      <c r="I160" s="58" t="s">
        <v>273</v>
      </c>
      <c r="J160" s="58" t="s">
        <v>273</v>
      </c>
      <c r="K160" s="58"/>
      <c r="L160" s="58" t="s">
        <v>288</v>
      </c>
      <c r="M160" s="58" t="s">
        <v>48</v>
      </c>
      <c r="N160" s="58">
        <v>7.0999999999999994E-2</v>
      </c>
      <c r="O160" s="58" t="s">
        <v>554</v>
      </c>
      <c r="P160" s="58" t="s">
        <v>67</v>
      </c>
      <c r="Q160" s="58" t="s">
        <v>68</v>
      </c>
      <c r="R160" s="58" t="s">
        <v>718</v>
      </c>
      <c r="S160" s="58" t="s">
        <v>719</v>
      </c>
      <c r="T160" s="58" t="s">
        <v>279</v>
      </c>
    </row>
    <row r="161" spans="1:20" ht="31.2">
      <c r="A161" s="58" t="s">
        <v>63</v>
      </c>
      <c r="B161" s="58" t="s">
        <v>48</v>
      </c>
      <c r="C161" s="58">
        <v>83</v>
      </c>
      <c r="D161" s="58" t="s">
        <v>361</v>
      </c>
      <c r="E161" s="58" t="s">
        <v>720</v>
      </c>
      <c r="F161" s="58" t="s">
        <v>273</v>
      </c>
      <c r="G161" s="58" t="s">
        <v>273</v>
      </c>
      <c r="H161" s="58" t="s">
        <v>273</v>
      </c>
      <c r="I161" s="58" t="s">
        <v>274</v>
      </c>
      <c r="J161" s="58"/>
      <c r="K161" s="58"/>
      <c r="L161" s="58" t="s">
        <v>604</v>
      </c>
      <c r="M161" s="58" t="s">
        <v>48</v>
      </c>
      <c r="N161" s="58">
        <v>7.5149999999999997</v>
      </c>
      <c r="O161" s="58" t="s">
        <v>494</v>
      </c>
      <c r="P161" s="58" t="s">
        <v>67</v>
      </c>
      <c r="Q161" s="58" t="s">
        <v>68</v>
      </c>
      <c r="R161" s="58" t="s">
        <v>721</v>
      </c>
      <c r="S161" s="58" t="s">
        <v>722</v>
      </c>
      <c r="T161" s="58" t="s">
        <v>279</v>
      </c>
    </row>
    <row r="162" spans="1:20" ht="31.2">
      <c r="A162" s="58" t="s">
        <v>63</v>
      </c>
      <c r="B162" s="58" t="s">
        <v>48</v>
      </c>
      <c r="C162" s="58">
        <v>84</v>
      </c>
      <c r="D162" s="58" t="s">
        <v>479</v>
      </c>
      <c r="E162" s="58" t="s">
        <v>666</v>
      </c>
      <c r="F162" s="58" t="s">
        <v>273</v>
      </c>
      <c r="G162" s="58" t="s">
        <v>273</v>
      </c>
      <c r="H162" s="58" t="s">
        <v>274</v>
      </c>
      <c r="I162" s="58" t="s">
        <v>273</v>
      </c>
      <c r="J162" s="58" t="s">
        <v>273</v>
      </c>
      <c r="K162" s="58"/>
      <c r="L162" s="58" t="s">
        <v>288</v>
      </c>
      <c r="M162" s="58" t="s">
        <v>48</v>
      </c>
      <c r="N162" s="58">
        <v>5.8999999999999997E-2</v>
      </c>
      <c r="O162" s="58" t="s">
        <v>554</v>
      </c>
      <c r="P162" s="58" t="s">
        <v>67</v>
      </c>
      <c r="Q162" s="58" t="s">
        <v>68</v>
      </c>
      <c r="R162" s="58" t="s">
        <v>723</v>
      </c>
      <c r="S162" s="58" t="s">
        <v>724</v>
      </c>
      <c r="T162" s="58" t="s">
        <v>279</v>
      </c>
    </row>
    <row r="163" spans="1:20" ht="31.2">
      <c r="A163" s="58" t="s">
        <v>63</v>
      </c>
      <c r="B163" s="58" t="s">
        <v>48</v>
      </c>
      <c r="C163" s="58">
        <v>85</v>
      </c>
      <c r="D163" s="58" t="s">
        <v>361</v>
      </c>
      <c r="E163" s="58" t="s">
        <v>725</v>
      </c>
      <c r="F163" s="58" t="s">
        <v>273</v>
      </c>
      <c r="G163" s="58" t="s">
        <v>273</v>
      </c>
      <c r="H163" s="58" t="s">
        <v>274</v>
      </c>
      <c r="I163" s="58" t="s">
        <v>274</v>
      </c>
      <c r="J163" s="58"/>
      <c r="K163" s="58"/>
      <c r="L163" s="58" t="s">
        <v>288</v>
      </c>
      <c r="M163" s="58" t="s">
        <v>48</v>
      </c>
      <c r="N163" s="58">
        <v>10.254</v>
      </c>
      <c r="O163" s="58" t="s">
        <v>494</v>
      </c>
      <c r="P163" s="58" t="s">
        <v>67</v>
      </c>
      <c r="Q163" s="58" t="s">
        <v>68</v>
      </c>
      <c r="R163" s="58" t="s">
        <v>726</v>
      </c>
      <c r="S163" s="58" t="s">
        <v>727</v>
      </c>
      <c r="T163" s="58" t="s">
        <v>279</v>
      </c>
    </row>
    <row r="164" spans="1:20" ht="31.2">
      <c r="A164" s="58" t="s">
        <v>63</v>
      </c>
      <c r="B164" s="58" t="s">
        <v>48</v>
      </c>
      <c r="C164" s="58">
        <v>86</v>
      </c>
      <c r="D164" s="58" t="s">
        <v>361</v>
      </c>
      <c r="E164" s="58" t="s">
        <v>728</v>
      </c>
      <c r="F164" s="58" t="s">
        <v>273</v>
      </c>
      <c r="G164" s="58" t="s">
        <v>273</v>
      </c>
      <c r="H164" s="58" t="s">
        <v>274</v>
      </c>
      <c r="I164" s="58" t="s">
        <v>274</v>
      </c>
      <c r="J164" s="58"/>
      <c r="K164" s="58"/>
      <c r="L164" s="58" t="s">
        <v>288</v>
      </c>
      <c r="M164" s="58" t="s">
        <v>48</v>
      </c>
      <c r="N164" s="58">
        <v>29.234000000000002</v>
      </c>
      <c r="O164" s="58" t="s">
        <v>494</v>
      </c>
      <c r="P164" s="58" t="s">
        <v>67</v>
      </c>
      <c r="Q164" s="58" t="s">
        <v>68</v>
      </c>
      <c r="R164" s="58" t="s">
        <v>729</v>
      </c>
      <c r="S164" s="58" t="s">
        <v>730</v>
      </c>
      <c r="T164" s="58" t="s">
        <v>279</v>
      </c>
    </row>
    <row r="165" spans="1:20" ht="31.2">
      <c r="A165" s="58" t="s">
        <v>63</v>
      </c>
      <c r="B165" s="58" t="s">
        <v>48</v>
      </c>
      <c r="C165" s="58">
        <v>87</v>
      </c>
      <c r="D165" s="58" t="s">
        <v>361</v>
      </c>
      <c r="E165" s="58" t="s">
        <v>731</v>
      </c>
      <c r="F165" s="58" t="s">
        <v>273</v>
      </c>
      <c r="G165" s="58" t="s">
        <v>273</v>
      </c>
      <c r="H165" s="58" t="s">
        <v>274</v>
      </c>
      <c r="I165" s="58" t="s">
        <v>274</v>
      </c>
      <c r="J165" s="58"/>
      <c r="K165" s="58"/>
      <c r="L165" s="58" t="s">
        <v>288</v>
      </c>
      <c r="M165" s="58" t="s">
        <v>48</v>
      </c>
      <c r="N165" s="58">
        <v>18.152999999999999</v>
      </c>
      <c r="O165" s="58" t="s">
        <v>494</v>
      </c>
      <c r="P165" s="58" t="s">
        <v>67</v>
      </c>
      <c r="Q165" s="58" t="s">
        <v>68</v>
      </c>
      <c r="R165" s="58" t="s">
        <v>732</v>
      </c>
      <c r="S165" s="58" t="s">
        <v>733</v>
      </c>
      <c r="T165" s="58" t="s">
        <v>279</v>
      </c>
    </row>
    <row r="166" spans="1:20" ht="31.2">
      <c r="A166" s="58" t="s">
        <v>63</v>
      </c>
      <c r="B166" s="58" t="s">
        <v>48</v>
      </c>
      <c r="C166" s="58">
        <v>88</v>
      </c>
      <c r="D166" s="58" t="s">
        <v>361</v>
      </c>
      <c r="E166" s="58" t="s">
        <v>734</v>
      </c>
      <c r="F166" s="58" t="s">
        <v>273</v>
      </c>
      <c r="G166" s="58" t="s">
        <v>273</v>
      </c>
      <c r="H166" s="58" t="s">
        <v>274</v>
      </c>
      <c r="I166" s="58" t="s">
        <v>274</v>
      </c>
      <c r="J166" s="58"/>
      <c r="K166" s="58"/>
      <c r="L166" s="58" t="s">
        <v>288</v>
      </c>
      <c r="M166" s="58" t="s">
        <v>48</v>
      </c>
      <c r="N166" s="58">
        <v>1.595</v>
      </c>
      <c r="O166" s="58" t="s">
        <v>494</v>
      </c>
      <c r="P166" s="58" t="s">
        <v>67</v>
      </c>
      <c r="Q166" s="58" t="s">
        <v>68</v>
      </c>
      <c r="R166" s="58" t="s">
        <v>735</v>
      </c>
      <c r="S166" s="58" t="s">
        <v>736</v>
      </c>
      <c r="T166" s="58" t="s">
        <v>279</v>
      </c>
    </row>
    <row r="167" spans="1:20" ht="31.2">
      <c r="A167" s="58" t="s">
        <v>63</v>
      </c>
      <c r="B167" s="58" t="s">
        <v>48</v>
      </c>
      <c r="C167" s="58">
        <v>89</v>
      </c>
      <c r="D167" s="58" t="s">
        <v>521</v>
      </c>
      <c r="E167" s="58" t="s">
        <v>737</v>
      </c>
      <c r="F167" s="58" t="s">
        <v>273</v>
      </c>
      <c r="G167" s="58" t="s">
        <v>273</v>
      </c>
      <c r="H167" s="58" t="s">
        <v>274</v>
      </c>
      <c r="I167" s="58" t="s">
        <v>274</v>
      </c>
      <c r="J167" s="58"/>
      <c r="K167" s="58"/>
      <c r="L167" s="58" t="s">
        <v>351</v>
      </c>
      <c r="M167" s="58" t="s">
        <v>48</v>
      </c>
      <c r="N167" s="58">
        <v>7.3999999999999996E-2</v>
      </c>
      <c r="O167" s="58" t="s">
        <v>539</v>
      </c>
      <c r="P167" s="58" t="s">
        <v>67</v>
      </c>
      <c r="Q167" s="58" t="s">
        <v>68</v>
      </c>
      <c r="R167" s="58" t="s">
        <v>738</v>
      </c>
      <c r="S167" s="58" t="s">
        <v>739</v>
      </c>
      <c r="T167" s="58" t="s">
        <v>279</v>
      </c>
    </row>
    <row r="168" spans="1:20" ht="31.2">
      <c r="A168" s="58" t="s">
        <v>63</v>
      </c>
      <c r="B168" s="58" t="s">
        <v>48</v>
      </c>
      <c r="C168" s="58">
        <v>90</v>
      </c>
      <c r="D168" s="58" t="s">
        <v>521</v>
      </c>
      <c r="E168" s="58" t="s">
        <v>740</v>
      </c>
      <c r="F168" s="58" t="s">
        <v>273</v>
      </c>
      <c r="G168" s="58" t="s">
        <v>273</v>
      </c>
      <c r="H168" s="58" t="s">
        <v>274</v>
      </c>
      <c r="I168" s="58" t="s">
        <v>274</v>
      </c>
      <c r="J168" s="58"/>
      <c r="K168" s="58"/>
      <c r="L168" s="58" t="s">
        <v>351</v>
      </c>
      <c r="M168" s="58" t="s">
        <v>48</v>
      </c>
      <c r="N168" s="58">
        <v>4.2999999999999997E-2</v>
      </c>
      <c r="O168" s="58" t="s">
        <v>539</v>
      </c>
      <c r="P168" s="58" t="s">
        <v>67</v>
      </c>
      <c r="Q168" s="58" t="s">
        <v>68</v>
      </c>
      <c r="R168" s="58" t="s">
        <v>741</v>
      </c>
      <c r="S168" s="58" t="s">
        <v>742</v>
      </c>
      <c r="T168" s="58" t="s">
        <v>279</v>
      </c>
    </row>
    <row r="169" spans="1:20" ht="31.2">
      <c r="A169" s="58" t="s">
        <v>63</v>
      </c>
      <c r="B169" s="58" t="s">
        <v>48</v>
      </c>
      <c r="C169" s="58">
        <v>91</v>
      </c>
      <c r="D169" s="58" t="s">
        <v>378</v>
      </c>
      <c r="E169" s="58" t="s">
        <v>743</v>
      </c>
      <c r="F169" s="58" t="s">
        <v>273</v>
      </c>
      <c r="G169" s="58" t="s">
        <v>273</v>
      </c>
      <c r="H169" s="58" t="s">
        <v>274</v>
      </c>
      <c r="I169" s="58" t="s">
        <v>274</v>
      </c>
      <c r="J169" s="58"/>
      <c r="K169" s="58"/>
      <c r="L169" s="58" t="s">
        <v>288</v>
      </c>
      <c r="M169" s="58" t="s">
        <v>48</v>
      </c>
      <c r="N169" s="58">
        <v>7.0000000000000007E-2</v>
      </c>
      <c r="O169" s="58" t="s">
        <v>380</v>
      </c>
      <c r="P169" s="58" t="s">
        <v>67</v>
      </c>
      <c r="Q169" s="58" t="s">
        <v>68</v>
      </c>
      <c r="R169" s="58" t="s">
        <v>744</v>
      </c>
      <c r="S169" s="58" t="s">
        <v>745</v>
      </c>
      <c r="T169" s="58" t="s">
        <v>279</v>
      </c>
    </row>
    <row r="170" spans="1:20" ht="31.2">
      <c r="A170" s="58" t="s">
        <v>63</v>
      </c>
      <c r="B170" s="58" t="s">
        <v>48</v>
      </c>
      <c r="C170" s="58">
        <v>92</v>
      </c>
      <c r="D170" s="58" t="s">
        <v>479</v>
      </c>
      <c r="E170" s="58" t="s">
        <v>666</v>
      </c>
      <c r="F170" s="58" t="s">
        <v>273</v>
      </c>
      <c r="G170" s="58" t="s">
        <v>273</v>
      </c>
      <c r="H170" s="58" t="s">
        <v>274</v>
      </c>
      <c r="I170" s="58" t="s">
        <v>273</v>
      </c>
      <c r="J170" s="58" t="s">
        <v>273</v>
      </c>
      <c r="K170" s="58"/>
      <c r="L170" s="58" t="s">
        <v>288</v>
      </c>
      <c r="M170" s="58" t="s">
        <v>48</v>
      </c>
      <c r="N170" s="58">
        <v>5.0999999999999997E-2</v>
      </c>
      <c r="O170" s="58" t="s">
        <v>554</v>
      </c>
      <c r="P170" s="58" t="s">
        <v>67</v>
      </c>
      <c r="Q170" s="58" t="s">
        <v>68</v>
      </c>
      <c r="R170" s="58" t="s">
        <v>746</v>
      </c>
      <c r="S170" s="58" t="s">
        <v>747</v>
      </c>
      <c r="T170" s="58" t="s">
        <v>279</v>
      </c>
    </row>
    <row r="171" spans="1:20" ht="31.2">
      <c r="A171" s="58" t="s">
        <v>63</v>
      </c>
      <c r="B171" s="58" t="s">
        <v>48</v>
      </c>
      <c r="C171" s="58">
        <v>93</v>
      </c>
      <c r="D171" s="58" t="s">
        <v>378</v>
      </c>
      <c r="E171" s="58" t="s">
        <v>748</v>
      </c>
      <c r="F171" s="58" t="s">
        <v>273</v>
      </c>
      <c r="G171" s="58" t="s">
        <v>273</v>
      </c>
      <c r="H171" s="58" t="s">
        <v>274</v>
      </c>
      <c r="I171" s="58" t="s">
        <v>274</v>
      </c>
      <c r="J171" s="58"/>
      <c r="K171" s="58"/>
      <c r="L171" s="58" t="s">
        <v>288</v>
      </c>
      <c r="M171" s="58" t="s">
        <v>48</v>
      </c>
      <c r="N171" s="58">
        <v>8.4000000000000005E-2</v>
      </c>
      <c r="O171" s="58" t="s">
        <v>380</v>
      </c>
      <c r="P171" s="58" t="s">
        <v>67</v>
      </c>
      <c r="Q171" s="58" t="s">
        <v>68</v>
      </c>
      <c r="R171" s="58" t="s">
        <v>749</v>
      </c>
      <c r="S171" s="58" t="s">
        <v>750</v>
      </c>
      <c r="T171" s="58" t="s">
        <v>279</v>
      </c>
    </row>
    <row r="172" spans="1:20" ht="31.2">
      <c r="A172" s="58" t="s">
        <v>63</v>
      </c>
      <c r="B172" s="58" t="s">
        <v>48</v>
      </c>
      <c r="C172" s="58">
        <v>94</v>
      </c>
      <c r="D172" s="58" t="s">
        <v>361</v>
      </c>
      <c r="E172" s="58" t="s">
        <v>751</v>
      </c>
      <c r="F172" s="58" t="s">
        <v>273</v>
      </c>
      <c r="G172" s="58" t="s">
        <v>273</v>
      </c>
      <c r="H172" s="58" t="s">
        <v>274</v>
      </c>
      <c r="I172" s="58" t="s">
        <v>274</v>
      </c>
      <c r="J172" s="58"/>
      <c r="K172" s="58"/>
      <c r="L172" s="58" t="s">
        <v>288</v>
      </c>
      <c r="M172" s="58" t="s">
        <v>48</v>
      </c>
      <c r="N172" s="58">
        <v>22.088999999999999</v>
      </c>
      <c r="O172" s="58" t="s">
        <v>494</v>
      </c>
      <c r="P172" s="58" t="s">
        <v>67</v>
      </c>
      <c r="Q172" s="58" t="s">
        <v>68</v>
      </c>
      <c r="R172" s="58" t="s">
        <v>752</v>
      </c>
      <c r="S172" s="58" t="s">
        <v>753</v>
      </c>
      <c r="T172" s="58" t="s">
        <v>279</v>
      </c>
    </row>
    <row r="173" spans="1:20" ht="31.2">
      <c r="A173" s="58" t="s">
        <v>63</v>
      </c>
      <c r="B173" s="58" t="s">
        <v>48</v>
      </c>
      <c r="C173" s="58">
        <v>95</v>
      </c>
      <c r="D173" s="58" t="s">
        <v>361</v>
      </c>
      <c r="E173" s="58" t="s">
        <v>754</v>
      </c>
      <c r="F173" s="58" t="s">
        <v>273</v>
      </c>
      <c r="G173" s="58" t="s">
        <v>273</v>
      </c>
      <c r="H173" s="58" t="s">
        <v>274</v>
      </c>
      <c r="I173" s="58" t="s">
        <v>274</v>
      </c>
      <c r="J173" s="58"/>
      <c r="K173" s="58"/>
      <c r="L173" s="58" t="s">
        <v>288</v>
      </c>
      <c r="M173" s="58" t="s">
        <v>48</v>
      </c>
      <c r="N173" s="58">
        <v>3.5219999999999998</v>
      </c>
      <c r="O173" s="58" t="s">
        <v>494</v>
      </c>
      <c r="P173" s="58" t="s">
        <v>67</v>
      </c>
      <c r="Q173" s="58" t="s">
        <v>68</v>
      </c>
      <c r="R173" s="58" t="s">
        <v>755</v>
      </c>
      <c r="S173" s="58" t="s">
        <v>756</v>
      </c>
      <c r="T173" s="58" t="s">
        <v>279</v>
      </c>
    </row>
    <row r="174" spans="1:20" ht="31.2">
      <c r="A174" s="58" t="s">
        <v>63</v>
      </c>
      <c r="B174" s="58" t="s">
        <v>48</v>
      </c>
      <c r="C174" s="58">
        <v>96</v>
      </c>
      <c r="D174" s="58" t="s">
        <v>361</v>
      </c>
      <c r="E174" s="58" t="s">
        <v>757</v>
      </c>
      <c r="F174" s="58" t="s">
        <v>273</v>
      </c>
      <c r="G174" s="58" t="s">
        <v>273</v>
      </c>
      <c r="H174" s="58" t="s">
        <v>274</v>
      </c>
      <c r="I174" s="58" t="s">
        <v>274</v>
      </c>
      <c r="J174" s="58"/>
      <c r="K174" s="58"/>
      <c r="L174" s="58" t="s">
        <v>288</v>
      </c>
      <c r="M174" s="58" t="s">
        <v>48</v>
      </c>
      <c r="N174" s="58">
        <v>3.3570000000000002</v>
      </c>
      <c r="O174" s="58" t="s">
        <v>494</v>
      </c>
      <c r="P174" s="58" t="s">
        <v>67</v>
      </c>
      <c r="Q174" s="58" t="s">
        <v>68</v>
      </c>
      <c r="R174" s="58" t="s">
        <v>758</v>
      </c>
      <c r="S174" s="58" t="s">
        <v>759</v>
      </c>
      <c r="T174" s="58" t="s">
        <v>279</v>
      </c>
    </row>
    <row r="175" spans="1:20" ht="31.2">
      <c r="A175" s="58" t="s">
        <v>63</v>
      </c>
      <c r="B175" s="58" t="s">
        <v>48</v>
      </c>
      <c r="C175" s="58">
        <v>97</v>
      </c>
      <c r="D175" s="58" t="s">
        <v>361</v>
      </c>
      <c r="E175" s="58" t="s">
        <v>760</v>
      </c>
      <c r="F175" s="58" t="s">
        <v>273</v>
      </c>
      <c r="G175" s="58" t="s">
        <v>273</v>
      </c>
      <c r="H175" s="58" t="s">
        <v>274</v>
      </c>
      <c r="I175" s="58" t="s">
        <v>274</v>
      </c>
      <c r="J175" s="58"/>
      <c r="K175" s="58"/>
      <c r="L175" s="58" t="s">
        <v>288</v>
      </c>
      <c r="M175" s="58" t="s">
        <v>48</v>
      </c>
      <c r="N175" s="58">
        <v>2.99</v>
      </c>
      <c r="O175" s="58" t="s">
        <v>494</v>
      </c>
      <c r="P175" s="58" t="s">
        <v>67</v>
      </c>
      <c r="Q175" s="58" t="s">
        <v>68</v>
      </c>
      <c r="R175" s="58" t="s">
        <v>761</v>
      </c>
      <c r="S175" s="58" t="s">
        <v>762</v>
      </c>
      <c r="T175" s="58" t="s">
        <v>279</v>
      </c>
    </row>
    <row r="176" spans="1:20" ht="31.2">
      <c r="A176" s="58" t="s">
        <v>63</v>
      </c>
      <c r="B176" s="58" t="s">
        <v>48</v>
      </c>
      <c r="C176" s="58">
        <v>98</v>
      </c>
      <c r="D176" s="58" t="s">
        <v>479</v>
      </c>
      <c r="E176" s="58" t="s">
        <v>624</v>
      </c>
      <c r="F176" s="58" t="s">
        <v>273</v>
      </c>
      <c r="G176" s="58" t="s">
        <v>273</v>
      </c>
      <c r="H176" s="58" t="s">
        <v>274</v>
      </c>
      <c r="I176" s="58" t="s">
        <v>273</v>
      </c>
      <c r="J176" s="58" t="s">
        <v>273</v>
      </c>
      <c r="K176" s="58"/>
      <c r="L176" s="58" t="s">
        <v>288</v>
      </c>
      <c r="M176" s="58" t="s">
        <v>48</v>
      </c>
      <c r="N176" s="58">
        <v>6.4000000000000001E-2</v>
      </c>
      <c r="O176" s="58" t="s">
        <v>554</v>
      </c>
      <c r="P176" s="58" t="s">
        <v>67</v>
      </c>
      <c r="Q176" s="58" t="s">
        <v>68</v>
      </c>
      <c r="R176" s="58" t="s">
        <v>763</v>
      </c>
      <c r="S176" s="58" t="s">
        <v>764</v>
      </c>
      <c r="T176" s="58" t="s">
        <v>279</v>
      </c>
    </row>
    <row r="177" spans="1:20" ht="31.2">
      <c r="A177" s="58" t="s">
        <v>63</v>
      </c>
      <c r="B177" s="58" t="s">
        <v>48</v>
      </c>
      <c r="C177" s="58">
        <v>99</v>
      </c>
      <c r="D177" s="58" t="s">
        <v>479</v>
      </c>
      <c r="E177" s="58" t="s">
        <v>666</v>
      </c>
      <c r="F177" s="58" t="s">
        <v>273</v>
      </c>
      <c r="G177" s="58" t="s">
        <v>273</v>
      </c>
      <c r="H177" s="58" t="s">
        <v>274</v>
      </c>
      <c r="I177" s="58" t="s">
        <v>273</v>
      </c>
      <c r="J177" s="58" t="s">
        <v>273</v>
      </c>
      <c r="K177" s="58"/>
      <c r="L177" s="58" t="s">
        <v>288</v>
      </c>
      <c r="M177" s="58" t="s">
        <v>48</v>
      </c>
      <c r="N177" s="58">
        <v>5.7000000000000002E-2</v>
      </c>
      <c r="O177" s="58" t="s">
        <v>554</v>
      </c>
      <c r="P177" s="58" t="s">
        <v>67</v>
      </c>
      <c r="Q177" s="58" t="s">
        <v>68</v>
      </c>
      <c r="R177" s="58" t="s">
        <v>765</v>
      </c>
      <c r="S177" s="58" t="s">
        <v>766</v>
      </c>
      <c r="T177" s="58" t="s">
        <v>279</v>
      </c>
    </row>
    <row r="178" spans="1:20" ht="31.2">
      <c r="A178" s="58" t="s">
        <v>63</v>
      </c>
      <c r="B178" s="58" t="s">
        <v>48</v>
      </c>
      <c r="C178" s="58">
        <v>100</v>
      </c>
      <c r="D178" s="58" t="s">
        <v>479</v>
      </c>
      <c r="E178" s="58" t="s">
        <v>666</v>
      </c>
      <c r="F178" s="58" t="s">
        <v>273</v>
      </c>
      <c r="G178" s="58" t="s">
        <v>273</v>
      </c>
      <c r="H178" s="58" t="s">
        <v>274</v>
      </c>
      <c r="I178" s="58" t="s">
        <v>273</v>
      </c>
      <c r="J178" s="58" t="s">
        <v>273</v>
      </c>
      <c r="K178" s="58"/>
      <c r="L178" s="58" t="s">
        <v>288</v>
      </c>
      <c r="M178" s="58" t="s">
        <v>48</v>
      </c>
      <c r="N178" s="58">
        <v>5.7000000000000002E-2</v>
      </c>
      <c r="O178" s="58" t="s">
        <v>554</v>
      </c>
      <c r="P178" s="58" t="s">
        <v>67</v>
      </c>
      <c r="Q178" s="58" t="s">
        <v>68</v>
      </c>
      <c r="R178" s="58" t="s">
        <v>767</v>
      </c>
      <c r="S178" s="58" t="s">
        <v>768</v>
      </c>
      <c r="T178" s="58" t="s">
        <v>279</v>
      </c>
    </row>
    <row r="179" spans="1:20" ht="31.2">
      <c r="A179" s="58" t="s">
        <v>63</v>
      </c>
      <c r="B179" s="58" t="s">
        <v>48</v>
      </c>
      <c r="C179" s="58">
        <v>101</v>
      </c>
      <c r="D179" s="58" t="s">
        <v>479</v>
      </c>
      <c r="E179" s="58" t="s">
        <v>666</v>
      </c>
      <c r="F179" s="58" t="s">
        <v>273</v>
      </c>
      <c r="G179" s="58" t="s">
        <v>273</v>
      </c>
      <c r="H179" s="58" t="s">
        <v>274</v>
      </c>
      <c r="I179" s="58" t="s">
        <v>273</v>
      </c>
      <c r="J179" s="58" t="s">
        <v>273</v>
      </c>
      <c r="K179" s="58"/>
      <c r="L179" s="58" t="s">
        <v>288</v>
      </c>
      <c r="M179" s="58" t="s">
        <v>48</v>
      </c>
      <c r="N179" s="58">
        <v>5.6000000000000001E-2</v>
      </c>
      <c r="O179" s="58" t="s">
        <v>554</v>
      </c>
      <c r="P179" s="58" t="s">
        <v>67</v>
      </c>
      <c r="Q179" s="58" t="s">
        <v>68</v>
      </c>
      <c r="R179" s="58" t="s">
        <v>769</v>
      </c>
      <c r="S179" s="58" t="s">
        <v>770</v>
      </c>
      <c r="T179" s="58" t="s">
        <v>279</v>
      </c>
    </row>
    <row r="180" spans="1:20" ht="31.2">
      <c r="A180" s="58" t="s">
        <v>63</v>
      </c>
      <c r="B180" s="58" t="s">
        <v>48</v>
      </c>
      <c r="C180" s="58">
        <v>102</v>
      </c>
      <c r="D180" s="58" t="s">
        <v>361</v>
      </c>
      <c r="E180" s="58" t="s">
        <v>771</v>
      </c>
      <c r="F180" s="58" t="s">
        <v>273</v>
      </c>
      <c r="G180" s="58" t="s">
        <v>273</v>
      </c>
      <c r="H180" s="58" t="s">
        <v>274</v>
      </c>
      <c r="I180" s="58" t="s">
        <v>274</v>
      </c>
      <c r="J180" s="58"/>
      <c r="K180" s="58"/>
      <c r="L180" s="58" t="s">
        <v>288</v>
      </c>
      <c r="M180" s="58" t="s">
        <v>48</v>
      </c>
      <c r="N180" s="58">
        <v>0.22600000000000001</v>
      </c>
      <c r="O180" s="58" t="s">
        <v>494</v>
      </c>
      <c r="P180" s="58" t="s">
        <v>67</v>
      </c>
      <c r="Q180" s="58" t="s">
        <v>68</v>
      </c>
      <c r="R180" s="58" t="s">
        <v>772</v>
      </c>
      <c r="S180" s="58" t="s">
        <v>773</v>
      </c>
      <c r="T180" s="58" t="s">
        <v>279</v>
      </c>
    </row>
    <row r="181" spans="1:20" ht="31.2">
      <c r="A181" s="58" t="s">
        <v>63</v>
      </c>
      <c r="B181" s="58" t="s">
        <v>48</v>
      </c>
      <c r="C181" s="58">
        <v>103</v>
      </c>
      <c r="D181" s="58" t="s">
        <v>361</v>
      </c>
      <c r="E181" s="58" t="s">
        <v>774</v>
      </c>
      <c r="F181" s="58" t="s">
        <v>273</v>
      </c>
      <c r="G181" s="58" t="s">
        <v>273</v>
      </c>
      <c r="H181" s="58" t="s">
        <v>274</v>
      </c>
      <c r="I181" s="58" t="s">
        <v>274</v>
      </c>
      <c r="J181" s="58"/>
      <c r="K181" s="58"/>
      <c r="L181" s="58" t="s">
        <v>288</v>
      </c>
      <c r="M181" s="58" t="s">
        <v>48</v>
      </c>
      <c r="N181" s="58">
        <v>3.665</v>
      </c>
      <c r="O181" s="58" t="s">
        <v>494</v>
      </c>
      <c r="P181" s="58" t="s">
        <v>67</v>
      </c>
      <c r="Q181" s="58" t="s">
        <v>68</v>
      </c>
      <c r="R181" s="58" t="s">
        <v>775</v>
      </c>
      <c r="S181" s="58" t="s">
        <v>776</v>
      </c>
      <c r="T181" s="58" t="s">
        <v>279</v>
      </c>
    </row>
    <row r="182" spans="1:20" ht="31.2">
      <c r="A182" s="58" t="s">
        <v>63</v>
      </c>
      <c r="B182" s="58" t="s">
        <v>48</v>
      </c>
      <c r="C182" s="58">
        <v>104</v>
      </c>
      <c r="D182" s="58" t="s">
        <v>361</v>
      </c>
      <c r="E182" s="58" t="s">
        <v>777</v>
      </c>
      <c r="F182" s="58" t="s">
        <v>273</v>
      </c>
      <c r="G182" s="58" t="s">
        <v>273</v>
      </c>
      <c r="H182" s="58" t="s">
        <v>274</v>
      </c>
      <c r="I182" s="58" t="s">
        <v>274</v>
      </c>
      <c r="J182" s="58"/>
      <c r="K182" s="58"/>
      <c r="L182" s="58" t="s">
        <v>288</v>
      </c>
      <c r="M182" s="58" t="s">
        <v>48</v>
      </c>
      <c r="N182" s="58">
        <v>29.498999999999999</v>
      </c>
      <c r="O182" s="58" t="s">
        <v>494</v>
      </c>
      <c r="P182" s="58" t="s">
        <v>67</v>
      </c>
      <c r="Q182" s="58" t="s">
        <v>68</v>
      </c>
      <c r="R182" s="58" t="s">
        <v>778</v>
      </c>
      <c r="S182" s="58" t="s">
        <v>779</v>
      </c>
      <c r="T182" s="58" t="s">
        <v>279</v>
      </c>
    </row>
    <row r="183" spans="1:20" ht="31.2">
      <c r="A183" s="58" t="s">
        <v>63</v>
      </c>
      <c r="B183" s="58" t="s">
        <v>48</v>
      </c>
      <c r="C183" s="58">
        <v>105</v>
      </c>
      <c r="D183" s="58" t="s">
        <v>361</v>
      </c>
      <c r="E183" s="58" t="s">
        <v>780</v>
      </c>
      <c r="F183" s="58" t="s">
        <v>273</v>
      </c>
      <c r="G183" s="58" t="s">
        <v>273</v>
      </c>
      <c r="H183" s="58" t="s">
        <v>274</v>
      </c>
      <c r="I183" s="58" t="s">
        <v>274</v>
      </c>
      <c r="J183" s="58"/>
      <c r="K183" s="58"/>
      <c r="L183" s="58" t="s">
        <v>288</v>
      </c>
      <c r="M183" s="58" t="s">
        <v>48</v>
      </c>
      <c r="N183" s="58">
        <v>8.74</v>
      </c>
      <c r="O183" s="58" t="s">
        <v>494</v>
      </c>
      <c r="P183" s="58" t="s">
        <v>67</v>
      </c>
      <c r="Q183" s="58" t="s">
        <v>68</v>
      </c>
      <c r="R183" s="58" t="s">
        <v>781</v>
      </c>
      <c r="S183" s="58" t="s">
        <v>782</v>
      </c>
      <c r="T183" s="58" t="s">
        <v>279</v>
      </c>
    </row>
    <row r="184" spans="1:20" ht="31.2">
      <c r="A184" s="58" t="s">
        <v>63</v>
      </c>
      <c r="B184" s="58" t="s">
        <v>48</v>
      </c>
      <c r="C184" s="58">
        <v>106</v>
      </c>
      <c r="D184" s="58" t="s">
        <v>479</v>
      </c>
      <c r="E184" s="58" t="s">
        <v>743</v>
      </c>
      <c r="F184" s="58" t="s">
        <v>273</v>
      </c>
      <c r="G184" s="58" t="s">
        <v>273</v>
      </c>
      <c r="H184" s="58" t="s">
        <v>274</v>
      </c>
      <c r="I184" s="58" t="s">
        <v>273</v>
      </c>
      <c r="J184" s="58" t="s">
        <v>273</v>
      </c>
      <c r="K184" s="58"/>
      <c r="L184" s="58" t="s">
        <v>288</v>
      </c>
      <c r="M184" s="58" t="s">
        <v>48</v>
      </c>
      <c r="N184" s="58">
        <v>6.8000000000000005E-2</v>
      </c>
      <c r="O184" s="58" t="s">
        <v>554</v>
      </c>
      <c r="P184" s="58" t="s">
        <v>67</v>
      </c>
      <c r="Q184" s="58" t="s">
        <v>68</v>
      </c>
      <c r="R184" s="58" t="s">
        <v>783</v>
      </c>
      <c r="S184" s="58" t="s">
        <v>784</v>
      </c>
      <c r="T184" s="58" t="s">
        <v>279</v>
      </c>
    </row>
    <row r="185" spans="1:20" ht="31.2">
      <c r="A185" s="58" t="s">
        <v>63</v>
      </c>
      <c r="B185" s="58" t="s">
        <v>48</v>
      </c>
      <c r="C185" s="58">
        <v>107</v>
      </c>
      <c r="D185" s="58" t="s">
        <v>479</v>
      </c>
      <c r="E185" s="58" t="s">
        <v>743</v>
      </c>
      <c r="F185" s="58" t="s">
        <v>273</v>
      </c>
      <c r="G185" s="58" t="s">
        <v>273</v>
      </c>
      <c r="H185" s="58" t="s">
        <v>274</v>
      </c>
      <c r="I185" s="58" t="s">
        <v>273</v>
      </c>
      <c r="J185" s="58" t="s">
        <v>273</v>
      </c>
      <c r="K185" s="58"/>
      <c r="L185" s="58" t="s">
        <v>288</v>
      </c>
      <c r="M185" s="58" t="s">
        <v>48</v>
      </c>
      <c r="N185" s="58">
        <v>4.4999999999999998E-2</v>
      </c>
      <c r="O185" s="58" t="s">
        <v>554</v>
      </c>
      <c r="P185" s="58" t="s">
        <v>67</v>
      </c>
      <c r="Q185" s="58" t="s">
        <v>68</v>
      </c>
      <c r="R185" s="58" t="s">
        <v>785</v>
      </c>
      <c r="S185" s="58" t="s">
        <v>786</v>
      </c>
      <c r="T185" s="58" t="s">
        <v>279</v>
      </c>
    </row>
    <row r="186" spans="1:20" ht="31.2">
      <c r="A186" s="58" t="s">
        <v>63</v>
      </c>
      <c r="B186" s="58" t="s">
        <v>48</v>
      </c>
      <c r="C186" s="58">
        <v>108</v>
      </c>
      <c r="D186" s="58" t="s">
        <v>479</v>
      </c>
      <c r="E186" s="58" t="s">
        <v>743</v>
      </c>
      <c r="F186" s="58" t="s">
        <v>273</v>
      </c>
      <c r="G186" s="58" t="s">
        <v>273</v>
      </c>
      <c r="H186" s="58" t="s">
        <v>274</v>
      </c>
      <c r="I186" s="58" t="s">
        <v>273</v>
      </c>
      <c r="J186" s="58" t="s">
        <v>273</v>
      </c>
      <c r="K186" s="58"/>
      <c r="L186" s="58" t="s">
        <v>288</v>
      </c>
      <c r="M186" s="58" t="s">
        <v>48</v>
      </c>
      <c r="N186" s="58">
        <v>5.7000000000000002E-2</v>
      </c>
      <c r="O186" s="58" t="s">
        <v>554</v>
      </c>
      <c r="P186" s="58" t="s">
        <v>67</v>
      </c>
      <c r="Q186" s="58" t="s">
        <v>68</v>
      </c>
      <c r="R186" s="58" t="s">
        <v>787</v>
      </c>
      <c r="S186" s="58" t="s">
        <v>788</v>
      </c>
      <c r="T186" s="58" t="s">
        <v>279</v>
      </c>
    </row>
    <row r="187" spans="1:20" ht="31.2">
      <c r="A187" s="58" t="s">
        <v>63</v>
      </c>
      <c r="B187" s="58" t="s">
        <v>48</v>
      </c>
      <c r="C187" s="58">
        <v>109</v>
      </c>
      <c r="D187" s="58" t="s">
        <v>479</v>
      </c>
      <c r="E187" s="58" t="s">
        <v>743</v>
      </c>
      <c r="F187" s="58" t="s">
        <v>273</v>
      </c>
      <c r="G187" s="58" t="s">
        <v>273</v>
      </c>
      <c r="H187" s="58" t="s">
        <v>274</v>
      </c>
      <c r="I187" s="58" t="s">
        <v>273</v>
      </c>
      <c r="J187" s="58" t="s">
        <v>273</v>
      </c>
      <c r="K187" s="58"/>
      <c r="L187" s="58" t="s">
        <v>288</v>
      </c>
      <c r="M187" s="58" t="s">
        <v>48</v>
      </c>
      <c r="N187" s="58">
        <v>6.0999999999999999E-2</v>
      </c>
      <c r="O187" s="58" t="s">
        <v>554</v>
      </c>
      <c r="P187" s="58" t="s">
        <v>67</v>
      </c>
      <c r="Q187" s="58" t="s">
        <v>68</v>
      </c>
      <c r="R187" s="58" t="s">
        <v>789</v>
      </c>
      <c r="S187" s="58" t="s">
        <v>790</v>
      </c>
      <c r="T187" s="58" t="s">
        <v>279</v>
      </c>
    </row>
    <row r="188" spans="1:20" ht="31.2">
      <c r="A188" s="58" t="s">
        <v>63</v>
      </c>
      <c r="B188" s="58" t="s">
        <v>48</v>
      </c>
      <c r="C188" s="58">
        <v>110</v>
      </c>
      <c r="D188" s="58" t="s">
        <v>361</v>
      </c>
      <c r="E188" s="58" t="s">
        <v>791</v>
      </c>
      <c r="F188" s="58" t="s">
        <v>273</v>
      </c>
      <c r="G188" s="58" t="s">
        <v>273</v>
      </c>
      <c r="H188" s="58" t="s">
        <v>274</v>
      </c>
      <c r="I188" s="58" t="s">
        <v>274</v>
      </c>
      <c r="J188" s="58"/>
      <c r="K188" s="58"/>
      <c r="L188" s="58" t="s">
        <v>288</v>
      </c>
      <c r="M188" s="58" t="s">
        <v>48</v>
      </c>
      <c r="N188" s="58">
        <v>19.834</v>
      </c>
      <c r="O188" s="58" t="s">
        <v>494</v>
      </c>
      <c r="P188" s="58" t="s">
        <v>67</v>
      </c>
      <c r="Q188" s="58" t="s">
        <v>68</v>
      </c>
      <c r="R188" s="58" t="s">
        <v>792</v>
      </c>
      <c r="S188" s="58" t="s">
        <v>793</v>
      </c>
      <c r="T188" s="58" t="s">
        <v>279</v>
      </c>
    </row>
    <row r="189" spans="1:20" ht="31.2">
      <c r="A189" s="58" t="s">
        <v>63</v>
      </c>
      <c r="B189" s="58" t="s">
        <v>48</v>
      </c>
      <c r="C189" s="58">
        <v>111</v>
      </c>
      <c r="D189" s="58" t="s">
        <v>361</v>
      </c>
      <c r="E189" s="58" t="s">
        <v>794</v>
      </c>
      <c r="F189" s="58" t="s">
        <v>273</v>
      </c>
      <c r="G189" s="58" t="s">
        <v>274</v>
      </c>
      <c r="H189" s="58" t="s">
        <v>273</v>
      </c>
      <c r="I189" s="58" t="s">
        <v>274</v>
      </c>
      <c r="J189" s="58"/>
      <c r="K189" s="58"/>
      <c r="L189" s="58" t="s">
        <v>288</v>
      </c>
      <c r="M189" s="58" t="s">
        <v>48</v>
      </c>
      <c r="N189" s="58">
        <v>9.1140000000000008</v>
      </c>
      <c r="O189" s="58" t="s">
        <v>494</v>
      </c>
      <c r="P189" s="58" t="s">
        <v>67</v>
      </c>
      <c r="Q189" s="58" t="s">
        <v>68</v>
      </c>
      <c r="R189" s="58" t="s">
        <v>795</v>
      </c>
      <c r="S189" s="58" t="s">
        <v>796</v>
      </c>
      <c r="T189" s="58" t="s">
        <v>279</v>
      </c>
    </row>
    <row r="190" spans="1:20" ht="31.2">
      <c r="A190" s="58" t="s">
        <v>63</v>
      </c>
      <c r="B190" s="58" t="s">
        <v>48</v>
      </c>
      <c r="C190" s="58">
        <v>112</v>
      </c>
      <c r="D190" s="58" t="s">
        <v>361</v>
      </c>
      <c r="E190" s="58" t="s">
        <v>797</v>
      </c>
      <c r="F190" s="58" t="s">
        <v>273</v>
      </c>
      <c r="G190" s="58" t="s">
        <v>273</v>
      </c>
      <c r="H190" s="58" t="s">
        <v>274</v>
      </c>
      <c r="I190" s="58" t="s">
        <v>274</v>
      </c>
      <c r="J190" s="58"/>
      <c r="K190" s="58"/>
      <c r="L190" s="58" t="s">
        <v>288</v>
      </c>
      <c r="M190" s="58" t="s">
        <v>48</v>
      </c>
      <c r="N190" s="58">
        <v>6.1929999999999996</v>
      </c>
      <c r="O190" s="58" t="s">
        <v>494</v>
      </c>
      <c r="P190" s="58" t="s">
        <v>67</v>
      </c>
      <c r="Q190" s="58" t="s">
        <v>68</v>
      </c>
      <c r="R190" s="58" t="s">
        <v>798</v>
      </c>
      <c r="S190" s="58" t="s">
        <v>799</v>
      </c>
      <c r="T190" s="58" t="s">
        <v>279</v>
      </c>
    </row>
    <row r="191" spans="1:20" ht="31.2">
      <c r="A191" s="58" t="s">
        <v>63</v>
      </c>
      <c r="B191" s="58" t="s">
        <v>48</v>
      </c>
      <c r="C191" s="58">
        <v>113</v>
      </c>
      <c r="D191" s="58" t="s">
        <v>361</v>
      </c>
      <c r="E191" s="58" t="s">
        <v>800</v>
      </c>
      <c r="F191" s="58" t="s">
        <v>273</v>
      </c>
      <c r="G191" s="58" t="s">
        <v>273</v>
      </c>
      <c r="H191" s="58" t="s">
        <v>274</v>
      </c>
      <c r="I191" s="58" t="s">
        <v>274</v>
      </c>
      <c r="J191" s="58"/>
      <c r="K191" s="58"/>
      <c r="L191" s="58" t="s">
        <v>288</v>
      </c>
      <c r="M191" s="58" t="s">
        <v>48</v>
      </c>
      <c r="N191" s="58">
        <v>6.6639999999999997</v>
      </c>
      <c r="O191" s="58" t="s">
        <v>494</v>
      </c>
      <c r="P191" s="58" t="s">
        <v>67</v>
      </c>
      <c r="Q191" s="58" t="s">
        <v>68</v>
      </c>
      <c r="R191" s="58" t="s">
        <v>801</v>
      </c>
      <c r="S191" s="58" t="s">
        <v>802</v>
      </c>
      <c r="T191" s="58" t="s">
        <v>279</v>
      </c>
    </row>
    <row r="192" spans="1:20" ht="31.2">
      <c r="A192" s="58" t="s">
        <v>63</v>
      </c>
      <c r="B192" s="58" t="s">
        <v>48</v>
      </c>
      <c r="C192" s="58">
        <v>114</v>
      </c>
      <c r="D192" s="58" t="s">
        <v>361</v>
      </c>
      <c r="E192" s="58" t="s">
        <v>803</v>
      </c>
      <c r="F192" s="58" t="s">
        <v>273</v>
      </c>
      <c r="G192" s="58" t="s">
        <v>273</v>
      </c>
      <c r="H192" s="58" t="s">
        <v>274</v>
      </c>
      <c r="I192" s="58" t="s">
        <v>274</v>
      </c>
      <c r="J192" s="58"/>
      <c r="K192" s="58"/>
      <c r="L192" s="58" t="s">
        <v>288</v>
      </c>
      <c r="M192" s="58" t="s">
        <v>48</v>
      </c>
      <c r="N192" s="58">
        <v>2.371</v>
      </c>
      <c r="O192" s="58" t="s">
        <v>494</v>
      </c>
      <c r="P192" s="58" t="s">
        <v>67</v>
      </c>
      <c r="Q192" s="58" t="s">
        <v>68</v>
      </c>
      <c r="R192" s="58" t="s">
        <v>804</v>
      </c>
      <c r="S192" s="58" t="s">
        <v>805</v>
      </c>
      <c r="T192" s="58" t="s">
        <v>279</v>
      </c>
    </row>
    <row r="193" spans="1:20" ht="31.2">
      <c r="A193" s="58" t="s">
        <v>63</v>
      </c>
      <c r="B193" s="58" t="s">
        <v>48</v>
      </c>
      <c r="C193" s="58">
        <v>115</v>
      </c>
      <c r="D193" s="58" t="s">
        <v>361</v>
      </c>
      <c r="E193" s="58" t="s">
        <v>806</v>
      </c>
      <c r="F193" s="58" t="s">
        <v>273</v>
      </c>
      <c r="G193" s="58" t="s">
        <v>273</v>
      </c>
      <c r="H193" s="58" t="s">
        <v>274</v>
      </c>
      <c r="I193" s="58" t="s">
        <v>274</v>
      </c>
      <c r="J193" s="58"/>
      <c r="K193" s="58"/>
      <c r="L193" s="58" t="s">
        <v>288</v>
      </c>
      <c r="M193" s="58" t="s">
        <v>48</v>
      </c>
      <c r="N193" s="58">
        <v>8.7070000000000007</v>
      </c>
      <c r="O193" s="58" t="s">
        <v>494</v>
      </c>
      <c r="P193" s="58" t="s">
        <v>67</v>
      </c>
      <c r="Q193" s="58" t="s">
        <v>68</v>
      </c>
      <c r="R193" s="58" t="s">
        <v>807</v>
      </c>
      <c r="S193" s="58" t="s">
        <v>808</v>
      </c>
      <c r="T193" s="58" t="s">
        <v>279</v>
      </c>
    </row>
    <row r="194" spans="1:20" ht="31.2">
      <c r="A194" s="58" t="s">
        <v>63</v>
      </c>
      <c r="B194" s="58" t="s">
        <v>48</v>
      </c>
      <c r="C194" s="58">
        <v>116</v>
      </c>
      <c r="D194" s="58" t="s">
        <v>361</v>
      </c>
      <c r="E194" s="58" t="s">
        <v>809</v>
      </c>
      <c r="F194" s="58" t="s">
        <v>273</v>
      </c>
      <c r="G194" s="58" t="s">
        <v>273</v>
      </c>
      <c r="H194" s="58" t="s">
        <v>274</v>
      </c>
      <c r="I194" s="58" t="s">
        <v>274</v>
      </c>
      <c r="J194" s="58"/>
      <c r="K194" s="58"/>
      <c r="L194" s="58" t="s">
        <v>288</v>
      </c>
      <c r="M194" s="58" t="s">
        <v>48</v>
      </c>
      <c r="N194" s="58">
        <v>60.493000000000002</v>
      </c>
      <c r="O194" s="58" t="s">
        <v>494</v>
      </c>
      <c r="P194" s="58" t="s">
        <v>67</v>
      </c>
      <c r="Q194" s="58" t="s">
        <v>68</v>
      </c>
      <c r="R194" s="58" t="s">
        <v>810</v>
      </c>
      <c r="S194" s="58" t="s">
        <v>811</v>
      </c>
      <c r="T194" s="58" t="s">
        <v>279</v>
      </c>
    </row>
    <row r="195" spans="1:20" ht="31.2">
      <c r="A195" s="58" t="s">
        <v>63</v>
      </c>
      <c r="B195" s="58" t="s">
        <v>48</v>
      </c>
      <c r="C195" s="58">
        <v>117</v>
      </c>
      <c r="D195" s="58" t="s">
        <v>333</v>
      </c>
      <c r="E195" s="58" t="s">
        <v>743</v>
      </c>
      <c r="F195" s="58" t="s">
        <v>273</v>
      </c>
      <c r="G195" s="58" t="s">
        <v>273</v>
      </c>
      <c r="H195" s="58" t="s">
        <v>274</v>
      </c>
      <c r="I195" s="58" t="s">
        <v>274</v>
      </c>
      <c r="J195" s="58"/>
      <c r="K195" s="58" t="s">
        <v>274</v>
      </c>
      <c r="L195" s="58" t="s">
        <v>288</v>
      </c>
      <c r="M195" s="58" t="s">
        <v>48</v>
      </c>
      <c r="N195" s="58">
        <v>3.1E-2</v>
      </c>
      <c r="O195" s="58" t="s">
        <v>335</v>
      </c>
      <c r="P195" s="58" t="s">
        <v>67</v>
      </c>
      <c r="Q195" s="58" t="s">
        <v>68</v>
      </c>
      <c r="R195" s="58" t="s">
        <v>812</v>
      </c>
      <c r="S195" s="58" t="s">
        <v>813</v>
      </c>
      <c r="T195" s="58" t="s">
        <v>279</v>
      </c>
    </row>
    <row r="196" spans="1:20" ht="31.2">
      <c r="A196" s="58" t="s">
        <v>63</v>
      </c>
      <c r="B196" s="58" t="s">
        <v>48</v>
      </c>
      <c r="C196" s="58">
        <v>118</v>
      </c>
      <c r="D196" s="58" t="s">
        <v>479</v>
      </c>
      <c r="E196" s="58" t="s">
        <v>743</v>
      </c>
      <c r="F196" s="58" t="s">
        <v>273</v>
      </c>
      <c r="G196" s="58" t="s">
        <v>273</v>
      </c>
      <c r="H196" s="58" t="s">
        <v>274</v>
      </c>
      <c r="I196" s="58" t="s">
        <v>273</v>
      </c>
      <c r="J196" s="58" t="s">
        <v>273</v>
      </c>
      <c r="K196" s="58"/>
      <c r="L196" s="58" t="s">
        <v>288</v>
      </c>
      <c r="M196" s="58" t="s">
        <v>48</v>
      </c>
      <c r="N196" s="58">
        <v>6.3E-2</v>
      </c>
      <c r="O196" s="58" t="s">
        <v>554</v>
      </c>
      <c r="P196" s="58" t="s">
        <v>67</v>
      </c>
      <c r="Q196" s="58" t="s">
        <v>68</v>
      </c>
      <c r="R196" s="58" t="s">
        <v>814</v>
      </c>
      <c r="S196" s="58" t="s">
        <v>815</v>
      </c>
      <c r="T196" s="58" t="s">
        <v>279</v>
      </c>
    </row>
    <row r="197" spans="1:20" ht="31.2">
      <c r="A197" s="58" t="s">
        <v>63</v>
      </c>
      <c r="B197" s="58" t="s">
        <v>48</v>
      </c>
      <c r="C197" s="58">
        <v>119</v>
      </c>
      <c r="D197" s="58" t="s">
        <v>479</v>
      </c>
      <c r="E197" s="58" t="s">
        <v>743</v>
      </c>
      <c r="F197" s="58" t="s">
        <v>273</v>
      </c>
      <c r="G197" s="58" t="s">
        <v>273</v>
      </c>
      <c r="H197" s="58" t="s">
        <v>274</v>
      </c>
      <c r="I197" s="58" t="s">
        <v>273</v>
      </c>
      <c r="J197" s="58" t="s">
        <v>273</v>
      </c>
      <c r="K197" s="58"/>
      <c r="L197" s="58" t="s">
        <v>288</v>
      </c>
      <c r="M197" s="58" t="s">
        <v>48</v>
      </c>
      <c r="N197" s="58">
        <v>6.0999999999999999E-2</v>
      </c>
      <c r="O197" s="58" t="s">
        <v>554</v>
      </c>
      <c r="P197" s="58" t="s">
        <v>67</v>
      </c>
      <c r="Q197" s="58" t="s">
        <v>68</v>
      </c>
      <c r="R197" s="58" t="s">
        <v>816</v>
      </c>
      <c r="S197" s="58" t="s">
        <v>817</v>
      </c>
      <c r="T197" s="58" t="s">
        <v>279</v>
      </c>
    </row>
    <row r="198" spans="1:20" ht="31.2">
      <c r="A198" s="58" t="s">
        <v>63</v>
      </c>
      <c r="B198" s="58" t="s">
        <v>48</v>
      </c>
      <c r="C198" s="58">
        <v>120</v>
      </c>
      <c r="D198" s="58" t="s">
        <v>479</v>
      </c>
      <c r="E198" s="58" t="s">
        <v>743</v>
      </c>
      <c r="F198" s="58" t="s">
        <v>273</v>
      </c>
      <c r="G198" s="58" t="s">
        <v>273</v>
      </c>
      <c r="H198" s="58" t="s">
        <v>274</v>
      </c>
      <c r="I198" s="58" t="s">
        <v>273</v>
      </c>
      <c r="J198" s="58" t="s">
        <v>273</v>
      </c>
      <c r="K198" s="58"/>
      <c r="L198" s="58" t="s">
        <v>288</v>
      </c>
      <c r="M198" s="58" t="s">
        <v>48</v>
      </c>
      <c r="N198" s="58">
        <v>5.6000000000000001E-2</v>
      </c>
      <c r="O198" s="58" t="s">
        <v>554</v>
      </c>
      <c r="P198" s="58" t="s">
        <v>67</v>
      </c>
      <c r="Q198" s="58" t="s">
        <v>68</v>
      </c>
      <c r="R198" s="58" t="s">
        <v>818</v>
      </c>
      <c r="S198" s="58" t="s">
        <v>819</v>
      </c>
      <c r="T198" s="58" t="s">
        <v>279</v>
      </c>
    </row>
    <row r="199" spans="1:20" ht="31.2">
      <c r="A199" s="58" t="s">
        <v>63</v>
      </c>
      <c r="B199" s="58" t="s">
        <v>48</v>
      </c>
      <c r="C199" s="58">
        <v>121</v>
      </c>
      <c r="D199" s="58" t="s">
        <v>479</v>
      </c>
      <c r="E199" s="58" t="s">
        <v>743</v>
      </c>
      <c r="F199" s="58" t="s">
        <v>273</v>
      </c>
      <c r="G199" s="58" t="s">
        <v>273</v>
      </c>
      <c r="H199" s="58" t="s">
        <v>274</v>
      </c>
      <c r="I199" s="58" t="s">
        <v>273</v>
      </c>
      <c r="J199" s="58" t="s">
        <v>273</v>
      </c>
      <c r="K199" s="58"/>
      <c r="L199" s="58" t="s">
        <v>288</v>
      </c>
      <c r="M199" s="58" t="s">
        <v>48</v>
      </c>
      <c r="N199" s="58">
        <v>5.2999999999999999E-2</v>
      </c>
      <c r="O199" s="58" t="s">
        <v>554</v>
      </c>
      <c r="P199" s="58" t="s">
        <v>67</v>
      </c>
      <c r="Q199" s="58" t="s">
        <v>68</v>
      </c>
      <c r="R199" s="58" t="s">
        <v>820</v>
      </c>
      <c r="S199" s="58" t="s">
        <v>821</v>
      </c>
      <c r="T199" s="58" t="s">
        <v>279</v>
      </c>
    </row>
    <row r="200" spans="1:20" ht="31.2">
      <c r="A200" s="58" t="s">
        <v>63</v>
      </c>
      <c r="B200" s="58" t="s">
        <v>48</v>
      </c>
      <c r="C200" s="58">
        <v>122</v>
      </c>
      <c r="D200" s="58" t="s">
        <v>361</v>
      </c>
      <c r="E200" s="58" t="s">
        <v>822</v>
      </c>
      <c r="F200" s="58" t="s">
        <v>273</v>
      </c>
      <c r="G200" s="58" t="s">
        <v>273</v>
      </c>
      <c r="H200" s="58" t="s">
        <v>274</v>
      </c>
      <c r="I200" s="58" t="s">
        <v>274</v>
      </c>
      <c r="J200" s="58"/>
      <c r="K200" s="58"/>
      <c r="L200" s="58" t="s">
        <v>288</v>
      </c>
      <c r="M200" s="58" t="s">
        <v>48</v>
      </c>
      <c r="N200" s="58">
        <v>32.345999999999997</v>
      </c>
      <c r="O200" s="58" t="s">
        <v>494</v>
      </c>
      <c r="P200" s="58" t="s">
        <v>67</v>
      </c>
      <c r="Q200" s="58" t="s">
        <v>68</v>
      </c>
      <c r="R200" s="58" t="s">
        <v>823</v>
      </c>
      <c r="S200" s="58" t="s">
        <v>824</v>
      </c>
      <c r="T200" s="58" t="s">
        <v>279</v>
      </c>
    </row>
    <row r="201" spans="1:20" ht="31.2">
      <c r="A201" s="58" t="s">
        <v>63</v>
      </c>
      <c r="B201" s="58" t="s">
        <v>48</v>
      </c>
      <c r="C201" s="58">
        <v>123</v>
      </c>
      <c r="D201" s="58" t="s">
        <v>521</v>
      </c>
      <c r="E201" s="58" t="s">
        <v>825</v>
      </c>
      <c r="F201" s="58" t="s">
        <v>273</v>
      </c>
      <c r="G201" s="58" t="s">
        <v>273</v>
      </c>
      <c r="H201" s="58" t="s">
        <v>274</v>
      </c>
      <c r="I201" s="58" t="s">
        <v>274</v>
      </c>
      <c r="J201" s="58"/>
      <c r="K201" s="58"/>
      <c r="L201" s="58" t="s">
        <v>351</v>
      </c>
      <c r="M201" s="58" t="s">
        <v>48</v>
      </c>
      <c r="N201" s="58">
        <v>5.0999999999999997E-2</v>
      </c>
      <c r="O201" s="58" t="s">
        <v>539</v>
      </c>
      <c r="P201" s="58" t="s">
        <v>67</v>
      </c>
      <c r="Q201" s="58" t="s">
        <v>68</v>
      </c>
      <c r="R201" s="58" t="s">
        <v>826</v>
      </c>
      <c r="S201" s="58" t="s">
        <v>827</v>
      </c>
      <c r="T201" s="58" t="s">
        <v>279</v>
      </c>
    </row>
    <row r="202" spans="1:20" ht="31.2">
      <c r="A202" s="58" t="s">
        <v>70</v>
      </c>
      <c r="B202" s="58" t="s">
        <v>48</v>
      </c>
      <c r="C202" s="58">
        <v>1</v>
      </c>
      <c r="D202" s="58" t="s">
        <v>361</v>
      </c>
      <c r="E202" s="58" t="s">
        <v>828</v>
      </c>
      <c r="F202" s="58" t="s">
        <v>273</v>
      </c>
      <c r="G202" s="58" t="s">
        <v>273</v>
      </c>
      <c r="H202" s="58" t="s">
        <v>274</v>
      </c>
      <c r="I202" s="58" t="s">
        <v>274</v>
      </c>
      <c r="J202" s="58"/>
      <c r="K202" s="58"/>
      <c r="L202" s="58" t="s">
        <v>275</v>
      </c>
      <c r="M202" s="58" t="s">
        <v>48</v>
      </c>
      <c r="N202" s="58">
        <v>8</v>
      </c>
      <c r="O202" s="58" t="s">
        <v>829</v>
      </c>
      <c r="P202" s="58" t="s">
        <v>73</v>
      </c>
      <c r="Q202" s="58" t="s">
        <v>74</v>
      </c>
      <c r="R202" s="58" t="s">
        <v>830</v>
      </c>
      <c r="S202" s="58" t="s">
        <v>831</v>
      </c>
      <c r="T202" s="58" t="s">
        <v>279</v>
      </c>
    </row>
    <row r="203" spans="1:20" ht="31.2">
      <c r="A203" s="58" t="s">
        <v>70</v>
      </c>
      <c r="B203" s="58" t="s">
        <v>48</v>
      </c>
      <c r="C203" s="58">
        <v>2</v>
      </c>
      <c r="D203" s="58" t="s">
        <v>361</v>
      </c>
      <c r="E203" s="58" t="s">
        <v>832</v>
      </c>
      <c r="F203" s="58" t="s">
        <v>273</v>
      </c>
      <c r="G203" s="58" t="s">
        <v>273</v>
      </c>
      <c r="H203" s="58" t="s">
        <v>274</v>
      </c>
      <c r="I203" s="58" t="s">
        <v>274</v>
      </c>
      <c r="J203" s="58"/>
      <c r="K203" s="58"/>
      <c r="L203" s="58" t="s">
        <v>275</v>
      </c>
      <c r="M203" s="58" t="s">
        <v>48</v>
      </c>
      <c r="N203" s="58">
        <v>6</v>
      </c>
      <c r="O203" s="58" t="s">
        <v>829</v>
      </c>
      <c r="P203" s="58" t="s">
        <v>73</v>
      </c>
      <c r="Q203" s="58" t="s">
        <v>74</v>
      </c>
      <c r="R203" s="58" t="s">
        <v>833</v>
      </c>
      <c r="S203" s="58" t="s">
        <v>834</v>
      </c>
      <c r="T203" s="58" t="s">
        <v>279</v>
      </c>
    </row>
    <row r="204" spans="1:20" ht="31.2">
      <c r="A204" s="58" t="s">
        <v>70</v>
      </c>
      <c r="B204" s="58" t="s">
        <v>48</v>
      </c>
      <c r="C204" s="58">
        <v>3</v>
      </c>
      <c r="D204" s="58" t="s">
        <v>333</v>
      </c>
      <c r="E204" s="58" t="s">
        <v>835</v>
      </c>
      <c r="F204" s="58" t="s">
        <v>273</v>
      </c>
      <c r="G204" s="58" t="s">
        <v>273</v>
      </c>
      <c r="H204" s="58" t="s">
        <v>274</v>
      </c>
      <c r="I204" s="58" t="s">
        <v>274</v>
      </c>
      <c r="J204" s="58"/>
      <c r="K204" s="58" t="s">
        <v>274</v>
      </c>
      <c r="L204" s="58" t="s">
        <v>275</v>
      </c>
      <c r="M204" s="58" t="s">
        <v>48</v>
      </c>
      <c r="N204" s="58">
        <v>0</v>
      </c>
      <c r="O204" s="58" t="s">
        <v>836</v>
      </c>
      <c r="P204" s="58" t="s">
        <v>73</v>
      </c>
      <c r="Q204" s="58" t="s">
        <v>74</v>
      </c>
      <c r="R204" s="58" t="s">
        <v>837</v>
      </c>
      <c r="S204" s="58" t="s">
        <v>838</v>
      </c>
      <c r="T204" s="58" t="s">
        <v>279</v>
      </c>
    </row>
    <row r="205" spans="1:20" ht="31.2">
      <c r="A205" s="58" t="s">
        <v>70</v>
      </c>
      <c r="B205" s="58" t="s">
        <v>48</v>
      </c>
      <c r="C205" s="58">
        <v>4</v>
      </c>
      <c r="D205" s="58" t="s">
        <v>361</v>
      </c>
      <c r="E205" s="58" t="s">
        <v>839</v>
      </c>
      <c r="F205" s="58" t="s">
        <v>273</v>
      </c>
      <c r="G205" s="58" t="s">
        <v>274</v>
      </c>
      <c r="H205" s="58" t="s">
        <v>273</v>
      </c>
      <c r="I205" s="58" t="s">
        <v>274</v>
      </c>
      <c r="J205" s="58"/>
      <c r="K205" s="58"/>
      <c r="L205" s="58" t="s">
        <v>275</v>
      </c>
      <c r="M205" s="58" t="s">
        <v>48</v>
      </c>
      <c r="N205" s="58">
        <v>7</v>
      </c>
      <c r="O205" s="58" t="s">
        <v>829</v>
      </c>
      <c r="P205" s="58" t="s">
        <v>73</v>
      </c>
      <c r="Q205" s="58" t="s">
        <v>74</v>
      </c>
      <c r="R205" s="58" t="s">
        <v>840</v>
      </c>
      <c r="S205" s="58" t="s">
        <v>841</v>
      </c>
      <c r="T205" s="58" t="s">
        <v>279</v>
      </c>
    </row>
    <row r="206" spans="1:20" ht="31.2">
      <c r="A206" s="58" t="s">
        <v>70</v>
      </c>
      <c r="B206" s="58" t="s">
        <v>48</v>
      </c>
      <c r="C206" s="58">
        <v>5</v>
      </c>
      <c r="D206" s="58" t="s">
        <v>361</v>
      </c>
      <c r="E206" s="58" t="s">
        <v>842</v>
      </c>
      <c r="F206" s="58" t="s">
        <v>273</v>
      </c>
      <c r="G206" s="58" t="s">
        <v>273</v>
      </c>
      <c r="H206" s="58" t="s">
        <v>274</v>
      </c>
      <c r="I206" s="58" t="s">
        <v>274</v>
      </c>
      <c r="J206" s="58"/>
      <c r="K206" s="58"/>
      <c r="L206" s="58" t="s">
        <v>275</v>
      </c>
      <c r="M206" s="58" t="s">
        <v>48</v>
      </c>
      <c r="N206" s="58">
        <v>6</v>
      </c>
      <c r="O206" s="58" t="s">
        <v>829</v>
      </c>
      <c r="P206" s="58" t="s">
        <v>73</v>
      </c>
      <c r="Q206" s="58" t="s">
        <v>74</v>
      </c>
      <c r="R206" s="58" t="s">
        <v>843</v>
      </c>
      <c r="S206" s="58" t="s">
        <v>844</v>
      </c>
      <c r="T206" s="58" t="s">
        <v>279</v>
      </c>
    </row>
    <row r="207" spans="1:20" ht="31.2">
      <c r="A207" s="58" t="s">
        <v>70</v>
      </c>
      <c r="B207" s="58" t="s">
        <v>48</v>
      </c>
      <c r="C207" s="58">
        <v>6</v>
      </c>
      <c r="D207" s="58" t="s">
        <v>361</v>
      </c>
      <c r="E207" s="58" t="s">
        <v>845</v>
      </c>
      <c r="F207" s="58" t="s">
        <v>273</v>
      </c>
      <c r="G207" s="58" t="s">
        <v>274</v>
      </c>
      <c r="H207" s="58" t="s">
        <v>273</v>
      </c>
      <c r="I207" s="58" t="s">
        <v>274</v>
      </c>
      <c r="J207" s="58"/>
      <c r="K207" s="58"/>
      <c r="L207" s="58" t="s">
        <v>604</v>
      </c>
      <c r="M207" s="58" t="s">
        <v>48</v>
      </c>
      <c r="N207" s="58">
        <v>8</v>
      </c>
      <c r="O207" s="58" t="s">
        <v>829</v>
      </c>
      <c r="P207" s="58" t="s">
        <v>73</v>
      </c>
      <c r="Q207" s="58" t="s">
        <v>74</v>
      </c>
      <c r="R207" s="58" t="s">
        <v>846</v>
      </c>
      <c r="S207" s="58" t="s">
        <v>847</v>
      </c>
      <c r="T207" s="58" t="s">
        <v>279</v>
      </c>
    </row>
    <row r="208" spans="1:20" ht="31.2">
      <c r="A208" s="58" t="s">
        <v>70</v>
      </c>
      <c r="B208" s="58" t="s">
        <v>48</v>
      </c>
      <c r="C208" s="58">
        <v>7</v>
      </c>
      <c r="D208" s="58" t="s">
        <v>361</v>
      </c>
      <c r="E208" s="58" t="s">
        <v>848</v>
      </c>
      <c r="F208" s="58" t="s">
        <v>273</v>
      </c>
      <c r="G208" s="58" t="s">
        <v>274</v>
      </c>
      <c r="H208" s="58" t="s">
        <v>273</v>
      </c>
      <c r="I208" s="58" t="s">
        <v>274</v>
      </c>
      <c r="J208" s="58"/>
      <c r="K208" s="58"/>
      <c r="L208" s="58" t="s">
        <v>604</v>
      </c>
      <c r="M208" s="58" t="s">
        <v>48</v>
      </c>
      <c r="N208" s="58">
        <v>6</v>
      </c>
      <c r="O208" s="58" t="s">
        <v>829</v>
      </c>
      <c r="P208" s="58" t="s">
        <v>73</v>
      </c>
      <c r="Q208" s="58" t="s">
        <v>74</v>
      </c>
      <c r="R208" s="58" t="s">
        <v>849</v>
      </c>
      <c r="S208" s="58" t="s">
        <v>850</v>
      </c>
      <c r="T208" s="58" t="s">
        <v>279</v>
      </c>
    </row>
    <row r="209" spans="1:20" ht="31.2">
      <c r="A209" s="58" t="s">
        <v>70</v>
      </c>
      <c r="B209" s="58" t="s">
        <v>48</v>
      </c>
      <c r="C209" s="58">
        <v>8</v>
      </c>
      <c r="D209" s="58" t="s">
        <v>378</v>
      </c>
      <c r="E209" s="58" t="s">
        <v>851</v>
      </c>
      <c r="F209" s="58" t="s">
        <v>274</v>
      </c>
      <c r="G209" s="58"/>
      <c r="H209" s="58"/>
      <c r="I209" s="58" t="s">
        <v>274</v>
      </c>
      <c r="J209" s="58"/>
      <c r="K209" s="58"/>
      <c r="L209" s="58" t="s">
        <v>275</v>
      </c>
      <c r="M209" s="58" t="s">
        <v>48</v>
      </c>
      <c r="N209" s="58"/>
      <c r="O209" s="58" t="s">
        <v>852</v>
      </c>
      <c r="P209" s="58" t="s">
        <v>73</v>
      </c>
      <c r="Q209" s="58" t="s">
        <v>74</v>
      </c>
      <c r="R209" s="58" t="s">
        <v>853</v>
      </c>
      <c r="S209" s="58" t="s">
        <v>854</v>
      </c>
      <c r="T209" s="58" t="s">
        <v>279</v>
      </c>
    </row>
    <row r="210" spans="1:20" ht="31.2">
      <c r="A210" s="58" t="s">
        <v>70</v>
      </c>
      <c r="B210" s="58" t="s">
        <v>48</v>
      </c>
      <c r="C210" s="58">
        <v>9</v>
      </c>
      <c r="D210" s="58" t="s">
        <v>361</v>
      </c>
      <c r="E210" s="58" t="s">
        <v>855</v>
      </c>
      <c r="F210" s="58" t="s">
        <v>273</v>
      </c>
      <c r="G210" s="58" t="s">
        <v>273</v>
      </c>
      <c r="H210" s="58" t="s">
        <v>274</v>
      </c>
      <c r="I210" s="58" t="s">
        <v>274</v>
      </c>
      <c r="J210" s="58"/>
      <c r="K210" s="58"/>
      <c r="L210" s="58" t="s">
        <v>275</v>
      </c>
      <c r="M210" s="58" t="s">
        <v>48</v>
      </c>
      <c r="N210" s="58">
        <v>5</v>
      </c>
      <c r="O210" s="58" t="s">
        <v>829</v>
      </c>
      <c r="P210" s="58" t="s">
        <v>73</v>
      </c>
      <c r="Q210" s="58" t="s">
        <v>74</v>
      </c>
      <c r="R210" s="58" t="s">
        <v>856</v>
      </c>
      <c r="S210" s="58" t="s">
        <v>857</v>
      </c>
      <c r="T210" s="58" t="s">
        <v>279</v>
      </c>
    </row>
    <row r="211" spans="1:20" ht="31.2">
      <c r="A211" s="58" t="s">
        <v>70</v>
      </c>
      <c r="B211" s="58" t="s">
        <v>48</v>
      </c>
      <c r="C211" s="58">
        <v>10</v>
      </c>
      <c r="D211" s="58" t="s">
        <v>361</v>
      </c>
      <c r="E211" s="58" t="s">
        <v>858</v>
      </c>
      <c r="F211" s="58" t="s">
        <v>273</v>
      </c>
      <c r="G211" s="58" t="s">
        <v>273</v>
      </c>
      <c r="H211" s="58" t="s">
        <v>274</v>
      </c>
      <c r="I211" s="58" t="s">
        <v>274</v>
      </c>
      <c r="J211" s="58"/>
      <c r="K211" s="58"/>
      <c r="L211" s="58" t="s">
        <v>275</v>
      </c>
      <c r="M211" s="58" t="s">
        <v>48</v>
      </c>
      <c r="N211" s="58">
        <v>7</v>
      </c>
      <c r="O211" s="58" t="s">
        <v>829</v>
      </c>
      <c r="P211" s="58" t="s">
        <v>73</v>
      </c>
      <c r="Q211" s="58" t="s">
        <v>74</v>
      </c>
      <c r="R211" s="58" t="s">
        <v>859</v>
      </c>
      <c r="S211" s="58" t="s">
        <v>860</v>
      </c>
      <c r="T211" s="58" t="s">
        <v>279</v>
      </c>
    </row>
    <row r="212" spans="1:20" ht="31.2">
      <c r="A212" s="58" t="s">
        <v>70</v>
      </c>
      <c r="B212" s="58" t="s">
        <v>48</v>
      </c>
      <c r="C212" s="58">
        <v>11</v>
      </c>
      <c r="D212" s="58" t="s">
        <v>361</v>
      </c>
      <c r="E212" s="58" t="s">
        <v>861</v>
      </c>
      <c r="F212" s="58" t="s">
        <v>273</v>
      </c>
      <c r="G212" s="58" t="s">
        <v>274</v>
      </c>
      <c r="H212" s="58" t="s">
        <v>273</v>
      </c>
      <c r="I212" s="58" t="s">
        <v>274</v>
      </c>
      <c r="J212" s="58"/>
      <c r="K212" s="58"/>
      <c r="L212" s="58" t="s">
        <v>275</v>
      </c>
      <c r="M212" s="58" t="s">
        <v>48</v>
      </c>
      <c r="N212" s="58">
        <v>9</v>
      </c>
      <c r="O212" s="58" t="s">
        <v>829</v>
      </c>
      <c r="P212" s="58" t="s">
        <v>73</v>
      </c>
      <c r="Q212" s="58" t="s">
        <v>74</v>
      </c>
      <c r="R212" s="58" t="s">
        <v>862</v>
      </c>
      <c r="S212" s="58" t="s">
        <v>863</v>
      </c>
      <c r="T212" s="58" t="s">
        <v>279</v>
      </c>
    </row>
    <row r="213" spans="1:20" ht="31.2">
      <c r="A213" s="58" t="s">
        <v>70</v>
      </c>
      <c r="B213" s="58" t="s">
        <v>48</v>
      </c>
      <c r="C213" s="58">
        <v>12</v>
      </c>
      <c r="D213" s="58" t="s">
        <v>361</v>
      </c>
      <c r="E213" s="58" t="s">
        <v>864</v>
      </c>
      <c r="F213" s="58" t="s">
        <v>273</v>
      </c>
      <c r="G213" s="58" t="s">
        <v>273</v>
      </c>
      <c r="H213" s="58" t="s">
        <v>274</v>
      </c>
      <c r="I213" s="58" t="s">
        <v>274</v>
      </c>
      <c r="J213" s="58"/>
      <c r="K213" s="58"/>
      <c r="L213" s="58" t="s">
        <v>275</v>
      </c>
      <c r="M213" s="58" t="s">
        <v>48</v>
      </c>
      <c r="N213" s="58">
        <v>7</v>
      </c>
      <c r="O213" s="58" t="s">
        <v>829</v>
      </c>
      <c r="P213" s="58" t="s">
        <v>73</v>
      </c>
      <c r="Q213" s="58" t="s">
        <v>74</v>
      </c>
      <c r="R213" s="58" t="s">
        <v>865</v>
      </c>
      <c r="S213" s="58" t="s">
        <v>866</v>
      </c>
      <c r="T213" s="58" t="s">
        <v>279</v>
      </c>
    </row>
    <row r="214" spans="1:20" ht="31.2">
      <c r="A214" s="58" t="s">
        <v>70</v>
      </c>
      <c r="B214" s="58" t="s">
        <v>48</v>
      </c>
      <c r="C214" s="58">
        <v>13</v>
      </c>
      <c r="D214" s="58" t="s">
        <v>361</v>
      </c>
      <c r="E214" s="58" t="s">
        <v>867</v>
      </c>
      <c r="F214" s="58" t="s">
        <v>273</v>
      </c>
      <c r="G214" s="58" t="s">
        <v>273</v>
      </c>
      <c r="H214" s="58" t="s">
        <v>274</v>
      </c>
      <c r="I214" s="58" t="s">
        <v>274</v>
      </c>
      <c r="J214" s="58"/>
      <c r="K214" s="58"/>
      <c r="L214" s="58" t="s">
        <v>275</v>
      </c>
      <c r="M214" s="58" t="s">
        <v>48</v>
      </c>
      <c r="N214" s="58">
        <v>12</v>
      </c>
      <c r="O214" s="58" t="s">
        <v>829</v>
      </c>
      <c r="P214" s="58" t="s">
        <v>73</v>
      </c>
      <c r="Q214" s="58" t="s">
        <v>74</v>
      </c>
      <c r="R214" s="58" t="s">
        <v>868</v>
      </c>
      <c r="S214" s="58" t="s">
        <v>869</v>
      </c>
      <c r="T214" s="58" t="s">
        <v>279</v>
      </c>
    </row>
    <row r="215" spans="1:20" ht="31.2">
      <c r="A215" s="58" t="s">
        <v>70</v>
      </c>
      <c r="B215" s="58" t="s">
        <v>48</v>
      </c>
      <c r="C215" s="58">
        <v>14</v>
      </c>
      <c r="D215" s="58" t="s">
        <v>361</v>
      </c>
      <c r="E215" s="58" t="s">
        <v>870</v>
      </c>
      <c r="F215" s="58" t="s">
        <v>273</v>
      </c>
      <c r="G215" s="58" t="s">
        <v>273</v>
      </c>
      <c r="H215" s="58" t="s">
        <v>274</v>
      </c>
      <c r="I215" s="58" t="s">
        <v>274</v>
      </c>
      <c r="J215" s="58"/>
      <c r="K215" s="58"/>
      <c r="L215" s="58" t="s">
        <v>275</v>
      </c>
      <c r="M215" s="58" t="s">
        <v>48</v>
      </c>
      <c r="N215" s="58">
        <v>4</v>
      </c>
      <c r="O215" s="58" t="s">
        <v>829</v>
      </c>
      <c r="P215" s="58" t="s">
        <v>73</v>
      </c>
      <c r="Q215" s="58" t="s">
        <v>74</v>
      </c>
      <c r="R215" s="58" t="s">
        <v>871</v>
      </c>
      <c r="S215" s="58" t="s">
        <v>872</v>
      </c>
      <c r="T215" s="58" t="s">
        <v>279</v>
      </c>
    </row>
    <row r="216" spans="1:20" ht="31.2">
      <c r="A216" s="58" t="s">
        <v>70</v>
      </c>
      <c r="B216" s="58" t="s">
        <v>48</v>
      </c>
      <c r="C216" s="58">
        <v>15</v>
      </c>
      <c r="D216" s="58" t="s">
        <v>361</v>
      </c>
      <c r="E216" s="58" t="s">
        <v>873</v>
      </c>
      <c r="F216" s="58" t="s">
        <v>273</v>
      </c>
      <c r="G216" s="58" t="s">
        <v>273</v>
      </c>
      <c r="H216" s="58" t="s">
        <v>274</v>
      </c>
      <c r="I216" s="58" t="s">
        <v>274</v>
      </c>
      <c r="J216" s="58"/>
      <c r="K216" s="58"/>
      <c r="L216" s="58" t="s">
        <v>275</v>
      </c>
      <c r="M216" s="58" t="s">
        <v>48</v>
      </c>
      <c r="N216" s="58">
        <v>10</v>
      </c>
      <c r="O216" s="58" t="s">
        <v>829</v>
      </c>
      <c r="P216" s="58" t="s">
        <v>73</v>
      </c>
      <c r="Q216" s="58" t="s">
        <v>74</v>
      </c>
      <c r="R216" s="58" t="s">
        <v>874</v>
      </c>
      <c r="S216" s="58" t="s">
        <v>875</v>
      </c>
      <c r="T216" s="58" t="s">
        <v>279</v>
      </c>
    </row>
    <row r="217" spans="1:20" ht="31.2">
      <c r="A217" s="58" t="s">
        <v>70</v>
      </c>
      <c r="B217" s="58" t="s">
        <v>48</v>
      </c>
      <c r="C217" s="58">
        <v>16</v>
      </c>
      <c r="D217" s="58" t="s">
        <v>361</v>
      </c>
      <c r="E217" s="58" t="s">
        <v>876</v>
      </c>
      <c r="F217" s="58" t="s">
        <v>273</v>
      </c>
      <c r="G217" s="58" t="s">
        <v>273</v>
      </c>
      <c r="H217" s="58" t="s">
        <v>274</v>
      </c>
      <c r="I217" s="58" t="s">
        <v>274</v>
      </c>
      <c r="J217" s="58"/>
      <c r="K217" s="58"/>
      <c r="L217" s="58" t="s">
        <v>275</v>
      </c>
      <c r="M217" s="58" t="s">
        <v>48</v>
      </c>
      <c r="N217" s="58">
        <v>6</v>
      </c>
      <c r="O217" s="58" t="s">
        <v>829</v>
      </c>
      <c r="P217" s="58" t="s">
        <v>73</v>
      </c>
      <c r="Q217" s="58" t="s">
        <v>74</v>
      </c>
      <c r="R217" s="58" t="s">
        <v>877</v>
      </c>
      <c r="S217" s="58" t="s">
        <v>878</v>
      </c>
      <c r="T217" s="58" t="s">
        <v>279</v>
      </c>
    </row>
    <row r="218" spans="1:20" ht="31.2">
      <c r="A218" s="58" t="s">
        <v>70</v>
      </c>
      <c r="B218" s="58" t="s">
        <v>48</v>
      </c>
      <c r="C218" s="58">
        <v>17</v>
      </c>
      <c r="D218" s="58" t="s">
        <v>361</v>
      </c>
      <c r="E218" s="58" t="s">
        <v>879</v>
      </c>
      <c r="F218" s="58" t="s">
        <v>273</v>
      </c>
      <c r="G218" s="58" t="s">
        <v>273</v>
      </c>
      <c r="H218" s="58" t="s">
        <v>274</v>
      </c>
      <c r="I218" s="58" t="s">
        <v>274</v>
      </c>
      <c r="J218" s="58"/>
      <c r="K218" s="58"/>
      <c r="L218" s="58" t="s">
        <v>275</v>
      </c>
      <c r="M218" s="58" t="s">
        <v>48</v>
      </c>
      <c r="N218" s="58">
        <v>4</v>
      </c>
      <c r="O218" s="58" t="s">
        <v>829</v>
      </c>
      <c r="P218" s="58" t="s">
        <v>73</v>
      </c>
      <c r="Q218" s="58" t="s">
        <v>74</v>
      </c>
      <c r="R218" s="58" t="s">
        <v>880</v>
      </c>
      <c r="S218" s="58" t="s">
        <v>881</v>
      </c>
      <c r="T218" s="58" t="s">
        <v>279</v>
      </c>
    </row>
    <row r="219" spans="1:20" ht="31.2">
      <c r="A219" s="58" t="s">
        <v>70</v>
      </c>
      <c r="B219" s="58" t="s">
        <v>48</v>
      </c>
      <c r="C219" s="58">
        <v>18</v>
      </c>
      <c r="D219" s="58" t="s">
        <v>361</v>
      </c>
      <c r="E219" s="58" t="s">
        <v>882</v>
      </c>
      <c r="F219" s="58" t="s">
        <v>273</v>
      </c>
      <c r="G219" s="58" t="s">
        <v>273</v>
      </c>
      <c r="H219" s="58" t="s">
        <v>274</v>
      </c>
      <c r="I219" s="58" t="s">
        <v>274</v>
      </c>
      <c r="J219" s="58"/>
      <c r="K219" s="58"/>
      <c r="L219" s="58" t="s">
        <v>275</v>
      </c>
      <c r="M219" s="58" t="s">
        <v>48</v>
      </c>
      <c r="N219" s="58">
        <v>5</v>
      </c>
      <c r="O219" s="58" t="s">
        <v>829</v>
      </c>
      <c r="P219" s="58" t="s">
        <v>73</v>
      </c>
      <c r="Q219" s="58" t="s">
        <v>74</v>
      </c>
      <c r="R219" s="58" t="s">
        <v>883</v>
      </c>
      <c r="S219" s="58" t="s">
        <v>884</v>
      </c>
      <c r="T219" s="58" t="s">
        <v>279</v>
      </c>
    </row>
    <row r="220" spans="1:20" ht="31.2">
      <c r="A220" s="58" t="s">
        <v>70</v>
      </c>
      <c r="B220" s="58" t="s">
        <v>48</v>
      </c>
      <c r="C220" s="58">
        <v>19</v>
      </c>
      <c r="D220" s="58" t="s">
        <v>361</v>
      </c>
      <c r="E220" s="58" t="s">
        <v>885</v>
      </c>
      <c r="F220" s="58" t="s">
        <v>273</v>
      </c>
      <c r="G220" s="58" t="s">
        <v>273</v>
      </c>
      <c r="H220" s="58" t="s">
        <v>274</v>
      </c>
      <c r="I220" s="58" t="s">
        <v>274</v>
      </c>
      <c r="J220" s="58"/>
      <c r="K220" s="58"/>
      <c r="L220" s="58" t="s">
        <v>275</v>
      </c>
      <c r="M220" s="58" t="s">
        <v>48</v>
      </c>
      <c r="N220" s="58">
        <v>6</v>
      </c>
      <c r="O220" s="58" t="s">
        <v>829</v>
      </c>
      <c r="P220" s="58" t="s">
        <v>73</v>
      </c>
      <c r="Q220" s="58" t="s">
        <v>74</v>
      </c>
      <c r="R220" s="58" t="s">
        <v>886</v>
      </c>
      <c r="S220" s="58" t="s">
        <v>887</v>
      </c>
      <c r="T220" s="58" t="s">
        <v>279</v>
      </c>
    </row>
    <row r="221" spans="1:20" ht="31.2">
      <c r="A221" s="58" t="s">
        <v>70</v>
      </c>
      <c r="B221" s="58" t="s">
        <v>48</v>
      </c>
      <c r="C221" s="58">
        <v>20</v>
      </c>
      <c r="D221" s="58" t="s">
        <v>361</v>
      </c>
      <c r="E221" s="58" t="s">
        <v>888</v>
      </c>
      <c r="F221" s="58" t="s">
        <v>273</v>
      </c>
      <c r="G221" s="58" t="s">
        <v>274</v>
      </c>
      <c r="H221" s="58" t="s">
        <v>273</v>
      </c>
      <c r="I221" s="58" t="s">
        <v>274</v>
      </c>
      <c r="J221" s="58"/>
      <c r="K221" s="58"/>
      <c r="L221" s="58" t="s">
        <v>288</v>
      </c>
      <c r="M221" s="58" t="s">
        <v>48</v>
      </c>
      <c r="N221" s="58">
        <v>12</v>
      </c>
      <c r="O221" s="58" t="s">
        <v>829</v>
      </c>
      <c r="P221" s="58" t="s">
        <v>73</v>
      </c>
      <c r="Q221" s="58" t="s">
        <v>74</v>
      </c>
      <c r="R221" s="58" t="s">
        <v>889</v>
      </c>
      <c r="S221" s="58" t="s">
        <v>890</v>
      </c>
      <c r="T221" s="58" t="s">
        <v>279</v>
      </c>
    </row>
    <row r="222" spans="1:20" ht="31.2">
      <c r="A222" s="58" t="s">
        <v>70</v>
      </c>
      <c r="B222" s="58" t="s">
        <v>48</v>
      </c>
      <c r="C222" s="58">
        <v>21</v>
      </c>
      <c r="D222" s="58" t="s">
        <v>361</v>
      </c>
      <c r="E222" s="58" t="s">
        <v>891</v>
      </c>
      <c r="F222" s="58" t="s">
        <v>273</v>
      </c>
      <c r="G222" s="58" t="s">
        <v>273</v>
      </c>
      <c r="H222" s="58" t="s">
        <v>274</v>
      </c>
      <c r="I222" s="58" t="s">
        <v>274</v>
      </c>
      <c r="J222" s="58"/>
      <c r="K222" s="58"/>
      <c r="L222" s="58" t="s">
        <v>288</v>
      </c>
      <c r="M222" s="58" t="s">
        <v>48</v>
      </c>
      <c r="N222" s="58">
        <v>15</v>
      </c>
      <c r="O222" s="58" t="s">
        <v>829</v>
      </c>
      <c r="P222" s="58" t="s">
        <v>73</v>
      </c>
      <c r="Q222" s="58" t="s">
        <v>74</v>
      </c>
      <c r="R222" s="58" t="s">
        <v>892</v>
      </c>
      <c r="S222" s="58" t="s">
        <v>893</v>
      </c>
      <c r="T222" s="58" t="s">
        <v>279</v>
      </c>
    </row>
    <row r="223" spans="1:20" ht="31.2">
      <c r="A223" s="58" t="s">
        <v>70</v>
      </c>
      <c r="B223" s="58" t="s">
        <v>48</v>
      </c>
      <c r="C223" s="58">
        <v>22</v>
      </c>
      <c r="D223" s="58" t="s">
        <v>361</v>
      </c>
      <c r="E223" s="58" t="s">
        <v>894</v>
      </c>
      <c r="F223" s="58" t="s">
        <v>273</v>
      </c>
      <c r="G223" s="58" t="s">
        <v>273</v>
      </c>
      <c r="H223" s="58" t="s">
        <v>274</v>
      </c>
      <c r="I223" s="58" t="s">
        <v>274</v>
      </c>
      <c r="J223" s="58"/>
      <c r="K223" s="58"/>
      <c r="L223" s="58" t="s">
        <v>288</v>
      </c>
      <c r="M223" s="58" t="s">
        <v>48</v>
      </c>
      <c r="N223" s="58">
        <v>5</v>
      </c>
      <c r="O223" s="58" t="s">
        <v>829</v>
      </c>
      <c r="P223" s="58" t="s">
        <v>73</v>
      </c>
      <c r="Q223" s="58" t="s">
        <v>74</v>
      </c>
      <c r="R223" s="58" t="s">
        <v>895</v>
      </c>
      <c r="S223" s="58" t="s">
        <v>896</v>
      </c>
      <c r="T223" s="58" t="s">
        <v>279</v>
      </c>
    </row>
    <row r="224" spans="1:20" ht="31.2">
      <c r="A224" s="58" t="s">
        <v>70</v>
      </c>
      <c r="B224" s="58" t="s">
        <v>48</v>
      </c>
      <c r="C224" s="58">
        <v>23</v>
      </c>
      <c r="D224" s="58" t="s">
        <v>361</v>
      </c>
      <c r="E224" s="58" t="s">
        <v>897</v>
      </c>
      <c r="F224" s="58" t="s">
        <v>273</v>
      </c>
      <c r="G224" s="58" t="s">
        <v>273</v>
      </c>
      <c r="H224" s="58" t="s">
        <v>274</v>
      </c>
      <c r="I224" s="58" t="s">
        <v>274</v>
      </c>
      <c r="J224" s="58"/>
      <c r="K224" s="58"/>
      <c r="L224" s="58" t="s">
        <v>604</v>
      </c>
      <c r="M224" s="58" t="s">
        <v>48</v>
      </c>
      <c r="N224" s="58">
        <v>6</v>
      </c>
      <c r="O224" s="58" t="s">
        <v>829</v>
      </c>
      <c r="P224" s="58" t="s">
        <v>73</v>
      </c>
      <c r="Q224" s="58" t="s">
        <v>74</v>
      </c>
      <c r="R224" s="58" t="s">
        <v>898</v>
      </c>
      <c r="S224" s="58" t="s">
        <v>899</v>
      </c>
      <c r="T224" s="58" t="s">
        <v>279</v>
      </c>
    </row>
    <row r="225" spans="1:20" ht="31.2">
      <c r="A225" s="58" t="s">
        <v>70</v>
      </c>
      <c r="B225" s="58" t="s">
        <v>48</v>
      </c>
      <c r="C225" s="58">
        <v>24</v>
      </c>
      <c r="D225" s="58" t="s">
        <v>361</v>
      </c>
      <c r="E225" s="58" t="s">
        <v>900</v>
      </c>
      <c r="F225" s="58" t="s">
        <v>273</v>
      </c>
      <c r="G225" s="58" t="s">
        <v>273</v>
      </c>
      <c r="H225" s="58" t="s">
        <v>274</v>
      </c>
      <c r="I225" s="58" t="s">
        <v>274</v>
      </c>
      <c r="J225" s="58"/>
      <c r="K225" s="58"/>
      <c r="L225" s="58" t="s">
        <v>288</v>
      </c>
      <c r="M225" s="58" t="s">
        <v>48</v>
      </c>
      <c r="N225" s="58">
        <v>5</v>
      </c>
      <c r="O225" s="58" t="s">
        <v>829</v>
      </c>
      <c r="P225" s="58" t="s">
        <v>73</v>
      </c>
      <c r="Q225" s="58" t="s">
        <v>74</v>
      </c>
      <c r="R225" s="58" t="s">
        <v>901</v>
      </c>
      <c r="S225" s="58" t="s">
        <v>902</v>
      </c>
      <c r="T225" s="58" t="s">
        <v>279</v>
      </c>
    </row>
    <row r="226" spans="1:20" ht="31.2">
      <c r="A226" s="58" t="s">
        <v>70</v>
      </c>
      <c r="B226" s="58" t="s">
        <v>48</v>
      </c>
      <c r="C226" s="58">
        <v>25</v>
      </c>
      <c r="D226" s="58" t="s">
        <v>361</v>
      </c>
      <c r="E226" s="58" t="s">
        <v>903</v>
      </c>
      <c r="F226" s="58" t="s">
        <v>273</v>
      </c>
      <c r="G226" s="58" t="s">
        <v>273</v>
      </c>
      <c r="H226" s="58" t="s">
        <v>274</v>
      </c>
      <c r="I226" s="58" t="s">
        <v>274</v>
      </c>
      <c r="J226" s="58"/>
      <c r="K226" s="58"/>
      <c r="L226" s="58" t="s">
        <v>288</v>
      </c>
      <c r="M226" s="58" t="s">
        <v>48</v>
      </c>
      <c r="N226" s="58">
        <v>4</v>
      </c>
      <c r="O226" s="58" t="s">
        <v>829</v>
      </c>
      <c r="P226" s="58" t="s">
        <v>73</v>
      </c>
      <c r="Q226" s="58" t="s">
        <v>74</v>
      </c>
      <c r="R226" s="58" t="s">
        <v>904</v>
      </c>
      <c r="S226" s="58" t="s">
        <v>905</v>
      </c>
      <c r="T226" s="58" t="s">
        <v>279</v>
      </c>
    </row>
    <row r="227" spans="1:20" ht="31.2">
      <c r="A227" s="58" t="s">
        <v>70</v>
      </c>
      <c r="B227" s="58" t="s">
        <v>48</v>
      </c>
      <c r="C227" s="58">
        <v>26</v>
      </c>
      <c r="D227" s="58" t="s">
        <v>361</v>
      </c>
      <c r="E227" s="58" t="s">
        <v>906</v>
      </c>
      <c r="F227" s="58" t="s">
        <v>273</v>
      </c>
      <c r="G227" s="58" t="s">
        <v>273</v>
      </c>
      <c r="H227" s="58" t="s">
        <v>274</v>
      </c>
      <c r="I227" s="58" t="s">
        <v>274</v>
      </c>
      <c r="J227" s="58"/>
      <c r="K227" s="58"/>
      <c r="L227" s="58" t="s">
        <v>288</v>
      </c>
      <c r="M227" s="58" t="s">
        <v>48</v>
      </c>
      <c r="N227" s="58">
        <v>4</v>
      </c>
      <c r="O227" s="58" t="s">
        <v>829</v>
      </c>
      <c r="P227" s="58" t="s">
        <v>73</v>
      </c>
      <c r="Q227" s="58" t="s">
        <v>74</v>
      </c>
      <c r="R227" s="58" t="s">
        <v>907</v>
      </c>
      <c r="S227" s="58" t="s">
        <v>908</v>
      </c>
      <c r="T227" s="58" t="s">
        <v>279</v>
      </c>
    </row>
    <row r="228" spans="1:20" ht="31.2">
      <c r="A228" s="58" t="s">
        <v>70</v>
      </c>
      <c r="B228" s="58" t="s">
        <v>48</v>
      </c>
      <c r="C228" s="58">
        <v>27</v>
      </c>
      <c r="D228" s="58" t="s">
        <v>361</v>
      </c>
      <c r="E228" s="58" t="s">
        <v>909</v>
      </c>
      <c r="F228" s="58" t="s">
        <v>273</v>
      </c>
      <c r="G228" s="58" t="s">
        <v>273</v>
      </c>
      <c r="H228" s="58" t="s">
        <v>274</v>
      </c>
      <c r="I228" s="58" t="s">
        <v>274</v>
      </c>
      <c r="J228" s="58"/>
      <c r="K228" s="58"/>
      <c r="L228" s="58" t="s">
        <v>288</v>
      </c>
      <c r="M228" s="58" t="s">
        <v>48</v>
      </c>
      <c r="N228" s="58">
        <v>3</v>
      </c>
      <c r="O228" s="58" t="s">
        <v>829</v>
      </c>
      <c r="P228" s="58" t="s">
        <v>73</v>
      </c>
      <c r="Q228" s="58" t="s">
        <v>74</v>
      </c>
      <c r="R228" s="58" t="s">
        <v>910</v>
      </c>
      <c r="S228" s="58" t="s">
        <v>911</v>
      </c>
      <c r="T228" s="58" t="s">
        <v>279</v>
      </c>
    </row>
    <row r="229" spans="1:20" ht="31.2">
      <c r="A229" s="58" t="s">
        <v>70</v>
      </c>
      <c r="B229" s="58" t="s">
        <v>48</v>
      </c>
      <c r="C229" s="58">
        <v>28</v>
      </c>
      <c r="D229" s="58" t="s">
        <v>361</v>
      </c>
      <c r="E229" s="58" t="s">
        <v>912</v>
      </c>
      <c r="F229" s="58" t="s">
        <v>273</v>
      </c>
      <c r="G229" s="58" t="s">
        <v>273</v>
      </c>
      <c r="H229" s="58" t="s">
        <v>274</v>
      </c>
      <c r="I229" s="58" t="s">
        <v>274</v>
      </c>
      <c r="J229" s="58"/>
      <c r="K229" s="58"/>
      <c r="L229" s="58" t="s">
        <v>288</v>
      </c>
      <c r="M229" s="58" t="s">
        <v>48</v>
      </c>
      <c r="N229" s="58">
        <v>4</v>
      </c>
      <c r="O229" s="58" t="s">
        <v>829</v>
      </c>
      <c r="P229" s="58" t="s">
        <v>73</v>
      </c>
      <c r="Q229" s="58" t="s">
        <v>74</v>
      </c>
      <c r="R229" s="58" t="s">
        <v>913</v>
      </c>
      <c r="S229" s="58" t="s">
        <v>914</v>
      </c>
      <c r="T229" s="58" t="s">
        <v>279</v>
      </c>
    </row>
    <row r="230" spans="1:20" ht="31.2">
      <c r="A230" s="58" t="s">
        <v>70</v>
      </c>
      <c r="B230" s="58" t="s">
        <v>48</v>
      </c>
      <c r="C230" s="58">
        <v>29</v>
      </c>
      <c r="D230" s="58" t="s">
        <v>361</v>
      </c>
      <c r="E230" s="58" t="s">
        <v>915</v>
      </c>
      <c r="F230" s="58" t="s">
        <v>273</v>
      </c>
      <c r="G230" s="58" t="s">
        <v>273</v>
      </c>
      <c r="H230" s="58" t="s">
        <v>274</v>
      </c>
      <c r="I230" s="58" t="s">
        <v>274</v>
      </c>
      <c r="J230" s="58"/>
      <c r="K230" s="58"/>
      <c r="L230" s="58" t="s">
        <v>288</v>
      </c>
      <c r="M230" s="58" t="s">
        <v>48</v>
      </c>
      <c r="N230" s="58">
        <v>5</v>
      </c>
      <c r="O230" s="58" t="s">
        <v>829</v>
      </c>
      <c r="P230" s="58" t="s">
        <v>73</v>
      </c>
      <c r="Q230" s="58" t="s">
        <v>74</v>
      </c>
      <c r="R230" s="58" t="s">
        <v>916</v>
      </c>
      <c r="S230" s="58" t="s">
        <v>917</v>
      </c>
      <c r="T230" s="58" t="s">
        <v>279</v>
      </c>
    </row>
    <row r="231" spans="1:20" ht="31.2">
      <c r="A231" s="58" t="s">
        <v>70</v>
      </c>
      <c r="B231" s="58" t="s">
        <v>48</v>
      </c>
      <c r="C231" s="58">
        <v>30</v>
      </c>
      <c r="D231" s="58" t="s">
        <v>361</v>
      </c>
      <c r="E231" s="58" t="s">
        <v>918</v>
      </c>
      <c r="F231" s="58" t="s">
        <v>273</v>
      </c>
      <c r="G231" s="58" t="s">
        <v>273</v>
      </c>
      <c r="H231" s="58" t="s">
        <v>274</v>
      </c>
      <c r="I231" s="58" t="s">
        <v>274</v>
      </c>
      <c r="J231" s="58"/>
      <c r="K231" s="58"/>
      <c r="L231" s="58" t="s">
        <v>288</v>
      </c>
      <c r="M231" s="58" t="s">
        <v>48</v>
      </c>
      <c r="N231" s="58">
        <v>4</v>
      </c>
      <c r="O231" s="58" t="s">
        <v>829</v>
      </c>
      <c r="P231" s="58" t="s">
        <v>73</v>
      </c>
      <c r="Q231" s="58" t="s">
        <v>74</v>
      </c>
      <c r="R231" s="58" t="s">
        <v>919</v>
      </c>
      <c r="S231" s="58" t="s">
        <v>920</v>
      </c>
      <c r="T231" s="58" t="s">
        <v>279</v>
      </c>
    </row>
    <row r="232" spans="1:20" ht="31.2">
      <c r="A232" s="58" t="s">
        <v>70</v>
      </c>
      <c r="B232" s="58" t="s">
        <v>48</v>
      </c>
      <c r="C232" s="58">
        <v>31</v>
      </c>
      <c r="D232" s="58" t="s">
        <v>361</v>
      </c>
      <c r="E232" s="58" t="s">
        <v>921</v>
      </c>
      <c r="F232" s="58" t="s">
        <v>273</v>
      </c>
      <c r="G232" s="58" t="s">
        <v>273</v>
      </c>
      <c r="H232" s="58" t="s">
        <v>274</v>
      </c>
      <c r="I232" s="58" t="s">
        <v>274</v>
      </c>
      <c r="J232" s="58"/>
      <c r="K232" s="58"/>
      <c r="L232" s="58" t="s">
        <v>288</v>
      </c>
      <c r="M232" s="58" t="s">
        <v>48</v>
      </c>
      <c r="N232" s="58">
        <v>5</v>
      </c>
      <c r="O232" s="58" t="s">
        <v>829</v>
      </c>
      <c r="P232" s="58" t="s">
        <v>73</v>
      </c>
      <c r="Q232" s="58" t="s">
        <v>74</v>
      </c>
      <c r="R232" s="58" t="s">
        <v>922</v>
      </c>
      <c r="S232" s="58" t="s">
        <v>923</v>
      </c>
      <c r="T232" s="58" t="s">
        <v>279</v>
      </c>
    </row>
    <row r="233" spans="1:20" ht="31.2">
      <c r="A233" s="58" t="s">
        <v>70</v>
      </c>
      <c r="B233" s="58" t="s">
        <v>48</v>
      </c>
      <c r="C233" s="58">
        <v>32</v>
      </c>
      <c r="D233" s="58" t="s">
        <v>361</v>
      </c>
      <c r="E233" s="58" t="s">
        <v>924</v>
      </c>
      <c r="F233" s="58" t="s">
        <v>274</v>
      </c>
      <c r="G233" s="58"/>
      <c r="H233" s="58"/>
      <c r="I233" s="58" t="s">
        <v>274</v>
      </c>
      <c r="J233" s="58"/>
      <c r="K233" s="58"/>
      <c r="L233" s="58" t="s">
        <v>288</v>
      </c>
      <c r="M233" s="58" t="s">
        <v>48</v>
      </c>
      <c r="N233" s="58"/>
      <c r="O233" s="58" t="s">
        <v>829</v>
      </c>
      <c r="P233" s="58" t="s">
        <v>73</v>
      </c>
      <c r="Q233" s="58" t="s">
        <v>74</v>
      </c>
      <c r="R233" s="58" t="s">
        <v>925</v>
      </c>
      <c r="S233" s="58" t="s">
        <v>926</v>
      </c>
      <c r="T233" s="58" t="s">
        <v>279</v>
      </c>
    </row>
    <row r="234" spans="1:20" ht="31.2">
      <c r="A234" s="58" t="s">
        <v>70</v>
      </c>
      <c r="B234" s="58" t="s">
        <v>48</v>
      </c>
      <c r="C234" s="58">
        <v>33</v>
      </c>
      <c r="D234" s="58" t="s">
        <v>361</v>
      </c>
      <c r="E234" s="58" t="s">
        <v>927</v>
      </c>
      <c r="F234" s="58" t="s">
        <v>273</v>
      </c>
      <c r="G234" s="58" t="s">
        <v>273</v>
      </c>
      <c r="H234" s="58" t="s">
        <v>274</v>
      </c>
      <c r="I234" s="58" t="s">
        <v>274</v>
      </c>
      <c r="J234" s="58"/>
      <c r="K234" s="58"/>
      <c r="L234" s="58" t="s">
        <v>288</v>
      </c>
      <c r="M234" s="58" t="s">
        <v>48</v>
      </c>
      <c r="N234" s="58">
        <v>2</v>
      </c>
      <c r="O234" s="58" t="s">
        <v>829</v>
      </c>
      <c r="P234" s="58" t="s">
        <v>73</v>
      </c>
      <c r="Q234" s="58" t="s">
        <v>74</v>
      </c>
      <c r="R234" s="58" t="s">
        <v>928</v>
      </c>
      <c r="S234" s="58" t="s">
        <v>929</v>
      </c>
      <c r="T234" s="58" t="s">
        <v>279</v>
      </c>
    </row>
    <row r="235" spans="1:20" ht="31.2">
      <c r="A235" s="58" t="s">
        <v>70</v>
      </c>
      <c r="B235" s="58" t="s">
        <v>48</v>
      </c>
      <c r="C235" s="58">
        <v>34</v>
      </c>
      <c r="D235" s="58" t="s">
        <v>361</v>
      </c>
      <c r="E235" s="58" t="s">
        <v>930</v>
      </c>
      <c r="F235" s="58" t="s">
        <v>273</v>
      </c>
      <c r="G235" s="58" t="s">
        <v>273</v>
      </c>
      <c r="H235" s="58" t="s">
        <v>274</v>
      </c>
      <c r="I235" s="58" t="s">
        <v>274</v>
      </c>
      <c r="J235" s="58"/>
      <c r="K235" s="58"/>
      <c r="L235" s="58" t="s">
        <v>288</v>
      </c>
      <c r="M235" s="58" t="s">
        <v>48</v>
      </c>
      <c r="N235" s="58">
        <v>2</v>
      </c>
      <c r="O235" s="58" t="s">
        <v>829</v>
      </c>
      <c r="P235" s="58" t="s">
        <v>73</v>
      </c>
      <c r="Q235" s="58" t="s">
        <v>74</v>
      </c>
      <c r="R235" s="58" t="s">
        <v>931</v>
      </c>
      <c r="S235" s="58" t="s">
        <v>932</v>
      </c>
      <c r="T235" s="58" t="s">
        <v>279</v>
      </c>
    </row>
    <row r="236" spans="1:20" ht="31.2">
      <c r="A236" s="58" t="s">
        <v>70</v>
      </c>
      <c r="B236" s="58" t="s">
        <v>48</v>
      </c>
      <c r="C236" s="58">
        <v>35</v>
      </c>
      <c r="D236" s="58" t="s">
        <v>361</v>
      </c>
      <c r="E236" s="58" t="s">
        <v>933</v>
      </c>
      <c r="F236" s="58" t="s">
        <v>273</v>
      </c>
      <c r="G236" s="58" t="s">
        <v>273</v>
      </c>
      <c r="H236" s="58" t="s">
        <v>274</v>
      </c>
      <c r="I236" s="58" t="s">
        <v>274</v>
      </c>
      <c r="J236" s="58"/>
      <c r="K236" s="58"/>
      <c r="L236" s="58" t="s">
        <v>288</v>
      </c>
      <c r="M236" s="58" t="s">
        <v>48</v>
      </c>
      <c r="N236" s="58">
        <v>4</v>
      </c>
      <c r="O236" s="58" t="s">
        <v>829</v>
      </c>
      <c r="P236" s="58" t="s">
        <v>73</v>
      </c>
      <c r="Q236" s="58" t="s">
        <v>74</v>
      </c>
      <c r="R236" s="58" t="s">
        <v>934</v>
      </c>
      <c r="S236" s="58" t="s">
        <v>935</v>
      </c>
      <c r="T236" s="58" t="s">
        <v>279</v>
      </c>
    </row>
    <row r="237" spans="1:20" ht="31.2">
      <c r="A237" s="58" t="s">
        <v>70</v>
      </c>
      <c r="B237" s="58" t="s">
        <v>48</v>
      </c>
      <c r="C237" s="58">
        <v>36</v>
      </c>
      <c r="D237" s="58" t="s">
        <v>361</v>
      </c>
      <c r="E237" s="58" t="s">
        <v>936</v>
      </c>
      <c r="F237" s="58" t="s">
        <v>273</v>
      </c>
      <c r="G237" s="58" t="s">
        <v>273</v>
      </c>
      <c r="H237" s="58" t="s">
        <v>274</v>
      </c>
      <c r="I237" s="58" t="s">
        <v>274</v>
      </c>
      <c r="J237" s="58"/>
      <c r="K237" s="58"/>
      <c r="L237" s="58" t="s">
        <v>288</v>
      </c>
      <c r="M237" s="58" t="s">
        <v>48</v>
      </c>
      <c r="N237" s="58">
        <v>7</v>
      </c>
      <c r="O237" s="58" t="s">
        <v>829</v>
      </c>
      <c r="P237" s="58" t="s">
        <v>73</v>
      </c>
      <c r="Q237" s="58" t="s">
        <v>74</v>
      </c>
      <c r="R237" s="58" t="s">
        <v>937</v>
      </c>
      <c r="S237" s="58" t="s">
        <v>938</v>
      </c>
      <c r="T237" s="58" t="s">
        <v>279</v>
      </c>
    </row>
    <row r="238" spans="1:20" ht="31.2">
      <c r="A238" s="58" t="s">
        <v>70</v>
      </c>
      <c r="B238" s="58" t="s">
        <v>48</v>
      </c>
      <c r="C238" s="58">
        <v>37</v>
      </c>
      <c r="D238" s="58" t="s">
        <v>361</v>
      </c>
      <c r="E238" s="58" t="s">
        <v>939</v>
      </c>
      <c r="F238" s="58" t="s">
        <v>273</v>
      </c>
      <c r="G238" s="58" t="s">
        <v>273</v>
      </c>
      <c r="H238" s="58" t="s">
        <v>274</v>
      </c>
      <c r="I238" s="58" t="s">
        <v>274</v>
      </c>
      <c r="J238" s="58"/>
      <c r="K238" s="58"/>
      <c r="L238" s="58" t="s">
        <v>288</v>
      </c>
      <c r="M238" s="58" t="s">
        <v>48</v>
      </c>
      <c r="N238" s="58">
        <v>3</v>
      </c>
      <c r="O238" s="58" t="s">
        <v>829</v>
      </c>
      <c r="P238" s="58" t="s">
        <v>73</v>
      </c>
      <c r="Q238" s="58" t="s">
        <v>74</v>
      </c>
      <c r="R238" s="58" t="s">
        <v>940</v>
      </c>
      <c r="S238" s="58" t="s">
        <v>941</v>
      </c>
      <c r="T238" s="58" t="s">
        <v>279</v>
      </c>
    </row>
    <row r="239" spans="1:20" ht="31.2">
      <c r="A239" s="58" t="s">
        <v>70</v>
      </c>
      <c r="B239" s="58" t="s">
        <v>48</v>
      </c>
      <c r="C239" s="58">
        <v>38</v>
      </c>
      <c r="D239" s="58" t="s">
        <v>361</v>
      </c>
      <c r="E239" s="58" t="s">
        <v>942</v>
      </c>
      <c r="F239" s="58" t="s">
        <v>273</v>
      </c>
      <c r="G239" s="58" t="s">
        <v>273</v>
      </c>
      <c r="H239" s="58" t="s">
        <v>274</v>
      </c>
      <c r="I239" s="58" t="s">
        <v>274</v>
      </c>
      <c r="J239" s="58"/>
      <c r="K239" s="58"/>
      <c r="L239" s="58" t="s">
        <v>288</v>
      </c>
      <c r="M239" s="58" t="s">
        <v>48</v>
      </c>
      <c r="N239" s="58">
        <v>3</v>
      </c>
      <c r="O239" s="58" t="s">
        <v>829</v>
      </c>
      <c r="P239" s="58" t="s">
        <v>73</v>
      </c>
      <c r="Q239" s="58" t="s">
        <v>74</v>
      </c>
      <c r="R239" s="58" t="s">
        <v>943</v>
      </c>
      <c r="S239" s="58" t="s">
        <v>944</v>
      </c>
      <c r="T239" s="58" t="s">
        <v>279</v>
      </c>
    </row>
    <row r="240" spans="1:20" ht="31.2">
      <c r="A240" s="58" t="s">
        <v>70</v>
      </c>
      <c r="B240" s="58" t="s">
        <v>48</v>
      </c>
      <c r="C240" s="58">
        <v>39</v>
      </c>
      <c r="D240" s="58" t="s">
        <v>361</v>
      </c>
      <c r="E240" s="58" t="s">
        <v>945</v>
      </c>
      <c r="F240" s="58" t="s">
        <v>273</v>
      </c>
      <c r="G240" s="58" t="s">
        <v>273</v>
      </c>
      <c r="H240" s="58" t="s">
        <v>274</v>
      </c>
      <c r="I240" s="58" t="s">
        <v>274</v>
      </c>
      <c r="J240" s="58"/>
      <c r="K240" s="58"/>
      <c r="L240" s="58" t="s">
        <v>288</v>
      </c>
      <c r="M240" s="58" t="s">
        <v>48</v>
      </c>
      <c r="N240" s="58">
        <v>12</v>
      </c>
      <c r="O240" s="58" t="s">
        <v>829</v>
      </c>
      <c r="P240" s="58" t="s">
        <v>73</v>
      </c>
      <c r="Q240" s="58" t="s">
        <v>74</v>
      </c>
      <c r="R240" s="58" t="s">
        <v>946</v>
      </c>
      <c r="S240" s="58" t="s">
        <v>947</v>
      </c>
      <c r="T240" s="58" t="s">
        <v>279</v>
      </c>
    </row>
    <row r="241" spans="1:20" ht="31.2">
      <c r="A241" s="58" t="s">
        <v>70</v>
      </c>
      <c r="B241" s="58" t="s">
        <v>48</v>
      </c>
      <c r="C241" s="58">
        <v>40</v>
      </c>
      <c r="D241" s="58" t="s">
        <v>361</v>
      </c>
      <c r="E241" s="58" t="s">
        <v>948</v>
      </c>
      <c r="F241" s="58" t="s">
        <v>273</v>
      </c>
      <c r="G241" s="58" t="s">
        <v>273</v>
      </c>
      <c r="H241" s="58" t="s">
        <v>274</v>
      </c>
      <c r="I241" s="58" t="s">
        <v>274</v>
      </c>
      <c r="J241" s="58"/>
      <c r="K241" s="58"/>
      <c r="L241" s="58" t="s">
        <v>288</v>
      </c>
      <c r="M241" s="58" t="s">
        <v>48</v>
      </c>
      <c r="N241" s="58">
        <v>8</v>
      </c>
      <c r="O241" s="58" t="s">
        <v>829</v>
      </c>
      <c r="P241" s="58" t="s">
        <v>73</v>
      </c>
      <c r="Q241" s="58" t="s">
        <v>74</v>
      </c>
      <c r="R241" s="58" t="s">
        <v>949</v>
      </c>
      <c r="S241" s="58" t="s">
        <v>950</v>
      </c>
      <c r="T241" s="58" t="s">
        <v>279</v>
      </c>
    </row>
    <row r="242" spans="1:20" ht="31.2">
      <c r="A242" s="58" t="s">
        <v>70</v>
      </c>
      <c r="B242" s="58" t="s">
        <v>48</v>
      </c>
      <c r="C242" s="58">
        <v>41</v>
      </c>
      <c r="D242" s="58" t="s">
        <v>361</v>
      </c>
      <c r="E242" s="58" t="s">
        <v>951</v>
      </c>
      <c r="F242" s="58" t="s">
        <v>273</v>
      </c>
      <c r="G242" s="58" t="s">
        <v>273</v>
      </c>
      <c r="H242" s="58" t="s">
        <v>274</v>
      </c>
      <c r="I242" s="58" t="s">
        <v>274</v>
      </c>
      <c r="J242" s="58"/>
      <c r="K242" s="58"/>
      <c r="L242" s="58" t="s">
        <v>288</v>
      </c>
      <c r="M242" s="58" t="s">
        <v>48</v>
      </c>
      <c r="N242" s="58">
        <v>3</v>
      </c>
      <c r="O242" s="58" t="s">
        <v>829</v>
      </c>
      <c r="P242" s="58" t="s">
        <v>73</v>
      </c>
      <c r="Q242" s="58" t="s">
        <v>74</v>
      </c>
      <c r="R242" s="58" t="s">
        <v>952</v>
      </c>
      <c r="S242" s="58" t="s">
        <v>953</v>
      </c>
      <c r="T242" s="58" t="s">
        <v>279</v>
      </c>
    </row>
    <row r="243" spans="1:20" ht="31.2">
      <c r="A243" s="58" t="s">
        <v>70</v>
      </c>
      <c r="B243" s="58" t="s">
        <v>48</v>
      </c>
      <c r="C243" s="58">
        <v>42</v>
      </c>
      <c r="D243" s="58" t="s">
        <v>361</v>
      </c>
      <c r="E243" s="58" t="s">
        <v>954</v>
      </c>
      <c r="F243" s="58" t="s">
        <v>273</v>
      </c>
      <c r="G243" s="58" t="s">
        <v>273</v>
      </c>
      <c r="H243" s="58" t="s">
        <v>274</v>
      </c>
      <c r="I243" s="58" t="s">
        <v>274</v>
      </c>
      <c r="J243" s="58"/>
      <c r="K243" s="58"/>
      <c r="L243" s="58" t="s">
        <v>288</v>
      </c>
      <c r="M243" s="58" t="s">
        <v>48</v>
      </c>
      <c r="N243" s="58">
        <v>5</v>
      </c>
      <c r="O243" s="58" t="s">
        <v>829</v>
      </c>
      <c r="P243" s="58" t="s">
        <v>73</v>
      </c>
      <c r="Q243" s="58" t="s">
        <v>74</v>
      </c>
      <c r="R243" s="58" t="s">
        <v>955</v>
      </c>
      <c r="S243" s="58" t="s">
        <v>956</v>
      </c>
      <c r="T243" s="58" t="s">
        <v>279</v>
      </c>
    </row>
    <row r="244" spans="1:20" ht="31.2">
      <c r="A244" s="58" t="s">
        <v>70</v>
      </c>
      <c r="B244" s="58" t="s">
        <v>48</v>
      </c>
      <c r="C244" s="58">
        <v>43</v>
      </c>
      <c r="D244" s="58" t="s">
        <v>333</v>
      </c>
      <c r="E244" s="58" t="s">
        <v>835</v>
      </c>
      <c r="F244" s="58" t="s">
        <v>273</v>
      </c>
      <c r="G244" s="58" t="s">
        <v>273</v>
      </c>
      <c r="H244" s="58" t="s">
        <v>274</v>
      </c>
      <c r="I244" s="58" t="s">
        <v>274</v>
      </c>
      <c r="J244" s="58"/>
      <c r="K244" s="58" t="s">
        <v>274</v>
      </c>
      <c r="L244" s="58" t="s">
        <v>288</v>
      </c>
      <c r="M244" s="58" t="s">
        <v>48</v>
      </c>
      <c r="N244" s="58">
        <v>0</v>
      </c>
      <c r="O244" s="58" t="s">
        <v>836</v>
      </c>
      <c r="P244" s="58" t="s">
        <v>73</v>
      </c>
      <c r="Q244" s="58" t="s">
        <v>74</v>
      </c>
      <c r="R244" s="58" t="s">
        <v>957</v>
      </c>
      <c r="S244" s="58" t="s">
        <v>958</v>
      </c>
      <c r="T244" s="58" t="s">
        <v>279</v>
      </c>
    </row>
    <row r="245" spans="1:20" ht="31.2">
      <c r="A245" s="58" t="s">
        <v>70</v>
      </c>
      <c r="B245" s="58" t="s">
        <v>48</v>
      </c>
      <c r="C245" s="58">
        <v>44</v>
      </c>
      <c r="D245" s="58" t="s">
        <v>361</v>
      </c>
      <c r="E245" s="58" t="s">
        <v>959</v>
      </c>
      <c r="F245" s="58" t="s">
        <v>273</v>
      </c>
      <c r="G245" s="58" t="s">
        <v>273</v>
      </c>
      <c r="H245" s="58" t="s">
        <v>274</v>
      </c>
      <c r="I245" s="58" t="s">
        <v>274</v>
      </c>
      <c r="J245" s="58"/>
      <c r="K245" s="58"/>
      <c r="L245" s="58" t="s">
        <v>288</v>
      </c>
      <c r="M245" s="58" t="s">
        <v>48</v>
      </c>
      <c r="N245" s="58">
        <v>4</v>
      </c>
      <c r="O245" s="58" t="s">
        <v>829</v>
      </c>
      <c r="P245" s="58" t="s">
        <v>73</v>
      </c>
      <c r="Q245" s="58" t="s">
        <v>74</v>
      </c>
      <c r="R245" s="58" t="s">
        <v>960</v>
      </c>
      <c r="S245" s="58" t="s">
        <v>961</v>
      </c>
      <c r="T245" s="58" t="s">
        <v>279</v>
      </c>
    </row>
    <row r="246" spans="1:20" ht="31.2">
      <c r="A246" s="58" t="s">
        <v>70</v>
      </c>
      <c r="B246" s="58" t="s">
        <v>48</v>
      </c>
      <c r="C246" s="58">
        <v>45</v>
      </c>
      <c r="D246" s="58" t="s">
        <v>361</v>
      </c>
      <c r="E246" s="58" t="s">
        <v>962</v>
      </c>
      <c r="F246" s="58" t="s">
        <v>273</v>
      </c>
      <c r="G246" s="58" t="s">
        <v>273</v>
      </c>
      <c r="H246" s="58" t="s">
        <v>274</v>
      </c>
      <c r="I246" s="58" t="s">
        <v>274</v>
      </c>
      <c r="J246" s="58"/>
      <c r="K246" s="58"/>
      <c r="L246" s="58" t="s">
        <v>288</v>
      </c>
      <c r="M246" s="58" t="s">
        <v>48</v>
      </c>
      <c r="N246" s="58">
        <v>3</v>
      </c>
      <c r="O246" s="58" t="s">
        <v>829</v>
      </c>
      <c r="P246" s="58" t="s">
        <v>73</v>
      </c>
      <c r="Q246" s="58" t="s">
        <v>74</v>
      </c>
      <c r="R246" s="58" t="s">
        <v>963</v>
      </c>
      <c r="S246" s="58" t="s">
        <v>964</v>
      </c>
      <c r="T246" s="58" t="s">
        <v>279</v>
      </c>
    </row>
    <row r="247" spans="1:20" ht="31.2">
      <c r="A247" s="58" t="s">
        <v>70</v>
      </c>
      <c r="B247" s="58" t="s">
        <v>48</v>
      </c>
      <c r="C247" s="58">
        <v>46</v>
      </c>
      <c r="D247" s="58" t="s">
        <v>361</v>
      </c>
      <c r="E247" s="58" t="s">
        <v>965</v>
      </c>
      <c r="F247" s="58" t="s">
        <v>273</v>
      </c>
      <c r="G247" s="58" t="s">
        <v>273</v>
      </c>
      <c r="H247" s="58" t="s">
        <v>274</v>
      </c>
      <c r="I247" s="58" t="s">
        <v>274</v>
      </c>
      <c r="J247" s="58"/>
      <c r="K247" s="58"/>
      <c r="L247" s="58" t="s">
        <v>288</v>
      </c>
      <c r="M247" s="58" t="s">
        <v>48</v>
      </c>
      <c r="N247" s="58">
        <v>4</v>
      </c>
      <c r="O247" s="58" t="s">
        <v>829</v>
      </c>
      <c r="P247" s="58" t="s">
        <v>73</v>
      </c>
      <c r="Q247" s="58" t="s">
        <v>74</v>
      </c>
      <c r="R247" s="58" t="s">
        <v>966</v>
      </c>
      <c r="S247" s="58" t="s">
        <v>967</v>
      </c>
      <c r="T247" s="58" t="s">
        <v>279</v>
      </c>
    </row>
    <row r="248" spans="1:20" ht="31.2">
      <c r="A248" s="58" t="s">
        <v>70</v>
      </c>
      <c r="B248" s="58" t="s">
        <v>48</v>
      </c>
      <c r="C248" s="58">
        <v>47</v>
      </c>
      <c r="D248" s="58" t="s">
        <v>361</v>
      </c>
      <c r="E248" s="58" t="s">
        <v>968</v>
      </c>
      <c r="F248" s="58" t="s">
        <v>273</v>
      </c>
      <c r="G248" s="58" t="s">
        <v>273</v>
      </c>
      <c r="H248" s="58" t="s">
        <v>274</v>
      </c>
      <c r="I248" s="58" t="s">
        <v>274</v>
      </c>
      <c r="J248" s="58"/>
      <c r="K248" s="58"/>
      <c r="L248" s="58" t="s">
        <v>288</v>
      </c>
      <c r="M248" s="58" t="s">
        <v>48</v>
      </c>
      <c r="N248" s="58">
        <v>2</v>
      </c>
      <c r="O248" s="58" t="s">
        <v>829</v>
      </c>
      <c r="P248" s="58" t="s">
        <v>73</v>
      </c>
      <c r="Q248" s="58" t="s">
        <v>74</v>
      </c>
      <c r="R248" s="58" t="s">
        <v>969</v>
      </c>
      <c r="S248" s="58" t="s">
        <v>970</v>
      </c>
      <c r="T248" s="58" t="s">
        <v>279</v>
      </c>
    </row>
    <row r="249" spans="1:20" ht="31.2">
      <c r="A249" s="58" t="s">
        <v>70</v>
      </c>
      <c r="B249" s="58" t="s">
        <v>48</v>
      </c>
      <c r="C249" s="58">
        <v>48</v>
      </c>
      <c r="D249" s="58" t="s">
        <v>361</v>
      </c>
      <c r="E249" s="58" t="s">
        <v>971</v>
      </c>
      <c r="F249" s="58" t="s">
        <v>273</v>
      </c>
      <c r="G249" s="58" t="s">
        <v>274</v>
      </c>
      <c r="H249" s="58" t="s">
        <v>273</v>
      </c>
      <c r="I249" s="58" t="s">
        <v>274</v>
      </c>
      <c r="J249" s="58"/>
      <c r="K249" s="58"/>
      <c r="L249" s="58" t="s">
        <v>604</v>
      </c>
      <c r="M249" s="58" t="s">
        <v>48</v>
      </c>
      <c r="N249" s="58">
        <v>3</v>
      </c>
      <c r="O249" s="58" t="s">
        <v>829</v>
      </c>
      <c r="P249" s="58" t="s">
        <v>73</v>
      </c>
      <c r="Q249" s="58" t="s">
        <v>74</v>
      </c>
      <c r="R249" s="58" t="s">
        <v>972</v>
      </c>
      <c r="S249" s="58" t="s">
        <v>973</v>
      </c>
      <c r="T249" s="58" t="s">
        <v>279</v>
      </c>
    </row>
    <row r="250" spans="1:20" ht="31.2">
      <c r="A250" s="58" t="s">
        <v>70</v>
      </c>
      <c r="B250" s="58" t="s">
        <v>48</v>
      </c>
      <c r="C250" s="58">
        <v>49</v>
      </c>
      <c r="D250" s="58" t="s">
        <v>361</v>
      </c>
      <c r="E250" s="58" t="s">
        <v>974</v>
      </c>
      <c r="F250" s="58" t="s">
        <v>273</v>
      </c>
      <c r="G250" s="58" t="s">
        <v>273</v>
      </c>
      <c r="H250" s="58" t="s">
        <v>274</v>
      </c>
      <c r="I250" s="58" t="s">
        <v>274</v>
      </c>
      <c r="J250" s="58"/>
      <c r="K250" s="58"/>
      <c r="L250" s="58" t="s">
        <v>288</v>
      </c>
      <c r="M250" s="58" t="s">
        <v>48</v>
      </c>
      <c r="N250" s="58">
        <v>2</v>
      </c>
      <c r="O250" s="58" t="s">
        <v>829</v>
      </c>
      <c r="P250" s="58" t="s">
        <v>73</v>
      </c>
      <c r="Q250" s="58" t="s">
        <v>74</v>
      </c>
      <c r="R250" s="58" t="s">
        <v>975</v>
      </c>
      <c r="S250" s="58" t="s">
        <v>976</v>
      </c>
      <c r="T250" s="58" t="s">
        <v>279</v>
      </c>
    </row>
    <row r="251" spans="1:20" ht="31.2">
      <c r="A251" s="58" t="s">
        <v>70</v>
      </c>
      <c r="B251" s="58" t="s">
        <v>48</v>
      </c>
      <c r="C251" s="58">
        <v>50</v>
      </c>
      <c r="D251" s="58" t="s">
        <v>361</v>
      </c>
      <c r="E251" s="58" t="s">
        <v>977</v>
      </c>
      <c r="F251" s="58" t="s">
        <v>273</v>
      </c>
      <c r="G251" s="58" t="s">
        <v>273</v>
      </c>
      <c r="H251" s="58" t="s">
        <v>274</v>
      </c>
      <c r="I251" s="58" t="s">
        <v>274</v>
      </c>
      <c r="J251" s="58"/>
      <c r="K251" s="58"/>
      <c r="L251" s="58" t="s">
        <v>604</v>
      </c>
      <c r="M251" s="58" t="s">
        <v>48</v>
      </c>
      <c r="N251" s="58">
        <v>1</v>
      </c>
      <c r="O251" s="58" t="s">
        <v>829</v>
      </c>
      <c r="P251" s="58" t="s">
        <v>73</v>
      </c>
      <c r="Q251" s="58" t="s">
        <v>74</v>
      </c>
      <c r="R251" s="58" t="s">
        <v>978</v>
      </c>
      <c r="S251" s="58" t="s">
        <v>979</v>
      </c>
      <c r="T251" s="58" t="s">
        <v>279</v>
      </c>
    </row>
    <row r="252" spans="1:20" ht="31.2">
      <c r="A252" s="58" t="s">
        <v>70</v>
      </c>
      <c r="B252" s="58" t="s">
        <v>48</v>
      </c>
      <c r="C252" s="58">
        <v>51</v>
      </c>
      <c r="D252" s="58" t="s">
        <v>361</v>
      </c>
      <c r="E252" s="58" t="s">
        <v>980</v>
      </c>
      <c r="F252" s="58" t="s">
        <v>273</v>
      </c>
      <c r="G252" s="58" t="s">
        <v>273</v>
      </c>
      <c r="H252" s="58" t="s">
        <v>274</v>
      </c>
      <c r="I252" s="58" t="s">
        <v>274</v>
      </c>
      <c r="J252" s="58"/>
      <c r="K252" s="58"/>
      <c r="L252" s="58" t="s">
        <v>288</v>
      </c>
      <c r="M252" s="58" t="s">
        <v>48</v>
      </c>
      <c r="N252" s="58">
        <v>2</v>
      </c>
      <c r="O252" s="58" t="s">
        <v>829</v>
      </c>
      <c r="P252" s="58" t="s">
        <v>73</v>
      </c>
      <c r="Q252" s="58" t="s">
        <v>74</v>
      </c>
      <c r="R252" s="58" t="s">
        <v>981</v>
      </c>
      <c r="S252" s="58" t="s">
        <v>982</v>
      </c>
      <c r="T252" s="58" t="s">
        <v>279</v>
      </c>
    </row>
    <row r="253" spans="1:20" ht="31.2">
      <c r="A253" s="58" t="s">
        <v>70</v>
      </c>
      <c r="B253" s="58" t="s">
        <v>48</v>
      </c>
      <c r="C253" s="58">
        <v>52</v>
      </c>
      <c r="D253" s="58" t="s">
        <v>361</v>
      </c>
      <c r="E253" s="58" t="s">
        <v>983</v>
      </c>
      <c r="F253" s="58" t="s">
        <v>273</v>
      </c>
      <c r="G253" s="58" t="s">
        <v>274</v>
      </c>
      <c r="H253" s="58" t="s">
        <v>273</v>
      </c>
      <c r="I253" s="58" t="s">
        <v>274</v>
      </c>
      <c r="J253" s="58"/>
      <c r="K253" s="58"/>
      <c r="L253" s="58" t="s">
        <v>604</v>
      </c>
      <c r="M253" s="58" t="s">
        <v>48</v>
      </c>
      <c r="N253" s="58">
        <v>2</v>
      </c>
      <c r="O253" s="58" t="s">
        <v>829</v>
      </c>
      <c r="P253" s="58" t="s">
        <v>73</v>
      </c>
      <c r="Q253" s="58" t="s">
        <v>74</v>
      </c>
      <c r="R253" s="58" t="s">
        <v>984</v>
      </c>
      <c r="S253" s="58" t="s">
        <v>985</v>
      </c>
      <c r="T253" s="58" t="s">
        <v>279</v>
      </c>
    </row>
    <row r="254" spans="1:20" ht="31.2">
      <c r="A254" s="58" t="s">
        <v>70</v>
      </c>
      <c r="B254" s="58" t="s">
        <v>48</v>
      </c>
      <c r="C254" s="58">
        <v>53</v>
      </c>
      <c r="D254" s="58" t="s">
        <v>361</v>
      </c>
      <c r="E254" s="58" t="s">
        <v>986</v>
      </c>
      <c r="F254" s="58" t="s">
        <v>273</v>
      </c>
      <c r="G254" s="58" t="s">
        <v>273</v>
      </c>
      <c r="H254" s="58" t="s">
        <v>274</v>
      </c>
      <c r="I254" s="58" t="s">
        <v>274</v>
      </c>
      <c r="J254" s="58"/>
      <c r="K254" s="58"/>
      <c r="L254" s="58" t="s">
        <v>288</v>
      </c>
      <c r="M254" s="58" t="s">
        <v>48</v>
      </c>
      <c r="N254" s="58">
        <v>2</v>
      </c>
      <c r="O254" s="58" t="s">
        <v>829</v>
      </c>
      <c r="P254" s="58" t="s">
        <v>73</v>
      </c>
      <c r="Q254" s="58" t="s">
        <v>74</v>
      </c>
      <c r="R254" s="58" t="s">
        <v>987</v>
      </c>
      <c r="S254" s="58" t="s">
        <v>988</v>
      </c>
      <c r="T254" s="58" t="s">
        <v>279</v>
      </c>
    </row>
    <row r="255" spans="1:20" ht="31.2">
      <c r="A255" s="58" t="s">
        <v>70</v>
      </c>
      <c r="B255" s="58" t="s">
        <v>48</v>
      </c>
      <c r="C255" s="58">
        <v>54</v>
      </c>
      <c r="D255" s="58" t="s">
        <v>361</v>
      </c>
      <c r="E255" s="58" t="s">
        <v>989</v>
      </c>
      <c r="F255" s="58" t="s">
        <v>273</v>
      </c>
      <c r="G255" s="58" t="s">
        <v>273</v>
      </c>
      <c r="H255" s="58" t="s">
        <v>274</v>
      </c>
      <c r="I255" s="58" t="s">
        <v>274</v>
      </c>
      <c r="J255" s="58"/>
      <c r="K255" s="58"/>
      <c r="L255" s="58" t="s">
        <v>288</v>
      </c>
      <c r="M255" s="58" t="s">
        <v>48</v>
      </c>
      <c r="N255" s="58">
        <v>2</v>
      </c>
      <c r="O255" s="58" t="s">
        <v>829</v>
      </c>
      <c r="P255" s="58" t="s">
        <v>73</v>
      </c>
      <c r="Q255" s="58" t="s">
        <v>74</v>
      </c>
      <c r="R255" s="58" t="s">
        <v>990</v>
      </c>
      <c r="S255" s="58" t="s">
        <v>991</v>
      </c>
      <c r="T255" s="58" t="s">
        <v>279</v>
      </c>
    </row>
    <row r="256" spans="1:20" ht="31.2">
      <c r="A256" s="58" t="s">
        <v>70</v>
      </c>
      <c r="B256" s="58" t="s">
        <v>48</v>
      </c>
      <c r="C256" s="58">
        <v>55</v>
      </c>
      <c r="D256" s="58" t="s">
        <v>361</v>
      </c>
      <c r="E256" s="58" t="s">
        <v>992</v>
      </c>
      <c r="F256" s="58" t="s">
        <v>273</v>
      </c>
      <c r="G256" s="58" t="s">
        <v>273</v>
      </c>
      <c r="H256" s="58" t="s">
        <v>274</v>
      </c>
      <c r="I256" s="58" t="s">
        <v>274</v>
      </c>
      <c r="J256" s="58"/>
      <c r="K256" s="58"/>
      <c r="L256" s="58" t="s">
        <v>288</v>
      </c>
      <c r="M256" s="58" t="s">
        <v>48</v>
      </c>
      <c r="N256" s="58">
        <v>2</v>
      </c>
      <c r="O256" s="58" t="s">
        <v>829</v>
      </c>
      <c r="P256" s="58" t="s">
        <v>73</v>
      </c>
      <c r="Q256" s="58" t="s">
        <v>74</v>
      </c>
      <c r="R256" s="58" t="s">
        <v>993</v>
      </c>
      <c r="S256" s="58" t="s">
        <v>994</v>
      </c>
      <c r="T256" s="58" t="s">
        <v>279</v>
      </c>
    </row>
    <row r="257" spans="1:20" ht="31.2">
      <c r="A257" s="58" t="s">
        <v>70</v>
      </c>
      <c r="B257" s="58" t="s">
        <v>48</v>
      </c>
      <c r="C257" s="58">
        <v>56</v>
      </c>
      <c r="D257" s="58" t="s">
        <v>361</v>
      </c>
      <c r="E257" s="58" t="s">
        <v>995</v>
      </c>
      <c r="F257" s="58" t="s">
        <v>273</v>
      </c>
      <c r="G257" s="58" t="s">
        <v>273</v>
      </c>
      <c r="H257" s="58" t="s">
        <v>274</v>
      </c>
      <c r="I257" s="58" t="s">
        <v>274</v>
      </c>
      <c r="J257" s="58"/>
      <c r="K257" s="58"/>
      <c r="L257" s="58" t="s">
        <v>288</v>
      </c>
      <c r="M257" s="58" t="s">
        <v>48</v>
      </c>
      <c r="N257" s="58">
        <v>2</v>
      </c>
      <c r="O257" s="58" t="s">
        <v>829</v>
      </c>
      <c r="P257" s="58" t="s">
        <v>73</v>
      </c>
      <c r="Q257" s="58" t="s">
        <v>74</v>
      </c>
      <c r="R257" s="58" t="s">
        <v>996</v>
      </c>
      <c r="S257" s="58" t="s">
        <v>997</v>
      </c>
      <c r="T257" s="58" t="s">
        <v>279</v>
      </c>
    </row>
    <row r="258" spans="1:20" ht="31.2">
      <c r="A258" s="58" t="s">
        <v>70</v>
      </c>
      <c r="B258" s="58" t="s">
        <v>48</v>
      </c>
      <c r="C258" s="58">
        <v>57</v>
      </c>
      <c r="D258" s="58" t="s">
        <v>361</v>
      </c>
      <c r="E258" s="58" t="s">
        <v>998</v>
      </c>
      <c r="F258" s="58" t="s">
        <v>273</v>
      </c>
      <c r="G258" s="58" t="s">
        <v>273</v>
      </c>
      <c r="H258" s="58" t="s">
        <v>274</v>
      </c>
      <c r="I258" s="58" t="s">
        <v>274</v>
      </c>
      <c r="J258" s="58"/>
      <c r="K258" s="58"/>
      <c r="L258" s="58" t="s">
        <v>288</v>
      </c>
      <c r="M258" s="58" t="s">
        <v>48</v>
      </c>
      <c r="N258" s="58">
        <v>2</v>
      </c>
      <c r="O258" s="58" t="s">
        <v>829</v>
      </c>
      <c r="P258" s="58" t="s">
        <v>73</v>
      </c>
      <c r="Q258" s="58" t="s">
        <v>74</v>
      </c>
      <c r="R258" s="58" t="s">
        <v>999</v>
      </c>
      <c r="S258" s="58" t="s">
        <v>1000</v>
      </c>
      <c r="T258" s="58" t="s">
        <v>279</v>
      </c>
    </row>
    <row r="259" spans="1:20" ht="31.2">
      <c r="A259" s="58" t="s">
        <v>70</v>
      </c>
      <c r="B259" s="58" t="s">
        <v>48</v>
      </c>
      <c r="C259" s="58">
        <v>58</v>
      </c>
      <c r="D259" s="58" t="s">
        <v>361</v>
      </c>
      <c r="E259" s="58" t="s">
        <v>1001</v>
      </c>
      <c r="F259" s="58" t="s">
        <v>273</v>
      </c>
      <c r="G259" s="58" t="s">
        <v>274</v>
      </c>
      <c r="H259" s="58" t="s">
        <v>273</v>
      </c>
      <c r="I259" s="58" t="s">
        <v>274</v>
      </c>
      <c r="J259" s="58"/>
      <c r="K259" s="58"/>
      <c r="L259" s="58" t="s">
        <v>604</v>
      </c>
      <c r="M259" s="58" t="s">
        <v>48</v>
      </c>
      <c r="N259" s="58">
        <v>4</v>
      </c>
      <c r="O259" s="58" t="s">
        <v>829</v>
      </c>
      <c r="P259" s="58" t="s">
        <v>73</v>
      </c>
      <c r="Q259" s="58" t="s">
        <v>74</v>
      </c>
      <c r="R259" s="58" t="s">
        <v>1002</v>
      </c>
      <c r="S259" s="58" t="s">
        <v>1003</v>
      </c>
      <c r="T259" s="58" t="s">
        <v>279</v>
      </c>
    </row>
    <row r="260" spans="1:20" ht="31.2">
      <c r="A260" s="58" t="s">
        <v>70</v>
      </c>
      <c r="B260" s="58" t="s">
        <v>48</v>
      </c>
      <c r="C260" s="58">
        <v>59</v>
      </c>
      <c r="D260" s="58" t="s">
        <v>361</v>
      </c>
      <c r="E260" s="58" t="s">
        <v>1004</v>
      </c>
      <c r="F260" s="58" t="s">
        <v>273</v>
      </c>
      <c r="G260" s="58" t="s">
        <v>274</v>
      </c>
      <c r="H260" s="58" t="s">
        <v>273</v>
      </c>
      <c r="I260" s="58" t="s">
        <v>274</v>
      </c>
      <c r="J260" s="58"/>
      <c r="K260" s="58"/>
      <c r="L260" s="58" t="s">
        <v>604</v>
      </c>
      <c r="M260" s="58" t="s">
        <v>48</v>
      </c>
      <c r="N260" s="58">
        <v>3</v>
      </c>
      <c r="O260" s="58" t="s">
        <v>829</v>
      </c>
      <c r="P260" s="58" t="s">
        <v>73</v>
      </c>
      <c r="Q260" s="58" t="s">
        <v>74</v>
      </c>
      <c r="R260" s="58" t="s">
        <v>1005</v>
      </c>
      <c r="S260" s="58" t="s">
        <v>1006</v>
      </c>
      <c r="T260" s="58" t="s">
        <v>279</v>
      </c>
    </row>
    <row r="261" spans="1:20" ht="31.2">
      <c r="A261" s="58" t="s">
        <v>70</v>
      </c>
      <c r="B261" s="58" t="s">
        <v>48</v>
      </c>
      <c r="C261" s="58">
        <v>60</v>
      </c>
      <c r="D261" s="58" t="s">
        <v>361</v>
      </c>
      <c r="E261" s="58" t="s">
        <v>1007</v>
      </c>
      <c r="F261" s="58" t="s">
        <v>273</v>
      </c>
      <c r="G261" s="58" t="s">
        <v>274</v>
      </c>
      <c r="H261" s="58" t="s">
        <v>273</v>
      </c>
      <c r="I261" s="58" t="s">
        <v>274</v>
      </c>
      <c r="J261" s="58"/>
      <c r="K261" s="58"/>
      <c r="L261" s="58" t="s">
        <v>604</v>
      </c>
      <c r="M261" s="58" t="s">
        <v>48</v>
      </c>
      <c r="N261" s="58">
        <v>6</v>
      </c>
      <c r="O261" s="58" t="s">
        <v>829</v>
      </c>
      <c r="P261" s="58" t="s">
        <v>73</v>
      </c>
      <c r="Q261" s="58" t="s">
        <v>74</v>
      </c>
      <c r="R261" s="58" t="s">
        <v>1008</v>
      </c>
      <c r="S261" s="58" t="s">
        <v>1009</v>
      </c>
      <c r="T261" s="58" t="s">
        <v>279</v>
      </c>
    </row>
    <row r="262" spans="1:20" ht="31.2">
      <c r="A262" s="58" t="s">
        <v>70</v>
      </c>
      <c r="B262" s="58" t="s">
        <v>48</v>
      </c>
      <c r="C262" s="58">
        <v>61</v>
      </c>
      <c r="D262" s="58" t="s">
        <v>378</v>
      </c>
      <c r="E262" s="58" t="s">
        <v>1010</v>
      </c>
      <c r="F262" s="58" t="s">
        <v>273</v>
      </c>
      <c r="G262" s="58" t="s">
        <v>273</v>
      </c>
      <c r="H262" s="58" t="s">
        <v>274</v>
      </c>
      <c r="I262" s="58" t="s">
        <v>274</v>
      </c>
      <c r="J262" s="58"/>
      <c r="K262" s="58"/>
      <c r="L262" s="58" t="s">
        <v>288</v>
      </c>
      <c r="M262" s="58" t="s">
        <v>48</v>
      </c>
      <c r="N262" s="58">
        <v>0</v>
      </c>
      <c r="O262" s="58" t="s">
        <v>852</v>
      </c>
      <c r="P262" s="58" t="s">
        <v>73</v>
      </c>
      <c r="Q262" s="58" t="s">
        <v>74</v>
      </c>
      <c r="R262" s="58" t="s">
        <v>1011</v>
      </c>
      <c r="S262" s="58" t="s">
        <v>1012</v>
      </c>
      <c r="T262" s="58" t="s">
        <v>279</v>
      </c>
    </row>
    <row r="263" spans="1:20" ht="31.2">
      <c r="A263" s="58" t="s">
        <v>70</v>
      </c>
      <c r="B263" s="58" t="s">
        <v>48</v>
      </c>
      <c r="C263" s="58">
        <v>62</v>
      </c>
      <c r="D263" s="58" t="s">
        <v>361</v>
      </c>
      <c r="E263" s="58" t="s">
        <v>1013</v>
      </c>
      <c r="F263" s="58" t="s">
        <v>273</v>
      </c>
      <c r="G263" s="58" t="s">
        <v>273</v>
      </c>
      <c r="H263" s="58" t="s">
        <v>274</v>
      </c>
      <c r="I263" s="58" t="s">
        <v>274</v>
      </c>
      <c r="J263" s="58"/>
      <c r="K263" s="58"/>
      <c r="L263" s="58" t="s">
        <v>288</v>
      </c>
      <c r="M263" s="58" t="s">
        <v>48</v>
      </c>
      <c r="N263" s="58">
        <v>2</v>
      </c>
      <c r="O263" s="58" t="s">
        <v>829</v>
      </c>
      <c r="P263" s="58" t="s">
        <v>73</v>
      </c>
      <c r="Q263" s="58" t="s">
        <v>74</v>
      </c>
      <c r="R263" s="58" t="s">
        <v>1014</v>
      </c>
      <c r="S263" s="58" t="s">
        <v>1015</v>
      </c>
      <c r="T263" s="58" t="s">
        <v>279</v>
      </c>
    </row>
    <row r="264" spans="1:20" ht="31.2">
      <c r="A264" s="58" t="s">
        <v>70</v>
      </c>
      <c r="B264" s="58" t="s">
        <v>48</v>
      </c>
      <c r="C264" s="58">
        <v>63</v>
      </c>
      <c r="D264" s="58" t="s">
        <v>333</v>
      </c>
      <c r="E264" s="58" t="s">
        <v>835</v>
      </c>
      <c r="F264" s="58" t="s">
        <v>273</v>
      </c>
      <c r="G264" s="58" t="s">
        <v>273</v>
      </c>
      <c r="H264" s="58" t="s">
        <v>274</v>
      </c>
      <c r="I264" s="58" t="s">
        <v>274</v>
      </c>
      <c r="J264" s="58"/>
      <c r="K264" s="58" t="s">
        <v>274</v>
      </c>
      <c r="L264" s="58" t="s">
        <v>288</v>
      </c>
      <c r="M264" s="58" t="s">
        <v>48</v>
      </c>
      <c r="N264" s="58">
        <v>1</v>
      </c>
      <c r="O264" s="58" t="s">
        <v>836</v>
      </c>
      <c r="P264" s="58" t="s">
        <v>73</v>
      </c>
      <c r="Q264" s="58" t="s">
        <v>74</v>
      </c>
      <c r="R264" s="58" t="s">
        <v>1016</v>
      </c>
      <c r="S264" s="58" t="s">
        <v>1017</v>
      </c>
      <c r="T264" s="58" t="s">
        <v>279</v>
      </c>
    </row>
    <row r="265" spans="1:20" ht="31.2">
      <c r="A265" s="58" t="s">
        <v>70</v>
      </c>
      <c r="B265" s="58" t="s">
        <v>48</v>
      </c>
      <c r="C265" s="58">
        <v>64</v>
      </c>
      <c r="D265" s="58" t="s">
        <v>361</v>
      </c>
      <c r="E265" s="58" t="s">
        <v>1018</v>
      </c>
      <c r="F265" s="58" t="s">
        <v>273</v>
      </c>
      <c r="G265" s="58" t="s">
        <v>273</v>
      </c>
      <c r="H265" s="58" t="s">
        <v>274</v>
      </c>
      <c r="I265" s="58" t="s">
        <v>274</v>
      </c>
      <c r="J265" s="58"/>
      <c r="K265" s="58"/>
      <c r="L265" s="58" t="s">
        <v>288</v>
      </c>
      <c r="M265" s="58" t="s">
        <v>48</v>
      </c>
      <c r="N265" s="58">
        <v>3</v>
      </c>
      <c r="O265" s="58" t="s">
        <v>829</v>
      </c>
      <c r="P265" s="58" t="s">
        <v>73</v>
      </c>
      <c r="Q265" s="58" t="s">
        <v>74</v>
      </c>
      <c r="R265" s="58" t="s">
        <v>1019</v>
      </c>
      <c r="S265" s="58" t="s">
        <v>1020</v>
      </c>
      <c r="T265" s="58" t="s">
        <v>279</v>
      </c>
    </row>
    <row r="266" spans="1:20" ht="31.2">
      <c r="A266" s="58" t="s">
        <v>76</v>
      </c>
      <c r="B266" s="58" t="s">
        <v>48</v>
      </c>
      <c r="C266" s="58">
        <v>1</v>
      </c>
      <c r="D266" s="58" t="s">
        <v>361</v>
      </c>
      <c r="E266" s="58" t="s">
        <v>1021</v>
      </c>
      <c r="F266" s="58" t="s">
        <v>273</v>
      </c>
      <c r="G266" s="58" t="s">
        <v>273</v>
      </c>
      <c r="H266" s="58" t="s">
        <v>274</v>
      </c>
      <c r="I266" s="58" t="s">
        <v>274</v>
      </c>
      <c r="J266" s="58"/>
      <c r="K266" s="58"/>
      <c r="L266" s="58" t="s">
        <v>275</v>
      </c>
      <c r="M266" s="58" t="s">
        <v>48</v>
      </c>
      <c r="N266" s="58">
        <v>1.8140000000000001</v>
      </c>
      <c r="O266" s="58" t="s">
        <v>494</v>
      </c>
      <c r="P266" s="58" t="s">
        <v>79</v>
      </c>
      <c r="Q266" s="58" t="s">
        <v>80</v>
      </c>
      <c r="R266" s="58" t="s">
        <v>1022</v>
      </c>
      <c r="S266" s="58" t="s">
        <v>1023</v>
      </c>
      <c r="T266" s="58" t="s">
        <v>279</v>
      </c>
    </row>
    <row r="267" spans="1:20" ht="31.2">
      <c r="A267" s="58" t="s">
        <v>76</v>
      </c>
      <c r="B267" s="58" t="s">
        <v>48</v>
      </c>
      <c r="C267" s="58">
        <v>2</v>
      </c>
      <c r="D267" s="58" t="s">
        <v>333</v>
      </c>
      <c r="E267" s="58" t="s">
        <v>1024</v>
      </c>
      <c r="F267" s="58" t="s">
        <v>273</v>
      </c>
      <c r="G267" s="58" t="s">
        <v>273</v>
      </c>
      <c r="H267" s="58" t="s">
        <v>274</v>
      </c>
      <c r="I267" s="58" t="s">
        <v>274</v>
      </c>
      <c r="J267" s="58"/>
      <c r="K267" s="58" t="s">
        <v>274</v>
      </c>
      <c r="L267" s="58" t="s">
        <v>275</v>
      </c>
      <c r="M267" s="58" t="s">
        <v>48</v>
      </c>
      <c r="N267" s="58">
        <v>1.9E-2</v>
      </c>
      <c r="O267" s="58" t="s">
        <v>335</v>
      </c>
      <c r="P267" s="58" t="s">
        <v>79</v>
      </c>
      <c r="Q267" s="58" t="s">
        <v>80</v>
      </c>
      <c r="R267" s="58" t="s">
        <v>1025</v>
      </c>
      <c r="S267" s="58" t="s">
        <v>1026</v>
      </c>
      <c r="T267" s="58" t="s">
        <v>279</v>
      </c>
    </row>
    <row r="268" spans="1:20" ht="31.2">
      <c r="A268" s="58" t="s">
        <v>76</v>
      </c>
      <c r="B268" s="58" t="s">
        <v>48</v>
      </c>
      <c r="C268" s="58">
        <v>3</v>
      </c>
      <c r="D268" s="58" t="s">
        <v>333</v>
      </c>
      <c r="E268" s="58" t="s">
        <v>355</v>
      </c>
      <c r="F268" s="58" t="s">
        <v>273</v>
      </c>
      <c r="G268" s="58" t="s">
        <v>273</v>
      </c>
      <c r="H268" s="58" t="s">
        <v>274</v>
      </c>
      <c r="I268" s="58" t="s">
        <v>274</v>
      </c>
      <c r="J268" s="58"/>
      <c r="K268" s="58" t="s">
        <v>274</v>
      </c>
      <c r="L268" s="58" t="s">
        <v>275</v>
      </c>
      <c r="M268" s="58" t="s">
        <v>48</v>
      </c>
      <c r="N268" s="58">
        <v>1.7999999999999999E-2</v>
      </c>
      <c r="O268" s="58" t="s">
        <v>335</v>
      </c>
      <c r="P268" s="58" t="s">
        <v>79</v>
      </c>
      <c r="Q268" s="58" t="s">
        <v>80</v>
      </c>
      <c r="R268" s="58" t="s">
        <v>1027</v>
      </c>
      <c r="S268" s="58" t="s">
        <v>1028</v>
      </c>
      <c r="T268" s="58" t="s">
        <v>279</v>
      </c>
    </row>
    <row r="269" spans="1:20" ht="31.2">
      <c r="A269" s="58" t="s">
        <v>76</v>
      </c>
      <c r="B269" s="58" t="s">
        <v>48</v>
      </c>
      <c r="C269" s="58">
        <v>4</v>
      </c>
      <c r="D269" s="58" t="s">
        <v>361</v>
      </c>
      <c r="E269" s="58" t="s">
        <v>1029</v>
      </c>
      <c r="F269" s="58" t="s">
        <v>273</v>
      </c>
      <c r="G269" s="58" t="s">
        <v>273</v>
      </c>
      <c r="H269" s="58" t="s">
        <v>274</v>
      </c>
      <c r="I269" s="58" t="s">
        <v>274</v>
      </c>
      <c r="J269" s="58"/>
      <c r="K269" s="58"/>
      <c r="L269" s="58" t="s">
        <v>275</v>
      </c>
      <c r="M269" s="58" t="s">
        <v>48</v>
      </c>
      <c r="N269" s="58">
        <v>1.8859999999999999</v>
      </c>
      <c r="O269" s="58" t="s">
        <v>494</v>
      </c>
      <c r="P269" s="58" t="s">
        <v>79</v>
      </c>
      <c r="Q269" s="58" t="s">
        <v>80</v>
      </c>
      <c r="R269" s="58" t="s">
        <v>1030</v>
      </c>
      <c r="S269" s="58" t="s">
        <v>1031</v>
      </c>
      <c r="T269" s="58" t="s">
        <v>279</v>
      </c>
    </row>
    <row r="270" spans="1:20" ht="31.2">
      <c r="A270" s="58" t="s">
        <v>76</v>
      </c>
      <c r="B270" s="58" t="s">
        <v>48</v>
      </c>
      <c r="C270" s="58">
        <v>5</v>
      </c>
      <c r="D270" s="58" t="s">
        <v>361</v>
      </c>
      <c r="E270" s="58" t="s">
        <v>1032</v>
      </c>
      <c r="F270" s="58" t="s">
        <v>273</v>
      </c>
      <c r="G270" s="58" t="s">
        <v>273</v>
      </c>
      <c r="H270" s="58" t="s">
        <v>274</v>
      </c>
      <c r="I270" s="58" t="s">
        <v>274</v>
      </c>
      <c r="J270" s="58"/>
      <c r="K270" s="58"/>
      <c r="L270" s="58" t="s">
        <v>275</v>
      </c>
      <c r="M270" s="58" t="s">
        <v>48</v>
      </c>
      <c r="N270" s="58">
        <v>0.49099999999999999</v>
      </c>
      <c r="O270" s="58" t="s">
        <v>494</v>
      </c>
      <c r="P270" s="58" t="s">
        <v>79</v>
      </c>
      <c r="Q270" s="58" t="s">
        <v>80</v>
      </c>
      <c r="R270" s="58" t="s">
        <v>1033</v>
      </c>
      <c r="S270" s="58" t="s">
        <v>1034</v>
      </c>
      <c r="T270" s="58" t="s">
        <v>279</v>
      </c>
    </row>
    <row r="271" spans="1:20" ht="31.2">
      <c r="A271" s="58" t="s">
        <v>76</v>
      </c>
      <c r="B271" s="58" t="s">
        <v>48</v>
      </c>
      <c r="C271" s="58">
        <v>6</v>
      </c>
      <c r="D271" s="58" t="s">
        <v>361</v>
      </c>
      <c r="E271" s="58" t="s">
        <v>1035</v>
      </c>
      <c r="F271" s="58" t="s">
        <v>273</v>
      </c>
      <c r="G271" s="58" t="s">
        <v>273</v>
      </c>
      <c r="H271" s="58" t="s">
        <v>274</v>
      </c>
      <c r="I271" s="58" t="s">
        <v>274</v>
      </c>
      <c r="J271" s="58"/>
      <c r="K271" s="58"/>
      <c r="L271" s="58" t="s">
        <v>275</v>
      </c>
      <c r="M271" s="58" t="s">
        <v>48</v>
      </c>
      <c r="N271" s="58">
        <v>1.7410000000000001</v>
      </c>
      <c r="O271" s="58" t="s">
        <v>494</v>
      </c>
      <c r="P271" s="58" t="s">
        <v>79</v>
      </c>
      <c r="Q271" s="58" t="s">
        <v>80</v>
      </c>
      <c r="R271" s="58" t="s">
        <v>1036</v>
      </c>
      <c r="S271" s="58" t="s">
        <v>1037</v>
      </c>
      <c r="T271" s="58" t="s">
        <v>279</v>
      </c>
    </row>
    <row r="272" spans="1:20" ht="31.2">
      <c r="A272" s="58" t="s">
        <v>76</v>
      </c>
      <c r="B272" s="58" t="s">
        <v>48</v>
      </c>
      <c r="C272" s="58">
        <v>7</v>
      </c>
      <c r="D272" s="58" t="s">
        <v>361</v>
      </c>
      <c r="E272" s="58" t="s">
        <v>1038</v>
      </c>
      <c r="F272" s="58" t="s">
        <v>273</v>
      </c>
      <c r="G272" s="58" t="s">
        <v>273</v>
      </c>
      <c r="H272" s="58" t="s">
        <v>274</v>
      </c>
      <c r="I272" s="58" t="s">
        <v>274</v>
      </c>
      <c r="J272" s="58"/>
      <c r="K272" s="58"/>
      <c r="L272" s="58" t="s">
        <v>275</v>
      </c>
      <c r="M272" s="58" t="s">
        <v>48</v>
      </c>
      <c r="N272" s="58">
        <v>1.284</v>
      </c>
      <c r="O272" s="58" t="s">
        <v>494</v>
      </c>
      <c r="P272" s="58" t="s">
        <v>79</v>
      </c>
      <c r="Q272" s="58" t="s">
        <v>80</v>
      </c>
      <c r="R272" s="58" t="s">
        <v>1039</v>
      </c>
      <c r="S272" s="58" t="s">
        <v>1040</v>
      </c>
      <c r="T272" s="58" t="s">
        <v>279</v>
      </c>
    </row>
    <row r="273" spans="1:20" ht="31.2">
      <c r="A273" s="58" t="s">
        <v>76</v>
      </c>
      <c r="B273" s="58" t="s">
        <v>48</v>
      </c>
      <c r="C273" s="58">
        <v>8</v>
      </c>
      <c r="D273" s="58" t="s">
        <v>361</v>
      </c>
      <c r="E273" s="58" t="s">
        <v>1041</v>
      </c>
      <c r="F273" s="58" t="s">
        <v>273</v>
      </c>
      <c r="G273" s="58" t="s">
        <v>273</v>
      </c>
      <c r="H273" s="58" t="s">
        <v>274</v>
      </c>
      <c r="I273" s="58" t="s">
        <v>274</v>
      </c>
      <c r="J273" s="58"/>
      <c r="K273" s="58"/>
      <c r="L273" s="58" t="s">
        <v>275</v>
      </c>
      <c r="M273" s="58" t="s">
        <v>48</v>
      </c>
      <c r="N273" s="58">
        <v>1.863</v>
      </c>
      <c r="O273" s="58" t="s">
        <v>494</v>
      </c>
      <c r="P273" s="58" t="s">
        <v>79</v>
      </c>
      <c r="Q273" s="58" t="s">
        <v>80</v>
      </c>
      <c r="R273" s="58" t="s">
        <v>1042</v>
      </c>
      <c r="S273" s="58" t="s">
        <v>1043</v>
      </c>
      <c r="T273" s="58" t="s">
        <v>279</v>
      </c>
    </row>
    <row r="274" spans="1:20" ht="31.2">
      <c r="A274" s="58" t="s">
        <v>76</v>
      </c>
      <c r="B274" s="58" t="s">
        <v>48</v>
      </c>
      <c r="C274" s="58">
        <v>9</v>
      </c>
      <c r="D274" s="58" t="s">
        <v>361</v>
      </c>
      <c r="E274" s="58" t="s">
        <v>1044</v>
      </c>
      <c r="F274" s="58" t="s">
        <v>273</v>
      </c>
      <c r="G274" s="58" t="s">
        <v>273</v>
      </c>
      <c r="H274" s="58" t="s">
        <v>274</v>
      </c>
      <c r="I274" s="58" t="s">
        <v>274</v>
      </c>
      <c r="J274" s="58"/>
      <c r="K274" s="58"/>
      <c r="L274" s="58" t="s">
        <v>275</v>
      </c>
      <c r="M274" s="58" t="s">
        <v>48</v>
      </c>
      <c r="N274" s="58">
        <v>1.0840000000000001</v>
      </c>
      <c r="O274" s="58" t="s">
        <v>494</v>
      </c>
      <c r="P274" s="58" t="s">
        <v>79</v>
      </c>
      <c r="Q274" s="58" t="s">
        <v>80</v>
      </c>
      <c r="R274" s="58" t="s">
        <v>1045</v>
      </c>
      <c r="S274" s="58" t="s">
        <v>1046</v>
      </c>
      <c r="T274" s="58" t="s">
        <v>279</v>
      </c>
    </row>
    <row r="275" spans="1:20" ht="31.2">
      <c r="A275" s="58" t="s">
        <v>76</v>
      </c>
      <c r="B275" s="58" t="s">
        <v>48</v>
      </c>
      <c r="C275" s="58">
        <v>10</v>
      </c>
      <c r="D275" s="58" t="s">
        <v>361</v>
      </c>
      <c r="E275" s="58" t="s">
        <v>1047</v>
      </c>
      <c r="F275" s="58" t="s">
        <v>273</v>
      </c>
      <c r="G275" s="58" t="s">
        <v>273</v>
      </c>
      <c r="H275" s="58" t="s">
        <v>274</v>
      </c>
      <c r="I275" s="58" t="s">
        <v>274</v>
      </c>
      <c r="J275" s="58"/>
      <c r="K275" s="58"/>
      <c r="L275" s="58" t="s">
        <v>275</v>
      </c>
      <c r="M275" s="58" t="s">
        <v>48</v>
      </c>
      <c r="N275" s="58">
        <v>1.1160000000000001</v>
      </c>
      <c r="O275" s="58" t="s">
        <v>494</v>
      </c>
      <c r="P275" s="58" t="s">
        <v>79</v>
      </c>
      <c r="Q275" s="58" t="s">
        <v>80</v>
      </c>
      <c r="R275" s="58" t="s">
        <v>1048</v>
      </c>
      <c r="S275" s="58" t="s">
        <v>1049</v>
      </c>
      <c r="T275" s="58" t="s">
        <v>279</v>
      </c>
    </row>
    <row r="276" spans="1:20" ht="31.2">
      <c r="A276" s="58" t="s">
        <v>76</v>
      </c>
      <c r="B276" s="58" t="s">
        <v>48</v>
      </c>
      <c r="C276" s="58">
        <v>11</v>
      </c>
      <c r="D276" s="58" t="s">
        <v>521</v>
      </c>
      <c r="E276" s="58" t="s">
        <v>1050</v>
      </c>
      <c r="F276" s="58" t="s">
        <v>273</v>
      </c>
      <c r="G276" s="58" t="s">
        <v>273</v>
      </c>
      <c r="H276" s="58" t="s">
        <v>274</v>
      </c>
      <c r="I276" s="58" t="s">
        <v>274</v>
      </c>
      <c r="J276" s="58"/>
      <c r="K276" s="58"/>
      <c r="L276" s="58" t="s">
        <v>351</v>
      </c>
      <c r="M276" s="58" t="s">
        <v>48</v>
      </c>
      <c r="N276" s="58">
        <v>3.1E-2</v>
      </c>
      <c r="O276" s="58" t="s">
        <v>523</v>
      </c>
      <c r="P276" s="58" t="s">
        <v>79</v>
      </c>
      <c r="Q276" s="58" t="s">
        <v>80</v>
      </c>
      <c r="R276" s="58" t="s">
        <v>1051</v>
      </c>
      <c r="S276" s="58" t="s">
        <v>1052</v>
      </c>
      <c r="T276" s="58" t="s">
        <v>279</v>
      </c>
    </row>
    <row r="277" spans="1:20" ht="31.2">
      <c r="A277" s="58" t="s">
        <v>76</v>
      </c>
      <c r="B277" s="58" t="s">
        <v>48</v>
      </c>
      <c r="C277" s="58">
        <v>12</v>
      </c>
      <c r="D277" s="58" t="s">
        <v>521</v>
      </c>
      <c r="E277" s="58" t="s">
        <v>1053</v>
      </c>
      <c r="F277" s="58" t="s">
        <v>273</v>
      </c>
      <c r="G277" s="58" t="s">
        <v>273</v>
      </c>
      <c r="H277" s="58" t="s">
        <v>274</v>
      </c>
      <c r="I277" s="58" t="s">
        <v>274</v>
      </c>
      <c r="J277" s="58"/>
      <c r="K277" s="58"/>
      <c r="L277" s="58" t="s">
        <v>351</v>
      </c>
      <c r="M277" s="58" t="s">
        <v>48</v>
      </c>
      <c r="N277" s="58">
        <v>2.4E-2</v>
      </c>
      <c r="O277" s="58" t="s">
        <v>523</v>
      </c>
      <c r="P277" s="58" t="s">
        <v>79</v>
      </c>
      <c r="Q277" s="58" t="s">
        <v>80</v>
      </c>
      <c r="R277" s="58" t="s">
        <v>1054</v>
      </c>
      <c r="S277" s="58" t="s">
        <v>1055</v>
      </c>
      <c r="T277" s="58" t="s">
        <v>279</v>
      </c>
    </row>
    <row r="278" spans="1:20" ht="31.2">
      <c r="A278" s="58" t="s">
        <v>76</v>
      </c>
      <c r="B278" s="58" t="s">
        <v>48</v>
      </c>
      <c r="C278" s="58">
        <v>13</v>
      </c>
      <c r="D278" s="58" t="s">
        <v>521</v>
      </c>
      <c r="E278" s="58" t="s">
        <v>1056</v>
      </c>
      <c r="F278" s="58" t="s">
        <v>273</v>
      </c>
      <c r="G278" s="58" t="s">
        <v>273</v>
      </c>
      <c r="H278" s="58" t="s">
        <v>274</v>
      </c>
      <c r="I278" s="58" t="s">
        <v>274</v>
      </c>
      <c r="J278" s="58"/>
      <c r="K278" s="58"/>
      <c r="L278" s="58" t="s">
        <v>351</v>
      </c>
      <c r="M278" s="58" t="s">
        <v>48</v>
      </c>
      <c r="N278" s="58">
        <v>0.02</v>
      </c>
      <c r="O278" s="58" t="s">
        <v>523</v>
      </c>
      <c r="P278" s="58" t="s">
        <v>79</v>
      </c>
      <c r="Q278" s="58" t="s">
        <v>80</v>
      </c>
      <c r="R278" s="58" t="s">
        <v>1057</v>
      </c>
      <c r="S278" s="58" t="s">
        <v>1058</v>
      </c>
      <c r="T278" s="58" t="s">
        <v>279</v>
      </c>
    </row>
    <row r="279" spans="1:20" ht="31.2">
      <c r="A279" s="58" t="s">
        <v>76</v>
      </c>
      <c r="B279" s="58" t="s">
        <v>48</v>
      </c>
      <c r="C279" s="58">
        <v>14</v>
      </c>
      <c r="D279" s="58" t="s">
        <v>521</v>
      </c>
      <c r="E279" s="58" t="s">
        <v>1059</v>
      </c>
      <c r="F279" s="58" t="s">
        <v>273</v>
      </c>
      <c r="G279" s="58" t="s">
        <v>273</v>
      </c>
      <c r="H279" s="58" t="s">
        <v>274</v>
      </c>
      <c r="I279" s="58" t="s">
        <v>274</v>
      </c>
      <c r="J279" s="58"/>
      <c r="K279" s="58"/>
      <c r="L279" s="58" t="s">
        <v>351</v>
      </c>
      <c r="M279" s="58" t="s">
        <v>48</v>
      </c>
      <c r="N279" s="58">
        <v>3.9E-2</v>
      </c>
      <c r="O279" s="58" t="s">
        <v>523</v>
      </c>
      <c r="P279" s="58" t="s">
        <v>79</v>
      </c>
      <c r="Q279" s="58" t="s">
        <v>80</v>
      </c>
      <c r="R279" s="58" t="s">
        <v>1060</v>
      </c>
      <c r="S279" s="58" t="s">
        <v>1061</v>
      </c>
      <c r="T279" s="58" t="s">
        <v>279</v>
      </c>
    </row>
    <row r="280" spans="1:20" ht="31.2">
      <c r="A280" s="58" t="s">
        <v>76</v>
      </c>
      <c r="B280" s="58" t="s">
        <v>48</v>
      </c>
      <c r="C280" s="58">
        <v>15</v>
      </c>
      <c r="D280" s="58" t="s">
        <v>361</v>
      </c>
      <c r="E280" s="58" t="s">
        <v>1062</v>
      </c>
      <c r="F280" s="58" t="s">
        <v>273</v>
      </c>
      <c r="G280" s="58" t="s">
        <v>273</v>
      </c>
      <c r="H280" s="58" t="s">
        <v>274</v>
      </c>
      <c r="I280" s="58" t="s">
        <v>274</v>
      </c>
      <c r="J280" s="58"/>
      <c r="K280" s="58"/>
      <c r="L280" s="58" t="s">
        <v>275</v>
      </c>
      <c r="M280" s="58" t="s">
        <v>48</v>
      </c>
      <c r="N280" s="58">
        <v>1.238</v>
      </c>
      <c r="O280" s="58" t="s">
        <v>494</v>
      </c>
      <c r="P280" s="58" t="s">
        <v>79</v>
      </c>
      <c r="Q280" s="58" t="s">
        <v>80</v>
      </c>
      <c r="R280" s="58" t="s">
        <v>1063</v>
      </c>
      <c r="S280" s="58" t="s">
        <v>1064</v>
      </c>
      <c r="T280" s="58" t="s">
        <v>279</v>
      </c>
    </row>
    <row r="281" spans="1:20" ht="31.2">
      <c r="A281" s="58" t="s">
        <v>76</v>
      </c>
      <c r="B281" s="58" t="s">
        <v>48</v>
      </c>
      <c r="C281" s="58">
        <v>16</v>
      </c>
      <c r="D281" s="58" t="s">
        <v>361</v>
      </c>
      <c r="E281" s="58" t="s">
        <v>1065</v>
      </c>
      <c r="F281" s="58" t="s">
        <v>273</v>
      </c>
      <c r="G281" s="58" t="s">
        <v>273</v>
      </c>
      <c r="H281" s="58" t="s">
        <v>274</v>
      </c>
      <c r="I281" s="58" t="s">
        <v>274</v>
      </c>
      <c r="J281" s="58"/>
      <c r="K281" s="58"/>
      <c r="L281" s="58" t="s">
        <v>275</v>
      </c>
      <c r="M281" s="58" t="s">
        <v>48</v>
      </c>
      <c r="N281" s="58">
        <v>1.385</v>
      </c>
      <c r="O281" s="58" t="s">
        <v>494</v>
      </c>
      <c r="P281" s="58" t="s">
        <v>79</v>
      </c>
      <c r="Q281" s="58" t="s">
        <v>80</v>
      </c>
      <c r="R281" s="58" t="s">
        <v>1066</v>
      </c>
      <c r="S281" s="58" t="s">
        <v>1067</v>
      </c>
      <c r="T281" s="58" t="s">
        <v>279</v>
      </c>
    </row>
    <row r="282" spans="1:20" ht="31.2">
      <c r="A282" s="58" t="s">
        <v>76</v>
      </c>
      <c r="B282" s="58" t="s">
        <v>48</v>
      </c>
      <c r="C282" s="58">
        <v>17</v>
      </c>
      <c r="D282" s="58" t="s">
        <v>361</v>
      </c>
      <c r="E282" s="58" t="s">
        <v>1068</v>
      </c>
      <c r="F282" s="58" t="s">
        <v>273</v>
      </c>
      <c r="G282" s="58" t="s">
        <v>273</v>
      </c>
      <c r="H282" s="58" t="s">
        <v>274</v>
      </c>
      <c r="I282" s="58" t="s">
        <v>274</v>
      </c>
      <c r="J282" s="58"/>
      <c r="K282" s="58"/>
      <c r="L282" s="58" t="s">
        <v>275</v>
      </c>
      <c r="M282" s="58" t="s">
        <v>48</v>
      </c>
      <c r="N282" s="58">
        <v>1.0940000000000001</v>
      </c>
      <c r="O282" s="58" t="s">
        <v>494</v>
      </c>
      <c r="P282" s="58" t="s">
        <v>79</v>
      </c>
      <c r="Q282" s="58" t="s">
        <v>80</v>
      </c>
      <c r="R282" s="58" t="s">
        <v>1069</v>
      </c>
      <c r="S282" s="58" t="s">
        <v>1070</v>
      </c>
      <c r="T282" s="58" t="s">
        <v>279</v>
      </c>
    </row>
    <row r="283" spans="1:20" ht="31.2">
      <c r="A283" s="58" t="s">
        <v>76</v>
      </c>
      <c r="B283" s="58" t="s">
        <v>48</v>
      </c>
      <c r="C283" s="58">
        <v>18</v>
      </c>
      <c r="D283" s="58" t="s">
        <v>521</v>
      </c>
      <c r="E283" s="58" t="s">
        <v>577</v>
      </c>
      <c r="F283" s="58" t="s">
        <v>273</v>
      </c>
      <c r="G283" s="58" t="s">
        <v>273</v>
      </c>
      <c r="H283" s="58" t="s">
        <v>274</v>
      </c>
      <c r="I283" s="58" t="s">
        <v>274</v>
      </c>
      <c r="J283" s="58"/>
      <c r="K283" s="58"/>
      <c r="L283" s="58" t="s">
        <v>351</v>
      </c>
      <c r="M283" s="58" t="s">
        <v>48</v>
      </c>
      <c r="N283" s="58">
        <v>4.2000000000000003E-2</v>
      </c>
      <c r="O283" s="58" t="s">
        <v>539</v>
      </c>
      <c r="P283" s="58" t="s">
        <v>79</v>
      </c>
      <c r="Q283" s="58" t="s">
        <v>80</v>
      </c>
      <c r="R283" s="58" t="s">
        <v>1071</v>
      </c>
      <c r="S283" s="58" t="s">
        <v>1072</v>
      </c>
      <c r="T283" s="58" t="s">
        <v>279</v>
      </c>
    </row>
    <row r="284" spans="1:20" ht="31.2">
      <c r="A284" s="58" t="s">
        <v>76</v>
      </c>
      <c r="B284" s="58" t="s">
        <v>48</v>
      </c>
      <c r="C284" s="58">
        <v>19</v>
      </c>
      <c r="D284" s="58" t="s">
        <v>521</v>
      </c>
      <c r="E284" s="58" t="s">
        <v>1073</v>
      </c>
      <c r="F284" s="58" t="s">
        <v>273</v>
      </c>
      <c r="G284" s="58" t="s">
        <v>273</v>
      </c>
      <c r="H284" s="58" t="s">
        <v>274</v>
      </c>
      <c r="I284" s="58" t="s">
        <v>274</v>
      </c>
      <c r="J284" s="58"/>
      <c r="K284" s="58"/>
      <c r="L284" s="58" t="s">
        <v>351</v>
      </c>
      <c r="M284" s="58" t="s">
        <v>48</v>
      </c>
      <c r="N284" s="58">
        <v>4.1000000000000002E-2</v>
      </c>
      <c r="O284" s="58" t="s">
        <v>539</v>
      </c>
      <c r="P284" s="58" t="s">
        <v>79</v>
      </c>
      <c r="Q284" s="58" t="s">
        <v>80</v>
      </c>
      <c r="R284" s="58" t="s">
        <v>1074</v>
      </c>
      <c r="S284" s="58" t="s">
        <v>1075</v>
      </c>
      <c r="T284" s="58" t="s">
        <v>279</v>
      </c>
    </row>
    <row r="285" spans="1:20" ht="31.2">
      <c r="A285" s="58" t="s">
        <v>76</v>
      </c>
      <c r="B285" s="58" t="s">
        <v>48</v>
      </c>
      <c r="C285" s="58">
        <v>20</v>
      </c>
      <c r="D285" s="58" t="s">
        <v>378</v>
      </c>
      <c r="E285" s="58" t="s">
        <v>1076</v>
      </c>
      <c r="F285" s="58" t="s">
        <v>273</v>
      </c>
      <c r="G285" s="58" t="s">
        <v>273</v>
      </c>
      <c r="H285" s="58" t="s">
        <v>274</v>
      </c>
      <c r="I285" s="58" t="s">
        <v>274</v>
      </c>
      <c r="J285" s="58"/>
      <c r="K285" s="58"/>
      <c r="L285" s="58" t="s">
        <v>288</v>
      </c>
      <c r="M285" s="58" t="s">
        <v>48</v>
      </c>
      <c r="N285" s="58">
        <v>0.112</v>
      </c>
      <c r="O285" s="58" t="s">
        <v>380</v>
      </c>
      <c r="P285" s="58" t="s">
        <v>79</v>
      </c>
      <c r="Q285" s="58" t="s">
        <v>80</v>
      </c>
      <c r="R285" s="58" t="s">
        <v>1077</v>
      </c>
      <c r="S285" s="58" t="s">
        <v>1078</v>
      </c>
      <c r="T285" s="58" t="s">
        <v>279</v>
      </c>
    </row>
    <row r="286" spans="1:20" ht="31.2">
      <c r="A286" s="58" t="s">
        <v>76</v>
      </c>
      <c r="B286" s="58" t="s">
        <v>48</v>
      </c>
      <c r="C286" s="58">
        <v>21</v>
      </c>
      <c r="D286" s="58" t="s">
        <v>361</v>
      </c>
      <c r="E286" s="58" t="s">
        <v>1079</v>
      </c>
      <c r="F286" s="58" t="s">
        <v>273</v>
      </c>
      <c r="G286" s="58" t="s">
        <v>273</v>
      </c>
      <c r="H286" s="58" t="s">
        <v>274</v>
      </c>
      <c r="I286" s="58" t="s">
        <v>274</v>
      </c>
      <c r="J286" s="58"/>
      <c r="K286" s="58"/>
      <c r="L286" s="58" t="s">
        <v>288</v>
      </c>
      <c r="M286" s="58" t="s">
        <v>48</v>
      </c>
      <c r="N286" s="58">
        <v>4.3120000000000003</v>
      </c>
      <c r="O286" s="58" t="s">
        <v>494</v>
      </c>
      <c r="P286" s="58" t="s">
        <v>79</v>
      </c>
      <c r="Q286" s="58" t="s">
        <v>80</v>
      </c>
      <c r="R286" s="58" t="s">
        <v>1080</v>
      </c>
      <c r="S286" s="58" t="s">
        <v>1081</v>
      </c>
      <c r="T286" s="58" t="s">
        <v>279</v>
      </c>
    </row>
    <row r="287" spans="1:20" ht="31.2">
      <c r="A287" s="58" t="s">
        <v>76</v>
      </c>
      <c r="B287" s="58" t="s">
        <v>48</v>
      </c>
      <c r="C287" s="58">
        <v>22</v>
      </c>
      <c r="D287" s="58" t="s">
        <v>361</v>
      </c>
      <c r="E287" s="58" t="s">
        <v>1082</v>
      </c>
      <c r="F287" s="58" t="s">
        <v>273</v>
      </c>
      <c r="G287" s="58" t="s">
        <v>273</v>
      </c>
      <c r="H287" s="58" t="s">
        <v>274</v>
      </c>
      <c r="I287" s="58" t="s">
        <v>274</v>
      </c>
      <c r="J287" s="58"/>
      <c r="K287" s="58"/>
      <c r="L287" s="58" t="s">
        <v>288</v>
      </c>
      <c r="M287" s="58" t="s">
        <v>48</v>
      </c>
      <c r="N287" s="58">
        <v>0.90600000000000003</v>
      </c>
      <c r="O287" s="58" t="s">
        <v>494</v>
      </c>
      <c r="P287" s="58" t="s">
        <v>79</v>
      </c>
      <c r="Q287" s="58" t="s">
        <v>80</v>
      </c>
      <c r="R287" s="58" t="s">
        <v>1083</v>
      </c>
      <c r="S287" s="58" t="s">
        <v>1084</v>
      </c>
      <c r="T287" s="58" t="s">
        <v>279</v>
      </c>
    </row>
    <row r="288" spans="1:20" ht="31.2">
      <c r="A288" s="58" t="s">
        <v>76</v>
      </c>
      <c r="B288" s="58" t="s">
        <v>48</v>
      </c>
      <c r="C288" s="58">
        <v>23</v>
      </c>
      <c r="D288" s="58" t="s">
        <v>361</v>
      </c>
      <c r="E288" s="58" t="s">
        <v>1085</v>
      </c>
      <c r="F288" s="58" t="s">
        <v>273</v>
      </c>
      <c r="G288" s="58" t="s">
        <v>273</v>
      </c>
      <c r="H288" s="58" t="s">
        <v>274</v>
      </c>
      <c r="I288" s="58" t="s">
        <v>274</v>
      </c>
      <c r="J288" s="58"/>
      <c r="K288" s="58"/>
      <c r="L288" s="58" t="s">
        <v>288</v>
      </c>
      <c r="M288" s="58" t="s">
        <v>48</v>
      </c>
      <c r="N288" s="58">
        <v>1.0640000000000001</v>
      </c>
      <c r="O288" s="58" t="s">
        <v>494</v>
      </c>
      <c r="P288" s="58" t="s">
        <v>79</v>
      </c>
      <c r="Q288" s="58" t="s">
        <v>80</v>
      </c>
      <c r="R288" s="58" t="s">
        <v>1086</v>
      </c>
      <c r="S288" s="58" t="s">
        <v>1087</v>
      </c>
      <c r="T288" s="58" t="s">
        <v>279</v>
      </c>
    </row>
    <row r="289" spans="1:20" ht="31.2">
      <c r="A289" s="58" t="s">
        <v>76</v>
      </c>
      <c r="B289" s="58" t="s">
        <v>48</v>
      </c>
      <c r="C289" s="58">
        <v>24</v>
      </c>
      <c r="D289" s="58" t="s">
        <v>479</v>
      </c>
      <c r="E289" s="58" t="s">
        <v>1076</v>
      </c>
      <c r="F289" s="58" t="s">
        <v>273</v>
      </c>
      <c r="G289" s="58" t="s">
        <v>273</v>
      </c>
      <c r="H289" s="58" t="s">
        <v>274</v>
      </c>
      <c r="I289" s="58" t="s">
        <v>273</v>
      </c>
      <c r="J289" s="58" t="s">
        <v>273</v>
      </c>
      <c r="K289" s="58"/>
      <c r="L289" s="58" t="s">
        <v>288</v>
      </c>
      <c r="M289" s="58" t="s">
        <v>48</v>
      </c>
      <c r="N289" s="58">
        <v>0.05</v>
      </c>
      <c r="O289" s="58" t="s">
        <v>554</v>
      </c>
      <c r="P289" s="58" t="s">
        <v>79</v>
      </c>
      <c r="Q289" s="58" t="s">
        <v>80</v>
      </c>
      <c r="R289" s="58" t="s">
        <v>1088</v>
      </c>
      <c r="S289" s="58" t="s">
        <v>1089</v>
      </c>
      <c r="T289" s="58" t="s">
        <v>279</v>
      </c>
    </row>
    <row r="290" spans="1:20" ht="31.2">
      <c r="A290" s="58" t="s">
        <v>76</v>
      </c>
      <c r="B290" s="58" t="s">
        <v>48</v>
      </c>
      <c r="C290" s="58">
        <v>25</v>
      </c>
      <c r="D290" s="58" t="s">
        <v>378</v>
      </c>
      <c r="E290" s="58" t="s">
        <v>1090</v>
      </c>
      <c r="F290" s="58" t="s">
        <v>273</v>
      </c>
      <c r="G290" s="58" t="s">
        <v>273</v>
      </c>
      <c r="H290" s="58" t="s">
        <v>274</v>
      </c>
      <c r="I290" s="58" t="s">
        <v>274</v>
      </c>
      <c r="J290" s="58"/>
      <c r="K290" s="58"/>
      <c r="L290" s="58" t="s">
        <v>288</v>
      </c>
      <c r="M290" s="58" t="s">
        <v>48</v>
      </c>
      <c r="N290" s="58">
        <v>6.7000000000000004E-2</v>
      </c>
      <c r="O290" s="58" t="s">
        <v>380</v>
      </c>
      <c r="P290" s="58" t="s">
        <v>79</v>
      </c>
      <c r="Q290" s="58" t="s">
        <v>80</v>
      </c>
      <c r="R290" s="58" t="s">
        <v>1091</v>
      </c>
      <c r="S290" s="58" t="s">
        <v>1092</v>
      </c>
      <c r="T290" s="58" t="s">
        <v>279</v>
      </c>
    </row>
    <row r="291" spans="1:20" ht="31.2">
      <c r="A291" s="58" t="s">
        <v>76</v>
      </c>
      <c r="B291" s="58" t="s">
        <v>48</v>
      </c>
      <c r="C291" s="58">
        <v>26</v>
      </c>
      <c r="D291" s="58" t="s">
        <v>479</v>
      </c>
      <c r="E291" s="58" t="s">
        <v>1090</v>
      </c>
      <c r="F291" s="58" t="s">
        <v>273</v>
      </c>
      <c r="G291" s="58" t="s">
        <v>273</v>
      </c>
      <c r="H291" s="58" t="s">
        <v>274</v>
      </c>
      <c r="I291" s="58" t="s">
        <v>273</v>
      </c>
      <c r="J291" s="58" t="s">
        <v>273</v>
      </c>
      <c r="K291" s="58"/>
      <c r="L291" s="58" t="s">
        <v>288</v>
      </c>
      <c r="M291" s="58" t="s">
        <v>48</v>
      </c>
      <c r="N291" s="58">
        <v>5.1999999999999998E-2</v>
      </c>
      <c r="O291" s="58" t="s">
        <v>554</v>
      </c>
      <c r="P291" s="58" t="s">
        <v>79</v>
      </c>
      <c r="Q291" s="58" t="s">
        <v>80</v>
      </c>
      <c r="R291" s="58" t="s">
        <v>1093</v>
      </c>
      <c r="S291" s="58" t="s">
        <v>1094</v>
      </c>
      <c r="T291" s="58" t="s">
        <v>279</v>
      </c>
    </row>
    <row r="292" spans="1:20" ht="31.2">
      <c r="A292" s="58" t="s">
        <v>76</v>
      </c>
      <c r="B292" s="58" t="s">
        <v>48</v>
      </c>
      <c r="C292" s="58">
        <v>27</v>
      </c>
      <c r="D292" s="58" t="s">
        <v>361</v>
      </c>
      <c r="E292" s="58" t="s">
        <v>685</v>
      </c>
      <c r="F292" s="58" t="s">
        <v>273</v>
      </c>
      <c r="G292" s="58" t="s">
        <v>273</v>
      </c>
      <c r="H292" s="58" t="s">
        <v>274</v>
      </c>
      <c r="I292" s="58" t="s">
        <v>274</v>
      </c>
      <c r="J292" s="58"/>
      <c r="K292" s="58"/>
      <c r="L292" s="58" t="s">
        <v>288</v>
      </c>
      <c r="M292" s="58" t="s">
        <v>48</v>
      </c>
      <c r="N292" s="58">
        <v>1.383</v>
      </c>
      <c r="O292" s="58" t="s">
        <v>494</v>
      </c>
      <c r="P292" s="58" t="s">
        <v>79</v>
      </c>
      <c r="Q292" s="58" t="s">
        <v>80</v>
      </c>
      <c r="R292" s="58" t="s">
        <v>1095</v>
      </c>
      <c r="S292" s="58" t="s">
        <v>1096</v>
      </c>
      <c r="T292" s="58" t="s">
        <v>279</v>
      </c>
    </row>
    <row r="293" spans="1:20" ht="31.2">
      <c r="A293" s="58" t="s">
        <v>76</v>
      </c>
      <c r="B293" s="58" t="s">
        <v>48</v>
      </c>
      <c r="C293" s="58">
        <v>28</v>
      </c>
      <c r="D293" s="58" t="s">
        <v>361</v>
      </c>
      <c r="E293" s="58" t="s">
        <v>1097</v>
      </c>
      <c r="F293" s="58" t="s">
        <v>273</v>
      </c>
      <c r="G293" s="58" t="s">
        <v>274</v>
      </c>
      <c r="H293" s="58" t="s">
        <v>273</v>
      </c>
      <c r="I293" s="58" t="s">
        <v>274</v>
      </c>
      <c r="J293" s="58"/>
      <c r="K293" s="58"/>
      <c r="L293" s="58" t="s">
        <v>288</v>
      </c>
      <c r="M293" s="58" t="s">
        <v>48</v>
      </c>
      <c r="N293" s="58">
        <v>0.81799999999999995</v>
      </c>
      <c r="O293" s="58" t="s">
        <v>494</v>
      </c>
      <c r="P293" s="58" t="s">
        <v>79</v>
      </c>
      <c r="Q293" s="58" t="s">
        <v>80</v>
      </c>
      <c r="R293" s="58" t="s">
        <v>1098</v>
      </c>
      <c r="S293" s="58" t="s">
        <v>1099</v>
      </c>
      <c r="T293" s="58" t="s">
        <v>279</v>
      </c>
    </row>
    <row r="294" spans="1:20" ht="31.2">
      <c r="A294" s="58" t="s">
        <v>76</v>
      </c>
      <c r="B294" s="58" t="s">
        <v>48</v>
      </c>
      <c r="C294" s="58">
        <v>29</v>
      </c>
      <c r="D294" s="58" t="s">
        <v>479</v>
      </c>
      <c r="E294" s="58" t="s">
        <v>1090</v>
      </c>
      <c r="F294" s="58" t="s">
        <v>273</v>
      </c>
      <c r="G294" s="58" t="s">
        <v>273</v>
      </c>
      <c r="H294" s="58" t="s">
        <v>274</v>
      </c>
      <c r="I294" s="58" t="s">
        <v>273</v>
      </c>
      <c r="J294" s="58" t="s">
        <v>273</v>
      </c>
      <c r="K294" s="58"/>
      <c r="L294" s="58" t="s">
        <v>288</v>
      </c>
      <c r="M294" s="58" t="s">
        <v>48</v>
      </c>
      <c r="N294" s="58">
        <v>6.8000000000000005E-2</v>
      </c>
      <c r="O294" s="58" t="s">
        <v>554</v>
      </c>
      <c r="P294" s="58" t="s">
        <v>79</v>
      </c>
      <c r="Q294" s="58" t="s">
        <v>80</v>
      </c>
      <c r="R294" s="58" t="s">
        <v>1100</v>
      </c>
      <c r="S294" s="58" t="s">
        <v>1101</v>
      </c>
      <c r="T294" s="58" t="s">
        <v>279</v>
      </c>
    </row>
    <row r="295" spans="1:20" ht="31.2">
      <c r="A295" s="58" t="s">
        <v>76</v>
      </c>
      <c r="B295" s="58" t="s">
        <v>48</v>
      </c>
      <c r="C295" s="58">
        <v>30</v>
      </c>
      <c r="D295" s="58" t="s">
        <v>479</v>
      </c>
      <c r="E295" s="58" t="s">
        <v>1090</v>
      </c>
      <c r="F295" s="58" t="s">
        <v>273</v>
      </c>
      <c r="G295" s="58" t="s">
        <v>273</v>
      </c>
      <c r="H295" s="58" t="s">
        <v>274</v>
      </c>
      <c r="I295" s="58" t="s">
        <v>273</v>
      </c>
      <c r="J295" s="58" t="s">
        <v>273</v>
      </c>
      <c r="K295" s="58"/>
      <c r="L295" s="58" t="s">
        <v>288</v>
      </c>
      <c r="M295" s="58" t="s">
        <v>48</v>
      </c>
      <c r="N295" s="58">
        <v>7.0000000000000007E-2</v>
      </c>
      <c r="O295" s="58" t="s">
        <v>554</v>
      </c>
      <c r="P295" s="58" t="s">
        <v>79</v>
      </c>
      <c r="Q295" s="58" t="s">
        <v>80</v>
      </c>
      <c r="R295" s="58" t="s">
        <v>1102</v>
      </c>
      <c r="S295" s="58" t="s">
        <v>1103</v>
      </c>
      <c r="T295" s="58" t="s">
        <v>279</v>
      </c>
    </row>
    <row r="296" spans="1:20" ht="31.2">
      <c r="A296" s="58" t="s">
        <v>76</v>
      </c>
      <c r="B296" s="58" t="s">
        <v>48</v>
      </c>
      <c r="C296" s="58">
        <v>31</v>
      </c>
      <c r="D296" s="58" t="s">
        <v>479</v>
      </c>
      <c r="E296" s="58" t="s">
        <v>1090</v>
      </c>
      <c r="F296" s="58" t="s">
        <v>273</v>
      </c>
      <c r="G296" s="58" t="s">
        <v>273</v>
      </c>
      <c r="H296" s="58" t="s">
        <v>274</v>
      </c>
      <c r="I296" s="58" t="s">
        <v>273</v>
      </c>
      <c r="J296" s="58" t="s">
        <v>273</v>
      </c>
      <c r="K296" s="58"/>
      <c r="L296" s="58" t="s">
        <v>288</v>
      </c>
      <c r="M296" s="58" t="s">
        <v>48</v>
      </c>
      <c r="N296" s="58">
        <v>6.7000000000000004E-2</v>
      </c>
      <c r="O296" s="58" t="s">
        <v>554</v>
      </c>
      <c r="P296" s="58" t="s">
        <v>79</v>
      </c>
      <c r="Q296" s="58" t="s">
        <v>80</v>
      </c>
      <c r="R296" s="58" t="s">
        <v>1104</v>
      </c>
      <c r="S296" s="58" t="s">
        <v>1105</v>
      </c>
      <c r="T296" s="58" t="s">
        <v>279</v>
      </c>
    </row>
    <row r="297" spans="1:20" ht="31.2">
      <c r="A297" s="58" t="s">
        <v>76</v>
      </c>
      <c r="B297" s="58" t="s">
        <v>48</v>
      </c>
      <c r="C297" s="58">
        <v>32</v>
      </c>
      <c r="D297" s="58" t="s">
        <v>479</v>
      </c>
      <c r="E297" s="58" t="s">
        <v>1090</v>
      </c>
      <c r="F297" s="58" t="s">
        <v>273</v>
      </c>
      <c r="G297" s="58" t="s">
        <v>273</v>
      </c>
      <c r="H297" s="58" t="s">
        <v>274</v>
      </c>
      <c r="I297" s="58" t="s">
        <v>273</v>
      </c>
      <c r="J297" s="58" t="s">
        <v>273</v>
      </c>
      <c r="K297" s="58"/>
      <c r="L297" s="58" t="s">
        <v>288</v>
      </c>
      <c r="M297" s="58" t="s">
        <v>48</v>
      </c>
      <c r="N297" s="58">
        <v>7.2999999999999995E-2</v>
      </c>
      <c r="O297" s="58" t="s">
        <v>554</v>
      </c>
      <c r="P297" s="58" t="s">
        <v>79</v>
      </c>
      <c r="Q297" s="58" t="s">
        <v>80</v>
      </c>
      <c r="R297" s="58" t="s">
        <v>1106</v>
      </c>
      <c r="S297" s="58" t="s">
        <v>1107</v>
      </c>
      <c r="T297" s="58" t="s">
        <v>279</v>
      </c>
    </row>
    <row r="298" spans="1:20" ht="31.2">
      <c r="A298" s="58" t="s">
        <v>76</v>
      </c>
      <c r="B298" s="58" t="s">
        <v>48</v>
      </c>
      <c r="C298" s="58">
        <v>33</v>
      </c>
      <c r="D298" s="58" t="s">
        <v>361</v>
      </c>
      <c r="E298" s="58" t="s">
        <v>1108</v>
      </c>
      <c r="F298" s="58" t="s">
        <v>273</v>
      </c>
      <c r="G298" s="58" t="s">
        <v>273</v>
      </c>
      <c r="H298" s="58" t="s">
        <v>274</v>
      </c>
      <c r="I298" s="58" t="s">
        <v>274</v>
      </c>
      <c r="J298" s="58"/>
      <c r="K298" s="58"/>
      <c r="L298" s="58" t="s">
        <v>288</v>
      </c>
      <c r="M298" s="58" t="s">
        <v>48</v>
      </c>
      <c r="N298" s="58">
        <v>1.9890000000000001</v>
      </c>
      <c r="O298" s="58" t="s">
        <v>494</v>
      </c>
      <c r="P298" s="58" t="s">
        <v>79</v>
      </c>
      <c r="Q298" s="58" t="s">
        <v>80</v>
      </c>
      <c r="R298" s="58" t="s">
        <v>1109</v>
      </c>
      <c r="S298" s="58" t="s">
        <v>1110</v>
      </c>
      <c r="T298" s="58" t="s">
        <v>279</v>
      </c>
    </row>
    <row r="299" spans="1:20" ht="31.2">
      <c r="A299" s="58" t="s">
        <v>76</v>
      </c>
      <c r="B299" s="58" t="s">
        <v>48</v>
      </c>
      <c r="C299" s="58">
        <v>34</v>
      </c>
      <c r="D299" s="58" t="s">
        <v>521</v>
      </c>
      <c r="E299" s="58" t="s">
        <v>660</v>
      </c>
      <c r="F299" s="58" t="s">
        <v>273</v>
      </c>
      <c r="G299" s="58" t="s">
        <v>273</v>
      </c>
      <c r="H299" s="58" t="s">
        <v>274</v>
      </c>
      <c r="I299" s="58" t="s">
        <v>274</v>
      </c>
      <c r="J299" s="58"/>
      <c r="K299" s="58"/>
      <c r="L299" s="58" t="s">
        <v>351</v>
      </c>
      <c r="M299" s="58" t="s">
        <v>48</v>
      </c>
      <c r="N299" s="58">
        <v>2.8000000000000001E-2</v>
      </c>
      <c r="O299" s="58" t="s">
        <v>539</v>
      </c>
      <c r="P299" s="58" t="s">
        <v>79</v>
      </c>
      <c r="Q299" s="58" t="s">
        <v>80</v>
      </c>
      <c r="R299" s="58" t="s">
        <v>1111</v>
      </c>
      <c r="S299" s="58" t="s">
        <v>1112</v>
      </c>
      <c r="T299" s="58" t="s">
        <v>279</v>
      </c>
    </row>
    <row r="300" spans="1:20" ht="31.2">
      <c r="A300" s="58" t="s">
        <v>76</v>
      </c>
      <c r="B300" s="58" t="s">
        <v>48</v>
      </c>
      <c r="C300" s="58">
        <v>35</v>
      </c>
      <c r="D300" s="58" t="s">
        <v>521</v>
      </c>
      <c r="E300" s="58" t="s">
        <v>657</v>
      </c>
      <c r="F300" s="58" t="s">
        <v>273</v>
      </c>
      <c r="G300" s="58" t="s">
        <v>273</v>
      </c>
      <c r="H300" s="58" t="s">
        <v>274</v>
      </c>
      <c r="I300" s="58" t="s">
        <v>274</v>
      </c>
      <c r="J300" s="58"/>
      <c r="K300" s="58"/>
      <c r="L300" s="58" t="s">
        <v>351</v>
      </c>
      <c r="M300" s="58" t="s">
        <v>48</v>
      </c>
      <c r="N300" s="58">
        <v>4.2999999999999997E-2</v>
      </c>
      <c r="O300" s="58" t="s">
        <v>539</v>
      </c>
      <c r="P300" s="58" t="s">
        <v>79</v>
      </c>
      <c r="Q300" s="58" t="s">
        <v>80</v>
      </c>
      <c r="R300" s="58" t="s">
        <v>1113</v>
      </c>
      <c r="S300" s="58" t="s">
        <v>1114</v>
      </c>
      <c r="T300" s="58" t="s">
        <v>279</v>
      </c>
    </row>
    <row r="301" spans="1:20" ht="31.2">
      <c r="A301" s="58" t="s">
        <v>76</v>
      </c>
      <c r="B301" s="58" t="s">
        <v>48</v>
      </c>
      <c r="C301" s="58">
        <v>36</v>
      </c>
      <c r="D301" s="58" t="s">
        <v>521</v>
      </c>
      <c r="E301" s="58" t="s">
        <v>663</v>
      </c>
      <c r="F301" s="58" t="s">
        <v>273</v>
      </c>
      <c r="G301" s="58" t="s">
        <v>273</v>
      </c>
      <c r="H301" s="58" t="s">
        <v>274</v>
      </c>
      <c r="I301" s="58" t="s">
        <v>274</v>
      </c>
      <c r="J301" s="58"/>
      <c r="K301" s="58"/>
      <c r="L301" s="58" t="s">
        <v>351</v>
      </c>
      <c r="M301" s="58" t="s">
        <v>48</v>
      </c>
      <c r="N301" s="58">
        <v>5.8999999999999997E-2</v>
      </c>
      <c r="O301" s="58" t="s">
        <v>539</v>
      </c>
      <c r="P301" s="58" t="s">
        <v>79</v>
      </c>
      <c r="Q301" s="58" t="s">
        <v>80</v>
      </c>
      <c r="R301" s="58" t="s">
        <v>1115</v>
      </c>
      <c r="S301" s="58" t="s">
        <v>1116</v>
      </c>
      <c r="T301" s="58" t="s">
        <v>279</v>
      </c>
    </row>
    <row r="302" spans="1:20" ht="31.2">
      <c r="A302" s="58" t="s">
        <v>76</v>
      </c>
      <c r="B302" s="58" t="s">
        <v>48</v>
      </c>
      <c r="C302" s="58">
        <v>37</v>
      </c>
      <c r="D302" s="58" t="s">
        <v>378</v>
      </c>
      <c r="E302" s="58" t="s">
        <v>1117</v>
      </c>
      <c r="F302" s="58" t="s">
        <v>273</v>
      </c>
      <c r="G302" s="58" t="s">
        <v>273</v>
      </c>
      <c r="H302" s="58" t="s">
        <v>274</v>
      </c>
      <c r="I302" s="58" t="s">
        <v>274</v>
      </c>
      <c r="J302" s="58"/>
      <c r="K302" s="58"/>
      <c r="L302" s="58" t="s">
        <v>288</v>
      </c>
      <c r="M302" s="58" t="s">
        <v>48</v>
      </c>
      <c r="N302" s="58">
        <v>6.6000000000000003E-2</v>
      </c>
      <c r="O302" s="58" t="s">
        <v>380</v>
      </c>
      <c r="P302" s="58" t="s">
        <v>79</v>
      </c>
      <c r="Q302" s="58" t="s">
        <v>80</v>
      </c>
      <c r="R302" s="58" t="s">
        <v>1118</v>
      </c>
      <c r="S302" s="58" t="s">
        <v>1119</v>
      </c>
      <c r="T302" s="58" t="s">
        <v>279</v>
      </c>
    </row>
    <row r="303" spans="1:20" ht="31.2">
      <c r="A303" s="58" t="s">
        <v>76</v>
      </c>
      <c r="B303" s="58" t="s">
        <v>48</v>
      </c>
      <c r="C303" s="58">
        <v>38</v>
      </c>
      <c r="D303" s="58" t="s">
        <v>479</v>
      </c>
      <c r="E303" s="58" t="s">
        <v>1090</v>
      </c>
      <c r="F303" s="58" t="s">
        <v>273</v>
      </c>
      <c r="G303" s="58" t="s">
        <v>273</v>
      </c>
      <c r="H303" s="58" t="s">
        <v>274</v>
      </c>
      <c r="I303" s="58" t="s">
        <v>273</v>
      </c>
      <c r="J303" s="58" t="s">
        <v>273</v>
      </c>
      <c r="K303" s="58"/>
      <c r="L303" s="58" t="s">
        <v>288</v>
      </c>
      <c r="M303" s="58" t="s">
        <v>48</v>
      </c>
      <c r="N303" s="58">
        <v>7.4999999999999997E-2</v>
      </c>
      <c r="O303" s="58" t="s">
        <v>554</v>
      </c>
      <c r="P303" s="58" t="s">
        <v>79</v>
      </c>
      <c r="Q303" s="58" t="s">
        <v>80</v>
      </c>
      <c r="R303" s="58" t="s">
        <v>1120</v>
      </c>
      <c r="S303" s="58" t="s">
        <v>1121</v>
      </c>
      <c r="T303" s="58" t="s">
        <v>279</v>
      </c>
    </row>
    <row r="304" spans="1:20" ht="31.2">
      <c r="A304" s="58" t="s">
        <v>76</v>
      </c>
      <c r="B304" s="58" t="s">
        <v>48</v>
      </c>
      <c r="C304" s="58">
        <v>39</v>
      </c>
      <c r="D304" s="58" t="s">
        <v>479</v>
      </c>
      <c r="E304" s="58" t="s">
        <v>1117</v>
      </c>
      <c r="F304" s="58" t="s">
        <v>273</v>
      </c>
      <c r="G304" s="58" t="s">
        <v>273</v>
      </c>
      <c r="H304" s="58" t="s">
        <v>274</v>
      </c>
      <c r="I304" s="58" t="s">
        <v>273</v>
      </c>
      <c r="J304" s="58" t="s">
        <v>273</v>
      </c>
      <c r="K304" s="58"/>
      <c r="L304" s="58" t="s">
        <v>288</v>
      </c>
      <c r="M304" s="58" t="s">
        <v>48</v>
      </c>
      <c r="N304" s="58">
        <v>5.8999999999999997E-2</v>
      </c>
      <c r="O304" s="58" t="s">
        <v>554</v>
      </c>
      <c r="P304" s="58" t="s">
        <v>79</v>
      </c>
      <c r="Q304" s="58" t="s">
        <v>80</v>
      </c>
      <c r="R304" s="58" t="s">
        <v>1122</v>
      </c>
      <c r="S304" s="58" t="s">
        <v>1123</v>
      </c>
      <c r="T304" s="58" t="s">
        <v>279</v>
      </c>
    </row>
    <row r="305" spans="1:20" ht="31.2">
      <c r="A305" s="58" t="s">
        <v>76</v>
      </c>
      <c r="B305" s="58" t="s">
        <v>48</v>
      </c>
      <c r="C305" s="58">
        <v>40</v>
      </c>
      <c r="D305" s="58" t="s">
        <v>361</v>
      </c>
      <c r="E305" s="58" t="s">
        <v>1124</v>
      </c>
      <c r="F305" s="58" t="s">
        <v>273</v>
      </c>
      <c r="G305" s="58" t="s">
        <v>273</v>
      </c>
      <c r="H305" s="58" t="s">
        <v>274</v>
      </c>
      <c r="I305" s="58" t="s">
        <v>274</v>
      </c>
      <c r="J305" s="58"/>
      <c r="K305" s="58"/>
      <c r="L305" s="58" t="s">
        <v>288</v>
      </c>
      <c r="M305" s="58" t="s">
        <v>48</v>
      </c>
      <c r="N305" s="58">
        <v>2.3559999999999999</v>
      </c>
      <c r="O305" s="58" t="s">
        <v>494</v>
      </c>
      <c r="P305" s="58" t="s">
        <v>79</v>
      </c>
      <c r="Q305" s="58" t="s">
        <v>80</v>
      </c>
      <c r="R305" s="58" t="s">
        <v>1125</v>
      </c>
      <c r="S305" s="58" t="s">
        <v>1126</v>
      </c>
      <c r="T305" s="58" t="s">
        <v>279</v>
      </c>
    </row>
    <row r="306" spans="1:20" ht="31.2">
      <c r="A306" s="58" t="s">
        <v>76</v>
      </c>
      <c r="B306" s="58" t="s">
        <v>48</v>
      </c>
      <c r="C306" s="58">
        <v>41</v>
      </c>
      <c r="D306" s="58" t="s">
        <v>361</v>
      </c>
      <c r="E306" s="58" t="s">
        <v>1127</v>
      </c>
      <c r="F306" s="58" t="s">
        <v>273</v>
      </c>
      <c r="G306" s="58" t="s">
        <v>273</v>
      </c>
      <c r="H306" s="58" t="s">
        <v>274</v>
      </c>
      <c r="I306" s="58" t="s">
        <v>274</v>
      </c>
      <c r="J306" s="58"/>
      <c r="K306" s="58"/>
      <c r="L306" s="58" t="s">
        <v>288</v>
      </c>
      <c r="M306" s="58" t="s">
        <v>48</v>
      </c>
      <c r="N306" s="58">
        <v>1.0960000000000001</v>
      </c>
      <c r="O306" s="58" t="s">
        <v>494</v>
      </c>
      <c r="P306" s="58" t="s">
        <v>79</v>
      </c>
      <c r="Q306" s="58" t="s">
        <v>80</v>
      </c>
      <c r="R306" s="58" t="s">
        <v>1128</v>
      </c>
      <c r="S306" s="58" t="s">
        <v>1129</v>
      </c>
      <c r="T306" s="58" t="s">
        <v>279</v>
      </c>
    </row>
    <row r="307" spans="1:20" ht="31.2">
      <c r="A307" s="58" t="s">
        <v>76</v>
      </c>
      <c r="B307" s="58" t="s">
        <v>48</v>
      </c>
      <c r="C307" s="58">
        <v>42</v>
      </c>
      <c r="D307" s="58" t="s">
        <v>521</v>
      </c>
      <c r="E307" s="58" t="s">
        <v>737</v>
      </c>
      <c r="F307" s="58" t="s">
        <v>273</v>
      </c>
      <c r="G307" s="58" t="s">
        <v>273</v>
      </c>
      <c r="H307" s="58" t="s">
        <v>274</v>
      </c>
      <c r="I307" s="58" t="s">
        <v>274</v>
      </c>
      <c r="J307" s="58"/>
      <c r="K307" s="58"/>
      <c r="L307" s="58" t="s">
        <v>351</v>
      </c>
      <c r="M307" s="58" t="s">
        <v>48</v>
      </c>
      <c r="N307" s="58">
        <v>5.1999999999999998E-2</v>
      </c>
      <c r="O307" s="58" t="s">
        <v>539</v>
      </c>
      <c r="P307" s="58" t="s">
        <v>79</v>
      </c>
      <c r="Q307" s="58" t="s">
        <v>80</v>
      </c>
      <c r="R307" s="58" t="s">
        <v>1130</v>
      </c>
      <c r="S307" s="58" t="s">
        <v>1131</v>
      </c>
      <c r="T307" s="58" t="s">
        <v>279</v>
      </c>
    </row>
    <row r="308" spans="1:20" ht="25.95" customHeight="1">
      <c r="A308" s="58" t="s">
        <v>82</v>
      </c>
      <c r="B308" s="58" t="s">
        <v>48</v>
      </c>
      <c r="C308" s="58">
        <v>1</v>
      </c>
      <c r="D308" s="58" t="s">
        <v>361</v>
      </c>
      <c r="E308" s="58" t="s">
        <v>1132</v>
      </c>
      <c r="F308" s="58" t="s">
        <v>273</v>
      </c>
      <c r="G308" s="58" t="s">
        <v>273</v>
      </c>
      <c r="H308" s="58" t="s">
        <v>274</v>
      </c>
      <c r="I308" s="58" t="s">
        <v>274</v>
      </c>
      <c r="J308" s="58"/>
      <c r="K308" s="58"/>
      <c r="L308" s="58" t="s">
        <v>275</v>
      </c>
      <c r="M308" s="58" t="s">
        <v>48</v>
      </c>
      <c r="N308" s="58">
        <v>2.2040000000000002</v>
      </c>
      <c r="O308" s="58" t="s">
        <v>494</v>
      </c>
      <c r="P308" s="58" t="s">
        <v>85</v>
      </c>
      <c r="Q308" s="58" t="s">
        <v>86</v>
      </c>
      <c r="R308" s="58" t="s">
        <v>1133</v>
      </c>
      <c r="S308" s="58" t="s">
        <v>1134</v>
      </c>
      <c r="T308" s="58" t="s">
        <v>279</v>
      </c>
    </row>
    <row r="309" spans="1:20" ht="25.95" customHeight="1">
      <c r="A309" s="58" t="s">
        <v>82</v>
      </c>
      <c r="B309" s="58" t="s">
        <v>48</v>
      </c>
      <c r="C309" s="58">
        <v>2</v>
      </c>
      <c r="D309" s="58" t="s">
        <v>333</v>
      </c>
      <c r="E309" s="58" t="s">
        <v>355</v>
      </c>
      <c r="F309" s="58" t="s">
        <v>273</v>
      </c>
      <c r="G309" s="58" t="s">
        <v>273</v>
      </c>
      <c r="H309" s="58" t="s">
        <v>274</v>
      </c>
      <c r="I309" s="58" t="s">
        <v>274</v>
      </c>
      <c r="J309" s="58"/>
      <c r="K309" s="58" t="s">
        <v>274</v>
      </c>
      <c r="L309" s="58" t="s">
        <v>275</v>
      </c>
      <c r="M309" s="58" t="s">
        <v>48</v>
      </c>
      <c r="N309" s="58">
        <v>2.4E-2</v>
      </c>
      <c r="O309" s="58" t="s">
        <v>335</v>
      </c>
      <c r="P309" s="58" t="s">
        <v>85</v>
      </c>
      <c r="Q309" s="58" t="s">
        <v>86</v>
      </c>
      <c r="R309" s="58" t="s">
        <v>1135</v>
      </c>
      <c r="S309" s="58" t="s">
        <v>1136</v>
      </c>
      <c r="T309" s="58" t="s">
        <v>279</v>
      </c>
    </row>
    <row r="310" spans="1:20" ht="25.95" customHeight="1">
      <c r="A310" s="58" t="s">
        <v>82</v>
      </c>
      <c r="B310" s="58" t="s">
        <v>48</v>
      </c>
      <c r="C310" s="58">
        <v>3</v>
      </c>
      <c r="D310" s="58" t="s">
        <v>333</v>
      </c>
      <c r="E310" s="58" t="s">
        <v>1137</v>
      </c>
      <c r="F310" s="58" t="s">
        <v>273</v>
      </c>
      <c r="G310" s="58" t="s">
        <v>273</v>
      </c>
      <c r="H310" s="58" t="s">
        <v>274</v>
      </c>
      <c r="I310" s="58" t="s">
        <v>274</v>
      </c>
      <c r="J310" s="58"/>
      <c r="K310" s="58" t="s">
        <v>274</v>
      </c>
      <c r="L310" s="58" t="s">
        <v>275</v>
      </c>
      <c r="M310" s="58" t="s">
        <v>48</v>
      </c>
      <c r="N310" s="58">
        <v>2.7E-2</v>
      </c>
      <c r="O310" s="58" t="s">
        <v>335</v>
      </c>
      <c r="P310" s="58" t="s">
        <v>85</v>
      </c>
      <c r="Q310" s="58" t="s">
        <v>86</v>
      </c>
      <c r="R310" s="58" t="s">
        <v>1138</v>
      </c>
      <c r="S310" s="58" t="s">
        <v>1139</v>
      </c>
      <c r="T310" s="58" t="s">
        <v>279</v>
      </c>
    </row>
    <row r="311" spans="1:20" ht="25.95" customHeight="1">
      <c r="A311" s="58" t="s">
        <v>82</v>
      </c>
      <c r="B311" s="58" t="s">
        <v>48</v>
      </c>
      <c r="C311" s="58">
        <v>4</v>
      </c>
      <c r="D311" s="58" t="s">
        <v>361</v>
      </c>
      <c r="E311" s="58" t="s">
        <v>1140</v>
      </c>
      <c r="F311" s="58" t="s">
        <v>273</v>
      </c>
      <c r="G311" s="58" t="s">
        <v>273</v>
      </c>
      <c r="H311" s="58" t="s">
        <v>274</v>
      </c>
      <c r="I311" s="58" t="s">
        <v>274</v>
      </c>
      <c r="J311" s="58"/>
      <c r="K311" s="58"/>
      <c r="L311" s="58" t="s">
        <v>275</v>
      </c>
      <c r="M311" s="58" t="s">
        <v>48</v>
      </c>
      <c r="N311" s="58">
        <v>1.323</v>
      </c>
      <c r="O311" s="58" t="s">
        <v>494</v>
      </c>
      <c r="P311" s="58" t="s">
        <v>85</v>
      </c>
      <c r="Q311" s="58" t="s">
        <v>86</v>
      </c>
      <c r="R311" s="58" t="s">
        <v>1141</v>
      </c>
      <c r="S311" s="58" t="s">
        <v>1142</v>
      </c>
      <c r="T311" s="58" t="s">
        <v>279</v>
      </c>
    </row>
    <row r="312" spans="1:20" ht="25.95" customHeight="1">
      <c r="A312" s="58" t="s">
        <v>82</v>
      </c>
      <c r="B312" s="58" t="s">
        <v>48</v>
      </c>
      <c r="C312" s="58">
        <v>5</v>
      </c>
      <c r="D312" s="58" t="s">
        <v>361</v>
      </c>
      <c r="E312" s="58" t="s">
        <v>1143</v>
      </c>
      <c r="F312" s="58" t="s">
        <v>273</v>
      </c>
      <c r="G312" s="58" t="s">
        <v>273</v>
      </c>
      <c r="H312" s="58" t="s">
        <v>274</v>
      </c>
      <c r="I312" s="58" t="s">
        <v>274</v>
      </c>
      <c r="J312" s="58"/>
      <c r="K312" s="58"/>
      <c r="L312" s="58" t="s">
        <v>275</v>
      </c>
      <c r="M312" s="58" t="s">
        <v>48</v>
      </c>
      <c r="N312" s="58">
        <v>0.53800000000000003</v>
      </c>
      <c r="O312" s="58" t="s">
        <v>494</v>
      </c>
      <c r="P312" s="58" t="s">
        <v>85</v>
      </c>
      <c r="Q312" s="58" t="s">
        <v>86</v>
      </c>
      <c r="R312" s="58" t="s">
        <v>1144</v>
      </c>
      <c r="S312" s="58" t="s">
        <v>1145</v>
      </c>
      <c r="T312" s="58" t="s">
        <v>279</v>
      </c>
    </row>
    <row r="313" spans="1:20" ht="25.95" customHeight="1">
      <c r="A313" s="58" t="s">
        <v>82</v>
      </c>
      <c r="B313" s="58" t="s">
        <v>48</v>
      </c>
      <c r="C313" s="58">
        <v>6</v>
      </c>
      <c r="D313" s="58" t="s">
        <v>361</v>
      </c>
      <c r="E313" s="58" t="s">
        <v>1146</v>
      </c>
      <c r="F313" s="58" t="s">
        <v>273</v>
      </c>
      <c r="G313" s="58" t="s">
        <v>274</v>
      </c>
      <c r="H313" s="58" t="s">
        <v>273</v>
      </c>
      <c r="I313" s="58" t="s">
        <v>274</v>
      </c>
      <c r="J313" s="58"/>
      <c r="K313" s="58"/>
      <c r="L313" s="58" t="s">
        <v>275</v>
      </c>
      <c r="M313" s="58" t="s">
        <v>48</v>
      </c>
      <c r="N313" s="58">
        <v>2.1190000000000002</v>
      </c>
      <c r="O313" s="58" t="s">
        <v>494</v>
      </c>
      <c r="P313" s="58" t="s">
        <v>85</v>
      </c>
      <c r="Q313" s="58" t="s">
        <v>86</v>
      </c>
      <c r="R313" s="58" t="s">
        <v>1147</v>
      </c>
      <c r="S313" s="58" t="s">
        <v>1148</v>
      </c>
      <c r="T313" s="58" t="s">
        <v>279</v>
      </c>
    </row>
    <row r="314" spans="1:20" ht="25.95" customHeight="1">
      <c r="A314" s="58" t="s">
        <v>82</v>
      </c>
      <c r="B314" s="58" t="s">
        <v>48</v>
      </c>
      <c r="C314" s="58">
        <v>7</v>
      </c>
      <c r="D314" s="58" t="s">
        <v>361</v>
      </c>
      <c r="E314" s="58" t="s">
        <v>1149</v>
      </c>
      <c r="F314" s="58" t="s">
        <v>273</v>
      </c>
      <c r="G314" s="58" t="s">
        <v>273</v>
      </c>
      <c r="H314" s="58" t="s">
        <v>274</v>
      </c>
      <c r="I314" s="58" t="s">
        <v>274</v>
      </c>
      <c r="J314" s="58"/>
      <c r="K314" s="58"/>
      <c r="L314" s="58" t="s">
        <v>275</v>
      </c>
      <c r="M314" s="58" t="s">
        <v>48</v>
      </c>
      <c r="N314" s="58">
        <v>2.181</v>
      </c>
      <c r="O314" s="58" t="s">
        <v>494</v>
      </c>
      <c r="P314" s="58" t="s">
        <v>85</v>
      </c>
      <c r="Q314" s="58" t="s">
        <v>86</v>
      </c>
      <c r="R314" s="58" t="s">
        <v>1150</v>
      </c>
      <c r="S314" s="58" t="s">
        <v>1151</v>
      </c>
      <c r="T314" s="58" t="s">
        <v>279</v>
      </c>
    </row>
    <row r="315" spans="1:20" ht="31.2">
      <c r="A315" s="58" t="s">
        <v>82</v>
      </c>
      <c r="B315" s="58" t="s">
        <v>48</v>
      </c>
      <c r="C315" s="58">
        <v>8</v>
      </c>
      <c r="D315" s="58" t="s">
        <v>361</v>
      </c>
      <c r="E315" s="58" t="s">
        <v>1152</v>
      </c>
      <c r="F315" s="58" t="s">
        <v>273</v>
      </c>
      <c r="G315" s="58" t="s">
        <v>274</v>
      </c>
      <c r="H315" s="58" t="s">
        <v>273</v>
      </c>
      <c r="I315" s="58" t="s">
        <v>274</v>
      </c>
      <c r="J315" s="58"/>
      <c r="K315" s="58"/>
      <c r="L315" s="58" t="s">
        <v>604</v>
      </c>
      <c r="M315" s="58" t="s">
        <v>48</v>
      </c>
      <c r="N315" s="58">
        <v>0.33700000000000002</v>
      </c>
      <c r="O315" s="58" t="s">
        <v>494</v>
      </c>
      <c r="P315" s="58" t="s">
        <v>85</v>
      </c>
      <c r="Q315" s="58" t="s">
        <v>86</v>
      </c>
      <c r="R315" s="58" t="s">
        <v>1153</v>
      </c>
      <c r="S315" s="58" t="s">
        <v>1154</v>
      </c>
      <c r="T315" s="58" t="s">
        <v>279</v>
      </c>
    </row>
    <row r="316" spans="1:20" ht="31.2">
      <c r="A316" s="58" t="s">
        <v>82</v>
      </c>
      <c r="B316" s="58" t="s">
        <v>48</v>
      </c>
      <c r="C316" s="58">
        <v>9</v>
      </c>
      <c r="D316" s="58" t="s">
        <v>361</v>
      </c>
      <c r="E316" s="58" t="s">
        <v>1152</v>
      </c>
      <c r="F316" s="58" t="s">
        <v>273</v>
      </c>
      <c r="G316" s="58" t="s">
        <v>273</v>
      </c>
      <c r="H316" s="58" t="s">
        <v>274</v>
      </c>
      <c r="I316" s="58" t="s">
        <v>274</v>
      </c>
      <c r="J316" s="58"/>
      <c r="K316" s="58"/>
      <c r="L316" s="58" t="s">
        <v>275</v>
      </c>
      <c r="M316" s="58" t="s">
        <v>48</v>
      </c>
      <c r="N316" s="58">
        <v>2.0009999999999999</v>
      </c>
      <c r="O316" s="58" t="s">
        <v>494</v>
      </c>
      <c r="P316" s="58" t="s">
        <v>85</v>
      </c>
      <c r="Q316" s="58" t="s">
        <v>86</v>
      </c>
      <c r="R316" s="58" t="s">
        <v>1155</v>
      </c>
      <c r="S316" s="58" t="s">
        <v>1156</v>
      </c>
      <c r="T316" s="58" t="s">
        <v>279</v>
      </c>
    </row>
    <row r="317" spans="1:20" ht="31.2">
      <c r="A317" s="58" t="s">
        <v>82</v>
      </c>
      <c r="B317" s="58" t="s">
        <v>48</v>
      </c>
      <c r="C317" s="58">
        <v>10</v>
      </c>
      <c r="D317" s="58" t="s">
        <v>521</v>
      </c>
      <c r="E317" s="58" t="s">
        <v>1157</v>
      </c>
      <c r="F317" s="58" t="s">
        <v>273</v>
      </c>
      <c r="G317" s="58" t="s">
        <v>273</v>
      </c>
      <c r="H317" s="58" t="s">
        <v>274</v>
      </c>
      <c r="I317" s="58" t="s">
        <v>274</v>
      </c>
      <c r="J317" s="58"/>
      <c r="K317" s="58"/>
      <c r="L317" s="58" t="s">
        <v>351</v>
      </c>
      <c r="M317" s="58" t="s">
        <v>48</v>
      </c>
      <c r="N317" s="58">
        <v>3.2000000000000001E-2</v>
      </c>
      <c r="O317" s="58" t="s">
        <v>523</v>
      </c>
      <c r="P317" s="58" t="s">
        <v>85</v>
      </c>
      <c r="Q317" s="58" t="s">
        <v>86</v>
      </c>
      <c r="R317" s="58" t="s">
        <v>1158</v>
      </c>
      <c r="S317" s="58" t="s">
        <v>1159</v>
      </c>
      <c r="T317" s="58" t="s">
        <v>279</v>
      </c>
    </row>
    <row r="318" spans="1:20" ht="31.2">
      <c r="A318" s="58" t="s">
        <v>82</v>
      </c>
      <c r="B318" s="58" t="s">
        <v>48</v>
      </c>
      <c r="C318" s="58">
        <v>11</v>
      </c>
      <c r="D318" s="58" t="s">
        <v>521</v>
      </c>
      <c r="E318" s="58" t="s">
        <v>1160</v>
      </c>
      <c r="F318" s="58" t="s">
        <v>273</v>
      </c>
      <c r="G318" s="58" t="s">
        <v>273</v>
      </c>
      <c r="H318" s="58" t="s">
        <v>274</v>
      </c>
      <c r="I318" s="58" t="s">
        <v>274</v>
      </c>
      <c r="J318" s="58"/>
      <c r="K318" s="58"/>
      <c r="L318" s="58" t="s">
        <v>351</v>
      </c>
      <c r="M318" s="58" t="s">
        <v>48</v>
      </c>
      <c r="N318" s="58">
        <v>3.9E-2</v>
      </c>
      <c r="O318" s="58" t="s">
        <v>523</v>
      </c>
      <c r="P318" s="58" t="s">
        <v>85</v>
      </c>
      <c r="Q318" s="58" t="s">
        <v>86</v>
      </c>
      <c r="R318" s="58" t="s">
        <v>1161</v>
      </c>
      <c r="S318" s="58" t="s">
        <v>1162</v>
      </c>
      <c r="T318" s="58" t="s">
        <v>279</v>
      </c>
    </row>
    <row r="319" spans="1:20" ht="31.2">
      <c r="A319" s="58" t="s">
        <v>82</v>
      </c>
      <c r="B319" s="58" t="s">
        <v>48</v>
      </c>
      <c r="C319" s="58">
        <v>12</v>
      </c>
      <c r="D319" s="58" t="s">
        <v>521</v>
      </c>
      <c r="E319" s="58" t="s">
        <v>1163</v>
      </c>
      <c r="F319" s="58" t="s">
        <v>273</v>
      </c>
      <c r="G319" s="58" t="s">
        <v>273</v>
      </c>
      <c r="H319" s="58" t="s">
        <v>274</v>
      </c>
      <c r="I319" s="58" t="s">
        <v>274</v>
      </c>
      <c r="J319" s="58"/>
      <c r="K319" s="58"/>
      <c r="L319" s="58" t="s">
        <v>351</v>
      </c>
      <c r="M319" s="58" t="s">
        <v>48</v>
      </c>
      <c r="N319" s="58">
        <v>5.0999999999999997E-2</v>
      </c>
      <c r="O319" s="58" t="s">
        <v>523</v>
      </c>
      <c r="P319" s="58" t="s">
        <v>85</v>
      </c>
      <c r="Q319" s="58" t="s">
        <v>86</v>
      </c>
      <c r="R319" s="58" t="s">
        <v>1164</v>
      </c>
      <c r="S319" s="58" t="s">
        <v>1165</v>
      </c>
      <c r="T319" s="58" t="s">
        <v>279</v>
      </c>
    </row>
    <row r="320" spans="1:20" ht="25.95" customHeight="1">
      <c r="A320" s="58" t="s">
        <v>82</v>
      </c>
      <c r="B320" s="58" t="s">
        <v>48</v>
      </c>
      <c r="C320" s="58">
        <v>13</v>
      </c>
      <c r="D320" s="58" t="s">
        <v>521</v>
      </c>
      <c r="E320" s="58" t="s">
        <v>538</v>
      </c>
      <c r="F320" s="58" t="s">
        <v>273</v>
      </c>
      <c r="G320" s="58" t="s">
        <v>273</v>
      </c>
      <c r="H320" s="58" t="s">
        <v>274</v>
      </c>
      <c r="I320" s="58" t="s">
        <v>274</v>
      </c>
      <c r="J320" s="58"/>
      <c r="K320" s="58"/>
      <c r="L320" s="58" t="s">
        <v>351</v>
      </c>
      <c r="M320" s="58" t="s">
        <v>48</v>
      </c>
      <c r="N320" s="58">
        <v>2.1999999999999999E-2</v>
      </c>
      <c r="O320" s="58" t="s">
        <v>539</v>
      </c>
      <c r="P320" s="58" t="s">
        <v>85</v>
      </c>
      <c r="Q320" s="58" t="s">
        <v>86</v>
      </c>
      <c r="R320" s="58" t="s">
        <v>1166</v>
      </c>
      <c r="S320" s="58" t="s">
        <v>1167</v>
      </c>
      <c r="T320" s="58" t="s">
        <v>279</v>
      </c>
    </row>
    <row r="321" spans="1:20" ht="25.95" customHeight="1">
      <c r="A321" s="58" t="s">
        <v>82</v>
      </c>
      <c r="B321" s="58" t="s">
        <v>48</v>
      </c>
      <c r="C321" s="58">
        <v>14</v>
      </c>
      <c r="D321" s="58" t="s">
        <v>378</v>
      </c>
      <c r="E321" s="58" t="s">
        <v>1168</v>
      </c>
      <c r="F321" s="58" t="s">
        <v>273</v>
      </c>
      <c r="G321" s="58" t="s">
        <v>273</v>
      </c>
      <c r="H321" s="58" t="s">
        <v>274</v>
      </c>
      <c r="I321" s="58" t="s">
        <v>274</v>
      </c>
      <c r="J321" s="58"/>
      <c r="K321" s="58"/>
      <c r="L321" s="58" t="s">
        <v>288</v>
      </c>
      <c r="M321" s="58" t="s">
        <v>48</v>
      </c>
      <c r="N321" s="58">
        <v>6.3E-2</v>
      </c>
      <c r="O321" s="58" t="s">
        <v>380</v>
      </c>
      <c r="P321" s="58" t="s">
        <v>85</v>
      </c>
      <c r="Q321" s="58" t="s">
        <v>86</v>
      </c>
      <c r="R321" s="58" t="s">
        <v>1169</v>
      </c>
      <c r="S321" s="58" t="s">
        <v>1170</v>
      </c>
      <c r="T321" s="58" t="s">
        <v>279</v>
      </c>
    </row>
    <row r="322" spans="1:20" ht="25.95" customHeight="1">
      <c r="A322" s="58" t="s">
        <v>82</v>
      </c>
      <c r="B322" s="58" t="s">
        <v>48</v>
      </c>
      <c r="C322" s="58">
        <v>15</v>
      </c>
      <c r="D322" s="58" t="s">
        <v>479</v>
      </c>
      <c r="E322" s="58" t="s">
        <v>1168</v>
      </c>
      <c r="F322" s="58" t="s">
        <v>273</v>
      </c>
      <c r="G322" s="58" t="s">
        <v>273</v>
      </c>
      <c r="H322" s="58" t="s">
        <v>274</v>
      </c>
      <c r="I322" s="58" t="s">
        <v>273</v>
      </c>
      <c r="J322" s="58" t="s">
        <v>273</v>
      </c>
      <c r="K322" s="58"/>
      <c r="L322" s="58" t="s">
        <v>288</v>
      </c>
      <c r="M322" s="58" t="s">
        <v>48</v>
      </c>
      <c r="N322" s="58">
        <v>5.1999999999999998E-2</v>
      </c>
      <c r="O322" s="58" t="s">
        <v>554</v>
      </c>
      <c r="P322" s="58" t="s">
        <v>85</v>
      </c>
      <c r="Q322" s="58" t="s">
        <v>86</v>
      </c>
      <c r="R322" s="58" t="s">
        <v>1171</v>
      </c>
      <c r="S322" s="58" t="s">
        <v>1172</v>
      </c>
      <c r="T322" s="58" t="s">
        <v>279</v>
      </c>
    </row>
    <row r="323" spans="1:20" ht="25.95" customHeight="1">
      <c r="A323" s="58" t="s">
        <v>82</v>
      </c>
      <c r="B323" s="58" t="s">
        <v>48</v>
      </c>
      <c r="C323" s="58">
        <v>16</v>
      </c>
      <c r="D323" s="58" t="s">
        <v>479</v>
      </c>
      <c r="E323" s="58" t="s">
        <v>1168</v>
      </c>
      <c r="F323" s="58" t="s">
        <v>273</v>
      </c>
      <c r="G323" s="58" t="s">
        <v>273</v>
      </c>
      <c r="H323" s="58" t="s">
        <v>274</v>
      </c>
      <c r="I323" s="58" t="s">
        <v>273</v>
      </c>
      <c r="J323" s="58" t="s">
        <v>273</v>
      </c>
      <c r="K323" s="58"/>
      <c r="L323" s="58" t="s">
        <v>288</v>
      </c>
      <c r="M323" s="58" t="s">
        <v>48</v>
      </c>
      <c r="N323" s="58">
        <v>6.5000000000000002E-2</v>
      </c>
      <c r="O323" s="58" t="s">
        <v>554</v>
      </c>
      <c r="P323" s="58" t="s">
        <v>85</v>
      </c>
      <c r="Q323" s="58" t="s">
        <v>86</v>
      </c>
      <c r="R323" s="58" t="s">
        <v>1173</v>
      </c>
      <c r="S323" s="58" t="s">
        <v>1174</v>
      </c>
      <c r="T323" s="58" t="s">
        <v>279</v>
      </c>
    </row>
    <row r="324" spans="1:20" ht="25.95" customHeight="1">
      <c r="A324" s="58" t="s">
        <v>82</v>
      </c>
      <c r="B324" s="58" t="s">
        <v>48</v>
      </c>
      <c r="C324" s="58">
        <v>17</v>
      </c>
      <c r="D324" s="58" t="s">
        <v>479</v>
      </c>
      <c r="E324" s="58" t="s">
        <v>1168</v>
      </c>
      <c r="F324" s="58" t="s">
        <v>273</v>
      </c>
      <c r="G324" s="58" t="s">
        <v>273</v>
      </c>
      <c r="H324" s="58" t="s">
        <v>274</v>
      </c>
      <c r="I324" s="58" t="s">
        <v>273</v>
      </c>
      <c r="J324" s="58" t="s">
        <v>273</v>
      </c>
      <c r="K324" s="58"/>
      <c r="L324" s="58" t="s">
        <v>288</v>
      </c>
      <c r="M324" s="58" t="s">
        <v>48</v>
      </c>
      <c r="N324" s="58">
        <v>5.0999999999999997E-2</v>
      </c>
      <c r="O324" s="58" t="s">
        <v>554</v>
      </c>
      <c r="P324" s="58" t="s">
        <v>85</v>
      </c>
      <c r="Q324" s="58" t="s">
        <v>86</v>
      </c>
      <c r="R324" s="58" t="s">
        <v>1175</v>
      </c>
      <c r="S324" s="58" t="s">
        <v>1176</v>
      </c>
      <c r="T324" s="58" t="s">
        <v>279</v>
      </c>
    </row>
    <row r="325" spans="1:20" ht="25.95" customHeight="1">
      <c r="A325" s="58" t="s">
        <v>82</v>
      </c>
      <c r="B325" s="58" t="s">
        <v>48</v>
      </c>
      <c r="C325" s="58">
        <v>18</v>
      </c>
      <c r="D325" s="58" t="s">
        <v>361</v>
      </c>
      <c r="E325" s="58" t="s">
        <v>1177</v>
      </c>
      <c r="F325" s="58" t="s">
        <v>273</v>
      </c>
      <c r="G325" s="58" t="s">
        <v>273</v>
      </c>
      <c r="H325" s="58" t="s">
        <v>274</v>
      </c>
      <c r="I325" s="58" t="s">
        <v>274</v>
      </c>
      <c r="J325" s="58"/>
      <c r="K325" s="58"/>
      <c r="L325" s="58" t="s">
        <v>288</v>
      </c>
      <c r="M325" s="58" t="s">
        <v>48</v>
      </c>
      <c r="N325" s="58">
        <v>44.546999999999997</v>
      </c>
      <c r="O325" s="58" t="s">
        <v>494</v>
      </c>
      <c r="P325" s="58" t="s">
        <v>85</v>
      </c>
      <c r="Q325" s="58" t="s">
        <v>86</v>
      </c>
      <c r="R325" s="58" t="s">
        <v>1178</v>
      </c>
      <c r="S325" s="58" t="s">
        <v>1179</v>
      </c>
      <c r="T325" s="58" t="s">
        <v>279</v>
      </c>
    </row>
    <row r="326" spans="1:20" ht="31.2">
      <c r="A326" s="58" t="s">
        <v>82</v>
      </c>
      <c r="B326" s="58" t="s">
        <v>48</v>
      </c>
      <c r="C326" s="58">
        <v>19</v>
      </c>
      <c r="D326" s="58" t="s">
        <v>361</v>
      </c>
      <c r="E326" s="58" t="s">
        <v>1180</v>
      </c>
      <c r="F326" s="58" t="s">
        <v>273</v>
      </c>
      <c r="G326" s="58" t="s">
        <v>273</v>
      </c>
      <c r="H326" s="58" t="s">
        <v>274</v>
      </c>
      <c r="I326" s="58" t="s">
        <v>274</v>
      </c>
      <c r="J326" s="58"/>
      <c r="K326" s="58"/>
      <c r="L326" s="58" t="s">
        <v>288</v>
      </c>
      <c r="M326" s="58" t="s">
        <v>48</v>
      </c>
      <c r="N326" s="58">
        <v>0.99099999999999999</v>
      </c>
      <c r="O326" s="58" t="s">
        <v>494</v>
      </c>
      <c r="P326" s="58" t="s">
        <v>85</v>
      </c>
      <c r="Q326" s="58" t="s">
        <v>86</v>
      </c>
      <c r="R326" s="58" t="s">
        <v>1181</v>
      </c>
      <c r="S326" s="58" t="s">
        <v>1182</v>
      </c>
      <c r="T326" s="58" t="s">
        <v>279</v>
      </c>
    </row>
    <row r="327" spans="1:20" ht="31.2">
      <c r="A327" s="58" t="s">
        <v>82</v>
      </c>
      <c r="B327" s="58" t="s">
        <v>48</v>
      </c>
      <c r="C327" s="58">
        <v>20</v>
      </c>
      <c r="D327" s="58" t="s">
        <v>361</v>
      </c>
      <c r="E327" s="58" t="s">
        <v>1183</v>
      </c>
      <c r="F327" s="58" t="s">
        <v>273</v>
      </c>
      <c r="G327" s="58" t="s">
        <v>273</v>
      </c>
      <c r="H327" s="58" t="s">
        <v>274</v>
      </c>
      <c r="I327" s="58" t="s">
        <v>274</v>
      </c>
      <c r="J327" s="58"/>
      <c r="K327" s="58"/>
      <c r="L327" s="58" t="s">
        <v>288</v>
      </c>
      <c r="M327" s="58" t="s">
        <v>48</v>
      </c>
      <c r="N327" s="58">
        <v>1.04</v>
      </c>
      <c r="O327" s="58" t="s">
        <v>494</v>
      </c>
      <c r="P327" s="58" t="s">
        <v>85</v>
      </c>
      <c r="Q327" s="58" t="s">
        <v>86</v>
      </c>
      <c r="R327" s="58" t="s">
        <v>1184</v>
      </c>
      <c r="S327" s="58" t="s">
        <v>1185</v>
      </c>
      <c r="T327" s="58" t="s">
        <v>279</v>
      </c>
    </row>
    <row r="328" spans="1:20" ht="31.2">
      <c r="A328" s="58" t="s">
        <v>82</v>
      </c>
      <c r="B328" s="58" t="s">
        <v>48</v>
      </c>
      <c r="C328" s="58">
        <v>21</v>
      </c>
      <c r="D328" s="58" t="s">
        <v>361</v>
      </c>
      <c r="E328" s="58" t="s">
        <v>1186</v>
      </c>
      <c r="F328" s="58" t="s">
        <v>273</v>
      </c>
      <c r="G328" s="58" t="s">
        <v>273</v>
      </c>
      <c r="H328" s="58" t="s">
        <v>274</v>
      </c>
      <c r="I328" s="58" t="s">
        <v>274</v>
      </c>
      <c r="J328" s="58"/>
      <c r="K328" s="58"/>
      <c r="L328" s="58" t="s">
        <v>288</v>
      </c>
      <c r="M328" s="58" t="s">
        <v>48</v>
      </c>
      <c r="N328" s="58">
        <v>0.97799999999999998</v>
      </c>
      <c r="O328" s="58" t="s">
        <v>494</v>
      </c>
      <c r="P328" s="58" t="s">
        <v>85</v>
      </c>
      <c r="Q328" s="58" t="s">
        <v>86</v>
      </c>
      <c r="R328" s="58" t="s">
        <v>1187</v>
      </c>
      <c r="S328" s="58" t="s">
        <v>1188</v>
      </c>
      <c r="T328" s="58" t="s">
        <v>279</v>
      </c>
    </row>
    <row r="329" spans="1:20" ht="25.95" customHeight="1">
      <c r="A329" s="58" t="s">
        <v>82</v>
      </c>
      <c r="B329" s="58" t="s">
        <v>48</v>
      </c>
      <c r="C329" s="58">
        <v>22</v>
      </c>
      <c r="D329" s="58" t="s">
        <v>361</v>
      </c>
      <c r="E329" s="58" t="s">
        <v>1189</v>
      </c>
      <c r="F329" s="58" t="s">
        <v>273</v>
      </c>
      <c r="G329" s="58" t="s">
        <v>273</v>
      </c>
      <c r="H329" s="58" t="s">
        <v>274</v>
      </c>
      <c r="I329" s="58" t="s">
        <v>274</v>
      </c>
      <c r="J329" s="58"/>
      <c r="K329" s="58"/>
      <c r="L329" s="58" t="s">
        <v>288</v>
      </c>
      <c r="M329" s="58" t="s">
        <v>48</v>
      </c>
      <c r="N329" s="58">
        <v>1.3080000000000001</v>
      </c>
      <c r="O329" s="58" t="s">
        <v>494</v>
      </c>
      <c r="P329" s="58" t="s">
        <v>85</v>
      </c>
      <c r="Q329" s="58" t="s">
        <v>86</v>
      </c>
      <c r="R329" s="58" t="s">
        <v>1190</v>
      </c>
      <c r="S329" s="58" t="s">
        <v>1191</v>
      </c>
      <c r="T329" s="58" t="s">
        <v>279</v>
      </c>
    </row>
    <row r="330" spans="1:20" ht="31.2">
      <c r="A330" s="58" t="s">
        <v>82</v>
      </c>
      <c r="B330" s="58" t="s">
        <v>48</v>
      </c>
      <c r="C330" s="58">
        <v>23</v>
      </c>
      <c r="D330" s="58" t="s">
        <v>361</v>
      </c>
      <c r="E330" s="58" t="s">
        <v>1192</v>
      </c>
      <c r="F330" s="58" t="s">
        <v>273</v>
      </c>
      <c r="G330" s="58" t="s">
        <v>273</v>
      </c>
      <c r="H330" s="58" t="s">
        <v>274</v>
      </c>
      <c r="I330" s="58" t="s">
        <v>274</v>
      </c>
      <c r="J330" s="58"/>
      <c r="K330" s="58"/>
      <c r="L330" s="58" t="s">
        <v>288</v>
      </c>
      <c r="M330" s="58" t="s">
        <v>48</v>
      </c>
      <c r="N330" s="58">
        <v>0.98899999999999999</v>
      </c>
      <c r="O330" s="58" t="s">
        <v>494</v>
      </c>
      <c r="P330" s="58" t="s">
        <v>85</v>
      </c>
      <c r="Q330" s="58" t="s">
        <v>86</v>
      </c>
      <c r="R330" s="58" t="s">
        <v>1193</v>
      </c>
      <c r="S330" s="58" t="s">
        <v>1194</v>
      </c>
      <c r="T330" s="58" t="s">
        <v>279</v>
      </c>
    </row>
    <row r="331" spans="1:20" ht="25.95" customHeight="1">
      <c r="A331" s="58" t="s">
        <v>82</v>
      </c>
      <c r="B331" s="58" t="s">
        <v>48</v>
      </c>
      <c r="C331" s="58">
        <v>24</v>
      </c>
      <c r="D331" s="58" t="s">
        <v>361</v>
      </c>
      <c r="E331" s="58" t="s">
        <v>1195</v>
      </c>
      <c r="F331" s="58" t="s">
        <v>273</v>
      </c>
      <c r="G331" s="58" t="s">
        <v>273</v>
      </c>
      <c r="H331" s="58" t="s">
        <v>274</v>
      </c>
      <c r="I331" s="58" t="s">
        <v>274</v>
      </c>
      <c r="J331" s="58"/>
      <c r="K331" s="58"/>
      <c r="L331" s="58" t="s">
        <v>288</v>
      </c>
      <c r="M331" s="58" t="s">
        <v>48</v>
      </c>
      <c r="N331" s="58">
        <v>0.98599999999999999</v>
      </c>
      <c r="O331" s="58" t="s">
        <v>494</v>
      </c>
      <c r="P331" s="58" t="s">
        <v>85</v>
      </c>
      <c r="Q331" s="58" t="s">
        <v>86</v>
      </c>
      <c r="R331" s="58" t="s">
        <v>1196</v>
      </c>
      <c r="S331" s="58" t="s">
        <v>1197</v>
      </c>
      <c r="T331" s="58" t="s">
        <v>279</v>
      </c>
    </row>
    <row r="332" spans="1:20" ht="31.2">
      <c r="A332" s="58" t="s">
        <v>82</v>
      </c>
      <c r="B332" s="58" t="s">
        <v>48</v>
      </c>
      <c r="C332" s="58">
        <v>25</v>
      </c>
      <c r="D332" s="58" t="s">
        <v>361</v>
      </c>
      <c r="E332" s="58" t="s">
        <v>1198</v>
      </c>
      <c r="F332" s="58" t="s">
        <v>273</v>
      </c>
      <c r="G332" s="58" t="s">
        <v>273</v>
      </c>
      <c r="H332" s="58" t="s">
        <v>274</v>
      </c>
      <c r="I332" s="58" t="s">
        <v>274</v>
      </c>
      <c r="J332" s="58"/>
      <c r="K332" s="58"/>
      <c r="L332" s="58" t="s">
        <v>288</v>
      </c>
      <c r="M332" s="58" t="s">
        <v>48</v>
      </c>
      <c r="N332" s="58">
        <v>1.379</v>
      </c>
      <c r="O332" s="58" t="s">
        <v>494</v>
      </c>
      <c r="P332" s="58" t="s">
        <v>85</v>
      </c>
      <c r="Q332" s="58" t="s">
        <v>86</v>
      </c>
      <c r="R332" s="58" t="s">
        <v>1199</v>
      </c>
      <c r="S332" s="58" t="s">
        <v>1200</v>
      </c>
      <c r="T332" s="58" t="s">
        <v>279</v>
      </c>
    </row>
    <row r="333" spans="1:20" ht="25.95" customHeight="1">
      <c r="A333" s="58" t="s">
        <v>82</v>
      </c>
      <c r="B333" s="58" t="s">
        <v>48</v>
      </c>
      <c r="C333" s="58">
        <v>26</v>
      </c>
      <c r="D333" s="58" t="s">
        <v>361</v>
      </c>
      <c r="E333" s="58" t="s">
        <v>1201</v>
      </c>
      <c r="F333" s="58" t="s">
        <v>273</v>
      </c>
      <c r="G333" s="58" t="s">
        <v>273</v>
      </c>
      <c r="H333" s="58" t="s">
        <v>274</v>
      </c>
      <c r="I333" s="58" t="s">
        <v>274</v>
      </c>
      <c r="J333" s="58"/>
      <c r="K333" s="58"/>
      <c r="L333" s="58" t="s">
        <v>288</v>
      </c>
      <c r="M333" s="58" t="s">
        <v>48</v>
      </c>
      <c r="N333" s="58">
        <v>1.01</v>
      </c>
      <c r="O333" s="58" t="s">
        <v>494</v>
      </c>
      <c r="P333" s="58" t="s">
        <v>85</v>
      </c>
      <c r="Q333" s="58" t="s">
        <v>86</v>
      </c>
      <c r="R333" s="58" t="s">
        <v>1202</v>
      </c>
      <c r="S333" s="58" t="s">
        <v>1203</v>
      </c>
      <c r="T333" s="58" t="s">
        <v>279</v>
      </c>
    </row>
    <row r="334" spans="1:20" ht="25.95" customHeight="1">
      <c r="A334" s="58" t="s">
        <v>82</v>
      </c>
      <c r="B334" s="58" t="s">
        <v>48</v>
      </c>
      <c r="C334" s="58">
        <v>27</v>
      </c>
      <c r="D334" s="58" t="s">
        <v>521</v>
      </c>
      <c r="E334" s="58" t="s">
        <v>577</v>
      </c>
      <c r="F334" s="58" t="s">
        <v>273</v>
      </c>
      <c r="G334" s="58" t="s">
        <v>273</v>
      </c>
      <c r="H334" s="58" t="s">
        <v>274</v>
      </c>
      <c r="I334" s="58" t="s">
        <v>274</v>
      </c>
      <c r="J334" s="58"/>
      <c r="K334" s="58"/>
      <c r="L334" s="58" t="s">
        <v>351</v>
      </c>
      <c r="M334" s="58" t="s">
        <v>48</v>
      </c>
      <c r="N334" s="58">
        <v>4.2999999999999997E-2</v>
      </c>
      <c r="O334" s="58" t="s">
        <v>539</v>
      </c>
      <c r="P334" s="58" t="s">
        <v>85</v>
      </c>
      <c r="Q334" s="58" t="s">
        <v>86</v>
      </c>
      <c r="R334" s="58" t="s">
        <v>1204</v>
      </c>
      <c r="S334" s="58" t="s">
        <v>1205</v>
      </c>
      <c r="T334" s="58" t="s">
        <v>279</v>
      </c>
    </row>
    <row r="335" spans="1:20" ht="25.95" customHeight="1">
      <c r="A335" s="58" t="s">
        <v>82</v>
      </c>
      <c r="B335" s="58" t="s">
        <v>48</v>
      </c>
      <c r="C335" s="58">
        <v>28</v>
      </c>
      <c r="D335" s="58" t="s">
        <v>521</v>
      </c>
      <c r="E335" s="58" t="s">
        <v>1073</v>
      </c>
      <c r="F335" s="58" t="s">
        <v>273</v>
      </c>
      <c r="G335" s="58" t="s">
        <v>273</v>
      </c>
      <c r="H335" s="58" t="s">
        <v>274</v>
      </c>
      <c r="I335" s="58" t="s">
        <v>274</v>
      </c>
      <c r="J335" s="58"/>
      <c r="K335" s="58"/>
      <c r="L335" s="58" t="s">
        <v>351</v>
      </c>
      <c r="M335" s="58" t="s">
        <v>48</v>
      </c>
      <c r="N335" s="58">
        <v>4.7E-2</v>
      </c>
      <c r="O335" s="58" t="s">
        <v>539</v>
      </c>
      <c r="P335" s="58" t="s">
        <v>85</v>
      </c>
      <c r="Q335" s="58" t="s">
        <v>86</v>
      </c>
      <c r="R335" s="58" t="s">
        <v>1206</v>
      </c>
      <c r="S335" s="58" t="s">
        <v>1207</v>
      </c>
      <c r="T335" s="58" t="s">
        <v>279</v>
      </c>
    </row>
    <row r="336" spans="1:20" ht="25.95" customHeight="1">
      <c r="A336" s="58" t="s">
        <v>82</v>
      </c>
      <c r="B336" s="58" t="s">
        <v>48</v>
      </c>
      <c r="C336" s="58">
        <v>29</v>
      </c>
      <c r="D336" s="58" t="s">
        <v>378</v>
      </c>
      <c r="E336" s="58" t="s">
        <v>1208</v>
      </c>
      <c r="F336" s="58" t="s">
        <v>273</v>
      </c>
      <c r="G336" s="58" t="s">
        <v>273</v>
      </c>
      <c r="H336" s="58" t="s">
        <v>274</v>
      </c>
      <c r="I336" s="58" t="s">
        <v>274</v>
      </c>
      <c r="J336" s="58"/>
      <c r="K336" s="58"/>
      <c r="L336" s="58" t="s">
        <v>288</v>
      </c>
      <c r="M336" s="58" t="s">
        <v>48</v>
      </c>
      <c r="N336" s="58">
        <v>9.1999999999999998E-2</v>
      </c>
      <c r="O336" s="58" t="s">
        <v>380</v>
      </c>
      <c r="P336" s="58" t="s">
        <v>85</v>
      </c>
      <c r="Q336" s="58" t="s">
        <v>86</v>
      </c>
      <c r="R336" s="58" t="s">
        <v>1209</v>
      </c>
      <c r="S336" s="58" t="s">
        <v>1210</v>
      </c>
      <c r="T336" s="58" t="s">
        <v>279</v>
      </c>
    </row>
    <row r="337" spans="1:20" ht="31.2">
      <c r="A337" s="58" t="s">
        <v>82</v>
      </c>
      <c r="B337" s="58" t="s">
        <v>48</v>
      </c>
      <c r="C337" s="58">
        <v>30</v>
      </c>
      <c r="D337" s="58" t="s">
        <v>361</v>
      </c>
      <c r="E337" s="58" t="s">
        <v>1211</v>
      </c>
      <c r="F337" s="58" t="s">
        <v>273</v>
      </c>
      <c r="G337" s="58" t="s">
        <v>273</v>
      </c>
      <c r="H337" s="58" t="s">
        <v>274</v>
      </c>
      <c r="I337" s="58" t="s">
        <v>274</v>
      </c>
      <c r="J337" s="58"/>
      <c r="K337" s="58"/>
      <c r="L337" s="58" t="s">
        <v>288</v>
      </c>
      <c r="M337" s="58" t="s">
        <v>48</v>
      </c>
      <c r="N337" s="58">
        <v>0.97899999999999998</v>
      </c>
      <c r="O337" s="58" t="s">
        <v>494</v>
      </c>
      <c r="P337" s="58" t="s">
        <v>85</v>
      </c>
      <c r="Q337" s="58" t="s">
        <v>86</v>
      </c>
      <c r="R337" s="58" t="s">
        <v>1212</v>
      </c>
      <c r="S337" s="58" t="s">
        <v>1213</v>
      </c>
      <c r="T337" s="58" t="s">
        <v>279</v>
      </c>
    </row>
    <row r="338" spans="1:20" ht="25.95" customHeight="1">
      <c r="A338" s="58" t="s">
        <v>82</v>
      </c>
      <c r="B338" s="58" t="s">
        <v>48</v>
      </c>
      <c r="C338" s="58">
        <v>31</v>
      </c>
      <c r="D338" s="58" t="s">
        <v>479</v>
      </c>
      <c r="E338" s="58" t="s">
        <v>1208</v>
      </c>
      <c r="F338" s="58" t="s">
        <v>273</v>
      </c>
      <c r="G338" s="58" t="s">
        <v>273</v>
      </c>
      <c r="H338" s="58" t="s">
        <v>274</v>
      </c>
      <c r="I338" s="58" t="s">
        <v>273</v>
      </c>
      <c r="J338" s="58" t="s">
        <v>273</v>
      </c>
      <c r="K338" s="58"/>
      <c r="L338" s="58" t="s">
        <v>288</v>
      </c>
      <c r="M338" s="58" t="s">
        <v>48</v>
      </c>
      <c r="N338" s="58">
        <v>6.5000000000000002E-2</v>
      </c>
      <c r="O338" s="58" t="s">
        <v>554</v>
      </c>
      <c r="P338" s="58" t="s">
        <v>85</v>
      </c>
      <c r="Q338" s="58" t="s">
        <v>86</v>
      </c>
      <c r="R338" s="58" t="s">
        <v>1214</v>
      </c>
      <c r="S338" s="58" t="s">
        <v>1215</v>
      </c>
      <c r="T338" s="58" t="s">
        <v>279</v>
      </c>
    </row>
    <row r="339" spans="1:20" ht="25.95" customHeight="1">
      <c r="A339" s="58" t="s">
        <v>82</v>
      </c>
      <c r="B339" s="58" t="s">
        <v>48</v>
      </c>
      <c r="C339" s="58">
        <v>32</v>
      </c>
      <c r="D339" s="58" t="s">
        <v>361</v>
      </c>
      <c r="E339" s="58" t="s">
        <v>1216</v>
      </c>
      <c r="F339" s="58" t="s">
        <v>273</v>
      </c>
      <c r="G339" s="58" t="s">
        <v>274</v>
      </c>
      <c r="H339" s="58" t="s">
        <v>273</v>
      </c>
      <c r="I339" s="58" t="s">
        <v>274</v>
      </c>
      <c r="J339" s="58"/>
      <c r="K339" s="58"/>
      <c r="L339" s="58" t="s">
        <v>604</v>
      </c>
      <c r="M339" s="58" t="s">
        <v>48</v>
      </c>
      <c r="N339" s="58">
        <v>1.27</v>
      </c>
      <c r="O339" s="58" t="s">
        <v>494</v>
      </c>
      <c r="P339" s="58" t="s">
        <v>85</v>
      </c>
      <c r="Q339" s="58" t="s">
        <v>86</v>
      </c>
      <c r="R339" s="58" t="s">
        <v>1217</v>
      </c>
      <c r="S339" s="58" t="s">
        <v>1218</v>
      </c>
      <c r="T339" s="58" t="s">
        <v>279</v>
      </c>
    </row>
    <row r="340" spans="1:20" ht="25.95" customHeight="1">
      <c r="A340" s="58" t="s">
        <v>82</v>
      </c>
      <c r="B340" s="58" t="s">
        <v>48</v>
      </c>
      <c r="C340" s="58">
        <v>33</v>
      </c>
      <c r="D340" s="58" t="s">
        <v>479</v>
      </c>
      <c r="E340" s="58" t="s">
        <v>1208</v>
      </c>
      <c r="F340" s="58" t="s">
        <v>273</v>
      </c>
      <c r="G340" s="58" t="s">
        <v>273</v>
      </c>
      <c r="H340" s="58" t="s">
        <v>274</v>
      </c>
      <c r="I340" s="58" t="s">
        <v>273</v>
      </c>
      <c r="J340" s="58" t="s">
        <v>273</v>
      </c>
      <c r="K340" s="58"/>
      <c r="L340" s="58" t="s">
        <v>288</v>
      </c>
      <c r="M340" s="58" t="s">
        <v>48</v>
      </c>
      <c r="N340" s="58">
        <v>6.3E-2</v>
      </c>
      <c r="O340" s="58" t="s">
        <v>554</v>
      </c>
      <c r="P340" s="58" t="s">
        <v>85</v>
      </c>
      <c r="Q340" s="58" t="s">
        <v>86</v>
      </c>
      <c r="R340" s="58" t="s">
        <v>1219</v>
      </c>
      <c r="S340" s="58" t="s">
        <v>1220</v>
      </c>
      <c r="T340" s="58" t="s">
        <v>279</v>
      </c>
    </row>
    <row r="341" spans="1:20" ht="25.95" customHeight="1">
      <c r="A341" s="58" t="s">
        <v>82</v>
      </c>
      <c r="B341" s="58" t="s">
        <v>48</v>
      </c>
      <c r="C341" s="58">
        <v>34</v>
      </c>
      <c r="D341" s="58" t="s">
        <v>361</v>
      </c>
      <c r="E341" s="58" t="s">
        <v>1216</v>
      </c>
      <c r="F341" s="58" t="s">
        <v>273</v>
      </c>
      <c r="G341" s="58" t="s">
        <v>273</v>
      </c>
      <c r="H341" s="58" t="s">
        <v>274</v>
      </c>
      <c r="I341" s="58" t="s">
        <v>274</v>
      </c>
      <c r="J341" s="58"/>
      <c r="K341" s="58"/>
      <c r="L341" s="58" t="s">
        <v>288</v>
      </c>
      <c r="M341" s="58" t="s">
        <v>48</v>
      </c>
      <c r="N341" s="58">
        <v>1.3839999999999999</v>
      </c>
      <c r="O341" s="58" t="s">
        <v>494</v>
      </c>
      <c r="P341" s="58" t="s">
        <v>85</v>
      </c>
      <c r="Q341" s="58" t="s">
        <v>86</v>
      </c>
      <c r="R341" s="58" t="s">
        <v>1221</v>
      </c>
      <c r="S341" s="58" t="s">
        <v>1222</v>
      </c>
      <c r="T341" s="58" t="s">
        <v>279</v>
      </c>
    </row>
    <row r="342" spans="1:20" ht="25.95" customHeight="1">
      <c r="A342" s="58" t="s">
        <v>82</v>
      </c>
      <c r="B342" s="58" t="s">
        <v>48</v>
      </c>
      <c r="C342" s="58">
        <v>35</v>
      </c>
      <c r="D342" s="58" t="s">
        <v>361</v>
      </c>
      <c r="E342" s="58" t="s">
        <v>1223</v>
      </c>
      <c r="F342" s="58" t="s">
        <v>273</v>
      </c>
      <c r="G342" s="58" t="s">
        <v>273</v>
      </c>
      <c r="H342" s="58" t="s">
        <v>274</v>
      </c>
      <c r="I342" s="58" t="s">
        <v>274</v>
      </c>
      <c r="J342" s="58"/>
      <c r="K342" s="58"/>
      <c r="L342" s="58" t="s">
        <v>288</v>
      </c>
      <c r="M342" s="58" t="s">
        <v>48</v>
      </c>
      <c r="N342" s="58">
        <v>0.78800000000000003</v>
      </c>
      <c r="O342" s="58" t="s">
        <v>494</v>
      </c>
      <c r="P342" s="58" t="s">
        <v>85</v>
      </c>
      <c r="Q342" s="58" t="s">
        <v>86</v>
      </c>
      <c r="R342" s="58" t="s">
        <v>1224</v>
      </c>
      <c r="S342" s="58" t="s">
        <v>1225</v>
      </c>
      <c r="T342" s="58" t="s">
        <v>279</v>
      </c>
    </row>
    <row r="343" spans="1:20" ht="25.95" customHeight="1">
      <c r="A343" s="58" t="s">
        <v>82</v>
      </c>
      <c r="B343" s="58" t="s">
        <v>48</v>
      </c>
      <c r="C343" s="58">
        <v>36</v>
      </c>
      <c r="D343" s="58" t="s">
        <v>521</v>
      </c>
      <c r="E343" s="58" t="s">
        <v>660</v>
      </c>
      <c r="F343" s="58" t="s">
        <v>273</v>
      </c>
      <c r="G343" s="58" t="s">
        <v>273</v>
      </c>
      <c r="H343" s="58" t="s">
        <v>274</v>
      </c>
      <c r="I343" s="58" t="s">
        <v>274</v>
      </c>
      <c r="J343" s="58"/>
      <c r="K343" s="58"/>
      <c r="L343" s="58" t="s">
        <v>351</v>
      </c>
      <c r="M343" s="58" t="s">
        <v>48</v>
      </c>
      <c r="N343" s="58">
        <v>4.7E-2</v>
      </c>
      <c r="O343" s="58" t="s">
        <v>539</v>
      </c>
      <c r="P343" s="58" t="s">
        <v>85</v>
      </c>
      <c r="Q343" s="58" t="s">
        <v>86</v>
      </c>
      <c r="R343" s="58" t="s">
        <v>1226</v>
      </c>
      <c r="S343" s="58" t="s">
        <v>1227</v>
      </c>
      <c r="T343" s="58" t="s">
        <v>279</v>
      </c>
    </row>
    <row r="344" spans="1:20" ht="25.95" customHeight="1">
      <c r="A344" s="58" t="s">
        <v>82</v>
      </c>
      <c r="B344" s="58" t="s">
        <v>48</v>
      </c>
      <c r="C344" s="58">
        <v>37</v>
      </c>
      <c r="D344" s="58" t="s">
        <v>521</v>
      </c>
      <c r="E344" s="58" t="s">
        <v>580</v>
      </c>
      <c r="F344" s="58" t="s">
        <v>273</v>
      </c>
      <c r="G344" s="58" t="s">
        <v>273</v>
      </c>
      <c r="H344" s="58" t="s">
        <v>274</v>
      </c>
      <c r="I344" s="58" t="s">
        <v>274</v>
      </c>
      <c r="J344" s="58"/>
      <c r="K344" s="58"/>
      <c r="L344" s="58" t="s">
        <v>351</v>
      </c>
      <c r="M344" s="58" t="s">
        <v>48</v>
      </c>
      <c r="N344" s="58">
        <v>6.2E-2</v>
      </c>
      <c r="O344" s="58" t="s">
        <v>539</v>
      </c>
      <c r="P344" s="58" t="s">
        <v>85</v>
      </c>
      <c r="Q344" s="58" t="s">
        <v>86</v>
      </c>
      <c r="R344" s="58" t="s">
        <v>1228</v>
      </c>
      <c r="S344" s="58" t="s">
        <v>1229</v>
      </c>
      <c r="T344" s="58" t="s">
        <v>279</v>
      </c>
    </row>
    <row r="345" spans="1:20" ht="25.95" customHeight="1">
      <c r="A345" s="58" t="s">
        <v>82</v>
      </c>
      <c r="B345" s="58" t="s">
        <v>48</v>
      </c>
      <c r="C345" s="58">
        <v>38</v>
      </c>
      <c r="D345" s="58" t="s">
        <v>378</v>
      </c>
      <c r="E345" s="58" t="s">
        <v>1230</v>
      </c>
      <c r="F345" s="58" t="s">
        <v>273</v>
      </c>
      <c r="G345" s="58" t="s">
        <v>273</v>
      </c>
      <c r="H345" s="58" t="s">
        <v>274</v>
      </c>
      <c r="I345" s="58" t="s">
        <v>274</v>
      </c>
      <c r="J345" s="58"/>
      <c r="K345" s="58"/>
      <c r="L345" s="58" t="s">
        <v>288</v>
      </c>
      <c r="M345" s="58" t="s">
        <v>48</v>
      </c>
      <c r="N345" s="58">
        <v>7.5999999999999998E-2</v>
      </c>
      <c r="O345" s="58" t="s">
        <v>380</v>
      </c>
      <c r="P345" s="58" t="s">
        <v>85</v>
      </c>
      <c r="Q345" s="58" t="s">
        <v>86</v>
      </c>
      <c r="R345" s="58" t="s">
        <v>1231</v>
      </c>
      <c r="S345" s="58" t="s">
        <v>1232</v>
      </c>
      <c r="T345" s="58" t="s">
        <v>279</v>
      </c>
    </row>
    <row r="346" spans="1:20" ht="31.2">
      <c r="A346" s="58" t="s">
        <v>82</v>
      </c>
      <c r="B346" s="58" t="s">
        <v>48</v>
      </c>
      <c r="C346" s="58">
        <v>39</v>
      </c>
      <c r="D346" s="58" t="s">
        <v>361</v>
      </c>
      <c r="E346" s="58" t="s">
        <v>1233</v>
      </c>
      <c r="F346" s="58" t="s">
        <v>273</v>
      </c>
      <c r="G346" s="58" t="s">
        <v>273</v>
      </c>
      <c r="H346" s="58" t="s">
        <v>274</v>
      </c>
      <c r="I346" s="58" t="s">
        <v>274</v>
      </c>
      <c r="J346" s="58"/>
      <c r="K346" s="58"/>
      <c r="L346" s="58" t="s">
        <v>288</v>
      </c>
      <c r="M346" s="58" t="s">
        <v>48</v>
      </c>
      <c r="N346" s="58">
        <v>0.97099999999999997</v>
      </c>
      <c r="O346" s="58" t="s">
        <v>494</v>
      </c>
      <c r="P346" s="58" t="s">
        <v>85</v>
      </c>
      <c r="Q346" s="58" t="s">
        <v>86</v>
      </c>
      <c r="R346" s="58" t="s">
        <v>1234</v>
      </c>
      <c r="S346" s="58" t="s">
        <v>1235</v>
      </c>
      <c r="T346" s="58" t="s">
        <v>279</v>
      </c>
    </row>
    <row r="347" spans="1:20" ht="25.95" customHeight="1">
      <c r="A347" s="58" t="s">
        <v>82</v>
      </c>
      <c r="B347" s="58" t="s">
        <v>48</v>
      </c>
      <c r="C347" s="58">
        <v>40</v>
      </c>
      <c r="D347" s="58" t="s">
        <v>479</v>
      </c>
      <c r="E347" s="58" t="s">
        <v>1208</v>
      </c>
      <c r="F347" s="58" t="s">
        <v>273</v>
      </c>
      <c r="G347" s="58" t="s">
        <v>273</v>
      </c>
      <c r="H347" s="58" t="s">
        <v>274</v>
      </c>
      <c r="I347" s="58" t="s">
        <v>273</v>
      </c>
      <c r="J347" s="58" t="s">
        <v>273</v>
      </c>
      <c r="K347" s="58"/>
      <c r="L347" s="58" t="s">
        <v>288</v>
      </c>
      <c r="M347" s="58" t="s">
        <v>48</v>
      </c>
      <c r="N347" s="58">
        <v>5.3999999999999999E-2</v>
      </c>
      <c r="O347" s="58" t="s">
        <v>554</v>
      </c>
      <c r="P347" s="58" t="s">
        <v>85</v>
      </c>
      <c r="Q347" s="58" t="s">
        <v>86</v>
      </c>
      <c r="R347" s="58" t="s">
        <v>1236</v>
      </c>
      <c r="S347" s="58" t="s">
        <v>1237</v>
      </c>
      <c r="T347" s="58" t="s">
        <v>279</v>
      </c>
    </row>
    <row r="348" spans="1:20" ht="25.95" customHeight="1">
      <c r="A348" s="58" t="s">
        <v>82</v>
      </c>
      <c r="B348" s="58" t="s">
        <v>48</v>
      </c>
      <c r="C348" s="58">
        <v>41</v>
      </c>
      <c r="D348" s="58" t="s">
        <v>479</v>
      </c>
      <c r="E348" s="58" t="s">
        <v>1230</v>
      </c>
      <c r="F348" s="58" t="s">
        <v>273</v>
      </c>
      <c r="G348" s="58" t="s">
        <v>273</v>
      </c>
      <c r="H348" s="58" t="s">
        <v>274</v>
      </c>
      <c r="I348" s="58" t="s">
        <v>273</v>
      </c>
      <c r="J348" s="58" t="s">
        <v>273</v>
      </c>
      <c r="K348" s="58"/>
      <c r="L348" s="58" t="s">
        <v>288</v>
      </c>
      <c r="M348" s="58" t="s">
        <v>48</v>
      </c>
      <c r="N348" s="58">
        <v>5.0999999999999997E-2</v>
      </c>
      <c r="O348" s="58" t="s">
        <v>554</v>
      </c>
      <c r="P348" s="58" t="s">
        <v>85</v>
      </c>
      <c r="Q348" s="58" t="s">
        <v>86</v>
      </c>
      <c r="R348" s="58" t="s">
        <v>1238</v>
      </c>
      <c r="S348" s="58" t="s">
        <v>1239</v>
      </c>
      <c r="T348" s="58" t="s">
        <v>279</v>
      </c>
    </row>
    <row r="349" spans="1:20" ht="31.2">
      <c r="A349" s="58" t="s">
        <v>82</v>
      </c>
      <c r="B349" s="58" t="s">
        <v>48</v>
      </c>
      <c r="C349" s="58">
        <v>42</v>
      </c>
      <c r="D349" s="58" t="s">
        <v>361</v>
      </c>
      <c r="E349" s="58" t="s">
        <v>1240</v>
      </c>
      <c r="F349" s="58" t="s">
        <v>273</v>
      </c>
      <c r="G349" s="58" t="s">
        <v>273</v>
      </c>
      <c r="H349" s="58" t="s">
        <v>274</v>
      </c>
      <c r="I349" s="58" t="s">
        <v>274</v>
      </c>
      <c r="J349" s="58"/>
      <c r="K349" s="58"/>
      <c r="L349" s="58" t="s">
        <v>288</v>
      </c>
      <c r="M349" s="58" t="s">
        <v>48</v>
      </c>
      <c r="N349" s="58">
        <v>1.9910000000000001</v>
      </c>
      <c r="O349" s="58" t="s">
        <v>494</v>
      </c>
      <c r="P349" s="58" t="s">
        <v>85</v>
      </c>
      <c r="Q349" s="58" t="s">
        <v>86</v>
      </c>
      <c r="R349" s="58" t="s">
        <v>1241</v>
      </c>
      <c r="S349" s="58" t="s">
        <v>1242</v>
      </c>
      <c r="T349" s="58" t="s">
        <v>279</v>
      </c>
    </row>
    <row r="350" spans="1:20" ht="25.95" customHeight="1">
      <c r="A350" s="58" t="s">
        <v>82</v>
      </c>
      <c r="B350" s="58" t="s">
        <v>48</v>
      </c>
      <c r="C350" s="58">
        <v>43</v>
      </c>
      <c r="D350" s="58" t="s">
        <v>521</v>
      </c>
      <c r="E350" s="58" t="s">
        <v>657</v>
      </c>
      <c r="F350" s="58" t="s">
        <v>273</v>
      </c>
      <c r="G350" s="58" t="s">
        <v>273</v>
      </c>
      <c r="H350" s="58" t="s">
        <v>274</v>
      </c>
      <c r="I350" s="58" t="s">
        <v>274</v>
      </c>
      <c r="J350" s="58"/>
      <c r="K350" s="58"/>
      <c r="L350" s="58" t="s">
        <v>351</v>
      </c>
      <c r="M350" s="58" t="s">
        <v>48</v>
      </c>
      <c r="N350" s="58">
        <v>4.7E-2</v>
      </c>
      <c r="O350" s="58" t="s">
        <v>539</v>
      </c>
      <c r="P350" s="58" t="s">
        <v>85</v>
      </c>
      <c r="Q350" s="58" t="s">
        <v>86</v>
      </c>
      <c r="R350" s="58" t="s">
        <v>1243</v>
      </c>
      <c r="S350" s="58" t="s">
        <v>1244</v>
      </c>
      <c r="T350" s="58" t="s">
        <v>279</v>
      </c>
    </row>
    <row r="351" spans="1:20" ht="31.2">
      <c r="A351" s="58" t="s">
        <v>63</v>
      </c>
      <c r="B351" s="58" t="s">
        <v>35</v>
      </c>
      <c r="C351" s="58">
        <v>1</v>
      </c>
      <c r="D351" s="58" t="s">
        <v>333</v>
      </c>
      <c r="E351" s="58" t="s">
        <v>1245</v>
      </c>
      <c r="F351" s="58" t="s">
        <v>273</v>
      </c>
      <c r="G351" s="58" t="s">
        <v>273</v>
      </c>
      <c r="H351" s="58" t="s">
        <v>274</v>
      </c>
      <c r="I351" s="58" t="s">
        <v>274</v>
      </c>
      <c r="J351" s="58"/>
      <c r="K351" s="58"/>
      <c r="L351" s="58" t="s">
        <v>351</v>
      </c>
      <c r="M351" s="58" t="s">
        <v>35</v>
      </c>
      <c r="N351" s="58">
        <v>2.3E-2</v>
      </c>
      <c r="O351" s="58" t="s">
        <v>335</v>
      </c>
      <c r="P351" s="58" t="s">
        <v>89</v>
      </c>
      <c r="Q351" s="58" t="s">
        <v>90</v>
      </c>
      <c r="R351" s="58" t="s">
        <v>1246</v>
      </c>
      <c r="S351" s="58" t="s">
        <v>1247</v>
      </c>
      <c r="T351" s="58" t="s">
        <v>279</v>
      </c>
    </row>
    <row r="352" spans="1:20" ht="31.2">
      <c r="A352" s="58" t="s">
        <v>63</v>
      </c>
      <c r="B352" s="58" t="s">
        <v>35</v>
      </c>
      <c r="C352" s="58">
        <v>2</v>
      </c>
      <c r="D352" s="58" t="s">
        <v>361</v>
      </c>
      <c r="E352" s="58" t="s">
        <v>1248</v>
      </c>
      <c r="F352" s="58" t="s">
        <v>273</v>
      </c>
      <c r="G352" s="58" t="s">
        <v>273</v>
      </c>
      <c r="H352" s="58" t="s">
        <v>274</v>
      </c>
      <c r="I352" s="58" t="s">
        <v>274</v>
      </c>
      <c r="J352" s="58"/>
      <c r="K352" s="58"/>
      <c r="L352" s="58" t="s">
        <v>351</v>
      </c>
      <c r="M352" s="58" t="s">
        <v>35</v>
      </c>
      <c r="N352" s="58">
        <v>3.3889999999999998</v>
      </c>
      <c r="O352" s="58" t="s">
        <v>494</v>
      </c>
      <c r="P352" s="58" t="s">
        <v>89</v>
      </c>
      <c r="Q352" s="58" t="s">
        <v>90</v>
      </c>
      <c r="R352" s="58" t="s">
        <v>1249</v>
      </c>
      <c r="S352" s="58" t="s">
        <v>1250</v>
      </c>
      <c r="T352" s="58" t="s">
        <v>279</v>
      </c>
    </row>
    <row r="353" spans="1:20" ht="31.2">
      <c r="A353" s="58" t="s">
        <v>63</v>
      </c>
      <c r="B353" s="58" t="s">
        <v>35</v>
      </c>
      <c r="C353" s="58">
        <v>3</v>
      </c>
      <c r="D353" s="58" t="s">
        <v>333</v>
      </c>
      <c r="E353" s="58" t="s">
        <v>355</v>
      </c>
      <c r="F353" s="58" t="s">
        <v>273</v>
      </c>
      <c r="G353" s="58" t="s">
        <v>273</v>
      </c>
      <c r="H353" s="58" t="s">
        <v>274</v>
      </c>
      <c r="I353" s="58" t="s">
        <v>274</v>
      </c>
      <c r="J353" s="58"/>
      <c r="K353" s="58" t="s">
        <v>274</v>
      </c>
      <c r="L353" s="58" t="s">
        <v>275</v>
      </c>
      <c r="M353" s="58" t="s">
        <v>35</v>
      </c>
      <c r="N353" s="58">
        <v>8.0000000000000002E-3</v>
      </c>
      <c r="O353" s="58" t="s">
        <v>335</v>
      </c>
      <c r="P353" s="58" t="s">
        <v>89</v>
      </c>
      <c r="Q353" s="58" t="s">
        <v>90</v>
      </c>
      <c r="R353" s="58" t="s">
        <v>1251</v>
      </c>
      <c r="S353" s="58" t="s">
        <v>1252</v>
      </c>
      <c r="T353" s="58" t="s">
        <v>279</v>
      </c>
    </row>
    <row r="354" spans="1:20" ht="31.2">
      <c r="A354" s="58" t="s">
        <v>63</v>
      </c>
      <c r="B354" s="58" t="s">
        <v>35</v>
      </c>
      <c r="C354" s="58">
        <v>4</v>
      </c>
      <c r="D354" s="58" t="s">
        <v>361</v>
      </c>
      <c r="E354" s="58" t="s">
        <v>1253</v>
      </c>
      <c r="F354" s="58" t="s">
        <v>273</v>
      </c>
      <c r="G354" s="58" t="s">
        <v>273</v>
      </c>
      <c r="H354" s="58" t="s">
        <v>274</v>
      </c>
      <c r="I354" s="58" t="s">
        <v>274</v>
      </c>
      <c r="J354" s="58"/>
      <c r="K354" s="58"/>
      <c r="L354" s="58" t="s">
        <v>351</v>
      </c>
      <c r="M354" s="58" t="s">
        <v>35</v>
      </c>
      <c r="N354" s="58">
        <v>12.364000000000001</v>
      </c>
      <c r="O354" s="58" t="s">
        <v>494</v>
      </c>
      <c r="P354" s="58" t="s">
        <v>89</v>
      </c>
      <c r="Q354" s="58" t="s">
        <v>90</v>
      </c>
      <c r="R354" s="58" t="s">
        <v>1254</v>
      </c>
      <c r="S354" s="58" t="s">
        <v>1255</v>
      </c>
      <c r="T354" s="58" t="s">
        <v>279</v>
      </c>
    </row>
    <row r="355" spans="1:20" ht="31.2">
      <c r="A355" s="58" t="s">
        <v>63</v>
      </c>
      <c r="B355" s="58" t="s">
        <v>35</v>
      </c>
      <c r="C355" s="58">
        <v>5</v>
      </c>
      <c r="D355" s="58" t="s">
        <v>361</v>
      </c>
      <c r="E355" s="58" t="s">
        <v>509</v>
      </c>
      <c r="F355" s="58" t="s">
        <v>273</v>
      </c>
      <c r="G355" s="58" t="s">
        <v>273</v>
      </c>
      <c r="H355" s="58" t="s">
        <v>274</v>
      </c>
      <c r="I355" s="58" t="s">
        <v>274</v>
      </c>
      <c r="J355" s="58"/>
      <c r="K355" s="58"/>
      <c r="L355" s="58" t="s">
        <v>275</v>
      </c>
      <c r="M355" s="58" t="s">
        <v>35</v>
      </c>
      <c r="N355" s="58">
        <v>1.1639999999999999</v>
      </c>
      <c r="O355" s="58" t="s">
        <v>494</v>
      </c>
      <c r="P355" s="58" t="s">
        <v>89</v>
      </c>
      <c r="Q355" s="58" t="s">
        <v>90</v>
      </c>
      <c r="R355" s="58" t="s">
        <v>1256</v>
      </c>
      <c r="S355" s="58" t="s">
        <v>1257</v>
      </c>
      <c r="T355" s="58" t="s">
        <v>279</v>
      </c>
    </row>
    <row r="356" spans="1:20" ht="31.2">
      <c r="A356" s="58" t="s">
        <v>63</v>
      </c>
      <c r="B356" s="58" t="s">
        <v>35</v>
      </c>
      <c r="C356" s="58">
        <v>6</v>
      </c>
      <c r="D356" s="58" t="s">
        <v>361</v>
      </c>
      <c r="E356" s="58" t="s">
        <v>1258</v>
      </c>
      <c r="F356" s="58" t="s">
        <v>273</v>
      </c>
      <c r="G356" s="58" t="s">
        <v>273</v>
      </c>
      <c r="H356" s="58" t="s">
        <v>274</v>
      </c>
      <c r="I356" s="58" t="s">
        <v>274</v>
      </c>
      <c r="J356" s="58"/>
      <c r="K356" s="58"/>
      <c r="L356" s="58" t="s">
        <v>275</v>
      </c>
      <c r="M356" s="58" t="s">
        <v>35</v>
      </c>
      <c r="N356" s="58">
        <v>2.5529999999999999</v>
      </c>
      <c r="O356" s="58" t="s">
        <v>494</v>
      </c>
      <c r="P356" s="58" t="s">
        <v>89</v>
      </c>
      <c r="Q356" s="58" t="s">
        <v>90</v>
      </c>
      <c r="R356" s="58" t="s">
        <v>1259</v>
      </c>
      <c r="S356" s="58" t="s">
        <v>1260</v>
      </c>
      <c r="T356" s="58" t="s">
        <v>279</v>
      </c>
    </row>
    <row r="357" spans="1:20" ht="31.2">
      <c r="A357" s="58" t="s">
        <v>63</v>
      </c>
      <c r="B357" s="58" t="s">
        <v>35</v>
      </c>
      <c r="C357" s="58">
        <v>7</v>
      </c>
      <c r="D357" s="58" t="s">
        <v>361</v>
      </c>
      <c r="E357" s="58" t="s">
        <v>1261</v>
      </c>
      <c r="F357" s="58" t="s">
        <v>273</v>
      </c>
      <c r="G357" s="58" t="s">
        <v>273</v>
      </c>
      <c r="H357" s="58" t="s">
        <v>274</v>
      </c>
      <c r="I357" s="58" t="s">
        <v>274</v>
      </c>
      <c r="J357" s="58"/>
      <c r="K357" s="58"/>
      <c r="L357" s="58" t="s">
        <v>275</v>
      </c>
      <c r="M357" s="58" t="s">
        <v>35</v>
      </c>
      <c r="N357" s="58">
        <v>2.2789999999999999</v>
      </c>
      <c r="O357" s="58" t="s">
        <v>494</v>
      </c>
      <c r="P357" s="58" t="s">
        <v>89</v>
      </c>
      <c r="Q357" s="58" t="s">
        <v>90</v>
      </c>
      <c r="R357" s="58" t="s">
        <v>1262</v>
      </c>
      <c r="S357" s="58" t="s">
        <v>1263</v>
      </c>
      <c r="T357" s="58" t="s">
        <v>279</v>
      </c>
    </row>
    <row r="358" spans="1:20" ht="31.2">
      <c r="A358" s="58" t="s">
        <v>63</v>
      </c>
      <c r="B358" s="58" t="s">
        <v>35</v>
      </c>
      <c r="C358" s="58">
        <v>8</v>
      </c>
      <c r="D358" s="58" t="s">
        <v>361</v>
      </c>
      <c r="E358" s="58" t="s">
        <v>1264</v>
      </c>
      <c r="F358" s="58" t="s">
        <v>273</v>
      </c>
      <c r="G358" s="58" t="s">
        <v>273</v>
      </c>
      <c r="H358" s="58" t="s">
        <v>274</v>
      </c>
      <c r="I358" s="58" t="s">
        <v>274</v>
      </c>
      <c r="J358" s="58"/>
      <c r="K358" s="58"/>
      <c r="L358" s="58" t="s">
        <v>275</v>
      </c>
      <c r="M358" s="58" t="s">
        <v>35</v>
      </c>
      <c r="N358" s="58">
        <v>1.81</v>
      </c>
      <c r="O358" s="58" t="s">
        <v>494</v>
      </c>
      <c r="P358" s="58" t="s">
        <v>89</v>
      </c>
      <c r="Q358" s="58" t="s">
        <v>90</v>
      </c>
      <c r="R358" s="58" t="s">
        <v>1265</v>
      </c>
      <c r="S358" s="58" t="s">
        <v>1266</v>
      </c>
      <c r="T358" s="58" t="s">
        <v>279</v>
      </c>
    </row>
    <row r="359" spans="1:20" ht="31.2">
      <c r="A359" s="58" t="s">
        <v>63</v>
      </c>
      <c r="B359" s="58" t="s">
        <v>35</v>
      </c>
      <c r="C359" s="58">
        <v>9</v>
      </c>
      <c r="D359" s="58" t="s">
        <v>361</v>
      </c>
      <c r="E359" s="58" t="s">
        <v>1267</v>
      </c>
      <c r="F359" s="58" t="s">
        <v>273</v>
      </c>
      <c r="G359" s="58" t="s">
        <v>273</v>
      </c>
      <c r="H359" s="58" t="s">
        <v>274</v>
      </c>
      <c r="I359" s="58" t="s">
        <v>274</v>
      </c>
      <c r="J359" s="58"/>
      <c r="K359" s="58"/>
      <c r="L359" s="58" t="s">
        <v>275</v>
      </c>
      <c r="M359" s="58" t="s">
        <v>35</v>
      </c>
      <c r="N359" s="58">
        <v>1.5469999999999999</v>
      </c>
      <c r="O359" s="58" t="s">
        <v>494</v>
      </c>
      <c r="P359" s="58" t="s">
        <v>89</v>
      </c>
      <c r="Q359" s="58" t="s">
        <v>90</v>
      </c>
      <c r="R359" s="58" t="s">
        <v>1268</v>
      </c>
      <c r="S359" s="58" t="s">
        <v>1269</v>
      </c>
      <c r="T359" s="58" t="s">
        <v>279</v>
      </c>
    </row>
    <row r="360" spans="1:20" ht="31.2">
      <c r="A360" s="58" t="s">
        <v>63</v>
      </c>
      <c r="B360" s="58" t="s">
        <v>35</v>
      </c>
      <c r="C360" s="58">
        <v>10</v>
      </c>
      <c r="D360" s="58" t="s">
        <v>361</v>
      </c>
      <c r="E360" s="58" t="s">
        <v>1270</v>
      </c>
      <c r="F360" s="58" t="s">
        <v>273</v>
      </c>
      <c r="G360" s="58" t="s">
        <v>273</v>
      </c>
      <c r="H360" s="58" t="s">
        <v>274</v>
      </c>
      <c r="I360" s="58" t="s">
        <v>274</v>
      </c>
      <c r="J360" s="58"/>
      <c r="K360" s="58"/>
      <c r="L360" s="58" t="s">
        <v>275</v>
      </c>
      <c r="M360" s="58" t="s">
        <v>35</v>
      </c>
      <c r="N360" s="58">
        <v>2.085</v>
      </c>
      <c r="O360" s="58" t="s">
        <v>494</v>
      </c>
      <c r="P360" s="58" t="s">
        <v>89</v>
      </c>
      <c r="Q360" s="58" t="s">
        <v>90</v>
      </c>
      <c r="R360" s="58" t="s">
        <v>1271</v>
      </c>
      <c r="S360" s="58" t="s">
        <v>1272</v>
      </c>
      <c r="T360" s="58" t="s">
        <v>279</v>
      </c>
    </row>
    <row r="361" spans="1:20" ht="31.2">
      <c r="A361" s="58" t="s">
        <v>63</v>
      </c>
      <c r="B361" s="58" t="s">
        <v>35</v>
      </c>
      <c r="C361" s="58">
        <v>11</v>
      </c>
      <c r="D361" s="58" t="s">
        <v>361</v>
      </c>
      <c r="E361" s="58" t="s">
        <v>1273</v>
      </c>
      <c r="F361" s="58" t="s">
        <v>273</v>
      </c>
      <c r="G361" s="58" t="s">
        <v>274</v>
      </c>
      <c r="H361" s="58" t="s">
        <v>273</v>
      </c>
      <c r="I361" s="58" t="s">
        <v>274</v>
      </c>
      <c r="J361" s="58"/>
      <c r="K361" s="58"/>
      <c r="L361" s="58" t="s">
        <v>275</v>
      </c>
      <c r="M361" s="58" t="s">
        <v>35</v>
      </c>
      <c r="N361" s="58">
        <v>1.5389999999999999</v>
      </c>
      <c r="O361" s="58" t="s">
        <v>494</v>
      </c>
      <c r="P361" s="58" t="s">
        <v>89</v>
      </c>
      <c r="Q361" s="58" t="s">
        <v>90</v>
      </c>
      <c r="R361" s="58" t="s">
        <v>1274</v>
      </c>
      <c r="S361" s="58" t="s">
        <v>1275</v>
      </c>
      <c r="T361" s="58" t="s">
        <v>279</v>
      </c>
    </row>
    <row r="362" spans="1:20" ht="31.2">
      <c r="A362" s="58" t="s">
        <v>63</v>
      </c>
      <c r="B362" s="58" t="s">
        <v>35</v>
      </c>
      <c r="C362" s="58">
        <v>12</v>
      </c>
      <c r="D362" s="58" t="s">
        <v>361</v>
      </c>
      <c r="E362" s="58" t="s">
        <v>1276</v>
      </c>
      <c r="F362" s="58" t="s">
        <v>273</v>
      </c>
      <c r="G362" s="58" t="s">
        <v>273</v>
      </c>
      <c r="H362" s="58" t="s">
        <v>274</v>
      </c>
      <c r="I362" s="58" t="s">
        <v>274</v>
      </c>
      <c r="J362" s="58"/>
      <c r="K362" s="58"/>
      <c r="L362" s="58" t="s">
        <v>275</v>
      </c>
      <c r="M362" s="58" t="s">
        <v>35</v>
      </c>
      <c r="N362" s="58">
        <v>1.516</v>
      </c>
      <c r="O362" s="58" t="s">
        <v>494</v>
      </c>
      <c r="P362" s="58" t="s">
        <v>89</v>
      </c>
      <c r="Q362" s="58" t="s">
        <v>90</v>
      </c>
      <c r="R362" s="58" t="s">
        <v>1277</v>
      </c>
      <c r="S362" s="58" t="s">
        <v>1278</v>
      </c>
      <c r="T362" s="58" t="s">
        <v>279</v>
      </c>
    </row>
    <row r="363" spans="1:20" ht="31.2">
      <c r="A363" s="58" t="s">
        <v>63</v>
      </c>
      <c r="B363" s="58" t="s">
        <v>35</v>
      </c>
      <c r="C363" s="58">
        <v>13</v>
      </c>
      <c r="D363" s="58" t="s">
        <v>361</v>
      </c>
      <c r="E363" s="58" t="s">
        <v>1279</v>
      </c>
      <c r="F363" s="58" t="s">
        <v>273</v>
      </c>
      <c r="G363" s="58" t="s">
        <v>273</v>
      </c>
      <c r="H363" s="58" t="s">
        <v>274</v>
      </c>
      <c r="I363" s="58" t="s">
        <v>274</v>
      </c>
      <c r="J363" s="58"/>
      <c r="K363" s="58"/>
      <c r="L363" s="58" t="s">
        <v>275</v>
      </c>
      <c r="M363" s="58" t="s">
        <v>35</v>
      </c>
      <c r="N363" s="58">
        <v>1.6020000000000001</v>
      </c>
      <c r="O363" s="58" t="s">
        <v>494</v>
      </c>
      <c r="P363" s="58" t="s">
        <v>89</v>
      </c>
      <c r="Q363" s="58" t="s">
        <v>90</v>
      </c>
      <c r="R363" s="58" t="s">
        <v>1280</v>
      </c>
      <c r="S363" s="58" t="s">
        <v>1281</v>
      </c>
      <c r="T363" s="58" t="s">
        <v>279</v>
      </c>
    </row>
    <row r="364" spans="1:20" ht="31.2">
      <c r="A364" s="58" t="s">
        <v>63</v>
      </c>
      <c r="B364" s="58" t="s">
        <v>35</v>
      </c>
      <c r="C364" s="58">
        <v>14</v>
      </c>
      <c r="D364" s="58" t="s">
        <v>361</v>
      </c>
      <c r="E364" s="58" t="s">
        <v>1282</v>
      </c>
      <c r="F364" s="58" t="s">
        <v>273</v>
      </c>
      <c r="G364" s="58" t="s">
        <v>273</v>
      </c>
      <c r="H364" s="58" t="s">
        <v>274</v>
      </c>
      <c r="I364" s="58" t="s">
        <v>274</v>
      </c>
      <c r="J364" s="58"/>
      <c r="K364" s="58"/>
      <c r="L364" s="58" t="s">
        <v>275</v>
      </c>
      <c r="M364" s="58" t="s">
        <v>35</v>
      </c>
      <c r="N364" s="58">
        <v>1.9530000000000001</v>
      </c>
      <c r="O364" s="58" t="s">
        <v>494</v>
      </c>
      <c r="P364" s="58" t="s">
        <v>89</v>
      </c>
      <c r="Q364" s="58" t="s">
        <v>90</v>
      </c>
      <c r="R364" s="58" t="s">
        <v>1283</v>
      </c>
      <c r="S364" s="58" t="s">
        <v>1284</v>
      </c>
      <c r="T364" s="58" t="s">
        <v>279</v>
      </c>
    </row>
    <row r="365" spans="1:20" ht="31.2">
      <c r="A365" s="58" t="s">
        <v>63</v>
      </c>
      <c r="B365" s="58" t="s">
        <v>35</v>
      </c>
      <c r="C365" s="58">
        <v>15</v>
      </c>
      <c r="D365" s="58" t="s">
        <v>361</v>
      </c>
      <c r="E365" s="58" t="s">
        <v>1285</v>
      </c>
      <c r="F365" s="58" t="s">
        <v>273</v>
      </c>
      <c r="G365" s="58" t="s">
        <v>273</v>
      </c>
      <c r="H365" s="58" t="s">
        <v>274</v>
      </c>
      <c r="I365" s="58" t="s">
        <v>274</v>
      </c>
      <c r="J365" s="58"/>
      <c r="K365" s="58"/>
      <c r="L365" s="58" t="s">
        <v>275</v>
      </c>
      <c r="M365" s="58" t="s">
        <v>35</v>
      </c>
      <c r="N365" s="58">
        <v>1.4810000000000001</v>
      </c>
      <c r="O365" s="58" t="s">
        <v>494</v>
      </c>
      <c r="P365" s="58" t="s">
        <v>89</v>
      </c>
      <c r="Q365" s="58" t="s">
        <v>90</v>
      </c>
      <c r="R365" s="58" t="s">
        <v>1286</v>
      </c>
      <c r="S365" s="58" t="s">
        <v>1287</v>
      </c>
      <c r="T365" s="58" t="s">
        <v>279</v>
      </c>
    </row>
    <row r="366" spans="1:20" ht="31.2">
      <c r="A366" s="58" t="s">
        <v>63</v>
      </c>
      <c r="B366" s="58" t="s">
        <v>35</v>
      </c>
      <c r="C366" s="58">
        <v>16</v>
      </c>
      <c r="D366" s="58" t="s">
        <v>361</v>
      </c>
      <c r="E366" s="58" t="s">
        <v>1288</v>
      </c>
      <c r="F366" s="58" t="s">
        <v>273</v>
      </c>
      <c r="G366" s="58" t="s">
        <v>273</v>
      </c>
      <c r="H366" s="58" t="s">
        <v>274</v>
      </c>
      <c r="I366" s="58" t="s">
        <v>274</v>
      </c>
      <c r="J366" s="58"/>
      <c r="K366" s="58"/>
      <c r="L366" s="58" t="s">
        <v>275</v>
      </c>
      <c r="M366" s="58" t="s">
        <v>35</v>
      </c>
      <c r="N366" s="58">
        <v>1.7010000000000001</v>
      </c>
      <c r="O366" s="58" t="s">
        <v>494</v>
      </c>
      <c r="P366" s="58" t="s">
        <v>89</v>
      </c>
      <c r="Q366" s="58" t="s">
        <v>90</v>
      </c>
      <c r="R366" s="58" t="s">
        <v>1289</v>
      </c>
      <c r="S366" s="58" t="s">
        <v>1290</v>
      </c>
      <c r="T366" s="58" t="s">
        <v>279</v>
      </c>
    </row>
    <row r="367" spans="1:20" ht="31.2">
      <c r="A367" s="58" t="s">
        <v>63</v>
      </c>
      <c r="B367" s="58" t="s">
        <v>35</v>
      </c>
      <c r="C367" s="58">
        <v>17</v>
      </c>
      <c r="D367" s="58" t="s">
        <v>361</v>
      </c>
      <c r="E367" s="58" t="s">
        <v>1291</v>
      </c>
      <c r="F367" s="58" t="s">
        <v>273</v>
      </c>
      <c r="G367" s="58" t="s">
        <v>273</v>
      </c>
      <c r="H367" s="58" t="s">
        <v>274</v>
      </c>
      <c r="I367" s="58" t="s">
        <v>274</v>
      </c>
      <c r="J367" s="58"/>
      <c r="K367" s="58"/>
      <c r="L367" s="58" t="s">
        <v>275</v>
      </c>
      <c r="M367" s="58" t="s">
        <v>35</v>
      </c>
      <c r="N367" s="58">
        <v>2.1469999999999998</v>
      </c>
      <c r="O367" s="58" t="s">
        <v>494</v>
      </c>
      <c r="P367" s="58" t="s">
        <v>89</v>
      </c>
      <c r="Q367" s="58" t="s">
        <v>90</v>
      </c>
      <c r="R367" s="58" t="s">
        <v>1292</v>
      </c>
      <c r="S367" s="58" t="s">
        <v>1293</v>
      </c>
      <c r="T367" s="58" t="s">
        <v>279</v>
      </c>
    </row>
    <row r="368" spans="1:20" ht="31.2">
      <c r="A368" s="58" t="s">
        <v>63</v>
      </c>
      <c r="B368" s="58" t="s">
        <v>35</v>
      </c>
      <c r="C368" s="58">
        <v>18</v>
      </c>
      <c r="D368" s="58" t="s">
        <v>361</v>
      </c>
      <c r="E368" s="58" t="s">
        <v>1294</v>
      </c>
      <c r="F368" s="58" t="s">
        <v>273</v>
      </c>
      <c r="G368" s="58" t="s">
        <v>273</v>
      </c>
      <c r="H368" s="58" t="s">
        <v>274</v>
      </c>
      <c r="I368" s="58" t="s">
        <v>274</v>
      </c>
      <c r="J368" s="58"/>
      <c r="K368" s="58"/>
      <c r="L368" s="58" t="s">
        <v>275</v>
      </c>
      <c r="M368" s="58" t="s">
        <v>35</v>
      </c>
      <c r="N368" s="58">
        <v>1.544</v>
      </c>
      <c r="O368" s="58" t="s">
        <v>494</v>
      </c>
      <c r="P368" s="58" t="s">
        <v>89</v>
      </c>
      <c r="Q368" s="58" t="s">
        <v>90</v>
      </c>
      <c r="R368" s="58" t="s">
        <v>1295</v>
      </c>
      <c r="S368" s="58" t="s">
        <v>1296</v>
      </c>
      <c r="T368" s="58" t="s">
        <v>279</v>
      </c>
    </row>
    <row r="369" spans="1:20" ht="31.2">
      <c r="A369" s="58" t="s">
        <v>63</v>
      </c>
      <c r="B369" s="58" t="s">
        <v>35</v>
      </c>
      <c r="C369" s="58">
        <v>19</v>
      </c>
      <c r="D369" s="58" t="s">
        <v>361</v>
      </c>
      <c r="E369" s="58" t="s">
        <v>1297</v>
      </c>
      <c r="F369" s="58" t="s">
        <v>273</v>
      </c>
      <c r="G369" s="58" t="s">
        <v>273</v>
      </c>
      <c r="H369" s="58" t="s">
        <v>274</v>
      </c>
      <c r="I369" s="58" t="s">
        <v>274</v>
      </c>
      <c r="J369" s="58"/>
      <c r="K369" s="58"/>
      <c r="L369" s="58" t="s">
        <v>275</v>
      </c>
      <c r="M369" s="58" t="s">
        <v>35</v>
      </c>
      <c r="N369" s="58">
        <v>2.0390000000000001</v>
      </c>
      <c r="O369" s="58" t="s">
        <v>494</v>
      </c>
      <c r="P369" s="58" t="s">
        <v>89</v>
      </c>
      <c r="Q369" s="58" t="s">
        <v>90</v>
      </c>
      <c r="R369" s="58" t="s">
        <v>1298</v>
      </c>
      <c r="S369" s="58" t="s">
        <v>1299</v>
      </c>
      <c r="T369" s="58" t="s">
        <v>279</v>
      </c>
    </row>
    <row r="370" spans="1:20" ht="31.2">
      <c r="A370" s="58" t="s">
        <v>63</v>
      </c>
      <c r="B370" s="58" t="s">
        <v>35</v>
      </c>
      <c r="C370" s="58">
        <v>20</v>
      </c>
      <c r="D370" s="58" t="s">
        <v>361</v>
      </c>
      <c r="E370" s="58" t="s">
        <v>1300</v>
      </c>
      <c r="F370" s="58" t="s">
        <v>273</v>
      </c>
      <c r="G370" s="58" t="s">
        <v>273</v>
      </c>
      <c r="H370" s="58" t="s">
        <v>274</v>
      </c>
      <c r="I370" s="58" t="s">
        <v>274</v>
      </c>
      <c r="J370" s="58"/>
      <c r="K370" s="58"/>
      <c r="L370" s="58" t="s">
        <v>275</v>
      </c>
      <c r="M370" s="58" t="s">
        <v>35</v>
      </c>
      <c r="N370" s="58">
        <v>2.2240000000000002</v>
      </c>
      <c r="O370" s="58" t="s">
        <v>494</v>
      </c>
      <c r="P370" s="58" t="s">
        <v>89</v>
      </c>
      <c r="Q370" s="58" t="s">
        <v>90</v>
      </c>
      <c r="R370" s="58" t="s">
        <v>1301</v>
      </c>
      <c r="S370" s="58" t="s">
        <v>1302</v>
      </c>
      <c r="T370" s="58" t="s">
        <v>279</v>
      </c>
    </row>
    <row r="371" spans="1:20" ht="31.2">
      <c r="A371" s="58" t="s">
        <v>63</v>
      </c>
      <c r="B371" s="58" t="s">
        <v>35</v>
      </c>
      <c r="C371" s="58">
        <v>21</v>
      </c>
      <c r="D371" s="58" t="s">
        <v>361</v>
      </c>
      <c r="E371" s="58" t="s">
        <v>1303</v>
      </c>
      <c r="F371" s="58" t="s">
        <v>273</v>
      </c>
      <c r="G371" s="58" t="s">
        <v>273</v>
      </c>
      <c r="H371" s="58" t="s">
        <v>274</v>
      </c>
      <c r="I371" s="58" t="s">
        <v>274</v>
      </c>
      <c r="J371" s="58"/>
      <c r="K371" s="58"/>
      <c r="L371" s="58" t="s">
        <v>275</v>
      </c>
      <c r="M371" s="58" t="s">
        <v>35</v>
      </c>
      <c r="N371" s="58">
        <v>1.5269999999999999</v>
      </c>
      <c r="O371" s="58" t="s">
        <v>494</v>
      </c>
      <c r="P371" s="58" t="s">
        <v>89</v>
      </c>
      <c r="Q371" s="58" t="s">
        <v>90</v>
      </c>
      <c r="R371" s="58" t="s">
        <v>1304</v>
      </c>
      <c r="S371" s="58" t="s">
        <v>1305</v>
      </c>
      <c r="T371" s="58" t="s">
        <v>279</v>
      </c>
    </row>
    <row r="372" spans="1:20" ht="31.2">
      <c r="A372" s="58" t="s">
        <v>63</v>
      </c>
      <c r="B372" s="58" t="s">
        <v>35</v>
      </c>
      <c r="C372" s="58">
        <v>22</v>
      </c>
      <c r="D372" s="58" t="s">
        <v>361</v>
      </c>
      <c r="E372" s="58" t="s">
        <v>1306</v>
      </c>
      <c r="F372" s="58" t="s">
        <v>273</v>
      </c>
      <c r="G372" s="58" t="s">
        <v>273</v>
      </c>
      <c r="H372" s="58" t="s">
        <v>274</v>
      </c>
      <c r="I372" s="58" t="s">
        <v>274</v>
      </c>
      <c r="J372" s="58"/>
      <c r="K372" s="58"/>
      <c r="L372" s="58" t="s">
        <v>275</v>
      </c>
      <c r="M372" s="58" t="s">
        <v>35</v>
      </c>
      <c r="N372" s="58">
        <v>1.7609999999999999</v>
      </c>
      <c r="O372" s="58" t="s">
        <v>494</v>
      </c>
      <c r="P372" s="58" t="s">
        <v>89</v>
      </c>
      <c r="Q372" s="58" t="s">
        <v>90</v>
      </c>
      <c r="R372" s="58" t="s">
        <v>1307</v>
      </c>
      <c r="S372" s="58" t="s">
        <v>1308</v>
      </c>
      <c r="T372" s="58" t="s">
        <v>279</v>
      </c>
    </row>
    <row r="373" spans="1:20" ht="31.2">
      <c r="A373" s="58" t="s">
        <v>63</v>
      </c>
      <c r="B373" s="58" t="s">
        <v>35</v>
      </c>
      <c r="C373" s="58">
        <v>23</v>
      </c>
      <c r="D373" s="58" t="s">
        <v>361</v>
      </c>
      <c r="E373" s="58" t="s">
        <v>1309</v>
      </c>
      <c r="F373" s="58" t="s">
        <v>273</v>
      </c>
      <c r="G373" s="58" t="s">
        <v>273</v>
      </c>
      <c r="H373" s="58" t="s">
        <v>274</v>
      </c>
      <c r="I373" s="58" t="s">
        <v>274</v>
      </c>
      <c r="J373" s="58"/>
      <c r="K373" s="58"/>
      <c r="L373" s="58" t="s">
        <v>275</v>
      </c>
      <c r="M373" s="58" t="s">
        <v>35</v>
      </c>
      <c r="N373" s="58">
        <v>1.268</v>
      </c>
      <c r="O373" s="58" t="s">
        <v>494</v>
      </c>
      <c r="P373" s="58" t="s">
        <v>89</v>
      </c>
      <c r="Q373" s="58" t="s">
        <v>90</v>
      </c>
      <c r="R373" s="58" t="s">
        <v>1310</v>
      </c>
      <c r="S373" s="58" t="s">
        <v>1311</v>
      </c>
      <c r="T373" s="58" t="s">
        <v>279</v>
      </c>
    </row>
    <row r="374" spans="1:20" ht="31.2">
      <c r="A374" s="58" t="s">
        <v>63</v>
      </c>
      <c r="B374" s="58" t="s">
        <v>35</v>
      </c>
      <c r="C374" s="58">
        <v>24</v>
      </c>
      <c r="D374" s="58" t="s">
        <v>361</v>
      </c>
      <c r="E374" s="58" t="s">
        <v>1312</v>
      </c>
      <c r="F374" s="58" t="s">
        <v>273</v>
      </c>
      <c r="G374" s="58" t="s">
        <v>273</v>
      </c>
      <c r="H374" s="58" t="s">
        <v>274</v>
      </c>
      <c r="I374" s="58" t="s">
        <v>274</v>
      </c>
      <c r="J374" s="58"/>
      <c r="K374" s="58"/>
      <c r="L374" s="58" t="s">
        <v>275</v>
      </c>
      <c r="M374" s="58" t="s">
        <v>35</v>
      </c>
      <c r="N374" s="58">
        <v>2.1579999999999999</v>
      </c>
      <c r="O374" s="58" t="s">
        <v>494</v>
      </c>
      <c r="P374" s="58" t="s">
        <v>89</v>
      </c>
      <c r="Q374" s="58" t="s">
        <v>90</v>
      </c>
      <c r="R374" s="58" t="s">
        <v>1313</v>
      </c>
      <c r="S374" s="58" t="s">
        <v>1314</v>
      </c>
      <c r="T374" s="58" t="s">
        <v>279</v>
      </c>
    </row>
    <row r="375" spans="1:20" ht="31.2">
      <c r="A375" s="58" t="s">
        <v>63</v>
      </c>
      <c r="B375" s="58" t="s">
        <v>35</v>
      </c>
      <c r="C375" s="58">
        <v>25</v>
      </c>
      <c r="D375" s="58" t="s">
        <v>361</v>
      </c>
      <c r="E375" s="58" t="s">
        <v>1315</v>
      </c>
      <c r="F375" s="58" t="s">
        <v>273</v>
      </c>
      <c r="G375" s="58" t="s">
        <v>273</v>
      </c>
      <c r="H375" s="58" t="s">
        <v>274</v>
      </c>
      <c r="I375" s="58" t="s">
        <v>274</v>
      </c>
      <c r="J375" s="58"/>
      <c r="K375" s="58"/>
      <c r="L375" s="58" t="s">
        <v>275</v>
      </c>
      <c r="M375" s="58" t="s">
        <v>35</v>
      </c>
      <c r="N375" s="58">
        <v>3.008</v>
      </c>
      <c r="O375" s="58" t="s">
        <v>494</v>
      </c>
      <c r="P375" s="58" t="s">
        <v>89</v>
      </c>
      <c r="Q375" s="58" t="s">
        <v>90</v>
      </c>
      <c r="R375" s="58" t="s">
        <v>1316</v>
      </c>
      <c r="S375" s="58" t="s">
        <v>1317</v>
      </c>
      <c r="T375" s="58" t="s">
        <v>279</v>
      </c>
    </row>
    <row r="376" spans="1:20" ht="31.2">
      <c r="A376" s="58" t="s">
        <v>63</v>
      </c>
      <c r="B376" s="58" t="s">
        <v>35</v>
      </c>
      <c r="C376" s="58">
        <v>26</v>
      </c>
      <c r="D376" s="58" t="s">
        <v>361</v>
      </c>
      <c r="E376" s="58" t="s">
        <v>1318</v>
      </c>
      <c r="F376" s="58" t="s">
        <v>273</v>
      </c>
      <c r="G376" s="58" t="s">
        <v>273</v>
      </c>
      <c r="H376" s="58" t="s">
        <v>274</v>
      </c>
      <c r="I376" s="58" t="s">
        <v>274</v>
      </c>
      <c r="J376" s="58"/>
      <c r="K376" s="58"/>
      <c r="L376" s="58" t="s">
        <v>275</v>
      </c>
      <c r="M376" s="58" t="s">
        <v>35</v>
      </c>
      <c r="N376" s="58">
        <v>1.3919999999999999</v>
      </c>
      <c r="O376" s="58" t="s">
        <v>494</v>
      </c>
      <c r="P376" s="58" t="s">
        <v>89</v>
      </c>
      <c r="Q376" s="58" t="s">
        <v>90</v>
      </c>
      <c r="R376" s="58" t="s">
        <v>1319</v>
      </c>
      <c r="S376" s="58" t="s">
        <v>1320</v>
      </c>
      <c r="T376" s="58" t="s">
        <v>279</v>
      </c>
    </row>
    <row r="377" spans="1:20" ht="31.2">
      <c r="A377" s="58" t="s">
        <v>63</v>
      </c>
      <c r="B377" s="58" t="s">
        <v>35</v>
      </c>
      <c r="C377" s="58">
        <v>27</v>
      </c>
      <c r="D377" s="58" t="s">
        <v>361</v>
      </c>
      <c r="E377" s="58" t="s">
        <v>1321</v>
      </c>
      <c r="F377" s="58" t="s">
        <v>273</v>
      </c>
      <c r="G377" s="58" t="s">
        <v>273</v>
      </c>
      <c r="H377" s="58" t="s">
        <v>274</v>
      </c>
      <c r="I377" s="58" t="s">
        <v>274</v>
      </c>
      <c r="J377" s="58"/>
      <c r="K377" s="58"/>
      <c r="L377" s="58" t="s">
        <v>275</v>
      </c>
      <c r="M377" s="58" t="s">
        <v>35</v>
      </c>
      <c r="N377" s="58">
        <v>1.78</v>
      </c>
      <c r="O377" s="58" t="s">
        <v>494</v>
      </c>
      <c r="P377" s="58" t="s">
        <v>89</v>
      </c>
      <c r="Q377" s="58" t="s">
        <v>90</v>
      </c>
      <c r="R377" s="58" t="s">
        <v>1322</v>
      </c>
      <c r="S377" s="58" t="s">
        <v>1323</v>
      </c>
      <c r="T377" s="58" t="s">
        <v>279</v>
      </c>
    </row>
    <row r="378" spans="1:20" ht="31.2">
      <c r="A378" s="58" t="s">
        <v>63</v>
      </c>
      <c r="B378" s="58" t="s">
        <v>35</v>
      </c>
      <c r="C378" s="58">
        <v>28</v>
      </c>
      <c r="D378" s="58" t="s">
        <v>361</v>
      </c>
      <c r="E378" s="58" t="s">
        <v>1324</v>
      </c>
      <c r="F378" s="58" t="s">
        <v>273</v>
      </c>
      <c r="G378" s="58" t="s">
        <v>273</v>
      </c>
      <c r="H378" s="58" t="s">
        <v>274</v>
      </c>
      <c r="I378" s="58" t="s">
        <v>274</v>
      </c>
      <c r="J378" s="58"/>
      <c r="K378" s="58"/>
      <c r="L378" s="58" t="s">
        <v>275</v>
      </c>
      <c r="M378" s="58" t="s">
        <v>35</v>
      </c>
      <c r="N378" s="58">
        <v>2.2829999999999999</v>
      </c>
      <c r="O378" s="58" t="s">
        <v>494</v>
      </c>
      <c r="P378" s="58" t="s">
        <v>89</v>
      </c>
      <c r="Q378" s="58" t="s">
        <v>90</v>
      </c>
      <c r="R378" s="58" t="s">
        <v>1325</v>
      </c>
      <c r="S378" s="58" t="s">
        <v>1326</v>
      </c>
      <c r="T378" s="58" t="s">
        <v>279</v>
      </c>
    </row>
    <row r="379" spans="1:20" ht="31.2">
      <c r="A379" s="58" t="s">
        <v>63</v>
      </c>
      <c r="B379" s="58" t="s">
        <v>35</v>
      </c>
      <c r="C379" s="58">
        <v>29</v>
      </c>
      <c r="D379" s="58" t="s">
        <v>378</v>
      </c>
      <c r="E379" s="58" t="s">
        <v>1327</v>
      </c>
      <c r="F379" s="58" t="s">
        <v>273</v>
      </c>
      <c r="G379" s="58" t="s">
        <v>273</v>
      </c>
      <c r="H379" s="58" t="s">
        <v>274</v>
      </c>
      <c r="I379" s="58" t="s">
        <v>274</v>
      </c>
      <c r="J379" s="58"/>
      <c r="K379" s="58"/>
      <c r="L379" s="58" t="s">
        <v>288</v>
      </c>
      <c r="M379" s="58" t="s">
        <v>35</v>
      </c>
      <c r="N379" s="58">
        <v>4.2999999999999997E-2</v>
      </c>
      <c r="O379" s="58" t="s">
        <v>380</v>
      </c>
      <c r="P379" s="58" t="s">
        <v>89</v>
      </c>
      <c r="Q379" s="58" t="s">
        <v>90</v>
      </c>
      <c r="R379" s="58" t="s">
        <v>1328</v>
      </c>
      <c r="S379" s="58" t="s">
        <v>1329</v>
      </c>
      <c r="T379" s="58" t="s">
        <v>279</v>
      </c>
    </row>
    <row r="380" spans="1:20" ht="31.2">
      <c r="A380" s="58" t="s">
        <v>63</v>
      </c>
      <c r="B380" s="58" t="s">
        <v>35</v>
      </c>
      <c r="C380" s="58">
        <v>30</v>
      </c>
      <c r="D380" s="58" t="s">
        <v>361</v>
      </c>
      <c r="E380" s="58" t="s">
        <v>1330</v>
      </c>
      <c r="F380" s="58" t="s">
        <v>273</v>
      </c>
      <c r="G380" s="58" t="s">
        <v>273</v>
      </c>
      <c r="H380" s="58" t="s">
        <v>274</v>
      </c>
      <c r="I380" s="58" t="s">
        <v>274</v>
      </c>
      <c r="J380" s="58"/>
      <c r="K380" s="58"/>
      <c r="L380" s="58" t="s">
        <v>288</v>
      </c>
      <c r="M380" s="58" t="s">
        <v>35</v>
      </c>
      <c r="N380" s="58">
        <v>9.8610000000000007</v>
      </c>
      <c r="O380" s="58" t="s">
        <v>494</v>
      </c>
      <c r="P380" s="58" t="s">
        <v>89</v>
      </c>
      <c r="Q380" s="58" t="s">
        <v>90</v>
      </c>
      <c r="R380" s="58" t="s">
        <v>1331</v>
      </c>
      <c r="S380" s="58" t="s">
        <v>1332</v>
      </c>
      <c r="T380" s="58" t="s">
        <v>279</v>
      </c>
    </row>
    <row r="381" spans="1:20" ht="31.2">
      <c r="A381" s="58" t="s">
        <v>63</v>
      </c>
      <c r="B381" s="58" t="s">
        <v>35</v>
      </c>
      <c r="C381" s="58">
        <v>31</v>
      </c>
      <c r="D381" s="58" t="s">
        <v>361</v>
      </c>
      <c r="E381" s="58" t="s">
        <v>1333</v>
      </c>
      <c r="F381" s="58" t="s">
        <v>273</v>
      </c>
      <c r="G381" s="58" t="s">
        <v>273</v>
      </c>
      <c r="H381" s="58" t="s">
        <v>274</v>
      </c>
      <c r="I381" s="58" t="s">
        <v>274</v>
      </c>
      <c r="J381" s="58"/>
      <c r="K381" s="58"/>
      <c r="L381" s="58" t="s">
        <v>288</v>
      </c>
      <c r="M381" s="58" t="s">
        <v>35</v>
      </c>
      <c r="N381" s="58">
        <v>1.504</v>
      </c>
      <c r="O381" s="58" t="s">
        <v>494</v>
      </c>
      <c r="P381" s="58" t="s">
        <v>89</v>
      </c>
      <c r="Q381" s="58" t="s">
        <v>90</v>
      </c>
      <c r="R381" s="58" t="s">
        <v>1334</v>
      </c>
      <c r="S381" s="58" t="s">
        <v>1335</v>
      </c>
      <c r="T381" s="58" t="s">
        <v>279</v>
      </c>
    </row>
    <row r="382" spans="1:20" ht="31.2">
      <c r="A382" s="58" t="s">
        <v>63</v>
      </c>
      <c r="B382" s="58" t="s">
        <v>35</v>
      </c>
      <c r="C382" s="58">
        <v>32</v>
      </c>
      <c r="D382" s="58" t="s">
        <v>479</v>
      </c>
      <c r="E382" s="58" t="s">
        <v>1327</v>
      </c>
      <c r="F382" s="58" t="s">
        <v>273</v>
      </c>
      <c r="G382" s="58" t="s">
        <v>273</v>
      </c>
      <c r="H382" s="58" t="s">
        <v>274</v>
      </c>
      <c r="I382" s="58" t="s">
        <v>273</v>
      </c>
      <c r="J382" s="58" t="s">
        <v>273</v>
      </c>
      <c r="K382" s="58"/>
      <c r="L382" s="58" t="s">
        <v>288</v>
      </c>
      <c r="M382" s="58" t="s">
        <v>35</v>
      </c>
      <c r="N382" s="58">
        <v>2.4E-2</v>
      </c>
      <c r="O382" s="58" t="s">
        <v>554</v>
      </c>
      <c r="P382" s="58" t="s">
        <v>89</v>
      </c>
      <c r="Q382" s="58" t="s">
        <v>90</v>
      </c>
      <c r="R382" s="58" t="s">
        <v>1336</v>
      </c>
      <c r="S382" s="58" t="s">
        <v>1337</v>
      </c>
      <c r="T382" s="58" t="s">
        <v>279</v>
      </c>
    </row>
    <row r="383" spans="1:20" ht="31.2">
      <c r="A383" s="58" t="s">
        <v>63</v>
      </c>
      <c r="B383" s="58" t="s">
        <v>35</v>
      </c>
      <c r="C383" s="58">
        <v>33</v>
      </c>
      <c r="D383" s="58" t="s">
        <v>479</v>
      </c>
      <c r="E383" s="58" t="s">
        <v>1327</v>
      </c>
      <c r="F383" s="58" t="s">
        <v>273</v>
      </c>
      <c r="G383" s="58" t="s">
        <v>273</v>
      </c>
      <c r="H383" s="58" t="s">
        <v>274</v>
      </c>
      <c r="I383" s="58" t="s">
        <v>273</v>
      </c>
      <c r="J383" s="58" t="s">
        <v>273</v>
      </c>
      <c r="K383" s="58"/>
      <c r="L383" s="58" t="s">
        <v>288</v>
      </c>
      <c r="M383" s="58" t="s">
        <v>35</v>
      </c>
      <c r="N383" s="58">
        <v>2.1999999999999999E-2</v>
      </c>
      <c r="O383" s="58" t="s">
        <v>554</v>
      </c>
      <c r="P383" s="58" t="s">
        <v>89</v>
      </c>
      <c r="Q383" s="58" t="s">
        <v>90</v>
      </c>
      <c r="R383" s="58" t="s">
        <v>1338</v>
      </c>
      <c r="S383" s="58" t="s">
        <v>1339</v>
      </c>
      <c r="T383" s="58" t="s">
        <v>279</v>
      </c>
    </row>
    <row r="384" spans="1:20" ht="31.2">
      <c r="A384" s="58" t="s">
        <v>63</v>
      </c>
      <c r="B384" s="58" t="s">
        <v>35</v>
      </c>
      <c r="C384" s="58">
        <v>34</v>
      </c>
      <c r="D384" s="58" t="s">
        <v>361</v>
      </c>
      <c r="E384" s="58" t="s">
        <v>1340</v>
      </c>
      <c r="F384" s="58" t="s">
        <v>273</v>
      </c>
      <c r="G384" s="58" t="s">
        <v>273</v>
      </c>
      <c r="H384" s="58" t="s">
        <v>274</v>
      </c>
      <c r="I384" s="58" t="s">
        <v>274</v>
      </c>
      <c r="J384" s="58"/>
      <c r="K384" s="58"/>
      <c r="L384" s="58" t="s">
        <v>288</v>
      </c>
      <c r="M384" s="58" t="s">
        <v>35</v>
      </c>
      <c r="N384" s="58">
        <v>9.6059999999999999</v>
      </c>
      <c r="O384" s="58" t="s">
        <v>494</v>
      </c>
      <c r="P384" s="58" t="s">
        <v>89</v>
      </c>
      <c r="Q384" s="58" t="s">
        <v>90</v>
      </c>
      <c r="R384" s="58" t="s">
        <v>1341</v>
      </c>
      <c r="S384" s="58" t="s">
        <v>1342</v>
      </c>
      <c r="T384" s="58" t="s">
        <v>279</v>
      </c>
    </row>
    <row r="385" spans="1:20" ht="31.2">
      <c r="A385" s="58" t="s">
        <v>63</v>
      </c>
      <c r="B385" s="58" t="s">
        <v>35</v>
      </c>
      <c r="C385" s="58">
        <v>35</v>
      </c>
      <c r="D385" s="58" t="s">
        <v>361</v>
      </c>
      <c r="E385" s="58" t="s">
        <v>1343</v>
      </c>
      <c r="F385" s="58" t="s">
        <v>273</v>
      </c>
      <c r="G385" s="58" t="s">
        <v>273</v>
      </c>
      <c r="H385" s="58" t="s">
        <v>274</v>
      </c>
      <c r="I385" s="58" t="s">
        <v>274</v>
      </c>
      <c r="J385" s="58"/>
      <c r="K385" s="58"/>
      <c r="L385" s="58" t="s">
        <v>288</v>
      </c>
      <c r="M385" s="58" t="s">
        <v>35</v>
      </c>
      <c r="N385" s="58">
        <v>1.696</v>
      </c>
      <c r="O385" s="58" t="s">
        <v>494</v>
      </c>
      <c r="P385" s="58" t="s">
        <v>89</v>
      </c>
      <c r="Q385" s="58" t="s">
        <v>90</v>
      </c>
      <c r="R385" s="58" t="s">
        <v>1344</v>
      </c>
      <c r="S385" s="58" t="s">
        <v>1345</v>
      </c>
      <c r="T385" s="58" t="s">
        <v>279</v>
      </c>
    </row>
    <row r="386" spans="1:20" ht="31.2">
      <c r="A386" s="58" t="s">
        <v>63</v>
      </c>
      <c r="B386" s="58" t="s">
        <v>35</v>
      </c>
      <c r="C386" s="58">
        <v>36</v>
      </c>
      <c r="D386" s="58" t="s">
        <v>479</v>
      </c>
      <c r="E386" s="58" t="s">
        <v>1327</v>
      </c>
      <c r="F386" s="58" t="s">
        <v>273</v>
      </c>
      <c r="G386" s="58" t="s">
        <v>273</v>
      </c>
      <c r="H386" s="58" t="s">
        <v>274</v>
      </c>
      <c r="I386" s="58" t="s">
        <v>273</v>
      </c>
      <c r="J386" s="58" t="s">
        <v>273</v>
      </c>
      <c r="K386" s="58"/>
      <c r="L386" s="58" t="s">
        <v>288</v>
      </c>
      <c r="M386" s="58" t="s">
        <v>35</v>
      </c>
      <c r="N386" s="58">
        <v>2.1000000000000001E-2</v>
      </c>
      <c r="O386" s="58" t="s">
        <v>554</v>
      </c>
      <c r="P386" s="58" t="s">
        <v>89</v>
      </c>
      <c r="Q386" s="58" t="s">
        <v>90</v>
      </c>
      <c r="R386" s="58" t="s">
        <v>1346</v>
      </c>
      <c r="S386" s="58" t="s">
        <v>1347</v>
      </c>
      <c r="T386" s="58" t="s">
        <v>279</v>
      </c>
    </row>
    <row r="387" spans="1:20" ht="31.2">
      <c r="A387" s="58" t="s">
        <v>63</v>
      </c>
      <c r="B387" s="58" t="s">
        <v>35</v>
      </c>
      <c r="C387" s="58">
        <v>37</v>
      </c>
      <c r="D387" s="58" t="s">
        <v>361</v>
      </c>
      <c r="E387" s="58" t="s">
        <v>1348</v>
      </c>
      <c r="F387" s="58" t="s">
        <v>273</v>
      </c>
      <c r="G387" s="58" t="s">
        <v>273</v>
      </c>
      <c r="H387" s="58" t="s">
        <v>274</v>
      </c>
      <c r="I387" s="58" t="s">
        <v>274</v>
      </c>
      <c r="J387" s="58"/>
      <c r="K387" s="58"/>
      <c r="L387" s="58" t="s">
        <v>288</v>
      </c>
      <c r="M387" s="58" t="s">
        <v>35</v>
      </c>
      <c r="N387" s="58">
        <v>13.731999999999999</v>
      </c>
      <c r="O387" s="58" t="s">
        <v>494</v>
      </c>
      <c r="P387" s="58" t="s">
        <v>89</v>
      </c>
      <c r="Q387" s="58" t="s">
        <v>90</v>
      </c>
      <c r="R387" s="58" t="s">
        <v>1349</v>
      </c>
      <c r="S387" s="58" t="s">
        <v>1350</v>
      </c>
      <c r="T387" s="58" t="s">
        <v>279</v>
      </c>
    </row>
    <row r="388" spans="1:20" ht="31.2">
      <c r="A388" s="58" t="s">
        <v>63</v>
      </c>
      <c r="B388" s="58" t="s">
        <v>35</v>
      </c>
      <c r="C388" s="58">
        <v>38</v>
      </c>
      <c r="D388" s="58" t="s">
        <v>361</v>
      </c>
      <c r="E388" s="58" t="s">
        <v>1351</v>
      </c>
      <c r="F388" s="58" t="s">
        <v>273</v>
      </c>
      <c r="G388" s="58" t="s">
        <v>273</v>
      </c>
      <c r="H388" s="58" t="s">
        <v>274</v>
      </c>
      <c r="I388" s="58" t="s">
        <v>274</v>
      </c>
      <c r="J388" s="58"/>
      <c r="K388" s="58"/>
      <c r="L388" s="58" t="s">
        <v>288</v>
      </c>
      <c r="M388" s="58" t="s">
        <v>35</v>
      </c>
      <c r="N388" s="58">
        <v>2.198</v>
      </c>
      <c r="O388" s="58" t="s">
        <v>494</v>
      </c>
      <c r="P388" s="58" t="s">
        <v>89</v>
      </c>
      <c r="Q388" s="58" t="s">
        <v>90</v>
      </c>
      <c r="R388" s="58" t="s">
        <v>1352</v>
      </c>
      <c r="S388" s="58" t="s">
        <v>1353</v>
      </c>
      <c r="T388" s="58" t="s">
        <v>279</v>
      </c>
    </row>
    <row r="389" spans="1:20" ht="31.2">
      <c r="A389" s="58" t="s">
        <v>63</v>
      </c>
      <c r="B389" s="58" t="s">
        <v>35</v>
      </c>
      <c r="C389" s="58">
        <v>39</v>
      </c>
      <c r="D389" s="58" t="s">
        <v>361</v>
      </c>
      <c r="E389" s="58" t="s">
        <v>1354</v>
      </c>
      <c r="F389" s="58" t="s">
        <v>273</v>
      </c>
      <c r="G389" s="58" t="s">
        <v>273</v>
      </c>
      <c r="H389" s="58" t="s">
        <v>274</v>
      </c>
      <c r="I389" s="58" t="s">
        <v>274</v>
      </c>
      <c r="J389" s="58"/>
      <c r="K389" s="58"/>
      <c r="L389" s="58" t="s">
        <v>288</v>
      </c>
      <c r="M389" s="58" t="s">
        <v>35</v>
      </c>
      <c r="N389" s="58">
        <v>1.673</v>
      </c>
      <c r="O389" s="58" t="s">
        <v>494</v>
      </c>
      <c r="P389" s="58" t="s">
        <v>89</v>
      </c>
      <c r="Q389" s="58" t="s">
        <v>90</v>
      </c>
      <c r="R389" s="58" t="s">
        <v>1355</v>
      </c>
      <c r="S389" s="58" t="s">
        <v>1356</v>
      </c>
      <c r="T389" s="58" t="s">
        <v>279</v>
      </c>
    </row>
    <row r="390" spans="1:20" ht="31.2">
      <c r="A390" s="58" t="s">
        <v>63</v>
      </c>
      <c r="B390" s="58" t="s">
        <v>35</v>
      </c>
      <c r="C390" s="58">
        <v>40</v>
      </c>
      <c r="D390" s="58" t="s">
        <v>361</v>
      </c>
      <c r="E390" s="58" t="s">
        <v>1357</v>
      </c>
      <c r="F390" s="58" t="s">
        <v>273</v>
      </c>
      <c r="G390" s="58" t="s">
        <v>273</v>
      </c>
      <c r="H390" s="58" t="s">
        <v>274</v>
      </c>
      <c r="I390" s="58" t="s">
        <v>274</v>
      </c>
      <c r="J390" s="58"/>
      <c r="K390" s="58"/>
      <c r="L390" s="58" t="s">
        <v>288</v>
      </c>
      <c r="M390" s="58" t="s">
        <v>35</v>
      </c>
      <c r="N390" s="58">
        <v>1.347</v>
      </c>
      <c r="O390" s="58" t="s">
        <v>494</v>
      </c>
      <c r="P390" s="58" t="s">
        <v>89</v>
      </c>
      <c r="Q390" s="58" t="s">
        <v>90</v>
      </c>
      <c r="R390" s="58" t="s">
        <v>1358</v>
      </c>
      <c r="S390" s="58" t="s">
        <v>1359</v>
      </c>
      <c r="T390" s="58" t="s">
        <v>279</v>
      </c>
    </row>
    <row r="391" spans="1:20" ht="31.2">
      <c r="A391" s="58" t="s">
        <v>63</v>
      </c>
      <c r="B391" s="58" t="s">
        <v>35</v>
      </c>
      <c r="C391" s="58">
        <v>41</v>
      </c>
      <c r="D391" s="58" t="s">
        <v>361</v>
      </c>
      <c r="E391" s="58" t="s">
        <v>1360</v>
      </c>
      <c r="F391" s="58" t="s">
        <v>273</v>
      </c>
      <c r="G391" s="58" t="s">
        <v>273</v>
      </c>
      <c r="H391" s="58" t="s">
        <v>274</v>
      </c>
      <c r="I391" s="58" t="s">
        <v>274</v>
      </c>
      <c r="J391" s="58"/>
      <c r="K391" s="58"/>
      <c r="L391" s="58" t="s">
        <v>288</v>
      </c>
      <c r="M391" s="58" t="s">
        <v>35</v>
      </c>
      <c r="N391" s="58">
        <v>1.5720000000000001</v>
      </c>
      <c r="O391" s="58" t="s">
        <v>494</v>
      </c>
      <c r="P391" s="58" t="s">
        <v>89</v>
      </c>
      <c r="Q391" s="58" t="s">
        <v>90</v>
      </c>
      <c r="R391" s="58" t="s">
        <v>1361</v>
      </c>
      <c r="S391" s="58" t="s">
        <v>1362</v>
      </c>
      <c r="T391" s="58" t="s">
        <v>279</v>
      </c>
    </row>
    <row r="392" spans="1:20" ht="31.2">
      <c r="A392" s="58" t="s">
        <v>63</v>
      </c>
      <c r="B392" s="58" t="s">
        <v>35</v>
      </c>
      <c r="C392" s="58">
        <v>42</v>
      </c>
      <c r="D392" s="58" t="s">
        <v>361</v>
      </c>
      <c r="E392" s="58" t="s">
        <v>1363</v>
      </c>
      <c r="F392" s="58" t="s">
        <v>273</v>
      </c>
      <c r="G392" s="58" t="s">
        <v>273</v>
      </c>
      <c r="H392" s="58" t="s">
        <v>273</v>
      </c>
      <c r="I392" s="58" t="s">
        <v>274</v>
      </c>
      <c r="J392" s="58"/>
      <c r="K392" s="58"/>
      <c r="L392" s="58" t="s">
        <v>288</v>
      </c>
      <c r="M392" s="58" t="s">
        <v>35</v>
      </c>
      <c r="N392" s="58">
        <v>0.505</v>
      </c>
      <c r="O392" s="58" t="s">
        <v>494</v>
      </c>
      <c r="P392" s="58" t="s">
        <v>89</v>
      </c>
      <c r="Q392" s="58" t="s">
        <v>90</v>
      </c>
      <c r="R392" s="58" t="s">
        <v>1364</v>
      </c>
      <c r="S392" s="58" t="s">
        <v>1365</v>
      </c>
      <c r="T392" s="58" t="s">
        <v>279</v>
      </c>
    </row>
    <row r="393" spans="1:20" ht="31.2">
      <c r="A393" s="58" t="s">
        <v>63</v>
      </c>
      <c r="B393" s="58" t="s">
        <v>35</v>
      </c>
      <c r="C393" s="58">
        <v>43</v>
      </c>
      <c r="D393" s="58" t="s">
        <v>361</v>
      </c>
      <c r="E393" s="58" t="s">
        <v>1366</v>
      </c>
      <c r="F393" s="58" t="s">
        <v>273</v>
      </c>
      <c r="G393" s="58" t="s">
        <v>273</v>
      </c>
      <c r="H393" s="58" t="s">
        <v>274</v>
      </c>
      <c r="I393" s="58" t="s">
        <v>274</v>
      </c>
      <c r="J393" s="58"/>
      <c r="K393" s="58"/>
      <c r="L393" s="58" t="s">
        <v>288</v>
      </c>
      <c r="M393" s="58" t="s">
        <v>35</v>
      </c>
      <c r="N393" s="58">
        <v>4.1139999999999999</v>
      </c>
      <c r="O393" s="58" t="s">
        <v>494</v>
      </c>
      <c r="P393" s="58" t="s">
        <v>89</v>
      </c>
      <c r="Q393" s="58" t="s">
        <v>90</v>
      </c>
      <c r="R393" s="58" t="s">
        <v>1367</v>
      </c>
      <c r="S393" s="58" t="s">
        <v>1368</v>
      </c>
      <c r="T393" s="58" t="s">
        <v>279</v>
      </c>
    </row>
    <row r="394" spans="1:20" ht="31.2">
      <c r="A394" s="58" t="s">
        <v>63</v>
      </c>
      <c r="B394" s="58" t="s">
        <v>35</v>
      </c>
      <c r="C394" s="58">
        <v>44</v>
      </c>
      <c r="D394" s="58" t="s">
        <v>361</v>
      </c>
      <c r="E394" s="58" t="s">
        <v>1369</v>
      </c>
      <c r="F394" s="58" t="s">
        <v>273</v>
      </c>
      <c r="G394" s="58" t="s">
        <v>273</v>
      </c>
      <c r="H394" s="58" t="s">
        <v>274</v>
      </c>
      <c r="I394" s="58" t="s">
        <v>274</v>
      </c>
      <c r="J394" s="58"/>
      <c r="K394" s="58"/>
      <c r="L394" s="58" t="s">
        <v>288</v>
      </c>
      <c r="M394" s="58" t="s">
        <v>35</v>
      </c>
      <c r="N394" s="58">
        <v>2.0979999999999999</v>
      </c>
      <c r="O394" s="58" t="s">
        <v>494</v>
      </c>
      <c r="P394" s="58" t="s">
        <v>89</v>
      </c>
      <c r="Q394" s="58" t="s">
        <v>90</v>
      </c>
      <c r="R394" s="58" t="s">
        <v>1370</v>
      </c>
      <c r="S394" s="58" t="s">
        <v>1371</v>
      </c>
      <c r="T394" s="58" t="s">
        <v>279</v>
      </c>
    </row>
    <row r="395" spans="1:20" ht="31.2">
      <c r="A395" s="58" t="s">
        <v>63</v>
      </c>
      <c r="B395" s="58" t="s">
        <v>35</v>
      </c>
      <c r="C395" s="58">
        <v>45</v>
      </c>
      <c r="D395" s="58" t="s">
        <v>361</v>
      </c>
      <c r="E395" s="58" t="s">
        <v>1372</v>
      </c>
      <c r="F395" s="58" t="s">
        <v>273</v>
      </c>
      <c r="G395" s="58" t="s">
        <v>273</v>
      </c>
      <c r="H395" s="58" t="s">
        <v>274</v>
      </c>
      <c r="I395" s="58" t="s">
        <v>274</v>
      </c>
      <c r="J395" s="58"/>
      <c r="K395" s="58"/>
      <c r="L395" s="58" t="s">
        <v>288</v>
      </c>
      <c r="M395" s="58" t="s">
        <v>35</v>
      </c>
      <c r="N395" s="58">
        <v>1.56</v>
      </c>
      <c r="O395" s="58" t="s">
        <v>494</v>
      </c>
      <c r="P395" s="58" t="s">
        <v>89</v>
      </c>
      <c r="Q395" s="58" t="s">
        <v>90</v>
      </c>
      <c r="R395" s="58" t="s">
        <v>1373</v>
      </c>
      <c r="S395" s="58" t="s">
        <v>1374</v>
      </c>
      <c r="T395" s="58" t="s">
        <v>279</v>
      </c>
    </row>
    <row r="396" spans="1:20" ht="31.2">
      <c r="A396" s="58" t="s">
        <v>63</v>
      </c>
      <c r="B396" s="58" t="s">
        <v>35</v>
      </c>
      <c r="C396" s="58">
        <v>46</v>
      </c>
      <c r="D396" s="58" t="s">
        <v>361</v>
      </c>
      <c r="E396" s="58" t="s">
        <v>1375</v>
      </c>
      <c r="F396" s="58" t="s">
        <v>273</v>
      </c>
      <c r="G396" s="58" t="s">
        <v>273</v>
      </c>
      <c r="H396" s="58" t="s">
        <v>274</v>
      </c>
      <c r="I396" s="58" t="s">
        <v>274</v>
      </c>
      <c r="J396" s="58"/>
      <c r="K396" s="58"/>
      <c r="L396" s="58" t="s">
        <v>288</v>
      </c>
      <c r="M396" s="58" t="s">
        <v>35</v>
      </c>
      <c r="N396" s="58">
        <v>4.0170000000000003</v>
      </c>
      <c r="O396" s="58" t="s">
        <v>494</v>
      </c>
      <c r="P396" s="58" t="s">
        <v>89</v>
      </c>
      <c r="Q396" s="58" t="s">
        <v>90</v>
      </c>
      <c r="R396" s="58" t="s">
        <v>1376</v>
      </c>
      <c r="S396" s="58" t="s">
        <v>1377</v>
      </c>
      <c r="T396" s="58" t="s">
        <v>279</v>
      </c>
    </row>
    <row r="397" spans="1:20" ht="31.2">
      <c r="A397" s="58" t="s">
        <v>63</v>
      </c>
      <c r="B397" s="58" t="s">
        <v>35</v>
      </c>
      <c r="C397" s="58">
        <v>47</v>
      </c>
      <c r="D397" s="58" t="s">
        <v>361</v>
      </c>
      <c r="E397" s="58" t="s">
        <v>1378</v>
      </c>
      <c r="F397" s="58" t="s">
        <v>273</v>
      </c>
      <c r="G397" s="58" t="s">
        <v>273</v>
      </c>
      <c r="H397" s="58" t="s">
        <v>274</v>
      </c>
      <c r="I397" s="58" t="s">
        <v>274</v>
      </c>
      <c r="J397" s="58"/>
      <c r="K397" s="58"/>
      <c r="L397" s="58" t="s">
        <v>288</v>
      </c>
      <c r="M397" s="58" t="s">
        <v>35</v>
      </c>
      <c r="N397" s="58">
        <v>1.9330000000000001</v>
      </c>
      <c r="O397" s="58" t="s">
        <v>494</v>
      </c>
      <c r="P397" s="58" t="s">
        <v>89</v>
      </c>
      <c r="Q397" s="58" t="s">
        <v>90</v>
      </c>
      <c r="R397" s="58" t="s">
        <v>1379</v>
      </c>
      <c r="S397" s="58" t="s">
        <v>1380</v>
      </c>
      <c r="T397" s="58" t="s">
        <v>279</v>
      </c>
    </row>
    <row r="398" spans="1:20" ht="31.2">
      <c r="A398" s="58" t="s">
        <v>63</v>
      </c>
      <c r="B398" s="58" t="s">
        <v>35</v>
      </c>
      <c r="C398" s="58">
        <v>48</v>
      </c>
      <c r="D398" s="58" t="s">
        <v>479</v>
      </c>
      <c r="E398" s="58" t="s">
        <v>1327</v>
      </c>
      <c r="F398" s="58" t="s">
        <v>273</v>
      </c>
      <c r="G398" s="58" t="s">
        <v>273</v>
      </c>
      <c r="H398" s="58" t="s">
        <v>274</v>
      </c>
      <c r="I398" s="58" t="s">
        <v>273</v>
      </c>
      <c r="J398" s="58" t="s">
        <v>273</v>
      </c>
      <c r="K398" s="58"/>
      <c r="L398" s="58" t="s">
        <v>288</v>
      </c>
      <c r="M398" s="58" t="s">
        <v>35</v>
      </c>
      <c r="N398" s="58">
        <v>2.1000000000000001E-2</v>
      </c>
      <c r="O398" s="58" t="s">
        <v>554</v>
      </c>
      <c r="P398" s="58" t="s">
        <v>89</v>
      </c>
      <c r="Q398" s="58" t="s">
        <v>90</v>
      </c>
      <c r="R398" s="58" t="s">
        <v>1381</v>
      </c>
      <c r="S398" s="58" t="s">
        <v>1382</v>
      </c>
      <c r="T398" s="58" t="s">
        <v>279</v>
      </c>
    </row>
    <row r="399" spans="1:20" ht="31.2">
      <c r="A399" s="58" t="s">
        <v>63</v>
      </c>
      <c r="B399" s="58" t="s">
        <v>35</v>
      </c>
      <c r="C399" s="58">
        <v>49</v>
      </c>
      <c r="D399" s="58" t="s">
        <v>361</v>
      </c>
      <c r="E399" s="58" t="s">
        <v>1383</v>
      </c>
      <c r="F399" s="58" t="s">
        <v>273</v>
      </c>
      <c r="G399" s="58" t="s">
        <v>273</v>
      </c>
      <c r="H399" s="58" t="s">
        <v>274</v>
      </c>
      <c r="I399" s="58" t="s">
        <v>274</v>
      </c>
      <c r="J399" s="58"/>
      <c r="K399" s="58"/>
      <c r="L399" s="58" t="s">
        <v>288</v>
      </c>
      <c r="M399" s="58" t="s">
        <v>35</v>
      </c>
      <c r="N399" s="58">
        <v>14.114000000000001</v>
      </c>
      <c r="O399" s="58" t="s">
        <v>494</v>
      </c>
      <c r="P399" s="58" t="s">
        <v>89</v>
      </c>
      <c r="Q399" s="58" t="s">
        <v>90</v>
      </c>
      <c r="R399" s="58" t="s">
        <v>1384</v>
      </c>
      <c r="S399" s="58" t="s">
        <v>1385</v>
      </c>
      <c r="T399" s="58" t="s">
        <v>279</v>
      </c>
    </row>
    <row r="400" spans="1:20" ht="31.2">
      <c r="A400" s="58" t="s">
        <v>63</v>
      </c>
      <c r="B400" s="58" t="s">
        <v>35</v>
      </c>
      <c r="C400" s="58">
        <v>50</v>
      </c>
      <c r="D400" s="58" t="s">
        <v>378</v>
      </c>
      <c r="E400" s="58" t="s">
        <v>1386</v>
      </c>
      <c r="F400" s="58" t="s">
        <v>273</v>
      </c>
      <c r="G400" s="58" t="s">
        <v>273</v>
      </c>
      <c r="H400" s="58" t="s">
        <v>274</v>
      </c>
      <c r="I400" s="58" t="s">
        <v>274</v>
      </c>
      <c r="J400" s="58"/>
      <c r="K400" s="58"/>
      <c r="L400" s="58" t="s">
        <v>288</v>
      </c>
      <c r="M400" s="58" t="s">
        <v>35</v>
      </c>
      <c r="N400" s="58">
        <v>2.5999999999999999E-2</v>
      </c>
      <c r="O400" s="58" t="s">
        <v>380</v>
      </c>
      <c r="P400" s="58" t="s">
        <v>89</v>
      </c>
      <c r="Q400" s="58" t="s">
        <v>90</v>
      </c>
      <c r="R400" s="58" t="s">
        <v>1387</v>
      </c>
      <c r="S400" s="58" t="s">
        <v>1388</v>
      </c>
      <c r="T400" s="58" t="s">
        <v>279</v>
      </c>
    </row>
    <row r="401" spans="1:20" ht="31.2">
      <c r="A401" s="58" t="s">
        <v>63</v>
      </c>
      <c r="B401" s="58" t="s">
        <v>35</v>
      </c>
      <c r="C401" s="58">
        <v>51</v>
      </c>
      <c r="D401" s="58" t="s">
        <v>361</v>
      </c>
      <c r="E401" s="58" t="s">
        <v>1389</v>
      </c>
      <c r="F401" s="58" t="s">
        <v>273</v>
      </c>
      <c r="G401" s="58" t="s">
        <v>273</v>
      </c>
      <c r="H401" s="58" t="s">
        <v>274</v>
      </c>
      <c r="I401" s="58" t="s">
        <v>274</v>
      </c>
      <c r="J401" s="58"/>
      <c r="K401" s="58"/>
      <c r="L401" s="58" t="s">
        <v>288</v>
      </c>
      <c r="M401" s="58" t="s">
        <v>35</v>
      </c>
      <c r="N401" s="58">
        <v>1.7689999999999999</v>
      </c>
      <c r="O401" s="58" t="s">
        <v>494</v>
      </c>
      <c r="P401" s="58" t="s">
        <v>89</v>
      </c>
      <c r="Q401" s="58" t="s">
        <v>90</v>
      </c>
      <c r="R401" s="58" t="s">
        <v>1390</v>
      </c>
      <c r="S401" s="58" t="s">
        <v>1391</v>
      </c>
      <c r="T401" s="58" t="s">
        <v>279</v>
      </c>
    </row>
    <row r="402" spans="1:20" ht="31.2">
      <c r="A402" s="58" t="s">
        <v>63</v>
      </c>
      <c r="B402" s="58" t="s">
        <v>35</v>
      </c>
      <c r="C402" s="58">
        <v>52</v>
      </c>
      <c r="D402" s="58" t="s">
        <v>361</v>
      </c>
      <c r="E402" s="58" t="s">
        <v>1392</v>
      </c>
      <c r="F402" s="58" t="s">
        <v>273</v>
      </c>
      <c r="G402" s="58" t="s">
        <v>273</v>
      </c>
      <c r="H402" s="58" t="s">
        <v>274</v>
      </c>
      <c r="I402" s="58" t="s">
        <v>274</v>
      </c>
      <c r="J402" s="58"/>
      <c r="K402" s="58"/>
      <c r="L402" s="58" t="s">
        <v>288</v>
      </c>
      <c r="M402" s="58" t="s">
        <v>35</v>
      </c>
      <c r="N402" s="58">
        <v>1.8089999999999999</v>
      </c>
      <c r="O402" s="58" t="s">
        <v>494</v>
      </c>
      <c r="P402" s="58" t="s">
        <v>89</v>
      </c>
      <c r="Q402" s="58" t="s">
        <v>90</v>
      </c>
      <c r="R402" s="58" t="s">
        <v>1393</v>
      </c>
      <c r="S402" s="58" t="s">
        <v>1394</v>
      </c>
      <c r="T402" s="58" t="s">
        <v>279</v>
      </c>
    </row>
    <row r="403" spans="1:20" ht="31.2">
      <c r="A403" s="58" t="s">
        <v>63</v>
      </c>
      <c r="B403" s="58" t="s">
        <v>35</v>
      </c>
      <c r="C403" s="58">
        <v>53</v>
      </c>
      <c r="D403" s="58" t="s">
        <v>479</v>
      </c>
      <c r="E403" s="58" t="s">
        <v>1327</v>
      </c>
      <c r="F403" s="58" t="s">
        <v>273</v>
      </c>
      <c r="G403" s="58" t="s">
        <v>273</v>
      </c>
      <c r="H403" s="58" t="s">
        <v>274</v>
      </c>
      <c r="I403" s="58" t="s">
        <v>273</v>
      </c>
      <c r="J403" s="58" t="s">
        <v>273</v>
      </c>
      <c r="K403" s="58"/>
      <c r="L403" s="58" t="s">
        <v>288</v>
      </c>
      <c r="M403" s="58" t="s">
        <v>35</v>
      </c>
      <c r="N403" s="58">
        <v>2.4E-2</v>
      </c>
      <c r="O403" s="58" t="s">
        <v>554</v>
      </c>
      <c r="P403" s="58" t="s">
        <v>89</v>
      </c>
      <c r="Q403" s="58" t="s">
        <v>90</v>
      </c>
      <c r="R403" s="58" t="s">
        <v>1395</v>
      </c>
      <c r="S403" s="58" t="s">
        <v>1396</v>
      </c>
      <c r="T403" s="58" t="s">
        <v>279</v>
      </c>
    </row>
    <row r="404" spans="1:20" ht="31.2">
      <c r="A404" s="58" t="s">
        <v>63</v>
      </c>
      <c r="B404" s="58" t="s">
        <v>35</v>
      </c>
      <c r="C404" s="58">
        <v>54</v>
      </c>
      <c r="D404" s="58" t="s">
        <v>361</v>
      </c>
      <c r="E404" s="58" t="s">
        <v>1397</v>
      </c>
      <c r="F404" s="58" t="s">
        <v>273</v>
      </c>
      <c r="G404" s="58" t="s">
        <v>273</v>
      </c>
      <c r="H404" s="58" t="s">
        <v>274</v>
      </c>
      <c r="I404" s="58" t="s">
        <v>274</v>
      </c>
      <c r="J404" s="58"/>
      <c r="K404" s="58"/>
      <c r="L404" s="58" t="s">
        <v>288</v>
      </c>
      <c r="M404" s="58" t="s">
        <v>35</v>
      </c>
      <c r="N404" s="58">
        <v>16.751999999999999</v>
      </c>
      <c r="O404" s="58" t="s">
        <v>494</v>
      </c>
      <c r="P404" s="58" t="s">
        <v>89</v>
      </c>
      <c r="Q404" s="58" t="s">
        <v>90</v>
      </c>
      <c r="R404" s="58" t="s">
        <v>1398</v>
      </c>
      <c r="S404" s="58" t="s">
        <v>1399</v>
      </c>
      <c r="T404" s="58" t="s">
        <v>279</v>
      </c>
    </row>
    <row r="405" spans="1:20" ht="31.2">
      <c r="A405" s="58" t="s">
        <v>63</v>
      </c>
      <c r="B405" s="58" t="s">
        <v>35</v>
      </c>
      <c r="C405" s="58">
        <v>55</v>
      </c>
      <c r="D405" s="58" t="s">
        <v>361</v>
      </c>
      <c r="E405" s="58" t="s">
        <v>1400</v>
      </c>
      <c r="F405" s="58" t="s">
        <v>273</v>
      </c>
      <c r="G405" s="58" t="s">
        <v>273</v>
      </c>
      <c r="H405" s="58" t="s">
        <v>274</v>
      </c>
      <c r="I405" s="58" t="s">
        <v>274</v>
      </c>
      <c r="J405" s="58"/>
      <c r="K405" s="58"/>
      <c r="L405" s="58" t="s">
        <v>288</v>
      </c>
      <c r="M405" s="58" t="s">
        <v>35</v>
      </c>
      <c r="N405" s="58">
        <v>0.26400000000000001</v>
      </c>
      <c r="O405" s="58" t="s">
        <v>494</v>
      </c>
      <c r="P405" s="58" t="s">
        <v>89</v>
      </c>
      <c r="Q405" s="58" t="s">
        <v>90</v>
      </c>
      <c r="R405" s="58" t="s">
        <v>1401</v>
      </c>
      <c r="S405" s="58" t="s">
        <v>1402</v>
      </c>
      <c r="T405" s="58" t="s">
        <v>279</v>
      </c>
    </row>
    <row r="406" spans="1:20" ht="31.2">
      <c r="A406" s="58" t="s">
        <v>63</v>
      </c>
      <c r="B406" s="58" t="s">
        <v>35</v>
      </c>
      <c r="C406" s="58">
        <v>56</v>
      </c>
      <c r="D406" s="58" t="s">
        <v>479</v>
      </c>
      <c r="E406" s="58" t="s">
        <v>1386</v>
      </c>
      <c r="F406" s="58" t="s">
        <v>273</v>
      </c>
      <c r="G406" s="58" t="s">
        <v>273</v>
      </c>
      <c r="H406" s="58" t="s">
        <v>274</v>
      </c>
      <c r="I406" s="58" t="s">
        <v>273</v>
      </c>
      <c r="J406" s="58" t="s">
        <v>273</v>
      </c>
      <c r="K406" s="58"/>
      <c r="L406" s="58" t="s">
        <v>288</v>
      </c>
      <c r="M406" s="58" t="s">
        <v>35</v>
      </c>
      <c r="N406" s="58">
        <v>2.3E-2</v>
      </c>
      <c r="O406" s="58" t="s">
        <v>554</v>
      </c>
      <c r="P406" s="58" t="s">
        <v>89</v>
      </c>
      <c r="Q406" s="58" t="s">
        <v>90</v>
      </c>
      <c r="R406" s="58" t="s">
        <v>1403</v>
      </c>
      <c r="S406" s="58" t="s">
        <v>1404</v>
      </c>
      <c r="T406" s="58" t="s">
        <v>279</v>
      </c>
    </row>
    <row r="407" spans="1:20" ht="31.2">
      <c r="A407" s="58" t="s">
        <v>63</v>
      </c>
      <c r="B407" s="58" t="s">
        <v>35</v>
      </c>
      <c r="C407" s="58">
        <v>57</v>
      </c>
      <c r="D407" s="58" t="s">
        <v>479</v>
      </c>
      <c r="E407" s="58" t="s">
        <v>1386</v>
      </c>
      <c r="F407" s="58" t="s">
        <v>273</v>
      </c>
      <c r="G407" s="58" t="s">
        <v>273</v>
      </c>
      <c r="H407" s="58" t="s">
        <v>274</v>
      </c>
      <c r="I407" s="58" t="s">
        <v>273</v>
      </c>
      <c r="J407" s="58" t="s">
        <v>273</v>
      </c>
      <c r="K407" s="58"/>
      <c r="L407" s="58" t="s">
        <v>288</v>
      </c>
      <c r="M407" s="58" t="s">
        <v>35</v>
      </c>
      <c r="N407" s="58">
        <v>2.1999999999999999E-2</v>
      </c>
      <c r="O407" s="58" t="s">
        <v>554</v>
      </c>
      <c r="P407" s="58" t="s">
        <v>89</v>
      </c>
      <c r="Q407" s="58" t="s">
        <v>90</v>
      </c>
      <c r="R407" s="58" t="s">
        <v>1405</v>
      </c>
      <c r="S407" s="58" t="s">
        <v>1406</v>
      </c>
      <c r="T407" s="58" t="s">
        <v>279</v>
      </c>
    </row>
    <row r="408" spans="1:20" ht="31.2">
      <c r="A408" s="58" t="s">
        <v>63</v>
      </c>
      <c r="B408" s="58" t="s">
        <v>35</v>
      </c>
      <c r="C408" s="58">
        <v>58</v>
      </c>
      <c r="D408" s="58" t="s">
        <v>479</v>
      </c>
      <c r="E408" s="58" t="s">
        <v>1386</v>
      </c>
      <c r="F408" s="58" t="s">
        <v>273</v>
      </c>
      <c r="G408" s="58" t="s">
        <v>273</v>
      </c>
      <c r="H408" s="58" t="s">
        <v>274</v>
      </c>
      <c r="I408" s="58" t="s">
        <v>273</v>
      </c>
      <c r="J408" s="58" t="s">
        <v>273</v>
      </c>
      <c r="K408" s="58"/>
      <c r="L408" s="58" t="s">
        <v>288</v>
      </c>
      <c r="M408" s="58" t="s">
        <v>35</v>
      </c>
      <c r="N408" s="58">
        <v>3.1E-2</v>
      </c>
      <c r="O408" s="58" t="s">
        <v>554</v>
      </c>
      <c r="P408" s="58" t="s">
        <v>89</v>
      </c>
      <c r="Q408" s="58" t="s">
        <v>90</v>
      </c>
      <c r="R408" s="58" t="s">
        <v>1407</v>
      </c>
      <c r="S408" s="58" t="s">
        <v>1408</v>
      </c>
      <c r="T408" s="58" t="s">
        <v>279</v>
      </c>
    </row>
    <row r="409" spans="1:20" ht="31.2">
      <c r="A409" s="58" t="s">
        <v>63</v>
      </c>
      <c r="B409" s="58" t="s">
        <v>35</v>
      </c>
      <c r="C409" s="58">
        <v>59</v>
      </c>
      <c r="D409" s="58" t="s">
        <v>479</v>
      </c>
      <c r="E409" s="58" t="s">
        <v>1386</v>
      </c>
      <c r="F409" s="58" t="s">
        <v>273</v>
      </c>
      <c r="G409" s="58" t="s">
        <v>273</v>
      </c>
      <c r="H409" s="58" t="s">
        <v>274</v>
      </c>
      <c r="I409" s="58" t="s">
        <v>273</v>
      </c>
      <c r="J409" s="58" t="s">
        <v>273</v>
      </c>
      <c r="K409" s="58"/>
      <c r="L409" s="58" t="s">
        <v>288</v>
      </c>
      <c r="M409" s="58" t="s">
        <v>35</v>
      </c>
      <c r="N409" s="58">
        <v>2.1999999999999999E-2</v>
      </c>
      <c r="O409" s="58" t="s">
        <v>554</v>
      </c>
      <c r="P409" s="58" t="s">
        <v>89</v>
      </c>
      <c r="Q409" s="58" t="s">
        <v>90</v>
      </c>
      <c r="R409" s="58" t="s">
        <v>1409</v>
      </c>
      <c r="S409" s="58" t="s">
        <v>1410</v>
      </c>
      <c r="T409" s="58" t="s">
        <v>279</v>
      </c>
    </row>
    <row r="410" spans="1:20" ht="31.2">
      <c r="A410" s="58" t="s">
        <v>63</v>
      </c>
      <c r="B410" s="58" t="s">
        <v>35</v>
      </c>
      <c r="C410" s="58">
        <v>60</v>
      </c>
      <c r="D410" s="58" t="s">
        <v>479</v>
      </c>
      <c r="E410" s="58" t="s">
        <v>1386</v>
      </c>
      <c r="F410" s="58" t="s">
        <v>273</v>
      </c>
      <c r="G410" s="58" t="s">
        <v>273</v>
      </c>
      <c r="H410" s="58" t="s">
        <v>274</v>
      </c>
      <c r="I410" s="58" t="s">
        <v>273</v>
      </c>
      <c r="J410" s="58" t="s">
        <v>273</v>
      </c>
      <c r="K410" s="58"/>
      <c r="L410" s="58" t="s">
        <v>288</v>
      </c>
      <c r="M410" s="58" t="s">
        <v>35</v>
      </c>
      <c r="N410" s="58">
        <v>6.9000000000000006E-2</v>
      </c>
      <c r="O410" s="58" t="s">
        <v>554</v>
      </c>
      <c r="P410" s="58" t="s">
        <v>89</v>
      </c>
      <c r="Q410" s="58" t="s">
        <v>90</v>
      </c>
      <c r="R410" s="58" t="s">
        <v>1411</v>
      </c>
      <c r="S410" s="58" t="s">
        <v>1412</v>
      </c>
      <c r="T410" s="58" t="s">
        <v>279</v>
      </c>
    </row>
    <row r="411" spans="1:20" ht="31.2">
      <c r="A411" s="58" t="s">
        <v>63</v>
      </c>
      <c r="B411" s="58" t="s">
        <v>35</v>
      </c>
      <c r="C411" s="58">
        <v>61</v>
      </c>
      <c r="D411" s="58" t="s">
        <v>479</v>
      </c>
      <c r="E411" s="58" t="s">
        <v>1386</v>
      </c>
      <c r="F411" s="58" t="s">
        <v>273</v>
      </c>
      <c r="G411" s="58" t="s">
        <v>273</v>
      </c>
      <c r="H411" s="58" t="s">
        <v>274</v>
      </c>
      <c r="I411" s="58" t="s">
        <v>273</v>
      </c>
      <c r="J411" s="58" t="s">
        <v>273</v>
      </c>
      <c r="K411" s="58"/>
      <c r="L411" s="58" t="s">
        <v>288</v>
      </c>
      <c r="M411" s="58" t="s">
        <v>35</v>
      </c>
      <c r="N411" s="58">
        <v>0.04</v>
      </c>
      <c r="O411" s="58" t="s">
        <v>554</v>
      </c>
      <c r="P411" s="58" t="s">
        <v>89</v>
      </c>
      <c r="Q411" s="58" t="s">
        <v>90</v>
      </c>
      <c r="R411" s="58" t="s">
        <v>1413</v>
      </c>
      <c r="S411" s="58" t="s">
        <v>1414</v>
      </c>
      <c r="T411" s="58" t="s">
        <v>279</v>
      </c>
    </row>
    <row r="412" spans="1:20" ht="31.2">
      <c r="A412" s="58" t="s">
        <v>63</v>
      </c>
      <c r="B412" s="58" t="s">
        <v>35</v>
      </c>
      <c r="C412" s="58">
        <v>62</v>
      </c>
      <c r="D412" s="58" t="s">
        <v>479</v>
      </c>
      <c r="E412" s="58" t="s">
        <v>1386</v>
      </c>
      <c r="F412" s="58" t="s">
        <v>273</v>
      </c>
      <c r="G412" s="58" t="s">
        <v>273</v>
      </c>
      <c r="H412" s="58" t="s">
        <v>274</v>
      </c>
      <c r="I412" s="58" t="s">
        <v>273</v>
      </c>
      <c r="J412" s="58" t="s">
        <v>273</v>
      </c>
      <c r="K412" s="58"/>
      <c r="L412" s="58" t="s">
        <v>288</v>
      </c>
      <c r="M412" s="58" t="s">
        <v>35</v>
      </c>
      <c r="N412" s="58">
        <v>0.02</v>
      </c>
      <c r="O412" s="58" t="s">
        <v>554</v>
      </c>
      <c r="P412" s="58" t="s">
        <v>89</v>
      </c>
      <c r="Q412" s="58" t="s">
        <v>90</v>
      </c>
      <c r="R412" s="58" t="s">
        <v>1415</v>
      </c>
      <c r="S412" s="58" t="s">
        <v>1416</v>
      </c>
      <c r="T412" s="58" t="s">
        <v>279</v>
      </c>
    </row>
    <row r="413" spans="1:20" ht="31.2">
      <c r="A413" s="58" t="s">
        <v>63</v>
      </c>
      <c r="B413" s="58" t="s">
        <v>35</v>
      </c>
      <c r="C413" s="58">
        <v>63</v>
      </c>
      <c r="D413" s="58" t="s">
        <v>361</v>
      </c>
      <c r="E413" s="58" t="s">
        <v>1417</v>
      </c>
      <c r="F413" s="58" t="s">
        <v>273</v>
      </c>
      <c r="G413" s="58" t="s">
        <v>273</v>
      </c>
      <c r="H413" s="58" t="s">
        <v>274</v>
      </c>
      <c r="I413" s="58" t="s">
        <v>274</v>
      </c>
      <c r="J413" s="58"/>
      <c r="K413" s="58"/>
      <c r="L413" s="58" t="s">
        <v>288</v>
      </c>
      <c r="M413" s="58" t="s">
        <v>35</v>
      </c>
      <c r="N413" s="58">
        <v>1.7350000000000001</v>
      </c>
      <c r="O413" s="58" t="s">
        <v>494</v>
      </c>
      <c r="P413" s="58" t="s">
        <v>89</v>
      </c>
      <c r="Q413" s="58" t="s">
        <v>90</v>
      </c>
      <c r="R413" s="58" t="s">
        <v>1418</v>
      </c>
      <c r="S413" s="58" t="s">
        <v>1419</v>
      </c>
      <c r="T413" s="58" t="s">
        <v>279</v>
      </c>
    </row>
    <row r="414" spans="1:20" ht="31.2">
      <c r="A414" s="58" t="s">
        <v>63</v>
      </c>
      <c r="B414" s="58" t="s">
        <v>35</v>
      </c>
      <c r="C414" s="58">
        <v>64</v>
      </c>
      <c r="D414" s="58" t="s">
        <v>361</v>
      </c>
      <c r="E414" s="58" t="s">
        <v>1420</v>
      </c>
      <c r="F414" s="58" t="s">
        <v>273</v>
      </c>
      <c r="G414" s="58" t="s">
        <v>273</v>
      </c>
      <c r="H414" s="58" t="s">
        <v>274</v>
      </c>
      <c r="I414" s="58" t="s">
        <v>274</v>
      </c>
      <c r="J414" s="58"/>
      <c r="K414" s="58"/>
      <c r="L414" s="58" t="s">
        <v>288</v>
      </c>
      <c r="M414" s="58" t="s">
        <v>35</v>
      </c>
      <c r="N414" s="58">
        <v>1.0760000000000001</v>
      </c>
      <c r="O414" s="58" t="s">
        <v>494</v>
      </c>
      <c r="P414" s="58" t="s">
        <v>89</v>
      </c>
      <c r="Q414" s="58" t="s">
        <v>90</v>
      </c>
      <c r="R414" s="58" t="s">
        <v>1421</v>
      </c>
      <c r="S414" s="58" t="s">
        <v>1422</v>
      </c>
      <c r="T414" s="58" t="s">
        <v>279</v>
      </c>
    </row>
    <row r="415" spans="1:20" ht="31.2">
      <c r="A415" s="58" t="s">
        <v>63</v>
      </c>
      <c r="B415" s="58" t="s">
        <v>35</v>
      </c>
      <c r="C415" s="58">
        <v>65</v>
      </c>
      <c r="D415" s="58" t="s">
        <v>361</v>
      </c>
      <c r="E415" s="58" t="s">
        <v>1423</v>
      </c>
      <c r="F415" s="58" t="s">
        <v>273</v>
      </c>
      <c r="G415" s="58" t="s">
        <v>273</v>
      </c>
      <c r="H415" s="58" t="s">
        <v>274</v>
      </c>
      <c r="I415" s="58" t="s">
        <v>274</v>
      </c>
      <c r="J415" s="58"/>
      <c r="K415" s="58"/>
      <c r="L415" s="58" t="s">
        <v>288</v>
      </c>
      <c r="M415" s="58" t="s">
        <v>35</v>
      </c>
      <c r="N415" s="58">
        <v>0.78900000000000003</v>
      </c>
      <c r="O415" s="58" t="s">
        <v>494</v>
      </c>
      <c r="P415" s="58" t="s">
        <v>89</v>
      </c>
      <c r="Q415" s="58" t="s">
        <v>90</v>
      </c>
      <c r="R415" s="58" t="s">
        <v>1424</v>
      </c>
      <c r="S415" s="58" t="s">
        <v>1425</v>
      </c>
      <c r="T415" s="58" t="s">
        <v>279</v>
      </c>
    </row>
    <row r="416" spans="1:20" ht="31.2">
      <c r="A416" s="58" t="s">
        <v>63</v>
      </c>
      <c r="B416" s="58" t="s">
        <v>35</v>
      </c>
      <c r="C416" s="58">
        <v>66</v>
      </c>
      <c r="D416" s="58" t="s">
        <v>361</v>
      </c>
      <c r="E416" s="58" t="s">
        <v>1426</v>
      </c>
      <c r="F416" s="58" t="s">
        <v>273</v>
      </c>
      <c r="G416" s="58" t="s">
        <v>273</v>
      </c>
      <c r="H416" s="58" t="s">
        <v>274</v>
      </c>
      <c r="I416" s="58" t="s">
        <v>274</v>
      </c>
      <c r="J416" s="58"/>
      <c r="K416" s="58"/>
      <c r="L416" s="58" t="s">
        <v>288</v>
      </c>
      <c r="M416" s="58" t="s">
        <v>35</v>
      </c>
      <c r="N416" s="58">
        <v>0.80600000000000005</v>
      </c>
      <c r="O416" s="58" t="s">
        <v>494</v>
      </c>
      <c r="P416" s="58" t="s">
        <v>89</v>
      </c>
      <c r="Q416" s="58" t="s">
        <v>90</v>
      </c>
      <c r="R416" s="58" t="s">
        <v>1427</v>
      </c>
      <c r="S416" s="58" t="s">
        <v>1428</v>
      </c>
      <c r="T416" s="58" t="s">
        <v>279</v>
      </c>
    </row>
    <row r="417" spans="1:20" ht="31.2">
      <c r="A417" s="58" t="s">
        <v>63</v>
      </c>
      <c r="B417" s="58" t="s">
        <v>35</v>
      </c>
      <c r="C417" s="58">
        <v>67</v>
      </c>
      <c r="D417" s="58" t="s">
        <v>361</v>
      </c>
      <c r="E417" s="58" t="s">
        <v>1429</v>
      </c>
      <c r="F417" s="58" t="s">
        <v>273</v>
      </c>
      <c r="G417" s="58" t="s">
        <v>273</v>
      </c>
      <c r="H417" s="58" t="s">
        <v>274</v>
      </c>
      <c r="I417" s="58" t="s">
        <v>274</v>
      </c>
      <c r="J417" s="58"/>
      <c r="K417" s="58"/>
      <c r="L417" s="58" t="s">
        <v>288</v>
      </c>
      <c r="M417" s="58" t="s">
        <v>35</v>
      </c>
      <c r="N417" s="58">
        <v>1.1339999999999999</v>
      </c>
      <c r="O417" s="58" t="s">
        <v>494</v>
      </c>
      <c r="P417" s="58" t="s">
        <v>89</v>
      </c>
      <c r="Q417" s="58" t="s">
        <v>90</v>
      </c>
      <c r="R417" s="58" t="s">
        <v>1430</v>
      </c>
      <c r="S417" s="58" t="s">
        <v>1431</v>
      </c>
      <c r="T417" s="58" t="s">
        <v>279</v>
      </c>
    </row>
    <row r="418" spans="1:20" ht="31.2">
      <c r="A418" s="58" t="s">
        <v>63</v>
      </c>
      <c r="B418" s="58" t="s">
        <v>35</v>
      </c>
      <c r="C418" s="58">
        <v>68</v>
      </c>
      <c r="D418" s="58" t="s">
        <v>479</v>
      </c>
      <c r="E418" s="58" t="s">
        <v>1327</v>
      </c>
      <c r="F418" s="58" t="s">
        <v>273</v>
      </c>
      <c r="G418" s="58" t="s">
        <v>273</v>
      </c>
      <c r="H418" s="58" t="s">
        <v>274</v>
      </c>
      <c r="I418" s="58" t="s">
        <v>273</v>
      </c>
      <c r="J418" s="58" t="s">
        <v>273</v>
      </c>
      <c r="K418" s="58"/>
      <c r="L418" s="58" t="s">
        <v>288</v>
      </c>
      <c r="M418" s="58" t="s">
        <v>35</v>
      </c>
      <c r="N418" s="58">
        <v>1.7000000000000001E-2</v>
      </c>
      <c r="O418" s="58" t="s">
        <v>554</v>
      </c>
      <c r="P418" s="58" t="s">
        <v>89</v>
      </c>
      <c r="Q418" s="58" t="s">
        <v>90</v>
      </c>
      <c r="R418" s="58" t="s">
        <v>1432</v>
      </c>
      <c r="S418" s="58" t="s">
        <v>1433</v>
      </c>
      <c r="T418" s="58" t="s">
        <v>279</v>
      </c>
    </row>
    <row r="419" spans="1:20" ht="31.2">
      <c r="A419" s="58" t="s">
        <v>63</v>
      </c>
      <c r="B419" s="58" t="s">
        <v>35</v>
      </c>
      <c r="C419" s="58">
        <v>69</v>
      </c>
      <c r="D419" s="58" t="s">
        <v>479</v>
      </c>
      <c r="E419" s="58" t="s">
        <v>1386</v>
      </c>
      <c r="F419" s="58" t="s">
        <v>273</v>
      </c>
      <c r="G419" s="58" t="s">
        <v>273</v>
      </c>
      <c r="H419" s="58" t="s">
        <v>274</v>
      </c>
      <c r="I419" s="58" t="s">
        <v>273</v>
      </c>
      <c r="J419" s="58" t="s">
        <v>273</v>
      </c>
      <c r="K419" s="58"/>
      <c r="L419" s="58" t="s">
        <v>288</v>
      </c>
      <c r="M419" s="58" t="s">
        <v>35</v>
      </c>
      <c r="N419" s="58">
        <v>2.7E-2</v>
      </c>
      <c r="O419" s="58" t="s">
        <v>554</v>
      </c>
      <c r="P419" s="58" t="s">
        <v>89</v>
      </c>
      <c r="Q419" s="58" t="s">
        <v>90</v>
      </c>
      <c r="R419" s="58" t="s">
        <v>1434</v>
      </c>
      <c r="S419" s="58" t="s">
        <v>1435</v>
      </c>
      <c r="T419" s="58" t="s">
        <v>279</v>
      </c>
    </row>
    <row r="420" spans="1:20" ht="31.2">
      <c r="A420" s="58" t="s">
        <v>63</v>
      </c>
      <c r="B420" s="58" t="s">
        <v>35</v>
      </c>
      <c r="C420" s="58">
        <v>70</v>
      </c>
      <c r="D420" s="58" t="s">
        <v>479</v>
      </c>
      <c r="E420" s="58" t="s">
        <v>1386</v>
      </c>
      <c r="F420" s="58" t="s">
        <v>273</v>
      </c>
      <c r="G420" s="58" t="s">
        <v>273</v>
      </c>
      <c r="H420" s="58" t="s">
        <v>274</v>
      </c>
      <c r="I420" s="58" t="s">
        <v>273</v>
      </c>
      <c r="J420" s="58" t="s">
        <v>273</v>
      </c>
      <c r="K420" s="58"/>
      <c r="L420" s="58" t="s">
        <v>288</v>
      </c>
      <c r="M420" s="58" t="s">
        <v>35</v>
      </c>
      <c r="N420" s="58">
        <v>2.1000000000000001E-2</v>
      </c>
      <c r="O420" s="58" t="s">
        <v>554</v>
      </c>
      <c r="P420" s="58" t="s">
        <v>89</v>
      </c>
      <c r="Q420" s="58" t="s">
        <v>90</v>
      </c>
      <c r="R420" s="58" t="s">
        <v>1436</v>
      </c>
      <c r="S420" s="58" t="s">
        <v>1437</v>
      </c>
      <c r="T420" s="58" t="s">
        <v>279</v>
      </c>
    </row>
    <row r="421" spans="1:20" ht="31.2">
      <c r="A421" s="58" t="s">
        <v>63</v>
      </c>
      <c r="B421" s="58" t="s">
        <v>35</v>
      </c>
      <c r="C421" s="58">
        <v>71</v>
      </c>
      <c r="D421" s="58" t="s">
        <v>479</v>
      </c>
      <c r="E421" s="58" t="s">
        <v>1386</v>
      </c>
      <c r="F421" s="58" t="s">
        <v>273</v>
      </c>
      <c r="G421" s="58" t="s">
        <v>273</v>
      </c>
      <c r="H421" s="58" t="s">
        <v>274</v>
      </c>
      <c r="I421" s="58" t="s">
        <v>273</v>
      </c>
      <c r="J421" s="58" t="s">
        <v>273</v>
      </c>
      <c r="K421" s="58"/>
      <c r="L421" s="58" t="s">
        <v>288</v>
      </c>
      <c r="M421" s="58" t="s">
        <v>35</v>
      </c>
      <c r="N421" s="58">
        <v>1.4999999999999999E-2</v>
      </c>
      <c r="O421" s="58" t="s">
        <v>554</v>
      </c>
      <c r="P421" s="58" t="s">
        <v>89</v>
      </c>
      <c r="Q421" s="58" t="s">
        <v>90</v>
      </c>
      <c r="R421" s="58" t="s">
        <v>1438</v>
      </c>
      <c r="S421" s="58" t="s">
        <v>1439</v>
      </c>
      <c r="T421" s="58" t="s">
        <v>279</v>
      </c>
    </row>
    <row r="422" spans="1:20" ht="31.2">
      <c r="A422" s="58" t="s">
        <v>63</v>
      </c>
      <c r="B422" s="58" t="s">
        <v>35</v>
      </c>
      <c r="C422" s="58">
        <v>72</v>
      </c>
      <c r="D422" s="58" t="s">
        <v>361</v>
      </c>
      <c r="E422" s="58" t="s">
        <v>1440</v>
      </c>
      <c r="F422" s="58" t="s">
        <v>273</v>
      </c>
      <c r="G422" s="58" t="s">
        <v>273</v>
      </c>
      <c r="H422" s="58" t="s">
        <v>274</v>
      </c>
      <c r="I422" s="58" t="s">
        <v>274</v>
      </c>
      <c r="J422" s="58"/>
      <c r="K422" s="58"/>
      <c r="L422" s="58" t="s">
        <v>288</v>
      </c>
      <c r="M422" s="58" t="s">
        <v>35</v>
      </c>
      <c r="N422" s="58">
        <v>0.26400000000000001</v>
      </c>
      <c r="O422" s="58" t="s">
        <v>494</v>
      </c>
      <c r="P422" s="58" t="s">
        <v>89</v>
      </c>
      <c r="Q422" s="58" t="s">
        <v>90</v>
      </c>
      <c r="R422" s="58" t="s">
        <v>1441</v>
      </c>
      <c r="S422" s="58" t="s">
        <v>1442</v>
      </c>
      <c r="T422" s="58" t="s">
        <v>279</v>
      </c>
    </row>
    <row r="423" spans="1:20" ht="31.2">
      <c r="A423" s="58" t="s">
        <v>63</v>
      </c>
      <c r="B423" s="58" t="s">
        <v>35</v>
      </c>
      <c r="C423" s="58">
        <v>73</v>
      </c>
      <c r="D423" s="58" t="s">
        <v>479</v>
      </c>
      <c r="E423" s="58" t="s">
        <v>1386</v>
      </c>
      <c r="F423" s="58" t="s">
        <v>273</v>
      </c>
      <c r="G423" s="58" t="s">
        <v>273</v>
      </c>
      <c r="H423" s="58" t="s">
        <v>274</v>
      </c>
      <c r="I423" s="58" t="s">
        <v>273</v>
      </c>
      <c r="J423" s="58" t="s">
        <v>273</v>
      </c>
      <c r="K423" s="58"/>
      <c r="L423" s="58" t="s">
        <v>288</v>
      </c>
      <c r="M423" s="58" t="s">
        <v>35</v>
      </c>
      <c r="N423" s="58">
        <v>1.7999999999999999E-2</v>
      </c>
      <c r="O423" s="58" t="s">
        <v>554</v>
      </c>
      <c r="P423" s="58" t="s">
        <v>89</v>
      </c>
      <c r="Q423" s="58" t="s">
        <v>90</v>
      </c>
      <c r="R423" s="58" t="s">
        <v>1443</v>
      </c>
      <c r="S423" s="58" t="s">
        <v>1444</v>
      </c>
      <c r="T423" s="58" t="s">
        <v>279</v>
      </c>
    </row>
    <row r="424" spans="1:20" ht="31.2">
      <c r="A424" s="58" t="s">
        <v>63</v>
      </c>
      <c r="B424" s="58" t="s">
        <v>35</v>
      </c>
      <c r="C424" s="58">
        <v>74</v>
      </c>
      <c r="D424" s="58" t="s">
        <v>479</v>
      </c>
      <c r="E424" s="58" t="s">
        <v>1386</v>
      </c>
      <c r="F424" s="58" t="s">
        <v>273</v>
      </c>
      <c r="G424" s="58" t="s">
        <v>274</v>
      </c>
      <c r="H424" s="58" t="s">
        <v>274</v>
      </c>
      <c r="I424" s="58" t="s">
        <v>273</v>
      </c>
      <c r="J424" s="58"/>
      <c r="K424" s="58"/>
      <c r="L424" s="58" t="s">
        <v>604</v>
      </c>
      <c r="M424" s="58" t="s">
        <v>35</v>
      </c>
      <c r="N424" s="58">
        <v>8.0000000000000002E-3</v>
      </c>
      <c r="O424" s="58" t="s">
        <v>554</v>
      </c>
      <c r="P424" s="58" t="s">
        <v>89</v>
      </c>
      <c r="Q424" s="58" t="s">
        <v>90</v>
      </c>
      <c r="R424" s="58" t="s">
        <v>1445</v>
      </c>
      <c r="S424" s="58" t="s">
        <v>1446</v>
      </c>
      <c r="T424" s="58" t="s">
        <v>279</v>
      </c>
    </row>
    <row r="425" spans="1:20" ht="31.2">
      <c r="A425" s="58" t="s">
        <v>63</v>
      </c>
      <c r="B425" s="58" t="s">
        <v>35</v>
      </c>
      <c r="C425" s="58">
        <v>75</v>
      </c>
      <c r="D425" s="58" t="s">
        <v>338</v>
      </c>
      <c r="E425" s="58" t="s">
        <v>1447</v>
      </c>
      <c r="F425" s="58" t="s">
        <v>273</v>
      </c>
      <c r="G425" s="58" t="s">
        <v>273</v>
      </c>
      <c r="H425" s="58" t="s">
        <v>274</v>
      </c>
      <c r="I425" s="58" t="s">
        <v>274</v>
      </c>
      <c r="J425" s="58"/>
      <c r="K425" s="58"/>
      <c r="L425" s="58" t="s">
        <v>288</v>
      </c>
      <c r="M425" s="58" t="s">
        <v>35</v>
      </c>
      <c r="N425" s="58">
        <v>0.24399999999999999</v>
      </c>
      <c r="O425" s="58" t="s">
        <v>1448</v>
      </c>
      <c r="P425" s="58" t="s">
        <v>89</v>
      </c>
      <c r="Q425" s="58" t="s">
        <v>90</v>
      </c>
      <c r="R425" s="58" t="s">
        <v>1449</v>
      </c>
      <c r="S425" s="58" t="s">
        <v>1450</v>
      </c>
      <c r="T425" s="58" t="s">
        <v>279</v>
      </c>
    </row>
    <row r="426" spans="1:20" ht="31.2">
      <c r="A426" s="58" t="s">
        <v>63</v>
      </c>
      <c r="B426" s="58" t="s">
        <v>35</v>
      </c>
      <c r="C426" s="58">
        <v>76</v>
      </c>
      <c r="D426" s="58" t="s">
        <v>479</v>
      </c>
      <c r="E426" s="58" t="s">
        <v>1386</v>
      </c>
      <c r="F426" s="58" t="s">
        <v>273</v>
      </c>
      <c r="G426" s="58" t="s">
        <v>273</v>
      </c>
      <c r="H426" s="58" t="s">
        <v>274</v>
      </c>
      <c r="I426" s="58" t="s">
        <v>273</v>
      </c>
      <c r="J426" s="58" t="s">
        <v>273</v>
      </c>
      <c r="K426" s="58"/>
      <c r="L426" s="58" t="s">
        <v>288</v>
      </c>
      <c r="M426" s="58" t="s">
        <v>35</v>
      </c>
      <c r="N426" s="58">
        <v>1.7000000000000001E-2</v>
      </c>
      <c r="O426" s="58" t="s">
        <v>554</v>
      </c>
      <c r="P426" s="58" t="s">
        <v>89</v>
      </c>
      <c r="Q426" s="58" t="s">
        <v>90</v>
      </c>
      <c r="R426" s="58" t="s">
        <v>1451</v>
      </c>
      <c r="S426" s="58" t="s">
        <v>1452</v>
      </c>
      <c r="T426" s="58" t="s">
        <v>279</v>
      </c>
    </row>
    <row r="427" spans="1:20" ht="31.2">
      <c r="A427" s="58" t="s">
        <v>63</v>
      </c>
      <c r="B427" s="58" t="s">
        <v>35</v>
      </c>
      <c r="C427" s="58">
        <v>77</v>
      </c>
      <c r="D427" s="58" t="s">
        <v>361</v>
      </c>
      <c r="E427" s="58" t="s">
        <v>1453</v>
      </c>
      <c r="F427" s="58" t="s">
        <v>273</v>
      </c>
      <c r="G427" s="58" t="s">
        <v>273</v>
      </c>
      <c r="H427" s="58" t="s">
        <v>274</v>
      </c>
      <c r="I427" s="58" t="s">
        <v>274</v>
      </c>
      <c r="J427" s="58"/>
      <c r="K427" s="58"/>
      <c r="L427" s="58" t="s">
        <v>288</v>
      </c>
      <c r="M427" s="58" t="s">
        <v>35</v>
      </c>
      <c r="N427" s="58">
        <v>21.539000000000001</v>
      </c>
      <c r="O427" s="58" t="s">
        <v>494</v>
      </c>
      <c r="P427" s="58" t="s">
        <v>89</v>
      </c>
      <c r="Q427" s="58" t="s">
        <v>90</v>
      </c>
      <c r="R427" s="58" t="s">
        <v>1454</v>
      </c>
      <c r="S427" s="58" t="s">
        <v>1455</v>
      </c>
      <c r="T427" s="58" t="s">
        <v>279</v>
      </c>
    </row>
    <row r="428" spans="1:20" ht="31.2">
      <c r="A428" s="58" t="s">
        <v>63</v>
      </c>
      <c r="B428" s="58" t="s">
        <v>35</v>
      </c>
      <c r="C428" s="58">
        <v>78</v>
      </c>
      <c r="D428" s="58" t="s">
        <v>361</v>
      </c>
      <c r="E428" s="58" t="s">
        <v>1456</v>
      </c>
      <c r="F428" s="58" t="s">
        <v>273</v>
      </c>
      <c r="G428" s="58" t="s">
        <v>273</v>
      </c>
      <c r="H428" s="58" t="s">
        <v>274</v>
      </c>
      <c r="I428" s="58" t="s">
        <v>274</v>
      </c>
      <c r="J428" s="58"/>
      <c r="K428" s="58"/>
      <c r="L428" s="58" t="s">
        <v>288</v>
      </c>
      <c r="M428" s="58" t="s">
        <v>35</v>
      </c>
      <c r="N428" s="58">
        <v>0.97499999999999998</v>
      </c>
      <c r="O428" s="58" t="s">
        <v>494</v>
      </c>
      <c r="P428" s="58" t="s">
        <v>89</v>
      </c>
      <c r="Q428" s="58" t="s">
        <v>90</v>
      </c>
      <c r="R428" s="58" t="s">
        <v>1457</v>
      </c>
      <c r="S428" s="58" t="s">
        <v>1458</v>
      </c>
      <c r="T428" s="58" t="s">
        <v>279</v>
      </c>
    </row>
    <row r="429" spans="1:20" ht="31.2">
      <c r="A429" s="58" t="s">
        <v>63</v>
      </c>
      <c r="B429" s="58" t="s">
        <v>35</v>
      </c>
      <c r="C429" s="58">
        <v>79</v>
      </c>
      <c r="D429" s="58" t="s">
        <v>378</v>
      </c>
      <c r="E429" s="58" t="s">
        <v>1459</v>
      </c>
      <c r="F429" s="58" t="s">
        <v>273</v>
      </c>
      <c r="G429" s="58" t="s">
        <v>273</v>
      </c>
      <c r="H429" s="58" t="s">
        <v>274</v>
      </c>
      <c r="I429" s="58" t="s">
        <v>274</v>
      </c>
      <c r="J429" s="58"/>
      <c r="K429" s="58"/>
      <c r="L429" s="58" t="s">
        <v>288</v>
      </c>
      <c r="M429" s="58" t="s">
        <v>35</v>
      </c>
      <c r="N429" s="58">
        <v>0.06</v>
      </c>
      <c r="O429" s="58" t="s">
        <v>380</v>
      </c>
      <c r="P429" s="58" t="s">
        <v>89</v>
      </c>
      <c r="Q429" s="58" t="s">
        <v>90</v>
      </c>
      <c r="R429" s="58" t="s">
        <v>1460</v>
      </c>
      <c r="S429" s="58" t="s">
        <v>1461</v>
      </c>
      <c r="T429" s="58" t="s">
        <v>279</v>
      </c>
    </row>
    <row r="430" spans="1:20" ht="31.2">
      <c r="A430" s="58" t="s">
        <v>63</v>
      </c>
      <c r="B430" s="58" t="s">
        <v>35</v>
      </c>
      <c r="C430" s="58">
        <v>80</v>
      </c>
      <c r="D430" s="58" t="s">
        <v>361</v>
      </c>
      <c r="E430" s="58" t="s">
        <v>1462</v>
      </c>
      <c r="F430" s="58" t="s">
        <v>273</v>
      </c>
      <c r="G430" s="58" t="s">
        <v>273</v>
      </c>
      <c r="H430" s="58" t="s">
        <v>274</v>
      </c>
      <c r="I430" s="58" t="s">
        <v>274</v>
      </c>
      <c r="J430" s="58"/>
      <c r="K430" s="58"/>
      <c r="L430" s="58" t="s">
        <v>288</v>
      </c>
      <c r="M430" s="58" t="s">
        <v>35</v>
      </c>
      <c r="N430" s="58">
        <v>0.94299999999999995</v>
      </c>
      <c r="O430" s="58" t="s">
        <v>494</v>
      </c>
      <c r="P430" s="58" t="s">
        <v>89</v>
      </c>
      <c r="Q430" s="58" t="s">
        <v>90</v>
      </c>
      <c r="R430" s="58" t="s">
        <v>1463</v>
      </c>
      <c r="S430" s="58" t="s">
        <v>1464</v>
      </c>
      <c r="T430" s="58" t="s">
        <v>279</v>
      </c>
    </row>
    <row r="431" spans="1:20" ht="31.2">
      <c r="A431" s="58" t="s">
        <v>63</v>
      </c>
      <c r="B431" s="58" t="s">
        <v>35</v>
      </c>
      <c r="C431" s="58">
        <v>81</v>
      </c>
      <c r="D431" s="58" t="s">
        <v>479</v>
      </c>
      <c r="E431" s="58" t="s">
        <v>1459</v>
      </c>
      <c r="F431" s="58" t="s">
        <v>273</v>
      </c>
      <c r="G431" s="58" t="s">
        <v>273</v>
      </c>
      <c r="H431" s="58" t="s">
        <v>274</v>
      </c>
      <c r="I431" s="58" t="s">
        <v>273</v>
      </c>
      <c r="J431" s="58" t="s">
        <v>273</v>
      </c>
      <c r="K431" s="58"/>
      <c r="L431" s="58" t="s">
        <v>288</v>
      </c>
      <c r="M431" s="58" t="s">
        <v>35</v>
      </c>
      <c r="N431" s="58">
        <v>1.7000000000000001E-2</v>
      </c>
      <c r="O431" s="58" t="s">
        <v>554</v>
      </c>
      <c r="P431" s="58" t="s">
        <v>89</v>
      </c>
      <c r="Q431" s="58" t="s">
        <v>90</v>
      </c>
      <c r="R431" s="58" t="s">
        <v>1465</v>
      </c>
      <c r="S431" s="58" t="s">
        <v>1466</v>
      </c>
      <c r="T431" s="58" t="s">
        <v>279</v>
      </c>
    </row>
    <row r="432" spans="1:20" ht="31.2">
      <c r="A432" s="58" t="s">
        <v>63</v>
      </c>
      <c r="B432" s="58" t="s">
        <v>35</v>
      </c>
      <c r="C432" s="58">
        <v>82</v>
      </c>
      <c r="D432" s="58" t="s">
        <v>479</v>
      </c>
      <c r="E432" s="58" t="s">
        <v>1327</v>
      </c>
      <c r="F432" s="58" t="s">
        <v>273</v>
      </c>
      <c r="G432" s="58" t="s">
        <v>273</v>
      </c>
      <c r="H432" s="58" t="s">
        <v>274</v>
      </c>
      <c r="I432" s="58" t="s">
        <v>273</v>
      </c>
      <c r="J432" s="58" t="s">
        <v>273</v>
      </c>
      <c r="K432" s="58"/>
      <c r="L432" s="58" t="s">
        <v>288</v>
      </c>
      <c r="M432" s="58" t="s">
        <v>35</v>
      </c>
      <c r="N432" s="58">
        <v>2.5000000000000001E-2</v>
      </c>
      <c r="O432" s="58" t="s">
        <v>554</v>
      </c>
      <c r="P432" s="58" t="s">
        <v>89</v>
      </c>
      <c r="Q432" s="58" t="s">
        <v>90</v>
      </c>
      <c r="R432" s="58" t="s">
        <v>1467</v>
      </c>
      <c r="S432" s="58" t="s">
        <v>1468</v>
      </c>
      <c r="T432" s="58" t="s">
        <v>279</v>
      </c>
    </row>
    <row r="433" spans="1:20" ht="31.2">
      <c r="A433" s="58" t="s">
        <v>63</v>
      </c>
      <c r="B433" s="58" t="s">
        <v>35</v>
      </c>
      <c r="C433" s="58">
        <v>83</v>
      </c>
      <c r="D433" s="58" t="s">
        <v>479</v>
      </c>
      <c r="E433" s="58" t="s">
        <v>1386</v>
      </c>
      <c r="F433" s="58" t="s">
        <v>273</v>
      </c>
      <c r="G433" s="58" t="s">
        <v>273</v>
      </c>
      <c r="H433" s="58" t="s">
        <v>274</v>
      </c>
      <c r="I433" s="58" t="s">
        <v>273</v>
      </c>
      <c r="J433" s="58" t="s">
        <v>273</v>
      </c>
      <c r="K433" s="58"/>
      <c r="L433" s="58" t="s">
        <v>288</v>
      </c>
      <c r="M433" s="58" t="s">
        <v>35</v>
      </c>
      <c r="N433" s="58">
        <v>1.7999999999999999E-2</v>
      </c>
      <c r="O433" s="58" t="s">
        <v>554</v>
      </c>
      <c r="P433" s="58" t="s">
        <v>89</v>
      </c>
      <c r="Q433" s="58" t="s">
        <v>90</v>
      </c>
      <c r="R433" s="58" t="s">
        <v>1469</v>
      </c>
      <c r="S433" s="58" t="s">
        <v>1470</v>
      </c>
      <c r="T433" s="58" t="s">
        <v>279</v>
      </c>
    </row>
    <row r="434" spans="1:20" ht="31.2">
      <c r="A434" s="58" t="s">
        <v>63</v>
      </c>
      <c r="B434" s="58" t="s">
        <v>35</v>
      </c>
      <c r="C434" s="58">
        <v>84</v>
      </c>
      <c r="D434" s="58" t="s">
        <v>361</v>
      </c>
      <c r="E434" s="58" t="s">
        <v>1471</v>
      </c>
      <c r="F434" s="58" t="s">
        <v>273</v>
      </c>
      <c r="G434" s="58" t="s">
        <v>273</v>
      </c>
      <c r="H434" s="58" t="s">
        <v>274</v>
      </c>
      <c r="I434" s="58" t="s">
        <v>274</v>
      </c>
      <c r="J434" s="58"/>
      <c r="K434" s="58"/>
      <c r="L434" s="58" t="s">
        <v>288</v>
      </c>
      <c r="M434" s="58" t="s">
        <v>35</v>
      </c>
      <c r="N434" s="58">
        <v>17.047999999999998</v>
      </c>
      <c r="O434" s="58" t="s">
        <v>494</v>
      </c>
      <c r="P434" s="58" t="s">
        <v>89</v>
      </c>
      <c r="Q434" s="58" t="s">
        <v>90</v>
      </c>
      <c r="R434" s="58" t="s">
        <v>1472</v>
      </c>
      <c r="S434" s="58" t="s">
        <v>1473</v>
      </c>
      <c r="T434" s="58" t="s">
        <v>279</v>
      </c>
    </row>
    <row r="435" spans="1:20" ht="31.2">
      <c r="A435" s="58" t="s">
        <v>63</v>
      </c>
      <c r="B435" s="58" t="s">
        <v>35</v>
      </c>
      <c r="C435" s="58">
        <v>85</v>
      </c>
      <c r="D435" s="58" t="s">
        <v>378</v>
      </c>
      <c r="E435" s="58" t="s">
        <v>1474</v>
      </c>
      <c r="F435" s="58" t="s">
        <v>273</v>
      </c>
      <c r="G435" s="58" t="s">
        <v>273</v>
      </c>
      <c r="H435" s="58" t="s">
        <v>274</v>
      </c>
      <c r="I435" s="58" t="s">
        <v>274</v>
      </c>
      <c r="J435" s="58"/>
      <c r="K435" s="58"/>
      <c r="L435" s="58" t="s">
        <v>288</v>
      </c>
      <c r="M435" s="58" t="s">
        <v>35</v>
      </c>
      <c r="N435" s="58">
        <v>0.02</v>
      </c>
      <c r="O435" s="58" t="s">
        <v>380</v>
      </c>
      <c r="P435" s="58" t="s">
        <v>89</v>
      </c>
      <c r="Q435" s="58" t="s">
        <v>90</v>
      </c>
      <c r="R435" s="58" t="s">
        <v>1475</v>
      </c>
      <c r="S435" s="58" t="s">
        <v>1476</v>
      </c>
      <c r="T435" s="58" t="s">
        <v>279</v>
      </c>
    </row>
    <row r="436" spans="1:20" ht="31.2">
      <c r="A436" s="58" t="s">
        <v>63</v>
      </c>
      <c r="B436" s="58" t="s">
        <v>35</v>
      </c>
      <c r="C436" s="58">
        <v>86</v>
      </c>
      <c r="D436" s="58" t="s">
        <v>361</v>
      </c>
      <c r="E436" s="58" t="s">
        <v>1477</v>
      </c>
      <c r="F436" s="58" t="s">
        <v>273</v>
      </c>
      <c r="G436" s="58" t="s">
        <v>273</v>
      </c>
      <c r="H436" s="58" t="s">
        <v>274</v>
      </c>
      <c r="I436" s="58" t="s">
        <v>274</v>
      </c>
      <c r="J436" s="58"/>
      <c r="K436" s="58"/>
      <c r="L436" s="58" t="s">
        <v>288</v>
      </c>
      <c r="M436" s="58" t="s">
        <v>35</v>
      </c>
      <c r="N436" s="58">
        <v>4.8719999999999999</v>
      </c>
      <c r="O436" s="58" t="s">
        <v>494</v>
      </c>
      <c r="P436" s="58" t="s">
        <v>89</v>
      </c>
      <c r="Q436" s="58" t="s">
        <v>90</v>
      </c>
      <c r="R436" s="58" t="s">
        <v>1478</v>
      </c>
      <c r="S436" s="58" t="s">
        <v>1479</v>
      </c>
      <c r="T436" s="58" t="s">
        <v>279</v>
      </c>
    </row>
    <row r="437" spans="1:20" ht="31.2">
      <c r="A437" s="58" t="s">
        <v>63</v>
      </c>
      <c r="B437" s="58" t="s">
        <v>35</v>
      </c>
      <c r="C437" s="58">
        <v>87</v>
      </c>
      <c r="D437" s="58" t="s">
        <v>361</v>
      </c>
      <c r="E437" s="58" t="s">
        <v>1480</v>
      </c>
      <c r="F437" s="58" t="s">
        <v>273</v>
      </c>
      <c r="G437" s="58" t="s">
        <v>273</v>
      </c>
      <c r="H437" s="58" t="s">
        <v>274</v>
      </c>
      <c r="I437" s="58" t="s">
        <v>274</v>
      </c>
      <c r="J437" s="58"/>
      <c r="K437" s="58"/>
      <c r="L437" s="58" t="s">
        <v>288</v>
      </c>
      <c r="M437" s="58" t="s">
        <v>35</v>
      </c>
      <c r="N437" s="58">
        <v>1.5</v>
      </c>
      <c r="O437" s="58" t="s">
        <v>494</v>
      </c>
      <c r="P437" s="58" t="s">
        <v>89</v>
      </c>
      <c r="Q437" s="58" t="s">
        <v>90</v>
      </c>
      <c r="R437" s="58" t="s">
        <v>1481</v>
      </c>
      <c r="S437" s="58" t="s">
        <v>1482</v>
      </c>
      <c r="T437" s="58" t="s">
        <v>279</v>
      </c>
    </row>
    <row r="438" spans="1:20" ht="31.2">
      <c r="A438" s="58" t="s">
        <v>63</v>
      </c>
      <c r="B438" s="58" t="s">
        <v>35</v>
      </c>
      <c r="C438" s="58">
        <v>88</v>
      </c>
      <c r="D438" s="58" t="s">
        <v>479</v>
      </c>
      <c r="E438" s="58" t="s">
        <v>1459</v>
      </c>
      <c r="F438" s="58" t="s">
        <v>273</v>
      </c>
      <c r="G438" s="58" t="s">
        <v>273</v>
      </c>
      <c r="H438" s="58" t="s">
        <v>274</v>
      </c>
      <c r="I438" s="58" t="s">
        <v>273</v>
      </c>
      <c r="J438" s="58" t="s">
        <v>273</v>
      </c>
      <c r="K438" s="58"/>
      <c r="L438" s="58" t="s">
        <v>288</v>
      </c>
      <c r="M438" s="58" t="s">
        <v>35</v>
      </c>
      <c r="N438" s="58">
        <v>2.1000000000000001E-2</v>
      </c>
      <c r="O438" s="58" t="s">
        <v>554</v>
      </c>
      <c r="P438" s="58" t="s">
        <v>89</v>
      </c>
      <c r="Q438" s="58" t="s">
        <v>90</v>
      </c>
      <c r="R438" s="58" t="s">
        <v>1483</v>
      </c>
      <c r="S438" s="58" t="s">
        <v>1484</v>
      </c>
      <c r="T438" s="58" t="s">
        <v>279</v>
      </c>
    </row>
    <row r="439" spans="1:20" ht="31.2">
      <c r="A439" s="58" t="s">
        <v>63</v>
      </c>
      <c r="B439" s="58" t="s">
        <v>35</v>
      </c>
      <c r="C439" s="58">
        <v>89</v>
      </c>
      <c r="D439" s="58" t="s">
        <v>479</v>
      </c>
      <c r="E439" s="58" t="s">
        <v>1459</v>
      </c>
      <c r="F439" s="58" t="s">
        <v>273</v>
      </c>
      <c r="G439" s="58" t="s">
        <v>273</v>
      </c>
      <c r="H439" s="58" t="s">
        <v>274</v>
      </c>
      <c r="I439" s="58" t="s">
        <v>273</v>
      </c>
      <c r="J439" s="58" t="s">
        <v>273</v>
      </c>
      <c r="K439" s="58"/>
      <c r="L439" s="58" t="s">
        <v>288</v>
      </c>
      <c r="M439" s="58" t="s">
        <v>35</v>
      </c>
      <c r="N439" s="58">
        <v>1.7999999999999999E-2</v>
      </c>
      <c r="O439" s="58" t="s">
        <v>554</v>
      </c>
      <c r="P439" s="58" t="s">
        <v>89</v>
      </c>
      <c r="Q439" s="58" t="s">
        <v>90</v>
      </c>
      <c r="R439" s="58" t="s">
        <v>1485</v>
      </c>
      <c r="S439" s="58" t="s">
        <v>1486</v>
      </c>
      <c r="T439" s="58" t="s">
        <v>279</v>
      </c>
    </row>
    <row r="440" spans="1:20" ht="31.2">
      <c r="A440" s="58" t="s">
        <v>63</v>
      </c>
      <c r="B440" s="58" t="s">
        <v>35</v>
      </c>
      <c r="C440" s="58">
        <v>90</v>
      </c>
      <c r="D440" s="58" t="s">
        <v>479</v>
      </c>
      <c r="E440" s="58" t="s">
        <v>1386</v>
      </c>
      <c r="F440" s="58" t="s">
        <v>273</v>
      </c>
      <c r="G440" s="58" t="s">
        <v>273</v>
      </c>
      <c r="H440" s="58" t="s">
        <v>274</v>
      </c>
      <c r="I440" s="58" t="s">
        <v>273</v>
      </c>
      <c r="J440" s="58" t="s">
        <v>273</v>
      </c>
      <c r="K440" s="58"/>
      <c r="L440" s="58" t="s">
        <v>288</v>
      </c>
      <c r="M440" s="58" t="s">
        <v>35</v>
      </c>
      <c r="N440" s="58">
        <v>1.7000000000000001E-2</v>
      </c>
      <c r="O440" s="58" t="s">
        <v>554</v>
      </c>
      <c r="P440" s="58" t="s">
        <v>89</v>
      </c>
      <c r="Q440" s="58" t="s">
        <v>90</v>
      </c>
      <c r="R440" s="58" t="s">
        <v>1487</v>
      </c>
      <c r="S440" s="58" t="s">
        <v>1488</v>
      </c>
      <c r="T440" s="58" t="s">
        <v>279</v>
      </c>
    </row>
    <row r="441" spans="1:20" ht="31.2">
      <c r="A441" s="58" t="s">
        <v>63</v>
      </c>
      <c r="B441" s="58" t="s">
        <v>35</v>
      </c>
      <c r="C441" s="58">
        <v>91</v>
      </c>
      <c r="D441" s="58" t="s">
        <v>361</v>
      </c>
      <c r="E441" s="58" t="s">
        <v>1489</v>
      </c>
      <c r="F441" s="58" t="s">
        <v>273</v>
      </c>
      <c r="G441" s="58" t="s">
        <v>273</v>
      </c>
      <c r="H441" s="58" t="s">
        <v>274</v>
      </c>
      <c r="I441" s="58" t="s">
        <v>274</v>
      </c>
      <c r="J441" s="58"/>
      <c r="K441" s="58"/>
      <c r="L441" s="58" t="s">
        <v>288</v>
      </c>
      <c r="M441" s="58" t="s">
        <v>35</v>
      </c>
      <c r="N441" s="58">
        <v>5.742</v>
      </c>
      <c r="O441" s="58" t="s">
        <v>494</v>
      </c>
      <c r="P441" s="58" t="s">
        <v>89</v>
      </c>
      <c r="Q441" s="58" t="s">
        <v>90</v>
      </c>
      <c r="R441" s="58" t="s">
        <v>1490</v>
      </c>
      <c r="S441" s="58" t="s">
        <v>1491</v>
      </c>
      <c r="T441" s="58" t="s">
        <v>279</v>
      </c>
    </row>
    <row r="442" spans="1:20" ht="25.95" customHeight="1">
      <c r="A442" s="58" t="s">
        <v>34</v>
      </c>
      <c r="B442" s="58" t="s">
        <v>35</v>
      </c>
      <c r="C442" s="58">
        <v>1</v>
      </c>
      <c r="D442" s="58" t="s">
        <v>271</v>
      </c>
      <c r="E442" s="58" t="s">
        <v>272</v>
      </c>
      <c r="F442" s="58" t="s">
        <v>273</v>
      </c>
      <c r="G442" s="58" t="s">
        <v>273</v>
      </c>
      <c r="H442" s="58" t="s">
        <v>274</v>
      </c>
      <c r="I442" s="58" t="s">
        <v>274</v>
      </c>
      <c r="J442" s="58"/>
      <c r="K442" s="58"/>
      <c r="L442" s="58" t="s">
        <v>351</v>
      </c>
      <c r="M442" s="58" t="s">
        <v>35</v>
      </c>
      <c r="N442" s="58">
        <v>2.9740000000000002</v>
      </c>
      <c r="O442" s="58" t="s">
        <v>276</v>
      </c>
      <c r="P442" s="58" t="s">
        <v>92</v>
      </c>
      <c r="Q442" s="58" t="s">
        <v>93</v>
      </c>
      <c r="R442" s="58" t="s">
        <v>1492</v>
      </c>
      <c r="S442" s="58" t="s">
        <v>1493</v>
      </c>
      <c r="T442" s="58" t="s">
        <v>279</v>
      </c>
    </row>
    <row r="443" spans="1:20" ht="25.95" customHeight="1">
      <c r="A443" s="58" t="s">
        <v>34</v>
      </c>
      <c r="B443" s="58" t="s">
        <v>35</v>
      </c>
      <c r="C443" s="58">
        <v>2</v>
      </c>
      <c r="D443" s="58" t="s">
        <v>271</v>
      </c>
      <c r="E443" s="58" t="s">
        <v>272</v>
      </c>
      <c r="F443" s="58" t="s">
        <v>273</v>
      </c>
      <c r="G443" s="58" t="s">
        <v>273</v>
      </c>
      <c r="H443" s="58" t="s">
        <v>274</v>
      </c>
      <c r="I443" s="58" t="s">
        <v>274</v>
      </c>
      <c r="J443" s="58"/>
      <c r="K443" s="58"/>
      <c r="L443" s="58" t="s">
        <v>351</v>
      </c>
      <c r="M443" s="58" t="s">
        <v>35</v>
      </c>
      <c r="N443" s="58">
        <v>0.747</v>
      </c>
      <c r="O443" s="58" t="s">
        <v>276</v>
      </c>
      <c r="P443" s="58" t="s">
        <v>92</v>
      </c>
      <c r="Q443" s="58" t="s">
        <v>93</v>
      </c>
      <c r="R443" s="58" t="s">
        <v>1494</v>
      </c>
      <c r="S443" s="58" t="s">
        <v>1495</v>
      </c>
      <c r="T443" s="58" t="s">
        <v>279</v>
      </c>
    </row>
    <row r="444" spans="1:20" ht="25.95" customHeight="1">
      <c r="A444" s="58" t="s">
        <v>34</v>
      </c>
      <c r="B444" s="58" t="s">
        <v>35</v>
      </c>
      <c r="C444" s="58">
        <v>3</v>
      </c>
      <c r="D444" s="58" t="s">
        <v>271</v>
      </c>
      <c r="E444" s="58" t="s">
        <v>272</v>
      </c>
      <c r="F444" s="58" t="s">
        <v>273</v>
      </c>
      <c r="G444" s="58" t="s">
        <v>273</v>
      </c>
      <c r="H444" s="58" t="s">
        <v>274</v>
      </c>
      <c r="I444" s="58" t="s">
        <v>274</v>
      </c>
      <c r="J444" s="58"/>
      <c r="K444" s="58"/>
      <c r="L444" s="58" t="s">
        <v>275</v>
      </c>
      <c r="M444" s="58" t="s">
        <v>35</v>
      </c>
      <c r="N444" s="58">
        <v>1.3680000000000001</v>
      </c>
      <c r="O444" s="58" t="s">
        <v>276</v>
      </c>
      <c r="P444" s="58" t="s">
        <v>92</v>
      </c>
      <c r="Q444" s="58" t="s">
        <v>93</v>
      </c>
      <c r="R444" s="58" t="s">
        <v>1496</v>
      </c>
      <c r="S444" s="58" t="s">
        <v>1497</v>
      </c>
      <c r="T444" s="58" t="s">
        <v>279</v>
      </c>
    </row>
    <row r="445" spans="1:20" ht="25.95" customHeight="1">
      <c r="A445" s="58" t="s">
        <v>34</v>
      </c>
      <c r="B445" s="58" t="s">
        <v>35</v>
      </c>
      <c r="C445" s="58">
        <v>4</v>
      </c>
      <c r="D445" s="58" t="s">
        <v>271</v>
      </c>
      <c r="E445" s="58" t="s">
        <v>272</v>
      </c>
      <c r="F445" s="58" t="s">
        <v>273</v>
      </c>
      <c r="G445" s="58"/>
      <c r="H445" s="58" t="s">
        <v>273</v>
      </c>
      <c r="I445" s="58" t="s">
        <v>274</v>
      </c>
      <c r="J445" s="58"/>
      <c r="K445" s="58"/>
      <c r="L445" s="58" t="s">
        <v>275</v>
      </c>
      <c r="M445" s="58" t="s">
        <v>35</v>
      </c>
      <c r="N445" s="58">
        <v>1.9590000000000001</v>
      </c>
      <c r="O445" s="58" t="s">
        <v>276</v>
      </c>
      <c r="P445" s="58" t="s">
        <v>92</v>
      </c>
      <c r="Q445" s="58" t="s">
        <v>93</v>
      </c>
      <c r="R445" s="58" t="s">
        <v>1498</v>
      </c>
      <c r="S445" s="58" t="s">
        <v>1499</v>
      </c>
      <c r="T445" s="58" t="s">
        <v>279</v>
      </c>
    </row>
    <row r="446" spans="1:20" ht="25.95" customHeight="1">
      <c r="A446" s="58" t="s">
        <v>34</v>
      </c>
      <c r="B446" s="58" t="s">
        <v>35</v>
      </c>
      <c r="C446" s="58">
        <v>5</v>
      </c>
      <c r="D446" s="58" t="s">
        <v>271</v>
      </c>
      <c r="E446" s="58" t="s">
        <v>272</v>
      </c>
      <c r="F446" s="58" t="s">
        <v>273</v>
      </c>
      <c r="G446" s="58"/>
      <c r="H446" s="58" t="s">
        <v>274</v>
      </c>
      <c r="I446" s="58" t="s">
        <v>274</v>
      </c>
      <c r="J446" s="58"/>
      <c r="K446" s="58"/>
      <c r="L446" s="58" t="s">
        <v>275</v>
      </c>
      <c r="M446" s="58" t="s">
        <v>35</v>
      </c>
      <c r="N446" s="58">
        <v>10.273</v>
      </c>
      <c r="O446" s="58" t="s">
        <v>276</v>
      </c>
      <c r="P446" s="58" t="s">
        <v>92</v>
      </c>
      <c r="Q446" s="58" t="s">
        <v>93</v>
      </c>
      <c r="R446" s="58" t="s">
        <v>1500</v>
      </c>
      <c r="S446" s="58" t="s">
        <v>1501</v>
      </c>
      <c r="T446" s="58" t="s">
        <v>279</v>
      </c>
    </row>
    <row r="447" spans="1:20" ht="25.95" customHeight="1">
      <c r="A447" s="58" t="s">
        <v>34</v>
      </c>
      <c r="B447" s="58" t="s">
        <v>35</v>
      </c>
      <c r="C447" s="58">
        <v>6</v>
      </c>
      <c r="D447" s="58" t="s">
        <v>271</v>
      </c>
      <c r="E447" s="58" t="s">
        <v>272</v>
      </c>
      <c r="F447" s="58" t="s">
        <v>273</v>
      </c>
      <c r="G447" s="58" t="s">
        <v>274</v>
      </c>
      <c r="H447" s="58" t="s">
        <v>273</v>
      </c>
      <c r="I447" s="58" t="s">
        <v>274</v>
      </c>
      <c r="J447" s="58"/>
      <c r="K447" s="58"/>
      <c r="L447" s="58" t="s">
        <v>275</v>
      </c>
      <c r="M447" s="58" t="s">
        <v>35</v>
      </c>
      <c r="N447" s="58">
        <v>5.1280000000000001</v>
      </c>
      <c r="O447" s="58" t="s">
        <v>276</v>
      </c>
      <c r="P447" s="58" t="s">
        <v>92</v>
      </c>
      <c r="Q447" s="58" t="s">
        <v>93</v>
      </c>
      <c r="R447" s="58" t="s">
        <v>1502</v>
      </c>
      <c r="S447" s="58" t="s">
        <v>1503</v>
      </c>
      <c r="T447" s="58" t="s">
        <v>279</v>
      </c>
    </row>
    <row r="448" spans="1:20" ht="25.95" customHeight="1">
      <c r="A448" s="58" t="s">
        <v>34</v>
      </c>
      <c r="B448" s="58" t="s">
        <v>35</v>
      </c>
      <c r="C448" s="58">
        <v>7</v>
      </c>
      <c r="D448" s="58" t="s">
        <v>271</v>
      </c>
      <c r="E448" s="58" t="s">
        <v>272</v>
      </c>
      <c r="F448" s="58" t="s">
        <v>273</v>
      </c>
      <c r="G448" s="58"/>
      <c r="H448" s="58" t="s">
        <v>274</v>
      </c>
      <c r="I448" s="58" t="s">
        <v>274</v>
      </c>
      <c r="J448" s="58"/>
      <c r="K448" s="58"/>
      <c r="L448" s="58" t="s">
        <v>275</v>
      </c>
      <c r="M448" s="58" t="s">
        <v>35</v>
      </c>
      <c r="N448" s="58">
        <v>10.228</v>
      </c>
      <c r="O448" s="58" t="s">
        <v>276</v>
      </c>
      <c r="P448" s="58" t="s">
        <v>92</v>
      </c>
      <c r="Q448" s="58" t="s">
        <v>93</v>
      </c>
      <c r="R448" s="58" t="s">
        <v>1504</v>
      </c>
      <c r="S448" s="58" t="s">
        <v>1505</v>
      </c>
      <c r="T448" s="58" t="s">
        <v>279</v>
      </c>
    </row>
    <row r="449" spans="1:20" ht="25.95" customHeight="1">
      <c r="A449" s="58" t="s">
        <v>34</v>
      </c>
      <c r="B449" s="58" t="s">
        <v>35</v>
      </c>
      <c r="C449" s="58">
        <v>8</v>
      </c>
      <c r="D449" s="58" t="s">
        <v>271</v>
      </c>
      <c r="E449" s="58" t="s">
        <v>272</v>
      </c>
      <c r="F449" s="58" t="s">
        <v>273</v>
      </c>
      <c r="G449" s="58" t="s">
        <v>273</v>
      </c>
      <c r="H449" s="58" t="s">
        <v>274</v>
      </c>
      <c r="I449" s="58" t="s">
        <v>274</v>
      </c>
      <c r="J449" s="58"/>
      <c r="K449" s="58"/>
      <c r="L449" s="58" t="s">
        <v>275</v>
      </c>
      <c r="M449" s="58" t="s">
        <v>35</v>
      </c>
      <c r="N449" s="58">
        <v>1.2789999999999999</v>
      </c>
      <c r="O449" s="58" t="s">
        <v>276</v>
      </c>
      <c r="P449" s="58" t="s">
        <v>92</v>
      </c>
      <c r="Q449" s="58" t="s">
        <v>93</v>
      </c>
      <c r="R449" s="58" t="s">
        <v>1506</v>
      </c>
      <c r="S449" s="58" t="s">
        <v>1507</v>
      </c>
      <c r="T449" s="58" t="s">
        <v>279</v>
      </c>
    </row>
    <row r="450" spans="1:20" ht="25.95" customHeight="1">
      <c r="A450" s="58" t="s">
        <v>34</v>
      </c>
      <c r="B450" s="58" t="s">
        <v>35</v>
      </c>
      <c r="C450" s="58">
        <v>9</v>
      </c>
      <c r="D450" s="58" t="s">
        <v>271</v>
      </c>
      <c r="E450" s="58" t="s">
        <v>272</v>
      </c>
      <c r="F450" s="58" t="s">
        <v>273</v>
      </c>
      <c r="G450" s="58" t="s">
        <v>274</v>
      </c>
      <c r="H450" s="58" t="s">
        <v>273</v>
      </c>
      <c r="I450" s="58" t="s">
        <v>274</v>
      </c>
      <c r="J450" s="58"/>
      <c r="K450" s="58"/>
      <c r="L450" s="58" t="s">
        <v>604</v>
      </c>
      <c r="M450" s="58" t="s">
        <v>35</v>
      </c>
      <c r="N450" s="58">
        <v>0.61699999999999999</v>
      </c>
      <c r="O450" s="58" t="s">
        <v>276</v>
      </c>
      <c r="P450" s="58" t="s">
        <v>92</v>
      </c>
      <c r="Q450" s="58" t="s">
        <v>93</v>
      </c>
      <c r="R450" s="58" t="s">
        <v>1508</v>
      </c>
      <c r="S450" s="58" t="s">
        <v>1509</v>
      </c>
      <c r="T450" s="58" t="s">
        <v>279</v>
      </c>
    </row>
    <row r="451" spans="1:20" ht="25.95" customHeight="1">
      <c r="A451" s="58" t="s">
        <v>34</v>
      </c>
      <c r="B451" s="58" t="s">
        <v>35</v>
      </c>
      <c r="C451" s="58">
        <v>10</v>
      </c>
      <c r="D451" s="58" t="s">
        <v>271</v>
      </c>
      <c r="E451" s="58" t="s">
        <v>272</v>
      </c>
      <c r="F451" s="58" t="s">
        <v>273</v>
      </c>
      <c r="G451" s="58"/>
      <c r="H451" s="58" t="s">
        <v>274</v>
      </c>
      <c r="I451" s="58" t="s">
        <v>274</v>
      </c>
      <c r="J451" s="58"/>
      <c r="K451" s="58"/>
      <c r="L451" s="58" t="s">
        <v>275</v>
      </c>
      <c r="M451" s="58" t="s">
        <v>35</v>
      </c>
      <c r="N451" s="58">
        <v>10.226000000000001</v>
      </c>
      <c r="O451" s="58" t="s">
        <v>276</v>
      </c>
      <c r="P451" s="58" t="s">
        <v>92</v>
      </c>
      <c r="Q451" s="58" t="s">
        <v>93</v>
      </c>
      <c r="R451" s="58" t="s">
        <v>1510</v>
      </c>
      <c r="S451" s="58" t="s">
        <v>1511</v>
      </c>
      <c r="T451" s="58" t="s">
        <v>279</v>
      </c>
    </row>
    <row r="452" spans="1:20" ht="25.95" customHeight="1">
      <c r="A452" s="58" t="s">
        <v>34</v>
      </c>
      <c r="B452" s="58" t="s">
        <v>35</v>
      </c>
      <c r="C452" s="58">
        <v>11</v>
      </c>
      <c r="D452" s="58" t="s">
        <v>271</v>
      </c>
      <c r="E452" s="58" t="s">
        <v>272</v>
      </c>
      <c r="F452" s="58" t="s">
        <v>273</v>
      </c>
      <c r="G452" s="58" t="s">
        <v>273</v>
      </c>
      <c r="H452" s="58" t="s">
        <v>274</v>
      </c>
      <c r="I452" s="58" t="s">
        <v>274</v>
      </c>
      <c r="J452" s="58"/>
      <c r="K452" s="58"/>
      <c r="L452" s="58" t="s">
        <v>275</v>
      </c>
      <c r="M452" s="58" t="s">
        <v>35</v>
      </c>
      <c r="N452" s="58">
        <v>0.73699999999999999</v>
      </c>
      <c r="O452" s="58" t="s">
        <v>276</v>
      </c>
      <c r="P452" s="58" t="s">
        <v>92</v>
      </c>
      <c r="Q452" s="58" t="s">
        <v>93</v>
      </c>
      <c r="R452" s="58" t="s">
        <v>1512</v>
      </c>
      <c r="S452" s="58" t="s">
        <v>1513</v>
      </c>
      <c r="T452" s="58" t="s">
        <v>279</v>
      </c>
    </row>
    <row r="453" spans="1:20" ht="25.95" customHeight="1">
      <c r="A453" s="58" t="s">
        <v>34</v>
      </c>
      <c r="B453" s="58" t="s">
        <v>35</v>
      </c>
      <c r="C453" s="58">
        <v>12</v>
      </c>
      <c r="D453" s="58" t="s">
        <v>271</v>
      </c>
      <c r="E453" s="58" t="s">
        <v>272</v>
      </c>
      <c r="F453" s="58" t="s">
        <v>273</v>
      </c>
      <c r="G453" s="58" t="s">
        <v>274</v>
      </c>
      <c r="H453" s="58" t="s">
        <v>273</v>
      </c>
      <c r="I453" s="58" t="s">
        <v>274</v>
      </c>
      <c r="J453" s="58"/>
      <c r="K453" s="58"/>
      <c r="L453" s="58" t="s">
        <v>351</v>
      </c>
      <c r="M453" s="58" t="s">
        <v>35</v>
      </c>
      <c r="N453" s="58">
        <v>1.194</v>
      </c>
      <c r="O453" s="58" t="s">
        <v>276</v>
      </c>
      <c r="P453" s="58" t="s">
        <v>92</v>
      </c>
      <c r="Q453" s="58" t="s">
        <v>93</v>
      </c>
      <c r="R453" s="58" t="s">
        <v>1514</v>
      </c>
      <c r="S453" s="58" t="s">
        <v>1515</v>
      </c>
      <c r="T453" s="58" t="s">
        <v>279</v>
      </c>
    </row>
    <row r="454" spans="1:20" ht="25.95" customHeight="1">
      <c r="A454" s="58" t="s">
        <v>34</v>
      </c>
      <c r="B454" s="58" t="s">
        <v>35</v>
      </c>
      <c r="C454" s="58">
        <v>13</v>
      </c>
      <c r="D454" s="58" t="s">
        <v>271</v>
      </c>
      <c r="E454" s="58" t="s">
        <v>272</v>
      </c>
      <c r="F454" s="58" t="s">
        <v>273</v>
      </c>
      <c r="G454" s="58" t="s">
        <v>274</v>
      </c>
      <c r="H454" s="58" t="s">
        <v>273</v>
      </c>
      <c r="I454" s="58" t="s">
        <v>274</v>
      </c>
      <c r="J454" s="58"/>
      <c r="K454" s="58"/>
      <c r="L454" s="58" t="s">
        <v>604</v>
      </c>
      <c r="M454" s="58" t="s">
        <v>35</v>
      </c>
      <c r="N454" s="58">
        <v>0.68200000000000005</v>
      </c>
      <c r="O454" s="58" t="s">
        <v>276</v>
      </c>
      <c r="P454" s="58" t="s">
        <v>92</v>
      </c>
      <c r="Q454" s="58" t="s">
        <v>93</v>
      </c>
      <c r="R454" s="58" t="s">
        <v>1516</v>
      </c>
      <c r="S454" s="58" t="s">
        <v>1517</v>
      </c>
      <c r="T454" s="58" t="s">
        <v>279</v>
      </c>
    </row>
    <row r="455" spans="1:20" ht="25.95" customHeight="1">
      <c r="A455" s="58" t="s">
        <v>34</v>
      </c>
      <c r="B455" s="58" t="s">
        <v>35</v>
      </c>
      <c r="C455" s="58">
        <v>14</v>
      </c>
      <c r="D455" s="58" t="s">
        <v>271</v>
      </c>
      <c r="E455" s="58" t="s">
        <v>272</v>
      </c>
      <c r="F455" s="58" t="s">
        <v>273</v>
      </c>
      <c r="G455" s="58" t="s">
        <v>273</v>
      </c>
      <c r="H455" s="58" t="s">
        <v>274</v>
      </c>
      <c r="I455" s="58" t="s">
        <v>274</v>
      </c>
      <c r="J455" s="58"/>
      <c r="K455" s="58"/>
      <c r="L455" s="58" t="s">
        <v>275</v>
      </c>
      <c r="M455" s="58" t="s">
        <v>35</v>
      </c>
      <c r="N455" s="58">
        <v>6.3630000000000004</v>
      </c>
      <c r="O455" s="58" t="s">
        <v>276</v>
      </c>
      <c r="P455" s="58" t="s">
        <v>92</v>
      </c>
      <c r="Q455" s="58" t="s">
        <v>93</v>
      </c>
      <c r="R455" s="58" t="s">
        <v>1518</v>
      </c>
      <c r="S455" s="58" t="s">
        <v>1519</v>
      </c>
      <c r="T455" s="58" t="s">
        <v>279</v>
      </c>
    </row>
    <row r="456" spans="1:20" ht="25.95" customHeight="1">
      <c r="A456" s="58" t="s">
        <v>34</v>
      </c>
      <c r="B456" s="58" t="s">
        <v>35</v>
      </c>
      <c r="C456" s="58">
        <v>15</v>
      </c>
      <c r="D456" s="58" t="s">
        <v>271</v>
      </c>
      <c r="E456" s="58" t="s">
        <v>272</v>
      </c>
      <c r="F456" s="58" t="s">
        <v>273</v>
      </c>
      <c r="G456" s="58" t="s">
        <v>273</v>
      </c>
      <c r="H456" s="58" t="s">
        <v>274</v>
      </c>
      <c r="I456" s="58" t="s">
        <v>274</v>
      </c>
      <c r="J456" s="58"/>
      <c r="K456" s="58"/>
      <c r="L456" s="58" t="s">
        <v>275</v>
      </c>
      <c r="M456" s="58" t="s">
        <v>35</v>
      </c>
      <c r="N456" s="58">
        <v>0.78200000000000003</v>
      </c>
      <c r="O456" s="58" t="s">
        <v>276</v>
      </c>
      <c r="P456" s="58" t="s">
        <v>92</v>
      </c>
      <c r="Q456" s="58" t="s">
        <v>93</v>
      </c>
      <c r="R456" s="58" t="s">
        <v>1520</v>
      </c>
      <c r="S456" s="58" t="s">
        <v>1521</v>
      </c>
      <c r="T456" s="58" t="s">
        <v>279</v>
      </c>
    </row>
    <row r="457" spans="1:20" ht="25.95" customHeight="1">
      <c r="A457" s="58" t="s">
        <v>34</v>
      </c>
      <c r="B457" s="58" t="s">
        <v>35</v>
      </c>
      <c r="C457" s="58">
        <v>16</v>
      </c>
      <c r="D457" s="58" t="s">
        <v>271</v>
      </c>
      <c r="E457" s="58" t="s">
        <v>272</v>
      </c>
      <c r="F457" s="58" t="s">
        <v>273</v>
      </c>
      <c r="G457" s="58" t="s">
        <v>273</v>
      </c>
      <c r="H457" s="58" t="s">
        <v>274</v>
      </c>
      <c r="I457" s="58" t="s">
        <v>274</v>
      </c>
      <c r="J457" s="58"/>
      <c r="K457" s="58"/>
      <c r="L457" s="58" t="s">
        <v>288</v>
      </c>
      <c r="M457" s="58" t="s">
        <v>35</v>
      </c>
      <c r="N457" s="58">
        <v>3.9809999999999999</v>
      </c>
      <c r="O457" s="58" t="s">
        <v>276</v>
      </c>
      <c r="P457" s="58" t="s">
        <v>92</v>
      </c>
      <c r="Q457" s="58" t="s">
        <v>93</v>
      </c>
      <c r="R457" s="58" t="s">
        <v>1522</v>
      </c>
      <c r="S457" s="58" t="s">
        <v>1523</v>
      </c>
      <c r="T457" s="58" t="s">
        <v>279</v>
      </c>
    </row>
    <row r="458" spans="1:20" ht="25.95" customHeight="1">
      <c r="A458" s="58" t="s">
        <v>34</v>
      </c>
      <c r="B458" s="58" t="s">
        <v>35</v>
      </c>
      <c r="C458" s="58">
        <v>17</v>
      </c>
      <c r="D458" s="58" t="s">
        <v>271</v>
      </c>
      <c r="E458" s="58" t="s">
        <v>272</v>
      </c>
      <c r="F458" s="58" t="s">
        <v>273</v>
      </c>
      <c r="G458" s="58" t="s">
        <v>273</v>
      </c>
      <c r="H458" s="58" t="s">
        <v>274</v>
      </c>
      <c r="I458" s="58" t="s">
        <v>274</v>
      </c>
      <c r="J458" s="58"/>
      <c r="K458" s="58"/>
      <c r="L458" s="58" t="s">
        <v>288</v>
      </c>
      <c r="M458" s="58" t="s">
        <v>35</v>
      </c>
      <c r="N458" s="58">
        <v>7.806</v>
      </c>
      <c r="O458" s="58" t="s">
        <v>276</v>
      </c>
      <c r="P458" s="58" t="s">
        <v>92</v>
      </c>
      <c r="Q458" s="58" t="s">
        <v>93</v>
      </c>
      <c r="R458" s="58" t="s">
        <v>1524</v>
      </c>
      <c r="S458" s="58" t="s">
        <v>1525</v>
      </c>
      <c r="T458" s="58" t="s">
        <v>279</v>
      </c>
    </row>
    <row r="459" spans="1:20" ht="25.95" customHeight="1">
      <c r="A459" s="58" t="s">
        <v>34</v>
      </c>
      <c r="B459" s="58" t="s">
        <v>35</v>
      </c>
      <c r="C459" s="58">
        <v>18</v>
      </c>
      <c r="D459" s="58" t="s">
        <v>271</v>
      </c>
      <c r="E459" s="58" t="s">
        <v>272</v>
      </c>
      <c r="F459" s="58" t="s">
        <v>273</v>
      </c>
      <c r="G459" s="58" t="s">
        <v>273</v>
      </c>
      <c r="H459" s="58" t="s">
        <v>274</v>
      </c>
      <c r="I459" s="58" t="s">
        <v>274</v>
      </c>
      <c r="J459" s="58"/>
      <c r="K459" s="58"/>
      <c r="L459" s="58" t="s">
        <v>288</v>
      </c>
      <c r="M459" s="58" t="s">
        <v>35</v>
      </c>
      <c r="N459" s="58">
        <v>2.012</v>
      </c>
      <c r="O459" s="58" t="s">
        <v>276</v>
      </c>
      <c r="P459" s="58" t="s">
        <v>92</v>
      </c>
      <c r="Q459" s="58" t="s">
        <v>93</v>
      </c>
      <c r="R459" s="58" t="s">
        <v>1526</v>
      </c>
      <c r="S459" s="58" t="s">
        <v>1527</v>
      </c>
      <c r="T459" s="58" t="s">
        <v>279</v>
      </c>
    </row>
    <row r="460" spans="1:20" ht="25.95" customHeight="1">
      <c r="A460" s="58" t="s">
        <v>34</v>
      </c>
      <c r="B460" s="58" t="s">
        <v>35</v>
      </c>
      <c r="C460" s="58">
        <v>19</v>
      </c>
      <c r="D460" s="58" t="s">
        <v>271</v>
      </c>
      <c r="E460" s="58" t="s">
        <v>272</v>
      </c>
      <c r="F460" s="58" t="s">
        <v>273</v>
      </c>
      <c r="G460" s="58" t="s">
        <v>273</v>
      </c>
      <c r="H460" s="58" t="s">
        <v>274</v>
      </c>
      <c r="I460" s="58" t="s">
        <v>274</v>
      </c>
      <c r="J460" s="58"/>
      <c r="K460" s="58"/>
      <c r="L460" s="58" t="s">
        <v>288</v>
      </c>
      <c r="M460" s="58" t="s">
        <v>35</v>
      </c>
      <c r="N460" s="58">
        <v>1.91</v>
      </c>
      <c r="O460" s="58" t="s">
        <v>276</v>
      </c>
      <c r="P460" s="58" t="s">
        <v>92</v>
      </c>
      <c r="Q460" s="58" t="s">
        <v>93</v>
      </c>
      <c r="R460" s="58" t="s">
        <v>1528</v>
      </c>
      <c r="S460" s="58" t="s">
        <v>1529</v>
      </c>
      <c r="T460" s="58" t="s">
        <v>279</v>
      </c>
    </row>
    <row r="461" spans="1:20" ht="25.95" customHeight="1">
      <c r="A461" s="58" t="s">
        <v>34</v>
      </c>
      <c r="B461" s="58" t="s">
        <v>35</v>
      </c>
      <c r="C461" s="58">
        <v>20</v>
      </c>
      <c r="D461" s="58" t="s">
        <v>271</v>
      </c>
      <c r="E461" s="58" t="s">
        <v>272</v>
      </c>
      <c r="F461" s="58" t="s">
        <v>273</v>
      </c>
      <c r="G461" s="58" t="s">
        <v>273</v>
      </c>
      <c r="H461" s="58" t="s">
        <v>274</v>
      </c>
      <c r="I461" s="58" t="s">
        <v>274</v>
      </c>
      <c r="J461" s="58"/>
      <c r="K461" s="58"/>
      <c r="L461" s="58" t="s">
        <v>288</v>
      </c>
      <c r="M461" s="58" t="s">
        <v>35</v>
      </c>
      <c r="N461" s="58">
        <v>2.2719999999999998</v>
      </c>
      <c r="O461" s="58" t="s">
        <v>276</v>
      </c>
      <c r="P461" s="58" t="s">
        <v>92</v>
      </c>
      <c r="Q461" s="58" t="s">
        <v>93</v>
      </c>
      <c r="R461" s="58" t="s">
        <v>1530</v>
      </c>
      <c r="S461" s="58" t="s">
        <v>1531</v>
      </c>
      <c r="T461" s="58" t="s">
        <v>279</v>
      </c>
    </row>
    <row r="462" spans="1:20" ht="25.95" customHeight="1">
      <c r="A462" s="58" t="s">
        <v>34</v>
      </c>
      <c r="B462" s="58" t="s">
        <v>35</v>
      </c>
      <c r="C462" s="58">
        <v>21</v>
      </c>
      <c r="D462" s="58" t="s">
        <v>271</v>
      </c>
      <c r="E462" s="58" t="s">
        <v>272</v>
      </c>
      <c r="F462" s="58" t="s">
        <v>273</v>
      </c>
      <c r="G462" s="58" t="s">
        <v>274</v>
      </c>
      <c r="H462" s="58" t="s">
        <v>273</v>
      </c>
      <c r="I462" s="58" t="s">
        <v>274</v>
      </c>
      <c r="J462" s="58"/>
      <c r="K462" s="58"/>
      <c r="L462" s="58" t="s">
        <v>288</v>
      </c>
      <c r="M462" s="58" t="s">
        <v>35</v>
      </c>
      <c r="N462" s="58">
        <v>7.5010000000000003</v>
      </c>
      <c r="O462" s="58" t="s">
        <v>276</v>
      </c>
      <c r="P462" s="58" t="s">
        <v>92</v>
      </c>
      <c r="Q462" s="58" t="s">
        <v>93</v>
      </c>
      <c r="R462" s="58" t="s">
        <v>1532</v>
      </c>
      <c r="S462" s="58" t="s">
        <v>1533</v>
      </c>
      <c r="T462" s="58" t="s">
        <v>279</v>
      </c>
    </row>
    <row r="463" spans="1:20" ht="25.95" customHeight="1">
      <c r="A463" s="58" t="s">
        <v>34</v>
      </c>
      <c r="B463" s="58" t="s">
        <v>35</v>
      </c>
      <c r="C463" s="58">
        <v>22</v>
      </c>
      <c r="D463" s="58" t="s">
        <v>271</v>
      </c>
      <c r="E463" s="58" t="s">
        <v>272</v>
      </c>
      <c r="F463" s="58" t="s">
        <v>273</v>
      </c>
      <c r="G463" s="58" t="s">
        <v>273</v>
      </c>
      <c r="H463" s="58" t="s">
        <v>273</v>
      </c>
      <c r="I463" s="58" t="s">
        <v>274</v>
      </c>
      <c r="J463" s="58"/>
      <c r="K463" s="58"/>
      <c r="L463" s="58" t="s">
        <v>288</v>
      </c>
      <c r="M463" s="58" t="s">
        <v>35</v>
      </c>
      <c r="N463" s="58">
        <v>11.933999999999999</v>
      </c>
      <c r="O463" s="58" t="s">
        <v>276</v>
      </c>
      <c r="P463" s="58" t="s">
        <v>92</v>
      </c>
      <c r="Q463" s="58" t="s">
        <v>93</v>
      </c>
      <c r="R463" s="58" t="s">
        <v>1534</v>
      </c>
      <c r="S463" s="58" t="s">
        <v>1535</v>
      </c>
      <c r="T463" s="58" t="s">
        <v>279</v>
      </c>
    </row>
    <row r="464" spans="1:20" ht="25.95" customHeight="1">
      <c r="A464" s="58" t="s">
        <v>34</v>
      </c>
      <c r="B464" s="58" t="s">
        <v>35</v>
      </c>
      <c r="C464" s="58">
        <v>23</v>
      </c>
      <c r="D464" s="58" t="s">
        <v>271</v>
      </c>
      <c r="E464" s="58" t="s">
        <v>272</v>
      </c>
      <c r="F464" s="58" t="s">
        <v>273</v>
      </c>
      <c r="G464" s="58" t="s">
        <v>273</v>
      </c>
      <c r="H464" s="58" t="s">
        <v>274</v>
      </c>
      <c r="I464" s="58" t="s">
        <v>274</v>
      </c>
      <c r="J464" s="58"/>
      <c r="K464" s="58"/>
      <c r="L464" s="58" t="s">
        <v>288</v>
      </c>
      <c r="M464" s="58" t="s">
        <v>35</v>
      </c>
      <c r="N464" s="58">
        <v>8.9770000000000003</v>
      </c>
      <c r="O464" s="58" t="s">
        <v>276</v>
      </c>
      <c r="P464" s="58" t="s">
        <v>92</v>
      </c>
      <c r="Q464" s="58" t="s">
        <v>93</v>
      </c>
      <c r="R464" s="58" t="s">
        <v>1536</v>
      </c>
      <c r="S464" s="58" t="s">
        <v>1537</v>
      </c>
      <c r="T464" s="58" t="s">
        <v>279</v>
      </c>
    </row>
    <row r="465" spans="1:20" ht="25.95" customHeight="1">
      <c r="A465" s="58" t="s">
        <v>34</v>
      </c>
      <c r="B465" s="58" t="s">
        <v>35</v>
      </c>
      <c r="C465" s="58">
        <v>24</v>
      </c>
      <c r="D465" s="58" t="s">
        <v>271</v>
      </c>
      <c r="E465" s="58" t="s">
        <v>272</v>
      </c>
      <c r="F465" s="58" t="s">
        <v>273</v>
      </c>
      <c r="G465" s="58" t="s">
        <v>274</v>
      </c>
      <c r="H465" s="58" t="s">
        <v>273</v>
      </c>
      <c r="I465" s="58" t="s">
        <v>274</v>
      </c>
      <c r="J465" s="58"/>
      <c r="K465" s="58"/>
      <c r="L465" s="58" t="s">
        <v>288</v>
      </c>
      <c r="M465" s="58" t="s">
        <v>35</v>
      </c>
      <c r="N465" s="58">
        <v>3.5859999999999999</v>
      </c>
      <c r="O465" s="58" t="s">
        <v>276</v>
      </c>
      <c r="P465" s="58" t="s">
        <v>92</v>
      </c>
      <c r="Q465" s="58" t="s">
        <v>93</v>
      </c>
      <c r="R465" s="58" t="s">
        <v>1538</v>
      </c>
      <c r="S465" s="58" t="s">
        <v>1539</v>
      </c>
      <c r="T465" s="58" t="s">
        <v>279</v>
      </c>
    </row>
    <row r="466" spans="1:20" ht="25.95" customHeight="1">
      <c r="A466" s="58" t="s">
        <v>34</v>
      </c>
      <c r="B466" s="58" t="s">
        <v>35</v>
      </c>
      <c r="C466" s="58">
        <v>25</v>
      </c>
      <c r="D466" s="58" t="s">
        <v>271</v>
      </c>
      <c r="E466" s="58" t="s">
        <v>272</v>
      </c>
      <c r="F466" s="58" t="s">
        <v>273</v>
      </c>
      <c r="G466" s="58"/>
      <c r="H466" s="58" t="s">
        <v>273</v>
      </c>
      <c r="I466" s="58" t="s">
        <v>274</v>
      </c>
      <c r="J466" s="58"/>
      <c r="K466" s="58"/>
      <c r="L466" s="58" t="s">
        <v>288</v>
      </c>
      <c r="M466" s="58" t="s">
        <v>35</v>
      </c>
      <c r="N466" s="58">
        <v>10.249000000000001</v>
      </c>
      <c r="O466" s="58" t="s">
        <v>276</v>
      </c>
      <c r="P466" s="58" t="s">
        <v>92</v>
      </c>
      <c r="Q466" s="58" t="s">
        <v>93</v>
      </c>
      <c r="R466" s="58" t="s">
        <v>1540</v>
      </c>
      <c r="S466" s="58" t="s">
        <v>1541</v>
      </c>
      <c r="T466" s="58" t="s">
        <v>279</v>
      </c>
    </row>
    <row r="467" spans="1:20" ht="25.95" customHeight="1">
      <c r="A467" s="58" t="s">
        <v>34</v>
      </c>
      <c r="B467" s="58" t="s">
        <v>35</v>
      </c>
      <c r="C467" s="58">
        <v>26</v>
      </c>
      <c r="D467" s="58" t="s">
        <v>271</v>
      </c>
      <c r="E467" s="58" t="s">
        <v>272</v>
      </c>
      <c r="F467" s="58" t="s">
        <v>273</v>
      </c>
      <c r="G467" s="58" t="s">
        <v>273</v>
      </c>
      <c r="H467" s="58" t="s">
        <v>274</v>
      </c>
      <c r="I467" s="58" t="s">
        <v>274</v>
      </c>
      <c r="J467" s="58"/>
      <c r="K467" s="58"/>
      <c r="L467" s="58" t="s">
        <v>288</v>
      </c>
      <c r="M467" s="58" t="s">
        <v>35</v>
      </c>
      <c r="N467" s="58">
        <v>6.44</v>
      </c>
      <c r="O467" s="58" t="s">
        <v>276</v>
      </c>
      <c r="P467" s="58" t="s">
        <v>92</v>
      </c>
      <c r="Q467" s="58" t="s">
        <v>93</v>
      </c>
      <c r="R467" s="58" t="s">
        <v>1542</v>
      </c>
      <c r="S467" s="58" t="s">
        <v>1543</v>
      </c>
      <c r="T467" s="58" t="s">
        <v>279</v>
      </c>
    </row>
    <row r="468" spans="1:20" ht="25.95" customHeight="1">
      <c r="A468" s="58" t="s">
        <v>34</v>
      </c>
      <c r="B468" s="58" t="s">
        <v>35</v>
      </c>
      <c r="C468" s="58">
        <v>27</v>
      </c>
      <c r="D468" s="58" t="s">
        <v>271</v>
      </c>
      <c r="E468" s="58" t="s">
        <v>272</v>
      </c>
      <c r="F468" s="58" t="s">
        <v>273</v>
      </c>
      <c r="G468" s="58"/>
      <c r="H468" s="58" t="s">
        <v>274</v>
      </c>
      <c r="I468" s="58" t="s">
        <v>274</v>
      </c>
      <c r="J468" s="58"/>
      <c r="K468" s="58"/>
      <c r="L468" s="58" t="s">
        <v>288</v>
      </c>
      <c r="M468" s="58" t="s">
        <v>35</v>
      </c>
      <c r="N468" s="58">
        <v>10.244</v>
      </c>
      <c r="O468" s="58" t="s">
        <v>276</v>
      </c>
      <c r="P468" s="58" t="s">
        <v>92</v>
      </c>
      <c r="Q468" s="58" t="s">
        <v>93</v>
      </c>
      <c r="R468" s="58" t="s">
        <v>1544</v>
      </c>
      <c r="S468" s="58" t="s">
        <v>1545</v>
      </c>
      <c r="T468" s="58" t="s">
        <v>279</v>
      </c>
    </row>
    <row r="469" spans="1:20" ht="25.95" customHeight="1">
      <c r="A469" s="58" t="s">
        <v>34</v>
      </c>
      <c r="B469" s="58" t="s">
        <v>35</v>
      </c>
      <c r="C469" s="58">
        <v>28</v>
      </c>
      <c r="D469" s="58" t="s">
        <v>271</v>
      </c>
      <c r="E469" s="58" t="s">
        <v>272</v>
      </c>
      <c r="F469" s="58" t="s">
        <v>273</v>
      </c>
      <c r="G469" s="58" t="s">
        <v>273</v>
      </c>
      <c r="H469" s="58" t="s">
        <v>274</v>
      </c>
      <c r="I469" s="58" t="s">
        <v>274</v>
      </c>
      <c r="J469" s="58"/>
      <c r="K469" s="58"/>
      <c r="L469" s="58" t="s">
        <v>288</v>
      </c>
      <c r="M469" s="58" t="s">
        <v>35</v>
      </c>
      <c r="N469" s="58">
        <v>0.72199999999999998</v>
      </c>
      <c r="O469" s="58" t="s">
        <v>276</v>
      </c>
      <c r="P469" s="58" t="s">
        <v>92</v>
      </c>
      <c r="Q469" s="58" t="s">
        <v>93</v>
      </c>
      <c r="R469" s="58" t="s">
        <v>1546</v>
      </c>
      <c r="S469" s="58" t="s">
        <v>1547</v>
      </c>
      <c r="T469" s="58" t="s">
        <v>279</v>
      </c>
    </row>
    <row r="470" spans="1:20" ht="25.95" customHeight="1">
      <c r="A470" s="58" t="s">
        <v>34</v>
      </c>
      <c r="B470" s="58" t="s">
        <v>35</v>
      </c>
      <c r="C470" s="58">
        <v>29</v>
      </c>
      <c r="D470" s="58" t="s">
        <v>271</v>
      </c>
      <c r="E470" s="58" t="s">
        <v>272</v>
      </c>
      <c r="F470" s="58" t="s">
        <v>273</v>
      </c>
      <c r="G470" s="58"/>
      <c r="H470" s="58" t="s">
        <v>274</v>
      </c>
      <c r="I470" s="58" t="s">
        <v>274</v>
      </c>
      <c r="J470" s="58"/>
      <c r="K470" s="58"/>
      <c r="L470" s="58" t="s">
        <v>288</v>
      </c>
      <c r="M470" s="58" t="s">
        <v>35</v>
      </c>
      <c r="N470" s="58">
        <v>10.243</v>
      </c>
      <c r="O470" s="58" t="s">
        <v>276</v>
      </c>
      <c r="P470" s="58" t="s">
        <v>92</v>
      </c>
      <c r="Q470" s="58" t="s">
        <v>93</v>
      </c>
      <c r="R470" s="58" t="s">
        <v>1548</v>
      </c>
      <c r="S470" s="58" t="s">
        <v>1549</v>
      </c>
      <c r="T470" s="58" t="s">
        <v>279</v>
      </c>
    </row>
    <row r="471" spans="1:20" ht="25.95" customHeight="1">
      <c r="A471" s="58" t="s">
        <v>34</v>
      </c>
      <c r="B471" s="58" t="s">
        <v>35</v>
      </c>
      <c r="C471" s="58">
        <v>30</v>
      </c>
      <c r="D471" s="58" t="s">
        <v>271</v>
      </c>
      <c r="E471" s="58" t="s">
        <v>272</v>
      </c>
      <c r="F471" s="58" t="s">
        <v>273</v>
      </c>
      <c r="G471" s="58" t="s">
        <v>273</v>
      </c>
      <c r="H471" s="58" t="s">
        <v>274</v>
      </c>
      <c r="I471" s="58" t="s">
        <v>274</v>
      </c>
      <c r="J471" s="58"/>
      <c r="K471" s="58"/>
      <c r="L471" s="58" t="s">
        <v>288</v>
      </c>
      <c r="M471" s="58" t="s">
        <v>35</v>
      </c>
      <c r="N471" s="58">
        <v>0.72399999999999998</v>
      </c>
      <c r="O471" s="58" t="s">
        <v>276</v>
      </c>
      <c r="P471" s="58" t="s">
        <v>92</v>
      </c>
      <c r="Q471" s="58" t="s">
        <v>93</v>
      </c>
      <c r="R471" s="58" t="s">
        <v>1550</v>
      </c>
      <c r="S471" s="58" t="s">
        <v>1551</v>
      </c>
      <c r="T471" s="58" t="s">
        <v>279</v>
      </c>
    </row>
    <row r="472" spans="1:20" ht="25.95" customHeight="1">
      <c r="A472" s="58" t="s">
        <v>34</v>
      </c>
      <c r="B472" s="58" t="s">
        <v>35</v>
      </c>
      <c r="C472" s="58">
        <v>31</v>
      </c>
      <c r="D472" s="58" t="s">
        <v>271</v>
      </c>
      <c r="E472" s="58" t="s">
        <v>272</v>
      </c>
      <c r="F472" s="58" t="s">
        <v>273</v>
      </c>
      <c r="G472" s="58"/>
      <c r="H472" s="58" t="s">
        <v>274</v>
      </c>
      <c r="I472" s="58" t="s">
        <v>274</v>
      </c>
      <c r="J472" s="58"/>
      <c r="K472" s="58"/>
      <c r="L472" s="58" t="s">
        <v>288</v>
      </c>
      <c r="M472" s="58" t="s">
        <v>35</v>
      </c>
      <c r="N472" s="58">
        <v>0.126</v>
      </c>
      <c r="O472" s="58" t="s">
        <v>276</v>
      </c>
      <c r="P472" s="58" t="s">
        <v>92</v>
      </c>
      <c r="Q472" s="58" t="s">
        <v>93</v>
      </c>
      <c r="R472" s="58" t="s">
        <v>1552</v>
      </c>
      <c r="S472" s="58" t="s">
        <v>1553</v>
      </c>
      <c r="T472" s="58" t="s">
        <v>279</v>
      </c>
    </row>
    <row r="473" spans="1:20" ht="25.95" customHeight="1">
      <c r="A473" s="58" t="s">
        <v>34</v>
      </c>
      <c r="B473" s="58" t="s">
        <v>35</v>
      </c>
      <c r="C473" s="58">
        <v>32</v>
      </c>
      <c r="D473" s="58" t="s">
        <v>271</v>
      </c>
      <c r="E473" s="58" t="s">
        <v>272</v>
      </c>
      <c r="F473" s="58" t="s">
        <v>273</v>
      </c>
      <c r="G473" s="58"/>
      <c r="H473" s="58" t="s">
        <v>274</v>
      </c>
      <c r="I473" s="58" t="s">
        <v>274</v>
      </c>
      <c r="J473" s="58"/>
      <c r="K473" s="58"/>
      <c r="L473" s="58" t="s">
        <v>288</v>
      </c>
      <c r="M473" s="58" t="s">
        <v>35</v>
      </c>
      <c r="N473" s="58">
        <v>0.222</v>
      </c>
      <c r="O473" s="58" t="s">
        <v>276</v>
      </c>
      <c r="P473" s="58" t="s">
        <v>92</v>
      </c>
      <c r="Q473" s="58" t="s">
        <v>93</v>
      </c>
      <c r="R473" s="58" t="s">
        <v>1554</v>
      </c>
      <c r="S473" s="58" t="s">
        <v>1555</v>
      </c>
      <c r="T473" s="58" t="s">
        <v>279</v>
      </c>
    </row>
    <row r="474" spans="1:20" ht="25.95" customHeight="1">
      <c r="A474" s="58" t="s">
        <v>34</v>
      </c>
      <c r="B474" s="58" t="s">
        <v>35</v>
      </c>
      <c r="C474" s="58">
        <v>33</v>
      </c>
      <c r="D474" s="58" t="s">
        <v>271</v>
      </c>
      <c r="E474" s="58" t="s">
        <v>272</v>
      </c>
      <c r="F474" s="58" t="s">
        <v>273</v>
      </c>
      <c r="G474" s="58"/>
      <c r="H474" s="58" t="s">
        <v>274</v>
      </c>
      <c r="I474" s="58" t="s">
        <v>274</v>
      </c>
      <c r="J474" s="58"/>
      <c r="K474" s="58"/>
      <c r="L474" s="58" t="s">
        <v>288</v>
      </c>
      <c r="M474" s="58" t="s">
        <v>35</v>
      </c>
      <c r="N474" s="58">
        <v>10.262</v>
      </c>
      <c r="O474" s="58" t="s">
        <v>276</v>
      </c>
      <c r="P474" s="58" t="s">
        <v>92</v>
      </c>
      <c r="Q474" s="58" t="s">
        <v>93</v>
      </c>
      <c r="R474" s="58" t="s">
        <v>1556</v>
      </c>
      <c r="S474" s="58" t="s">
        <v>1557</v>
      </c>
      <c r="T474" s="58" t="s">
        <v>279</v>
      </c>
    </row>
    <row r="475" spans="1:20" ht="25.95" customHeight="1">
      <c r="A475" s="58" t="s">
        <v>34</v>
      </c>
      <c r="B475" s="58" t="s">
        <v>35</v>
      </c>
      <c r="C475" s="58">
        <v>34</v>
      </c>
      <c r="D475" s="58" t="s">
        <v>271</v>
      </c>
      <c r="E475" s="58" t="s">
        <v>272</v>
      </c>
      <c r="F475" s="58" t="s">
        <v>273</v>
      </c>
      <c r="G475" s="58" t="s">
        <v>273</v>
      </c>
      <c r="H475" s="58" t="s">
        <v>274</v>
      </c>
      <c r="I475" s="58" t="s">
        <v>274</v>
      </c>
      <c r="J475" s="58"/>
      <c r="K475" s="58"/>
      <c r="L475" s="58" t="s">
        <v>351</v>
      </c>
      <c r="M475" s="58" t="s">
        <v>35</v>
      </c>
      <c r="N475" s="58">
        <v>0.75</v>
      </c>
      <c r="O475" s="58" t="s">
        <v>276</v>
      </c>
      <c r="P475" s="58" t="s">
        <v>92</v>
      </c>
      <c r="Q475" s="58" t="s">
        <v>93</v>
      </c>
      <c r="R475" s="58" t="s">
        <v>1558</v>
      </c>
      <c r="S475" s="58" t="s">
        <v>1559</v>
      </c>
      <c r="T475" s="58" t="s">
        <v>279</v>
      </c>
    </row>
    <row r="476" spans="1:20" ht="25.95" customHeight="1">
      <c r="A476" s="58" t="s">
        <v>34</v>
      </c>
      <c r="B476" s="58" t="s">
        <v>35</v>
      </c>
      <c r="C476" s="58">
        <v>35</v>
      </c>
      <c r="D476" s="58" t="s">
        <v>271</v>
      </c>
      <c r="E476" s="58" t="s">
        <v>272</v>
      </c>
      <c r="F476" s="58" t="s">
        <v>273</v>
      </c>
      <c r="G476" s="58" t="s">
        <v>273</v>
      </c>
      <c r="H476" s="58" t="s">
        <v>274</v>
      </c>
      <c r="I476" s="58" t="s">
        <v>274</v>
      </c>
      <c r="J476" s="58"/>
      <c r="K476" s="58"/>
      <c r="L476" s="58" t="s">
        <v>288</v>
      </c>
      <c r="M476" s="58" t="s">
        <v>35</v>
      </c>
      <c r="N476" s="58">
        <v>0.76600000000000001</v>
      </c>
      <c r="O476" s="58" t="s">
        <v>276</v>
      </c>
      <c r="P476" s="58" t="s">
        <v>92</v>
      </c>
      <c r="Q476" s="58" t="s">
        <v>93</v>
      </c>
      <c r="R476" s="58" t="s">
        <v>1560</v>
      </c>
      <c r="S476" s="58" t="s">
        <v>1561</v>
      </c>
      <c r="T476" s="58" t="s">
        <v>279</v>
      </c>
    </row>
    <row r="477" spans="1:20" ht="25.95" customHeight="1">
      <c r="A477" s="58" t="s">
        <v>34</v>
      </c>
      <c r="B477" s="58" t="s">
        <v>35</v>
      </c>
      <c r="C477" s="58">
        <v>36</v>
      </c>
      <c r="D477" s="58" t="s">
        <v>271</v>
      </c>
      <c r="E477" s="58" t="s">
        <v>272</v>
      </c>
      <c r="F477" s="58" t="s">
        <v>273</v>
      </c>
      <c r="G477" s="58" t="s">
        <v>273</v>
      </c>
      <c r="H477" s="58" t="s">
        <v>274</v>
      </c>
      <c r="I477" s="58" t="s">
        <v>274</v>
      </c>
      <c r="J477" s="58"/>
      <c r="K477" s="58"/>
      <c r="L477" s="58" t="s">
        <v>288</v>
      </c>
      <c r="M477" s="58" t="s">
        <v>35</v>
      </c>
      <c r="N477" s="58">
        <v>0.77600000000000002</v>
      </c>
      <c r="O477" s="58" t="s">
        <v>276</v>
      </c>
      <c r="P477" s="58" t="s">
        <v>92</v>
      </c>
      <c r="Q477" s="58" t="s">
        <v>93</v>
      </c>
      <c r="R477" s="58" t="s">
        <v>1562</v>
      </c>
      <c r="S477" s="58" t="s">
        <v>1563</v>
      </c>
      <c r="T477" s="58" t="s">
        <v>279</v>
      </c>
    </row>
    <row r="478" spans="1:20" ht="31.2">
      <c r="A478" s="58" t="s">
        <v>82</v>
      </c>
      <c r="B478" s="58" t="s">
        <v>35</v>
      </c>
      <c r="C478" s="58">
        <v>1</v>
      </c>
      <c r="D478" s="58" t="s">
        <v>333</v>
      </c>
      <c r="E478" s="58" t="s">
        <v>1564</v>
      </c>
      <c r="F478" s="58" t="s">
        <v>273</v>
      </c>
      <c r="G478" s="58" t="s">
        <v>273</v>
      </c>
      <c r="H478" s="58" t="s">
        <v>274</v>
      </c>
      <c r="I478" s="58" t="s">
        <v>274</v>
      </c>
      <c r="J478" s="58"/>
      <c r="K478" s="58"/>
      <c r="L478" s="58" t="s">
        <v>351</v>
      </c>
      <c r="M478" s="58" t="s">
        <v>35</v>
      </c>
      <c r="N478" s="58">
        <v>2.1000000000000001E-2</v>
      </c>
      <c r="O478" s="58" t="s">
        <v>335</v>
      </c>
      <c r="P478" s="58" t="s">
        <v>95</v>
      </c>
      <c r="Q478" s="58" t="s">
        <v>96</v>
      </c>
      <c r="R478" s="58" t="s">
        <v>1565</v>
      </c>
      <c r="S478" s="58" t="s">
        <v>1566</v>
      </c>
      <c r="T478" s="58" t="s">
        <v>279</v>
      </c>
    </row>
    <row r="479" spans="1:20" ht="31.2">
      <c r="A479" s="58" t="s">
        <v>82</v>
      </c>
      <c r="B479" s="58" t="s">
        <v>35</v>
      </c>
      <c r="C479" s="58">
        <v>2</v>
      </c>
      <c r="D479" s="58" t="s">
        <v>338</v>
      </c>
      <c r="E479" s="58" t="s">
        <v>1567</v>
      </c>
      <c r="F479" s="58" t="s">
        <v>273</v>
      </c>
      <c r="G479" s="58" t="s">
        <v>273</v>
      </c>
      <c r="H479" s="58" t="s">
        <v>274</v>
      </c>
      <c r="I479" s="58" t="s">
        <v>274</v>
      </c>
      <c r="J479" s="58"/>
      <c r="K479" s="58"/>
      <c r="L479" s="58" t="s">
        <v>351</v>
      </c>
      <c r="M479" s="58" t="s">
        <v>35</v>
      </c>
      <c r="N479" s="58">
        <v>0.31</v>
      </c>
      <c r="O479" s="58" t="s">
        <v>340</v>
      </c>
      <c r="P479" s="58" t="s">
        <v>95</v>
      </c>
      <c r="Q479" s="58" t="s">
        <v>96</v>
      </c>
      <c r="R479" s="58" t="s">
        <v>1568</v>
      </c>
      <c r="S479" s="58" t="s">
        <v>1569</v>
      </c>
      <c r="T479" s="58" t="s">
        <v>279</v>
      </c>
    </row>
    <row r="480" spans="1:20" ht="31.2">
      <c r="A480" s="58" t="s">
        <v>82</v>
      </c>
      <c r="B480" s="58" t="s">
        <v>35</v>
      </c>
      <c r="C480" s="58">
        <v>3</v>
      </c>
      <c r="D480" s="58" t="s">
        <v>338</v>
      </c>
      <c r="E480" s="58" t="s">
        <v>1567</v>
      </c>
      <c r="F480" s="58" t="s">
        <v>273</v>
      </c>
      <c r="G480" s="58" t="s">
        <v>273</v>
      </c>
      <c r="H480" s="58" t="s">
        <v>274</v>
      </c>
      <c r="I480" s="58" t="s">
        <v>274</v>
      </c>
      <c r="J480" s="58"/>
      <c r="K480" s="58"/>
      <c r="L480" s="58" t="s">
        <v>351</v>
      </c>
      <c r="M480" s="58" t="s">
        <v>35</v>
      </c>
      <c r="N480" s="58">
        <v>0.21299999999999999</v>
      </c>
      <c r="O480" s="58" t="s">
        <v>340</v>
      </c>
      <c r="P480" s="58" t="s">
        <v>95</v>
      </c>
      <c r="Q480" s="58" t="s">
        <v>96</v>
      </c>
      <c r="R480" s="58" t="s">
        <v>1570</v>
      </c>
      <c r="S480" s="58" t="s">
        <v>1571</v>
      </c>
      <c r="T480" s="58" t="s">
        <v>279</v>
      </c>
    </row>
    <row r="481" spans="1:20" ht="31.2">
      <c r="A481" s="58" t="s">
        <v>82</v>
      </c>
      <c r="B481" s="58" t="s">
        <v>35</v>
      </c>
      <c r="C481" s="58">
        <v>4</v>
      </c>
      <c r="D481" s="58" t="s">
        <v>333</v>
      </c>
      <c r="E481" s="58" t="s">
        <v>355</v>
      </c>
      <c r="F481" s="58" t="s">
        <v>273</v>
      </c>
      <c r="G481" s="58" t="s">
        <v>273</v>
      </c>
      <c r="H481" s="58" t="s">
        <v>274</v>
      </c>
      <c r="I481" s="58" t="s">
        <v>274</v>
      </c>
      <c r="J481" s="58"/>
      <c r="K481" s="58" t="s">
        <v>274</v>
      </c>
      <c r="L481" s="58" t="s">
        <v>275</v>
      </c>
      <c r="M481" s="58" t="s">
        <v>35</v>
      </c>
      <c r="N481" s="58">
        <v>1.2E-2</v>
      </c>
      <c r="O481" s="58" t="s">
        <v>335</v>
      </c>
      <c r="P481" s="58" t="s">
        <v>95</v>
      </c>
      <c r="Q481" s="58" t="s">
        <v>96</v>
      </c>
      <c r="R481" s="58" t="s">
        <v>1572</v>
      </c>
      <c r="S481" s="58" t="s">
        <v>1573</v>
      </c>
      <c r="T481" s="58" t="s">
        <v>279</v>
      </c>
    </row>
    <row r="482" spans="1:20" ht="31.2">
      <c r="A482" s="58" t="s">
        <v>82</v>
      </c>
      <c r="B482" s="58" t="s">
        <v>35</v>
      </c>
      <c r="C482" s="58">
        <v>5</v>
      </c>
      <c r="D482" s="58" t="s">
        <v>361</v>
      </c>
      <c r="E482" s="58" t="s">
        <v>1574</v>
      </c>
      <c r="F482" s="58" t="s">
        <v>273</v>
      </c>
      <c r="G482" s="58" t="s">
        <v>273</v>
      </c>
      <c r="H482" s="58" t="s">
        <v>274</v>
      </c>
      <c r="I482" s="58" t="s">
        <v>274</v>
      </c>
      <c r="J482" s="58"/>
      <c r="K482" s="58"/>
      <c r="L482" s="58" t="s">
        <v>351</v>
      </c>
      <c r="M482" s="58" t="s">
        <v>35</v>
      </c>
      <c r="N482" s="58">
        <v>3.49</v>
      </c>
      <c r="O482" s="58" t="s">
        <v>494</v>
      </c>
      <c r="P482" s="58" t="s">
        <v>95</v>
      </c>
      <c r="Q482" s="58" t="s">
        <v>96</v>
      </c>
      <c r="R482" s="58" t="s">
        <v>1575</v>
      </c>
      <c r="S482" s="58" t="s">
        <v>1576</v>
      </c>
      <c r="T482" s="58" t="s">
        <v>279</v>
      </c>
    </row>
    <row r="483" spans="1:20" ht="31.2">
      <c r="A483" s="58" t="s">
        <v>82</v>
      </c>
      <c r="B483" s="58" t="s">
        <v>35</v>
      </c>
      <c r="C483" s="58">
        <v>6</v>
      </c>
      <c r="D483" s="58" t="s">
        <v>361</v>
      </c>
      <c r="E483" s="58" t="s">
        <v>1577</v>
      </c>
      <c r="F483" s="58" t="s">
        <v>273</v>
      </c>
      <c r="G483" s="58" t="s">
        <v>273</v>
      </c>
      <c r="H483" s="58" t="s">
        <v>274</v>
      </c>
      <c r="I483" s="58" t="s">
        <v>274</v>
      </c>
      <c r="J483" s="58"/>
      <c r="K483" s="58"/>
      <c r="L483" s="58" t="s">
        <v>275</v>
      </c>
      <c r="M483" s="58" t="s">
        <v>35</v>
      </c>
      <c r="N483" s="58">
        <v>0.52900000000000003</v>
      </c>
      <c r="O483" s="58" t="s">
        <v>494</v>
      </c>
      <c r="P483" s="58" t="s">
        <v>95</v>
      </c>
      <c r="Q483" s="58" t="s">
        <v>96</v>
      </c>
      <c r="R483" s="58" t="s">
        <v>1578</v>
      </c>
      <c r="S483" s="58" t="s">
        <v>1579</v>
      </c>
      <c r="T483" s="58" t="s">
        <v>279</v>
      </c>
    </row>
    <row r="484" spans="1:20" ht="31.2">
      <c r="A484" s="58" t="s">
        <v>82</v>
      </c>
      <c r="B484" s="58" t="s">
        <v>35</v>
      </c>
      <c r="C484" s="58">
        <v>7</v>
      </c>
      <c r="D484" s="58" t="s">
        <v>361</v>
      </c>
      <c r="E484" s="58" t="s">
        <v>1580</v>
      </c>
      <c r="F484" s="58" t="s">
        <v>273</v>
      </c>
      <c r="G484" s="58" t="s">
        <v>273</v>
      </c>
      <c r="H484" s="58" t="s">
        <v>274</v>
      </c>
      <c r="I484" s="58" t="s">
        <v>274</v>
      </c>
      <c r="J484" s="58"/>
      <c r="K484" s="58"/>
      <c r="L484" s="58" t="s">
        <v>275</v>
      </c>
      <c r="M484" s="58" t="s">
        <v>35</v>
      </c>
      <c r="N484" s="58">
        <v>1.7549999999999999</v>
      </c>
      <c r="O484" s="58" t="s">
        <v>494</v>
      </c>
      <c r="P484" s="58" t="s">
        <v>95</v>
      </c>
      <c r="Q484" s="58" t="s">
        <v>96</v>
      </c>
      <c r="R484" s="58" t="s">
        <v>1581</v>
      </c>
      <c r="S484" s="58" t="s">
        <v>1582</v>
      </c>
      <c r="T484" s="58" t="s">
        <v>279</v>
      </c>
    </row>
    <row r="485" spans="1:20" ht="31.2">
      <c r="A485" s="58" t="s">
        <v>82</v>
      </c>
      <c r="B485" s="58" t="s">
        <v>35</v>
      </c>
      <c r="C485" s="58">
        <v>8</v>
      </c>
      <c r="D485" s="58" t="s">
        <v>361</v>
      </c>
      <c r="E485" s="58" t="s">
        <v>1583</v>
      </c>
      <c r="F485" s="58" t="s">
        <v>273</v>
      </c>
      <c r="G485" s="58" t="s">
        <v>273</v>
      </c>
      <c r="H485" s="58" t="s">
        <v>274</v>
      </c>
      <c r="I485" s="58" t="s">
        <v>274</v>
      </c>
      <c r="J485" s="58"/>
      <c r="K485" s="58"/>
      <c r="L485" s="58" t="s">
        <v>275</v>
      </c>
      <c r="M485" s="58" t="s">
        <v>35</v>
      </c>
      <c r="N485" s="58">
        <v>2.0590000000000002</v>
      </c>
      <c r="O485" s="58" t="s">
        <v>494</v>
      </c>
      <c r="P485" s="58" t="s">
        <v>95</v>
      </c>
      <c r="Q485" s="58" t="s">
        <v>96</v>
      </c>
      <c r="R485" s="58" t="s">
        <v>1584</v>
      </c>
      <c r="S485" s="58" t="s">
        <v>1585</v>
      </c>
      <c r="T485" s="58" t="s">
        <v>279</v>
      </c>
    </row>
    <row r="486" spans="1:20" ht="31.2">
      <c r="A486" s="58" t="s">
        <v>82</v>
      </c>
      <c r="B486" s="58" t="s">
        <v>35</v>
      </c>
      <c r="C486" s="58">
        <v>9</v>
      </c>
      <c r="D486" s="58" t="s">
        <v>521</v>
      </c>
      <c r="E486" s="58" t="s">
        <v>1586</v>
      </c>
      <c r="F486" s="58" t="s">
        <v>273</v>
      </c>
      <c r="G486" s="58" t="s">
        <v>273</v>
      </c>
      <c r="H486" s="58" t="s">
        <v>274</v>
      </c>
      <c r="I486" s="58" t="s">
        <v>274</v>
      </c>
      <c r="J486" s="58"/>
      <c r="K486" s="58"/>
      <c r="L486" s="58" t="s">
        <v>351</v>
      </c>
      <c r="M486" s="58" t="s">
        <v>35</v>
      </c>
      <c r="N486" s="58">
        <v>5.1999999999999998E-2</v>
      </c>
      <c r="O486" s="58" t="s">
        <v>523</v>
      </c>
      <c r="P486" s="58" t="s">
        <v>95</v>
      </c>
      <c r="Q486" s="58" t="s">
        <v>96</v>
      </c>
      <c r="R486" s="58" t="s">
        <v>1587</v>
      </c>
      <c r="S486" s="58" t="s">
        <v>1588</v>
      </c>
      <c r="T486" s="58" t="s">
        <v>279</v>
      </c>
    </row>
    <row r="487" spans="1:20" ht="31.2">
      <c r="A487" s="58" t="s">
        <v>82</v>
      </c>
      <c r="B487" s="58" t="s">
        <v>35</v>
      </c>
      <c r="C487" s="58">
        <v>10</v>
      </c>
      <c r="D487" s="58" t="s">
        <v>521</v>
      </c>
      <c r="E487" s="58" t="s">
        <v>1589</v>
      </c>
      <c r="F487" s="58" t="s">
        <v>273</v>
      </c>
      <c r="G487" s="58" t="s">
        <v>273</v>
      </c>
      <c r="H487" s="58" t="s">
        <v>274</v>
      </c>
      <c r="I487" s="58" t="s">
        <v>274</v>
      </c>
      <c r="J487" s="58"/>
      <c r="K487" s="58"/>
      <c r="L487" s="58" t="s">
        <v>351</v>
      </c>
      <c r="M487" s="58" t="s">
        <v>35</v>
      </c>
      <c r="N487" s="58">
        <v>3.1E-2</v>
      </c>
      <c r="O487" s="58" t="s">
        <v>523</v>
      </c>
      <c r="P487" s="58" t="s">
        <v>95</v>
      </c>
      <c r="Q487" s="58" t="s">
        <v>96</v>
      </c>
      <c r="R487" s="58" t="s">
        <v>1590</v>
      </c>
      <c r="S487" s="58" t="s">
        <v>1591</v>
      </c>
      <c r="T487" s="58" t="s">
        <v>279</v>
      </c>
    </row>
    <row r="488" spans="1:20" ht="31.2">
      <c r="A488" s="58" t="s">
        <v>82</v>
      </c>
      <c r="B488" s="58" t="s">
        <v>35</v>
      </c>
      <c r="C488" s="58">
        <v>11</v>
      </c>
      <c r="D488" s="58" t="s">
        <v>521</v>
      </c>
      <c r="E488" s="58" t="s">
        <v>538</v>
      </c>
      <c r="F488" s="58" t="s">
        <v>273</v>
      </c>
      <c r="G488" s="58" t="s">
        <v>273</v>
      </c>
      <c r="H488" s="58" t="s">
        <v>274</v>
      </c>
      <c r="I488" s="58" t="s">
        <v>274</v>
      </c>
      <c r="J488" s="58"/>
      <c r="K488" s="58"/>
      <c r="L488" s="58" t="s">
        <v>351</v>
      </c>
      <c r="M488" s="58" t="s">
        <v>35</v>
      </c>
      <c r="N488" s="58">
        <v>1.7000000000000001E-2</v>
      </c>
      <c r="O488" s="58" t="s">
        <v>539</v>
      </c>
      <c r="P488" s="58" t="s">
        <v>95</v>
      </c>
      <c r="Q488" s="58" t="s">
        <v>96</v>
      </c>
      <c r="R488" s="58" t="s">
        <v>1592</v>
      </c>
      <c r="S488" s="58" t="s">
        <v>1593</v>
      </c>
      <c r="T488" s="58" t="s">
        <v>279</v>
      </c>
    </row>
    <row r="489" spans="1:20" ht="31.2">
      <c r="A489" s="58" t="s">
        <v>82</v>
      </c>
      <c r="B489" s="58" t="s">
        <v>35</v>
      </c>
      <c r="C489" s="58">
        <v>12</v>
      </c>
      <c r="D489" s="58" t="s">
        <v>361</v>
      </c>
      <c r="E489" s="58" t="s">
        <v>1594</v>
      </c>
      <c r="F489" s="58" t="s">
        <v>273</v>
      </c>
      <c r="G489" s="58" t="s">
        <v>273</v>
      </c>
      <c r="H489" s="58" t="s">
        <v>274</v>
      </c>
      <c r="I489" s="58" t="s">
        <v>274</v>
      </c>
      <c r="J489" s="58"/>
      <c r="K489" s="58"/>
      <c r="L489" s="58" t="s">
        <v>275</v>
      </c>
      <c r="M489" s="58" t="s">
        <v>35</v>
      </c>
      <c r="N489" s="58">
        <v>1.8979999999999999</v>
      </c>
      <c r="O489" s="58" t="s">
        <v>494</v>
      </c>
      <c r="P489" s="58" t="s">
        <v>95</v>
      </c>
      <c r="Q489" s="58" t="s">
        <v>96</v>
      </c>
      <c r="R489" s="58" t="s">
        <v>1595</v>
      </c>
      <c r="S489" s="58" t="s">
        <v>1596</v>
      </c>
      <c r="T489" s="58" t="s">
        <v>279</v>
      </c>
    </row>
    <row r="490" spans="1:20" ht="31.2">
      <c r="A490" s="58" t="s">
        <v>82</v>
      </c>
      <c r="B490" s="58" t="s">
        <v>35</v>
      </c>
      <c r="C490" s="58">
        <v>13</v>
      </c>
      <c r="D490" s="58" t="s">
        <v>361</v>
      </c>
      <c r="E490" s="58" t="s">
        <v>1597</v>
      </c>
      <c r="F490" s="58" t="s">
        <v>273</v>
      </c>
      <c r="G490" s="58" t="s">
        <v>273</v>
      </c>
      <c r="H490" s="58" t="s">
        <v>274</v>
      </c>
      <c r="I490" s="58" t="s">
        <v>274</v>
      </c>
      <c r="J490" s="58"/>
      <c r="K490" s="58"/>
      <c r="L490" s="58" t="s">
        <v>275</v>
      </c>
      <c r="M490" s="58" t="s">
        <v>35</v>
      </c>
      <c r="N490" s="58">
        <v>1.7130000000000001</v>
      </c>
      <c r="O490" s="58" t="s">
        <v>494</v>
      </c>
      <c r="P490" s="58" t="s">
        <v>95</v>
      </c>
      <c r="Q490" s="58" t="s">
        <v>96</v>
      </c>
      <c r="R490" s="58" t="s">
        <v>1598</v>
      </c>
      <c r="S490" s="58" t="s">
        <v>1599</v>
      </c>
      <c r="T490" s="58" t="s">
        <v>279</v>
      </c>
    </row>
    <row r="491" spans="1:20" ht="31.2">
      <c r="A491" s="58" t="s">
        <v>82</v>
      </c>
      <c r="B491" s="58" t="s">
        <v>35</v>
      </c>
      <c r="C491" s="58">
        <v>14</v>
      </c>
      <c r="D491" s="58" t="s">
        <v>361</v>
      </c>
      <c r="E491" s="58" t="s">
        <v>1600</v>
      </c>
      <c r="F491" s="58" t="s">
        <v>273</v>
      </c>
      <c r="G491" s="58" t="s">
        <v>274</v>
      </c>
      <c r="H491" s="58" t="s">
        <v>273</v>
      </c>
      <c r="I491" s="58" t="s">
        <v>274</v>
      </c>
      <c r="J491" s="58"/>
      <c r="K491" s="58"/>
      <c r="L491" s="58" t="s">
        <v>275</v>
      </c>
      <c r="M491" s="58" t="s">
        <v>35</v>
      </c>
      <c r="N491" s="58">
        <v>1.696</v>
      </c>
      <c r="O491" s="58" t="s">
        <v>494</v>
      </c>
      <c r="P491" s="58" t="s">
        <v>95</v>
      </c>
      <c r="Q491" s="58" t="s">
        <v>96</v>
      </c>
      <c r="R491" s="58" t="s">
        <v>1601</v>
      </c>
      <c r="S491" s="58" t="s">
        <v>1602</v>
      </c>
      <c r="T491" s="58" t="s">
        <v>279</v>
      </c>
    </row>
    <row r="492" spans="1:20" ht="31.2">
      <c r="A492" s="58" t="s">
        <v>82</v>
      </c>
      <c r="B492" s="58" t="s">
        <v>35</v>
      </c>
      <c r="C492" s="58">
        <v>15</v>
      </c>
      <c r="D492" s="58" t="s">
        <v>361</v>
      </c>
      <c r="E492" s="58" t="s">
        <v>1603</v>
      </c>
      <c r="F492" s="58" t="s">
        <v>273</v>
      </c>
      <c r="G492" s="58" t="s">
        <v>273</v>
      </c>
      <c r="H492" s="58" t="s">
        <v>274</v>
      </c>
      <c r="I492" s="58" t="s">
        <v>274</v>
      </c>
      <c r="J492" s="58"/>
      <c r="K492" s="58"/>
      <c r="L492" s="58" t="s">
        <v>275</v>
      </c>
      <c r="M492" s="58" t="s">
        <v>35</v>
      </c>
      <c r="N492" s="58">
        <v>2.0979999999999999</v>
      </c>
      <c r="O492" s="58" t="s">
        <v>494</v>
      </c>
      <c r="P492" s="58" t="s">
        <v>95</v>
      </c>
      <c r="Q492" s="58" t="s">
        <v>96</v>
      </c>
      <c r="R492" s="58" t="s">
        <v>1604</v>
      </c>
      <c r="S492" s="58" t="s">
        <v>1605</v>
      </c>
      <c r="T492" s="58" t="s">
        <v>279</v>
      </c>
    </row>
    <row r="493" spans="1:20" ht="31.2">
      <c r="A493" s="58" t="s">
        <v>82</v>
      </c>
      <c r="B493" s="58" t="s">
        <v>35</v>
      </c>
      <c r="C493" s="58">
        <v>16</v>
      </c>
      <c r="D493" s="58" t="s">
        <v>361</v>
      </c>
      <c r="E493" s="58" t="s">
        <v>1606</v>
      </c>
      <c r="F493" s="58" t="s">
        <v>273</v>
      </c>
      <c r="G493" s="58" t="s">
        <v>273</v>
      </c>
      <c r="H493" s="58" t="s">
        <v>274</v>
      </c>
      <c r="I493" s="58" t="s">
        <v>274</v>
      </c>
      <c r="J493" s="58"/>
      <c r="K493" s="58"/>
      <c r="L493" s="58" t="s">
        <v>275</v>
      </c>
      <c r="M493" s="58" t="s">
        <v>35</v>
      </c>
      <c r="N493" s="58">
        <v>1.462</v>
      </c>
      <c r="O493" s="58" t="s">
        <v>494</v>
      </c>
      <c r="P493" s="58" t="s">
        <v>95</v>
      </c>
      <c r="Q493" s="58" t="s">
        <v>96</v>
      </c>
      <c r="R493" s="58" t="s">
        <v>1607</v>
      </c>
      <c r="S493" s="58" t="s">
        <v>1608</v>
      </c>
      <c r="T493" s="58" t="s">
        <v>279</v>
      </c>
    </row>
    <row r="494" spans="1:20" ht="31.2">
      <c r="A494" s="58" t="s">
        <v>82</v>
      </c>
      <c r="B494" s="58" t="s">
        <v>35</v>
      </c>
      <c r="C494" s="58">
        <v>17</v>
      </c>
      <c r="D494" s="58" t="s">
        <v>361</v>
      </c>
      <c r="E494" s="58" t="s">
        <v>1609</v>
      </c>
      <c r="F494" s="58" t="s">
        <v>273</v>
      </c>
      <c r="G494" s="58" t="s">
        <v>273</v>
      </c>
      <c r="H494" s="58" t="s">
        <v>274</v>
      </c>
      <c r="I494" s="58" t="s">
        <v>274</v>
      </c>
      <c r="J494" s="58"/>
      <c r="K494" s="58"/>
      <c r="L494" s="58" t="s">
        <v>275</v>
      </c>
      <c r="M494" s="58" t="s">
        <v>35</v>
      </c>
      <c r="N494" s="58">
        <v>2.6339999999999999</v>
      </c>
      <c r="O494" s="58" t="s">
        <v>494</v>
      </c>
      <c r="P494" s="58" t="s">
        <v>95</v>
      </c>
      <c r="Q494" s="58" t="s">
        <v>96</v>
      </c>
      <c r="R494" s="58" t="s">
        <v>1610</v>
      </c>
      <c r="S494" s="58" t="s">
        <v>1611</v>
      </c>
      <c r="T494" s="58" t="s">
        <v>279</v>
      </c>
    </row>
    <row r="495" spans="1:20" ht="31.2">
      <c r="A495" s="58" t="s">
        <v>82</v>
      </c>
      <c r="B495" s="58" t="s">
        <v>35</v>
      </c>
      <c r="C495" s="58">
        <v>18</v>
      </c>
      <c r="D495" s="58" t="s">
        <v>361</v>
      </c>
      <c r="E495" s="58" t="s">
        <v>1612</v>
      </c>
      <c r="F495" s="58" t="s">
        <v>273</v>
      </c>
      <c r="G495" s="58" t="s">
        <v>273</v>
      </c>
      <c r="H495" s="58" t="s">
        <v>274</v>
      </c>
      <c r="I495" s="58" t="s">
        <v>274</v>
      </c>
      <c r="J495" s="58"/>
      <c r="K495" s="58"/>
      <c r="L495" s="58" t="s">
        <v>275</v>
      </c>
      <c r="M495" s="58" t="s">
        <v>35</v>
      </c>
      <c r="N495" s="58">
        <v>1.661</v>
      </c>
      <c r="O495" s="58" t="s">
        <v>494</v>
      </c>
      <c r="P495" s="58" t="s">
        <v>95</v>
      </c>
      <c r="Q495" s="58" t="s">
        <v>96</v>
      </c>
      <c r="R495" s="58" t="s">
        <v>1613</v>
      </c>
      <c r="S495" s="58" t="s">
        <v>1614</v>
      </c>
      <c r="T495" s="58" t="s">
        <v>279</v>
      </c>
    </row>
    <row r="496" spans="1:20" ht="31.2">
      <c r="A496" s="58" t="s">
        <v>82</v>
      </c>
      <c r="B496" s="58" t="s">
        <v>35</v>
      </c>
      <c r="C496" s="58">
        <v>19</v>
      </c>
      <c r="D496" s="58" t="s">
        <v>361</v>
      </c>
      <c r="E496" s="58" t="s">
        <v>1615</v>
      </c>
      <c r="F496" s="58" t="s">
        <v>273</v>
      </c>
      <c r="G496" s="58" t="s">
        <v>273</v>
      </c>
      <c r="H496" s="58" t="s">
        <v>274</v>
      </c>
      <c r="I496" s="58" t="s">
        <v>274</v>
      </c>
      <c r="J496" s="58"/>
      <c r="K496" s="58"/>
      <c r="L496" s="58" t="s">
        <v>275</v>
      </c>
      <c r="M496" s="58" t="s">
        <v>35</v>
      </c>
      <c r="N496" s="58">
        <v>1.7410000000000001</v>
      </c>
      <c r="O496" s="58" t="s">
        <v>494</v>
      </c>
      <c r="P496" s="58" t="s">
        <v>95</v>
      </c>
      <c r="Q496" s="58" t="s">
        <v>96</v>
      </c>
      <c r="R496" s="58" t="s">
        <v>1616</v>
      </c>
      <c r="S496" s="58" t="s">
        <v>1617</v>
      </c>
      <c r="T496" s="58" t="s">
        <v>279</v>
      </c>
    </row>
    <row r="497" spans="1:20" ht="31.2">
      <c r="A497" s="58" t="s">
        <v>82</v>
      </c>
      <c r="B497" s="58" t="s">
        <v>35</v>
      </c>
      <c r="C497" s="58">
        <v>20</v>
      </c>
      <c r="D497" s="58" t="s">
        <v>361</v>
      </c>
      <c r="E497" s="58" t="s">
        <v>1618</v>
      </c>
      <c r="F497" s="58" t="s">
        <v>273</v>
      </c>
      <c r="G497" s="58" t="s">
        <v>273</v>
      </c>
      <c r="H497" s="58" t="s">
        <v>274</v>
      </c>
      <c r="I497" s="58" t="s">
        <v>274</v>
      </c>
      <c r="J497" s="58"/>
      <c r="K497" s="58"/>
      <c r="L497" s="58" t="s">
        <v>275</v>
      </c>
      <c r="M497" s="58" t="s">
        <v>35</v>
      </c>
      <c r="N497" s="58">
        <v>1.5</v>
      </c>
      <c r="O497" s="58" t="s">
        <v>494</v>
      </c>
      <c r="P497" s="58" t="s">
        <v>95</v>
      </c>
      <c r="Q497" s="58" t="s">
        <v>96</v>
      </c>
      <c r="R497" s="58" t="s">
        <v>1619</v>
      </c>
      <c r="S497" s="58" t="s">
        <v>1620</v>
      </c>
      <c r="T497" s="58" t="s">
        <v>279</v>
      </c>
    </row>
    <row r="498" spans="1:20" ht="31.2">
      <c r="A498" s="58" t="s">
        <v>82</v>
      </c>
      <c r="B498" s="58" t="s">
        <v>35</v>
      </c>
      <c r="C498" s="58">
        <v>21</v>
      </c>
      <c r="D498" s="58" t="s">
        <v>361</v>
      </c>
      <c r="E498" s="58" t="s">
        <v>1621</v>
      </c>
      <c r="F498" s="58" t="s">
        <v>273</v>
      </c>
      <c r="G498" s="58" t="s">
        <v>274</v>
      </c>
      <c r="H498" s="58" t="s">
        <v>273</v>
      </c>
      <c r="I498" s="58" t="s">
        <v>274</v>
      </c>
      <c r="J498" s="58"/>
      <c r="K498" s="58"/>
      <c r="L498" s="58" t="s">
        <v>604</v>
      </c>
      <c r="M498" s="58" t="s">
        <v>35</v>
      </c>
      <c r="N498" s="58">
        <v>2.1640000000000001</v>
      </c>
      <c r="O498" s="58" t="s">
        <v>494</v>
      </c>
      <c r="P498" s="58" t="s">
        <v>95</v>
      </c>
      <c r="Q498" s="58" t="s">
        <v>96</v>
      </c>
      <c r="R498" s="58" t="s">
        <v>1622</v>
      </c>
      <c r="S498" s="58" t="s">
        <v>1623</v>
      </c>
      <c r="T498" s="58" t="s">
        <v>279</v>
      </c>
    </row>
    <row r="499" spans="1:20" ht="31.2">
      <c r="A499" s="58" t="s">
        <v>82</v>
      </c>
      <c r="B499" s="58" t="s">
        <v>35</v>
      </c>
      <c r="C499" s="58">
        <v>22</v>
      </c>
      <c r="D499" s="58" t="s">
        <v>361</v>
      </c>
      <c r="E499" s="58" t="s">
        <v>1624</v>
      </c>
      <c r="F499" s="58" t="s">
        <v>273</v>
      </c>
      <c r="G499" s="58" t="s">
        <v>273</v>
      </c>
      <c r="H499" s="58" t="s">
        <v>274</v>
      </c>
      <c r="I499" s="58" t="s">
        <v>274</v>
      </c>
      <c r="J499" s="58"/>
      <c r="K499" s="58"/>
      <c r="L499" s="58" t="s">
        <v>288</v>
      </c>
      <c r="M499" s="58" t="s">
        <v>35</v>
      </c>
      <c r="N499" s="58">
        <v>4.3310000000000004</v>
      </c>
      <c r="O499" s="58" t="s">
        <v>494</v>
      </c>
      <c r="P499" s="58" t="s">
        <v>95</v>
      </c>
      <c r="Q499" s="58" t="s">
        <v>96</v>
      </c>
      <c r="R499" s="58" t="s">
        <v>1625</v>
      </c>
      <c r="S499" s="58" t="s">
        <v>1626</v>
      </c>
      <c r="T499" s="58" t="s">
        <v>279</v>
      </c>
    </row>
    <row r="500" spans="1:20" ht="31.2">
      <c r="A500" s="58" t="s">
        <v>82</v>
      </c>
      <c r="B500" s="58" t="s">
        <v>35</v>
      </c>
      <c r="C500" s="58">
        <v>23</v>
      </c>
      <c r="D500" s="58" t="s">
        <v>361</v>
      </c>
      <c r="E500" s="58" t="s">
        <v>1627</v>
      </c>
      <c r="F500" s="58" t="s">
        <v>273</v>
      </c>
      <c r="G500" s="58" t="s">
        <v>273</v>
      </c>
      <c r="H500" s="58" t="s">
        <v>274</v>
      </c>
      <c r="I500" s="58" t="s">
        <v>274</v>
      </c>
      <c r="J500" s="58"/>
      <c r="K500" s="58"/>
      <c r="L500" s="58" t="s">
        <v>288</v>
      </c>
      <c r="M500" s="58" t="s">
        <v>35</v>
      </c>
      <c r="N500" s="58">
        <v>1.7949999999999999</v>
      </c>
      <c r="O500" s="58" t="s">
        <v>494</v>
      </c>
      <c r="P500" s="58" t="s">
        <v>95</v>
      </c>
      <c r="Q500" s="58" t="s">
        <v>96</v>
      </c>
      <c r="R500" s="58" t="s">
        <v>1628</v>
      </c>
      <c r="S500" s="58" t="s">
        <v>1629</v>
      </c>
      <c r="T500" s="58" t="s">
        <v>279</v>
      </c>
    </row>
    <row r="501" spans="1:20" ht="31.2">
      <c r="A501" s="58" t="s">
        <v>82</v>
      </c>
      <c r="B501" s="58" t="s">
        <v>35</v>
      </c>
      <c r="C501" s="58">
        <v>24</v>
      </c>
      <c r="D501" s="58" t="s">
        <v>361</v>
      </c>
      <c r="E501" s="58" t="s">
        <v>1630</v>
      </c>
      <c r="F501" s="58" t="s">
        <v>273</v>
      </c>
      <c r="G501" s="58" t="s">
        <v>273</v>
      </c>
      <c r="H501" s="58" t="s">
        <v>274</v>
      </c>
      <c r="I501" s="58" t="s">
        <v>274</v>
      </c>
      <c r="J501" s="58"/>
      <c r="K501" s="58"/>
      <c r="L501" s="58" t="s">
        <v>288</v>
      </c>
      <c r="M501" s="58" t="s">
        <v>35</v>
      </c>
      <c r="N501" s="58">
        <v>1.8129999999999999</v>
      </c>
      <c r="O501" s="58" t="s">
        <v>494</v>
      </c>
      <c r="P501" s="58" t="s">
        <v>95</v>
      </c>
      <c r="Q501" s="58" t="s">
        <v>96</v>
      </c>
      <c r="R501" s="58" t="s">
        <v>1631</v>
      </c>
      <c r="S501" s="58" t="s">
        <v>1632</v>
      </c>
      <c r="T501" s="58" t="s">
        <v>279</v>
      </c>
    </row>
    <row r="502" spans="1:20" ht="31.2">
      <c r="A502" s="58" t="s">
        <v>82</v>
      </c>
      <c r="B502" s="58" t="s">
        <v>35</v>
      </c>
      <c r="C502" s="58">
        <v>25</v>
      </c>
      <c r="D502" s="58" t="s">
        <v>361</v>
      </c>
      <c r="E502" s="58" t="s">
        <v>1633</v>
      </c>
      <c r="F502" s="58" t="s">
        <v>273</v>
      </c>
      <c r="G502" s="58" t="s">
        <v>273</v>
      </c>
      <c r="H502" s="58" t="s">
        <v>274</v>
      </c>
      <c r="I502" s="58" t="s">
        <v>274</v>
      </c>
      <c r="J502" s="58"/>
      <c r="K502" s="58"/>
      <c r="L502" s="58" t="s">
        <v>288</v>
      </c>
      <c r="M502" s="58" t="s">
        <v>35</v>
      </c>
      <c r="N502" s="58">
        <v>1.915</v>
      </c>
      <c r="O502" s="58" t="s">
        <v>494</v>
      </c>
      <c r="P502" s="58" t="s">
        <v>95</v>
      </c>
      <c r="Q502" s="58" t="s">
        <v>96</v>
      </c>
      <c r="R502" s="58" t="s">
        <v>1634</v>
      </c>
      <c r="S502" s="58" t="s">
        <v>1635</v>
      </c>
      <c r="T502" s="58" t="s">
        <v>279</v>
      </c>
    </row>
    <row r="503" spans="1:20" ht="31.2">
      <c r="A503" s="58" t="s">
        <v>82</v>
      </c>
      <c r="B503" s="58" t="s">
        <v>35</v>
      </c>
      <c r="C503" s="58">
        <v>26</v>
      </c>
      <c r="D503" s="58" t="s">
        <v>521</v>
      </c>
      <c r="E503" s="58" t="s">
        <v>577</v>
      </c>
      <c r="F503" s="58" t="s">
        <v>273</v>
      </c>
      <c r="G503" s="58" t="s">
        <v>273</v>
      </c>
      <c r="H503" s="58" t="s">
        <v>274</v>
      </c>
      <c r="I503" s="58" t="s">
        <v>274</v>
      </c>
      <c r="J503" s="58"/>
      <c r="K503" s="58"/>
      <c r="L503" s="58" t="s">
        <v>351</v>
      </c>
      <c r="M503" s="58" t="s">
        <v>35</v>
      </c>
      <c r="N503" s="58">
        <v>8.0000000000000002E-3</v>
      </c>
      <c r="O503" s="58" t="s">
        <v>539</v>
      </c>
      <c r="P503" s="58" t="s">
        <v>95</v>
      </c>
      <c r="Q503" s="58" t="s">
        <v>96</v>
      </c>
      <c r="R503" s="58" t="s">
        <v>1636</v>
      </c>
      <c r="S503" s="58" t="s">
        <v>1637</v>
      </c>
      <c r="T503" s="58" t="s">
        <v>279</v>
      </c>
    </row>
    <row r="504" spans="1:20" ht="31.2">
      <c r="A504" s="58" t="s">
        <v>82</v>
      </c>
      <c r="B504" s="58" t="s">
        <v>35</v>
      </c>
      <c r="C504" s="58">
        <v>27</v>
      </c>
      <c r="D504" s="58" t="s">
        <v>521</v>
      </c>
      <c r="E504" s="58" t="s">
        <v>1073</v>
      </c>
      <c r="F504" s="58" t="s">
        <v>273</v>
      </c>
      <c r="G504" s="58" t="s">
        <v>273</v>
      </c>
      <c r="H504" s="58" t="s">
        <v>274</v>
      </c>
      <c r="I504" s="58" t="s">
        <v>274</v>
      </c>
      <c r="J504" s="58"/>
      <c r="K504" s="58"/>
      <c r="L504" s="58" t="s">
        <v>351</v>
      </c>
      <c r="M504" s="58" t="s">
        <v>35</v>
      </c>
      <c r="N504" s="58">
        <v>6.0000000000000001E-3</v>
      </c>
      <c r="O504" s="58" t="s">
        <v>539</v>
      </c>
      <c r="P504" s="58" t="s">
        <v>95</v>
      </c>
      <c r="Q504" s="58" t="s">
        <v>96</v>
      </c>
      <c r="R504" s="58" t="s">
        <v>1638</v>
      </c>
      <c r="S504" s="58" t="s">
        <v>1639</v>
      </c>
      <c r="T504" s="58" t="s">
        <v>279</v>
      </c>
    </row>
    <row r="505" spans="1:20" ht="31.2">
      <c r="A505" s="58" t="s">
        <v>82</v>
      </c>
      <c r="B505" s="58" t="s">
        <v>35</v>
      </c>
      <c r="C505" s="58">
        <v>28</v>
      </c>
      <c r="D505" s="58" t="s">
        <v>378</v>
      </c>
      <c r="E505" s="58" t="s">
        <v>1640</v>
      </c>
      <c r="F505" s="58" t="s">
        <v>273</v>
      </c>
      <c r="G505" s="58" t="s">
        <v>273</v>
      </c>
      <c r="H505" s="58" t="s">
        <v>274</v>
      </c>
      <c r="I505" s="58" t="s">
        <v>274</v>
      </c>
      <c r="J505" s="58"/>
      <c r="K505" s="58"/>
      <c r="L505" s="58" t="s">
        <v>288</v>
      </c>
      <c r="M505" s="58" t="s">
        <v>35</v>
      </c>
      <c r="N505" s="58">
        <v>2.5000000000000001E-2</v>
      </c>
      <c r="O505" s="58" t="s">
        <v>380</v>
      </c>
      <c r="P505" s="58" t="s">
        <v>95</v>
      </c>
      <c r="Q505" s="58" t="s">
        <v>96</v>
      </c>
      <c r="R505" s="58" t="s">
        <v>1641</v>
      </c>
      <c r="S505" s="58" t="s">
        <v>1642</v>
      </c>
      <c r="T505" s="58" t="s">
        <v>279</v>
      </c>
    </row>
    <row r="506" spans="1:20" ht="31.2">
      <c r="A506" s="58" t="s">
        <v>82</v>
      </c>
      <c r="B506" s="58" t="s">
        <v>35</v>
      </c>
      <c r="C506" s="58">
        <v>29</v>
      </c>
      <c r="D506" s="58" t="s">
        <v>361</v>
      </c>
      <c r="E506" s="58" t="s">
        <v>1643</v>
      </c>
      <c r="F506" s="58" t="s">
        <v>273</v>
      </c>
      <c r="G506" s="58" t="s">
        <v>273</v>
      </c>
      <c r="H506" s="58" t="s">
        <v>274</v>
      </c>
      <c r="I506" s="58" t="s">
        <v>274</v>
      </c>
      <c r="J506" s="58"/>
      <c r="K506" s="58"/>
      <c r="L506" s="58" t="s">
        <v>288</v>
      </c>
      <c r="M506" s="58" t="s">
        <v>35</v>
      </c>
      <c r="N506" s="58">
        <v>1.623</v>
      </c>
      <c r="O506" s="58" t="s">
        <v>494</v>
      </c>
      <c r="P506" s="58" t="s">
        <v>95</v>
      </c>
      <c r="Q506" s="58" t="s">
        <v>96</v>
      </c>
      <c r="R506" s="58" t="s">
        <v>1644</v>
      </c>
      <c r="S506" s="58" t="s">
        <v>1645</v>
      </c>
      <c r="T506" s="58" t="s">
        <v>279</v>
      </c>
    </row>
    <row r="507" spans="1:20" ht="31.2">
      <c r="A507" s="58" t="s">
        <v>82</v>
      </c>
      <c r="B507" s="58" t="s">
        <v>35</v>
      </c>
      <c r="C507" s="58">
        <v>30</v>
      </c>
      <c r="D507" s="58" t="s">
        <v>361</v>
      </c>
      <c r="E507" s="58" t="s">
        <v>1646</v>
      </c>
      <c r="F507" s="58" t="s">
        <v>273</v>
      </c>
      <c r="G507" s="58" t="s">
        <v>273</v>
      </c>
      <c r="H507" s="58" t="s">
        <v>274</v>
      </c>
      <c r="I507" s="58" t="s">
        <v>274</v>
      </c>
      <c r="J507" s="58"/>
      <c r="K507" s="58"/>
      <c r="L507" s="58" t="s">
        <v>288</v>
      </c>
      <c r="M507" s="58" t="s">
        <v>35</v>
      </c>
      <c r="N507" s="58">
        <v>0.77500000000000002</v>
      </c>
      <c r="O507" s="58" t="s">
        <v>494</v>
      </c>
      <c r="P507" s="58" t="s">
        <v>95</v>
      </c>
      <c r="Q507" s="58" t="s">
        <v>96</v>
      </c>
      <c r="R507" s="58" t="s">
        <v>1647</v>
      </c>
      <c r="S507" s="58" t="s">
        <v>1648</v>
      </c>
      <c r="T507" s="58" t="s">
        <v>279</v>
      </c>
    </row>
    <row r="508" spans="1:20" ht="31.2">
      <c r="A508" s="58" t="s">
        <v>82</v>
      </c>
      <c r="B508" s="58" t="s">
        <v>35</v>
      </c>
      <c r="C508" s="58">
        <v>31</v>
      </c>
      <c r="D508" s="58" t="s">
        <v>361</v>
      </c>
      <c r="E508" s="58" t="s">
        <v>1649</v>
      </c>
      <c r="F508" s="58" t="s">
        <v>273</v>
      </c>
      <c r="G508" s="58" t="s">
        <v>273</v>
      </c>
      <c r="H508" s="58" t="s">
        <v>274</v>
      </c>
      <c r="I508" s="58" t="s">
        <v>274</v>
      </c>
      <c r="J508" s="58"/>
      <c r="K508" s="58"/>
      <c r="L508" s="58" t="s">
        <v>288</v>
      </c>
      <c r="M508" s="58" t="s">
        <v>35</v>
      </c>
      <c r="N508" s="58">
        <v>1.538</v>
      </c>
      <c r="O508" s="58" t="s">
        <v>494</v>
      </c>
      <c r="P508" s="58" t="s">
        <v>95</v>
      </c>
      <c r="Q508" s="58" t="s">
        <v>96</v>
      </c>
      <c r="R508" s="58" t="s">
        <v>1650</v>
      </c>
      <c r="S508" s="58" t="s">
        <v>1651</v>
      </c>
      <c r="T508" s="58" t="s">
        <v>279</v>
      </c>
    </row>
    <row r="509" spans="1:20" ht="31.2">
      <c r="A509" s="58" t="s">
        <v>82</v>
      </c>
      <c r="B509" s="58" t="s">
        <v>35</v>
      </c>
      <c r="C509" s="58">
        <v>32</v>
      </c>
      <c r="D509" s="58" t="s">
        <v>479</v>
      </c>
      <c r="E509" s="58" t="s">
        <v>1640</v>
      </c>
      <c r="F509" s="58" t="s">
        <v>273</v>
      </c>
      <c r="G509" s="58" t="s">
        <v>273</v>
      </c>
      <c r="H509" s="58" t="s">
        <v>274</v>
      </c>
      <c r="I509" s="58" t="s">
        <v>273</v>
      </c>
      <c r="J509" s="58" t="s">
        <v>273</v>
      </c>
      <c r="K509" s="58"/>
      <c r="L509" s="58" t="s">
        <v>288</v>
      </c>
      <c r="M509" s="58" t="s">
        <v>35</v>
      </c>
      <c r="N509" s="58">
        <v>1.7999999999999999E-2</v>
      </c>
      <c r="O509" s="58" t="s">
        <v>554</v>
      </c>
      <c r="P509" s="58" t="s">
        <v>95</v>
      </c>
      <c r="Q509" s="58" t="s">
        <v>96</v>
      </c>
      <c r="R509" s="58" t="s">
        <v>1652</v>
      </c>
      <c r="S509" s="58" t="s">
        <v>1653</v>
      </c>
      <c r="T509" s="58" t="s">
        <v>279</v>
      </c>
    </row>
    <row r="510" spans="1:20" ht="31.2">
      <c r="A510" s="58" t="s">
        <v>82</v>
      </c>
      <c r="B510" s="58" t="s">
        <v>35</v>
      </c>
      <c r="C510" s="58">
        <v>33</v>
      </c>
      <c r="D510" s="58" t="s">
        <v>479</v>
      </c>
      <c r="E510" s="58" t="s">
        <v>1640</v>
      </c>
      <c r="F510" s="58" t="s">
        <v>273</v>
      </c>
      <c r="G510" s="58" t="s">
        <v>273</v>
      </c>
      <c r="H510" s="58" t="s">
        <v>274</v>
      </c>
      <c r="I510" s="58" t="s">
        <v>273</v>
      </c>
      <c r="J510" s="58" t="s">
        <v>273</v>
      </c>
      <c r="K510" s="58"/>
      <c r="L510" s="58" t="s">
        <v>288</v>
      </c>
      <c r="M510" s="58" t="s">
        <v>35</v>
      </c>
      <c r="N510" s="58">
        <v>0.02</v>
      </c>
      <c r="O510" s="58" t="s">
        <v>554</v>
      </c>
      <c r="P510" s="58" t="s">
        <v>95</v>
      </c>
      <c r="Q510" s="58" t="s">
        <v>96</v>
      </c>
      <c r="R510" s="58" t="s">
        <v>1654</v>
      </c>
      <c r="S510" s="58" t="s">
        <v>1655</v>
      </c>
      <c r="T510" s="58" t="s">
        <v>279</v>
      </c>
    </row>
    <row r="511" spans="1:20" ht="31.2">
      <c r="A511" s="58" t="s">
        <v>82</v>
      </c>
      <c r="B511" s="58" t="s">
        <v>35</v>
      </c>
      <c r="C511" s="58">
        <v>34</v>
      </c>
      <c r="D511" s="58" t="s">
        <v>479</v>
      </c>
      <c r="E511" s="58" t="s">
        <v>1640</v>
      </c>
      <c r="F511" s="58" t="s">
        <v>273</v>
      </c>
      <c r="G511" s="58" t="s">
        <v>273</v>
      </c>
      <c r="H511" s="58" t="s">
        <v>274</v>
      </c>
      <c r="I511" s="58" t="s">
        <v>273</v>
      </c>
      <c r="J511" s="58" t="s">
        <v>273</v>
      </c>
      <c r="K511" s="58"/>
      <c r="L511" s="58" t="s">
        <v>288</v>
      </c>
      <c r="M511" s="58" t="s">
        <v>35</v>
      </c>
      <c r="N511" s="58">
        <v>1.2E-2</v>
      </c>
      <c r="O511" s="58" t="s">
        <v>554</v>
      </c>
      <c r="P511" s="58" t="s">
        <v>95</v>
      </c>
      <c r="Q511" s="58" t="s">
        <v>96</v>
      </c>
      <c r="R511" s="58" t="s">
        <v>1656</v>
      </c>
      <c r="S511" s="58" t="s">
        <v>1657</v>
      </c>
      <c r="T511" s="58" t="s">
        <v>279</v>
      </c>
    </row>
    <row r="512" spans="1:20" ht="31.2">
      <c r="A512" s="58" t="s">
        <v>82</v>
      </c>
      <c r="B512" s="58" t="s">
        <v>35</v>
      </c>
      <c r="C512" s="58">
        <v>35</v>
      </c>
      <c r="D512" s="58" t="s">
        <v>479</v>
      </c>
      <c r="E512" s="58" t="s">
        <v>1640</v>
      </c>
      <c r="F512" s="58" t="s">
        <v>273</v>
      </c>
      <c r="G512" s="58" t="s">
        <v>273</v>
      </c>
      <c r="H512" s="58" t="s">
        <v>274</v>
      </c>
      <c r="I512" s="58" t="s">
        <v>273</v>
      </c>
      <c r="J512" s="58" t="s">
        <v>273</v>
      </c>
      <c r="K512" s="58"/>
      <c r="L512" s="58" t="s">
        <v>288</v>
      </c>
      <c r="M512" s="58" t="s">
        <v>35</v>
      </c>
      <c r="N512" s="58">
        <v>2.1000000000000001E-2</v>
      </c>
      <c r="O512" s="58" t="s">
        <v>554</v>
      </c>
      <c r="P512" s="58" t="s">
        <v>95</v>
      </c>
      <c r="Q512" s="58" t="s">
        <v>96</v>
      </c>
      <c r="R512" s="58" t="s">
        <v>1658</v>
      </c>
      <c r="S512" s="58" t="s">
        <v>1659</v>
      </c>
      <c r="T512" s="58" t="s">
        <v>279</v>
      </c>
    </row>
    <row r="513" spans="1:20" ht="31.2">
      <c r="A513" s="58" t="s">
        <v>82</v>
      </c>
      <c r="B513" s="58" t="s">
        <v>35</v>
      </c>
      <c r="C513" s="58">
        <v>36</v>
      </c>
      <c r="D513" s="58" t="s">
        <v>479</v>
      </c>
      <c r="E513" s="58" t="s">
        <v>1640</v>
      </c>
      <c r="F513" s="58" t="s">
        <v>273</v>
      </c>
      <c r="G513" s="58" t="s">
        <v>274</v>
      </c>
      <c r="H513" s="58" t="s">
        <v>274</v>
      </c>
      <c r="I513" s="58" t="s">
        <v>273</v>
      </c>
      <c r="J513" s="58"/>
      <c r="K513" s="58"/>
      <c r="L513" s="58" t="s">
        <v>604</v>
      </c>
      <c r="M513" s="58" t="s">
        <v>35</v>
      </c>
      <c r="N513" s="58">
        <v>3.0000000000000001E-3</v>
      </c>
      <c r="O513" s="58" t="s">
        <v>554</v>
      </c>
      <c r="P513" s="58" t="s">
        <v>95</v>
      </c>
      <c r="Q513" s="58" t="s">
        <v>96</v>
      </c>
      <c r="R513" s="58" t="s">
        <v>1660</v>
      </c>
      <c r="S513" s="58" t="s">
        <v>1661</v>
      </c>
      <c r="T513" s="58" t="s">
        <v>279</v>
      </c>
    </row>
    <row r="514" spans="1:20" ht="31.2">
      <c r="A514" s="58" t="s">
        <v>82</v>
      </c>
      <c r="B514" s="58" t="s">
        <v>35</v>
      </c>
      <c r="C514" s="58">
        <v>37</v>
      </c>
      <c r="D514" s="58" t="s">
        <v>479</v>
      </c>
      <c r="E514" s="58" t="s">
        <v>1640</v>
      </c>
      <c r="F514" s="58" t="s">
        <v>273</v>
      </c>
      <c r="G514" s="58" t="s">
        <v>273</v>
      </c>
      <c r="H514" s="58" t="s">
        <v>274</v>
      </c>
      <c r="I514" s="58" t="s">
        <v>273</v>
      </c>
      <c r="J514" s="58" t="s">
        <v>273</v>
      </c>
      <c r="K514" s="58"/>
      <c r="L514" s="58" t="s">
        <v>288</v>
      </c>
      <c r="M514" s="58" t="s">
        <v>35</v>
      </c>
      <c r="N514" s="58">
        <v>1.6E-2</v>
      </c>
      <c r="O514" s="58" t="s">
        <v>554</v>
      </c>
      <c r="P514" s="58" t="s">
        <v>95</v>
      </c>
      <c r="Q514" s="58" t="s">
        <v>96</v>
      </c>
      <c r="R514" s="58" t="s">
        <v>1662</v>
      </c>
      <c r="S514" s="58" t="s">
        <v>1663</v>
      </c>
      <c r="T514" s="58" t="s">
        <v>279</v>
      </c>
    </row>
    <row r="515" spans="1:20" ht="31.2">
      <c r="A515" s="58" t="s">
        <v>82</v>
      </c>
      <c r="B515" s="58" t="s">
        <v>35</v>
      </c>
      <c r="C515" s="58">
        <v>38</v>
      </c>
      <c r="D515" s="58" t="s">
        <v>338</v>
      </c>
      <c r="E515" s="58" t="s">
        <v>1664</v>
      </c>
      <c r="F515" s="58" t="s">
        <v>273</v>
      </c>
      <c r="G515" s="58" t="s">
        <v>273</v>
      </c>
      <c r="H515" s="58" t="s">
        <v>274</v>
      </c>
      <c r="I515" s="58" t="s">
        <v>274</v>
      </c>
      <c r="J515" s="58"/>
      <c r="K515" s="58"/>
      <c r="L515" s="58" t="s">
        <v>288</v>
      </c>
      <c r="M515" s="58" t="s">
        <v>35</v>
      </c>
      <c r="N515" s="58">
        <v>0.186</v>
      </c>
      <c r="O515" s="58" t="s">
        <v>1448</v>
      </c>
      <c r="P515" s="58" t="s">
        <v>95</v>
      </c>
      <c r="Q515" s="58" t="s">
        <v>96</v>
      </c>
      <c r="R515" s="58" t="s">
        <v>1665</v>
      </c>
      <c r="S515" s="58" t="s">
        <v>1666</v>
      </c>
      <c r="T515" s="58" t="s">
        <v>279</v>
      </c>
    </row>
    <row r="516" spans="1:20" ht="31.2">
      <c r="A516" s="58" t="s">
        <v>82</v>
      </c>
      <c r="B516" s="58" t="s">
        <v>35</v>
      </c>
      <c r="C516" s="58">
        <v>39</v>
      </c>
      <c r="D516" s="58" t="s">
        <v>333</v>
      </c>
      <c r="E516" s="58" t="s">
        <v>1640</v>
      </c>
      <c r="F516" s="58" t="s">
        <v>273</v>
      </c>
      <c r="G516" s="58" t="s">
        <v>273</v>
      </c>
      <c r="H516" s="58" t="s">
        <v>274</v>
      </c>
      <c r="I516" s="58" t="s">
        <v>274</v>
      </c>
      <c r="J516" s="58"/>
      <c r="K516" s="58" t="s">
        <v>274</v>
      </c>
      <c r="L516" s="58" t="s">
        <v>288</v>
      </c>
      <c r="M516" s="58" t="s">
        <v>35</v>
      </c>
      <c r="N516" s="58">
        <v>1.4E-2</v>
      </c>
      <c r="O516" s="58" t="s">
        <v>335</v>
      </c>
      <c r="P516" s="58" t="s">
        <v>95</v>
      </c>
      <c r="Q516" s="58" t="s">
        <v>96</v>
      </c>
      <c r="R516" s="58" t="s">
        <v>1667</v>
      </c>
      <c r="S516" s="58" t="s">
        <v>1668</v>
      </c>
      <c r="T516" s="58" t="s">
        <v>279</v>
      </c>
    </row>
    <row r="517" spans="1:20" ht="31.2">
      <c r="A517" s="58" t="s">
        <v>82</v>
      </c>
      <c r="B517" s="58" t="s">
        <v>35</v>
      </c>
      <c r="C517" s="58">
        <v>40</v>
      </c>
      <c r="D517" s="58" t="s">
        <v>479</v>
      </c>
      <c r="E517" s="58" t="s">
        <v>1640</v>
      </c>
      <c r="F517" s="58" t="s">
        <v>273</v>
      </c>
      <c r="G517" s="58" t="s">
        <v>273</v>
      </c>
      <c r="H517" s="58" t="s">
        <v>274</v>
      </c>
      <c r="I517" s="58" t="s">
        <v>273</v>
      </c>
      <c r="J517" s="58" t="s">
        <v>273</v>
      </c>
      <c r="K517" s="58"/>
      <c r="L517" s="58" t="s">
        <v>288</v>
      </c>
      <c r="M517" s="58" t="s">
        <v>35</v>
      </c>
      <c r="N517" s="58">
        <v>2.1999999999999999E-2</v>
      </c>
      <c r="O517" s="58" t="s">
        <v>554</v>
      </c>
      <c r="P517" s="58" t="s">
        <v>95</v>
      </c>
      <c r="Q517" s="58" t="s">
        <v>96</v>
      </c>
      <c r="R517" s="58" t="s">
        <v>1669</v>
      </c>
      <c r="S517" s="58" t="s">
        <v>1670</v>
      </c>
      <c r="T517" s="58" t="s">
        <v>279</v>
      </c>
    </row>
    <row r="518" spans="1:20" ht="31.2">
      <c r="A518" s="58" t="s">
        <v>82</v>
      </c>
      <c r="B518" s="58" t="s">
        <v>35</v>
      </c>
      <c r="C518" s="58">
        <v>41</v>
      </c>
      <c r="D518" s="58" t="s">
        <v>361</v>
      </c>
      <c r="E518" s="58" t="s">
        <v>1671</v>
      </c>
      <c r="F518" s="58" t="s">
        <v>273</v>
      </c>
      <c r="G518" s="58" t="s">
        <v>273</v>
      </c>
      <c r="H518" s="58" t="s">
        <v>274</v>
      </c>
      <c r="I518" s="58" t="s">
        <v>274</v>
      </c>
      <c r="J518" s="58"/>
      <c r="K518" s="58"/>
      <c r="L518" s="58" t="s">
        <v>288</v>
      </c>
      <c r="M518" s="58" t="s">
        <v>35</v>
      </c>
      <c r="N518" s="58">
        <v>2.1219999999999999</v>
      </c>
      <c r="O518" s="58" t="s">
        <v>494</v>
      </c>
      <c r="P518" s="58" t="s">
        <v>95</v>
      </c>
      <c r="Q518" s="58" t="s">
        <v>96</v>
      </c>
      <c r="R518" s="58" t="s">
        <v>1672</v>
      </c>
      <c r="S518" s="58" t="s">
        <v>1673</v>
      </c>
      <c r="T518" s="58" t="s">
        <v>279</v>
      </c>
    </row>
    <row r="519" spans="1:20" ht="31.2">
      <c r="A519" s="58" t="s">
        <v>82</v>
      </c>
      <c r="B519" s="58" t="s">
        <v>35</v>
      </c>
      <c r="C519" s="58">
        <v>42</v>
      </c>
      <c r="D519" s="58" t="s">
        <v>378</v>
      </c>
      <c r="E519" s="58" t="s">
        <v>1674</v>
      </c>
      <c r="F519" s="58" t="s">
        <v>273</v>
      </c>
      <c r="G519" s="58" t="s">
        <v>273</v>
      </c>
      <c r="H519" s="58" t="s">
        <v>274</v>
      </c>
      <c r="I519" s="58" t="s">
        <v>274</v>
      </c>
      <c r="J519" s="58"/>
      <c r="K519" s="58"/>
      <c r="L519" s="58" t="s">
        <v>288</v>
      </c>
      <c r="M519" s="58" t="s">
        <v>35</v>
      </c>
      <c r="N519" s="58">
        <v>2.1000000000000001E-2</v>
      </c>
      <c r="O519" s="58" t="s">
        <v>380</v>
      </c>
      <c r="P519" s="58" t="s">
        <v>95</v>
      </c>
      <c r="Q519" s="58" t="s">
        <v>96</v>
      </c>
      <c r="R519" s="58" t="s">
        <v>1675</v>
      </c>
      <c r="S519" s="58" t="s">
        <v>1676</v>
      </c>
      <c r="T519" s="58" t="s">
        <v>279</v>
      </c>
    </row>
    <row r="520" spans="1:20" ht="31.2">
      <c r="A520" s="58" t="s">
        <v>82</v>
      </c>
      <c r="B520" s="58" t="s">
        <v>35</v>
      </c>
      <c r="C520" s="58">
        <v>43</v>
      </c>
      <c r="D520" s="58" t="s">
        <v>378</v>
      </c>
      <c r="E520" s="58" t="s">
        <v>1677</v>
      </c>
      <c r="F520" s="58" t="s">
        <v>273</v>
      </c>
      <c r="G520" s="58" t="s">
        <v>273</v>
      </c>
      <c r="H520" s="58" t="s">
        <v>274</v>
      </c>
      <c r="I520" s="58" t="s">
        <v>274</v>
      </c>
      <c r="J520" s="58"/>
      <c r="K520" s="58"/>
      <c r="L520" s="58" t="s">
        <v>288</v>
      </c>
      <c r="M520" s="58" t="s">
        <v>35</v>
      </c>
      <c r="N520" s="58">
        <v>1.6E-2</v>
      </c>
      <c r="O520" s="58" t="s">
        <v>380</v>
      </c>
      <c r="P520" s="58" t="s">
        <v>95</v>
      </c>
      <c r="Q520" s="58" t="s">
        <v>96</v>
      </c>
      <c r="R520" s="58" t="s">
        <v>1678</v>
      </c>
      <c r="S520" s="58" t="s">
        <v>1679</v>
      </c>
      <c r="T520" s="58" t="s">
        <v>279</v>
      </c>
    </row>
    <row r="521" spans="1:20" ht="31.2">
      <c r="A521" s="58" t="s">
        <v>82</v>
      </c>
      <c r="B521" s="58" t="s">
        <v>35</v>
      </c>
      <c r="C521" s="58">
        <v>44</v>
      </c>
      <c r="D521" s="58" t="s">
        <v>361</v>
      </c>
      <c r="E521" s="58" t="s">
        <v>1680</v>
      </c>
      <c r="F521" s="58" t="s">
        <v>273</v>
      </c>
      <c r="G521" s="58" t="s">
        <v>273</v>
      </c>
      <c r="H521" s="58" t="s">
        <v>274</v>
      </c>
      <c r="I521" s="58" t="s">
        <v>274</v>
      </c>
      <c r="J521" s="58"/>
      <c r="K521" s="58"/>
      <c r="L521" s="58" t="s">
        <v>288</v>
      </c>
      <c r="M521" s="58" t="s">
        <v>35</v>
      </c>
      <c r="N521" s="58">
        <v>7.8230000000000004</v>
      </c>
      <c r="O521" s="58" t="s">
        <v>494</v>
      </c>
      <c r="P521" s="58" t="s">
        <v>95</v>
      </c>
      <c r="Q521" s="58" t="s">
        <v>96</v>
      </c>
      <c r="R521" s="58" t="s">
        <v>1681</v>
      </c>
      <c r="S521" s="58" t="s">
        <v>1682</v>
      </c>
      <c r="T521" s="58" t="s">
        <v>279</v>
      </c>
    </row>
    <row r="522" spans="1:20" ht="31.2">
      <c r="A522" s="58" t="s">
        <v>82</v>
      </c>
      <c r="B522" s="58" t="s">
        <v>35</v>
      </c>
      <c r="C522" s="58">
        <v>45</v>
      </c>
      <c r="D522" s="58" t="s">
        <v>361</v>
      </c>
      <c r="E522" s="58" t="s">
        <v>1683</v>
      </c>
      <c r="F522" s="58" t="s">
        <v>273</v>
      </c>
      <c r="G522" s="58" t="s">
        <v>273</v>
      </c>
      <c r="H522" s="58" t="s">
        <v>274</v>
      </c>
      <c r="I522" s="58" t="s">
        <v>274</v>
      </c>
      <c r="J522" s="58"/>
      <c r="K522" s="58"/>
      <c r="L522" s="58" t="s">
        <v>288</v>
      </c>
      <c r="M522" s="58" t="s">
        <v>35</v>
      </c>
      <c r="N522" s="58">
        <v>7.3550000000000004</v>
      </c>
      <c r="O522" s="58" t="s">
        <v>1684</v>
      </c>
      <c r="P522" s="58" t="s">
        <v>95</v>
      </c>
      <c r="Q522" s="58" t="s">
        <v>96</v>
      </c>
      <c r="R522" s="58" t="s">
        <v>1685</v>
      </c>
      <c r="S522" s="58" t="s">
        <v>1686</v>
      </c>
      <c r="T522" s="58" t="s">
        <v>279</v>
      </c>
    </row>
    <row r="523" spans="1:20" ht="31.2">
      <c r="A523" s="58" t="s">
        <v>82</v>
      </c>
      <c r="B523" s="58" t="s">
        <v>35</v>
      </c>
      <c r="C523" s="58">
        <v>46</v>
      </c>
      <c r="D523" s="58" t="s">
        <v>361</v>
      </c>
      <c r="E523" s="58" t="s">
        <v>1687</v>
      </c>
      <c r="F523" s="58" t="s">
        <v>273</v>
      </c>
      <c r="G523" s="58" t="s">
        <v>273</v>
      </c>
      <c r="H523" s="58" t="s">
        <v>274</v>
      </c>
      <c r="I523" s="58" t="s">
        <v>274</v>
      </c>
      <c r="J523" s="58"/>
      <c r="K523" s="58"/>
      <c r="L523" s="58" t="s">
        <v>288</v>
      </c>
      <c r="M523" s="58" t="s">
        <v>35</v>
      </c>
      <c r="N523" s="58">
        <v>7.5279999999999996</v>
      </c>
      <c r="O523" s="58" t="s">
        <v>1684</v>
      </c>
      <c r="P523" s="58" t="s">
        <v>95</v>
      </c>
      <c r="Q523" s="58" t="s">
        <v>96</v>
      </c>
      <c r="R523" s="58" t="s">
        <v>1688</v>
      </c>
      <c r="S523" s="58" t="s">
        <v>1689</v>
      </c>
      <c r="T523" s="58" t="s">
        <v>279</v>
      </c>
    </row>
    <row r="524" spans="1:20" ht="31.2">
      <c r="A524" s="58" t="s">
        <v>82</v>
      </c>
      <c r="B524" s="58" t="s">
        <v>35</v>
      </c>
      <c r="C524" s="58">
        <v>47</v>
      </c>
      <c r="D524" s="58" t="s">
        <v>479</v>
      </c>
      <c r="E524" s="58" t="s">
        <v>1640</v>
      </c>
      <c r="F524" s="58" t="s">
        <v>273</v>
      </c>
      <c r="G524" s="58" t="s">
        <v>273</v>
      </c>
      <c r="H524" s="58" t="s">
        <v>274</v>
      </c>
      <c r="I524" s="58" t="s">
        <v>273</v>
      </c>
      <c r="J524" s="58" t="s">
        <v>273</v>
      </c>
      <c r="K524" s="58"/>
      <c r="L524" s="58" t="s">
        <v>288</v>
      </c>
      <c r="M524" s="58" t="s">
        <v>35</v>
      </c>
      <c r="N524" s="58">
        <v>0.02</v>
      </c>
      <c r="O524" s="58" t="s">
        <v>554</v>
      </c>
      <c r="P524" s="58" t="s">
        <v>95</v>
      </c>
      <c r="Q524" s="58" t="s">
        <v>96</v>
      </c>
      <c r="R524" s="58" t="s">
        <v>1690</v>
      </c>
      <c r="S524" s="58" t="s">
        <v>1691</v>
      </c>
      <c r="T524" s="58" t="s">
        <v>279</v>
      </c>
    </row>
    <row r="525" spans="1:20" ht="31.2">
      <c r="A525" s="58" t="s">
        <v>82</v>
      </c>
      <c r="B525" s="58" t="s">
        <v>35</v>
      </c>
      <c r="C525" s="58">
        <v>48</v>
      </c>
      <c r="D525" s="58" t="s">
        <v>479</v>
      </c>
      <c r="E525" s="58" t="s">
        <v>1674</v>
      </c>
      <c r="F525" s="58" t="s">
        <v>273</v>
      </c>
      <c r="G525" s="58" t="s">
        <v>273</v>
      </c>
      <c r="H525" s="58" t="s">
        <v>274</v>
      </c>
      <c r="I525" s="58" t="s">
        <v>273</v>
      </c>
      <c r="J525" s="58" t="s">
        <v>273</v>
      </c>
      <c r="K525" s="58"/>
      <c r="L525" s="58" t="s">
        <v>288</v>
      </c>
      <c r="M525" s="58" t="s">
        <v>35</v>
      </c>
      <c r="N525" s="58">
        <v>3.5000000000000003E-2</v>
      </c>
      <c r="O525" s="58" t="s">
        <v>554</v>
      </c>
      <c r="P525" s="58" t="s">
        <v>95</v>
      </c>
      <c r="Q525" s="58" t="s">
        <v>96</v>
      </c>
      <c r="R525" s="58" t="s">
        <v>1692</v>
      </c>
      <c r="S525" s="58" t="s">
        <v>1693</v>
      </c>
      <c r="T525" s="58" t="s">
        <v>279</v>
      </c>
    </row>
    <row r="526" spans="1:20" ht="31.2">
      <c r="A526" s="58" t="s">
        <v>82</v>
      </c>
      <c r="B526" s="58" t="s">
        <v>35</v>
      </c>
      <c r="C526" s="58">
        <v>49</v>
      </c>
      <c r="D526" s="58" t="s">
        <v>361</v>
      </c>
      <c r="E526" s="58" t="s">
        <v>1694</v>
      </c>
      <c r="F526" s="58" t="s">
        <v>273</v>
      </c>
      <c r="G526" s="58" t="s">
        <v>273</v>
      </c>
      <c r="H526" s="58" t="s">
        <v>274</v>
      </c>
      <c r="I526" s="58" t="s">
        <v>274</v>
      </c>
      <c r="J526" s="58"/>
      <c r="K526" s="58"/>
      <c r="L526" s="58" t="s">
        <v>288</v>
      </c>
      <c r="M526" s="58" t="s">
        <v>35</v>
      </c>
      <c r="N526" s="58">
        <v>3.5630000000000002</v>
      </c>
      <c r="O526" s="58" t="s">
        <v>494</v>
      </c>
      <c r="P526" s="58" t="s">
        <v>95</v>
      </c>
      <c r="Q526" s="58" t="s">
        <v>96</v>
      </c>
      <c r="R526" s="58" t="s">
        <v>1695</v>
      </c>
      <c r="S526" s="58" t="s">
        <v>1696</v>
      </c>
      <c r="T526" s="58" t="s">
        <v>279</v>
      </c>
    </row>
    <row r="527" spans="1:20" ht="31.2">
      <c r="A527" s="58" t="s">
        <v>82</v>
      </c>
      <c r="B527" s="58" t="s">
        <v>35</v>
      </c>
      <c r="C527" s="58">
        <v>50</v>
      </c>
      <c r="D527" s="58" t="s">
        <v>361</v>
      </c>
      <c r="E527" s="58" t="s">
        <v>1697</v>
      </c>
      <c r="F527" s="58" t="s">
        <v>273</v>
      </c>
      <c r="G527" s="58" t="s">
        <v>273</v>
      </c>
      <c r="H527" s="58" t="s">
        <v>274</v>
      </c>
      <c r="I527" s="58" t="s">
        <v>274</v>
      </c>
      <c r="J527" s="58"/>
      <c r="K527" s="58"/>
      <c r="L527" s="58" t="s">
        <v>288</v>
      </c>
      <c r="M527" s="58" t="s">
        <v>35</v>
      </c>
      <c r="N527" s="58">
        <v>0.78200000000000003</v>
      </c>
      <c r="O527" s="58" t="s">
        <v>494</v>
      </c>
      <c r="P527" s="58" t="s">
        <v>95</v>
      </c>
      <c r="Q527" s="58" t="s">
        <v>96</v>
      </c>
      <c r="R527" s="58" t="s">
        <v>1698</v>
      </c>
      <c r="S527" s="58" t="s">
        <v>1699</v>
      </c>
      <c r="T527" s="58" t="s">
        <v>279</v>
      </c>
    </row>
    <row r="528" spans="1:20" ht="31.2">
      <c r="A528" s="58" t="s">
        <v>82</v>
      </c>
      <c r="B528" s="58" t="s">
        <v>35</v>
      </c>
      <c r="C528" s="58">
        <v>51</v>
      </c>
      <c r="D528" s="58" t="s">
        <v>521</v>
      </c>
      <c r="E528" s="58" t="s">
        <v>660</v>
      </c>
      <c r="F528" s="58" t="s">
        <v>273</v>
      </c>
      <c r="G528" s="58" t="s">
        <v>273</v>
      </c>
      <c r="H528" s="58" t="s">
        <v>274</v>
      </c>
      <c r="I528" s="58" t="s">
        <v>274</v>
      </c>
      <c r="J528" s="58"/>
      <c r="K528" s="58"/>
      <c r="L528" s="58" t="s">
        <v>351</v>
      </c>
      <c r="M528" s="58" t="s">
        <v>35</v>
      </c>
      <c r="N528" s="58">
        <v>1.2E-2</v>
      </c>
      <c r="O528" s="58" t="s">
        <v>539</v>
      </c>
      <c r="P528" s="58" t="s">
        <v>95</v>
      </c>
      <c r="Q528" s="58" t="s">
        <v>96</v>
      </c>
      <c r="R528" s="58" t="s">
        <v>1700</v>
      </c>
      <c r="S528" s="58" t="s">
        <v>1701</v>
      </c>
      <c r="T528" s="58" t="s">
        <v>279</v>
      </c>
    </row>
    <row r="529" spans="1:20" ht="31.2">
      <c r="A529" s="58" t="s">
        <v>98</v>
      </c>
      <c r="B529" s="58" t="s">
        <v>35</v>
      </c>
      <c r="C529" s="58">
        <v>1</v>
      </c>
      <c r="D529" s="58" t="s">
        <v>333</v>
      </c>
      <c r="E529" s="58" t="s">
        <v>1702</v>
      </c>
      <c r="F529" s="58" t="s">
        <v>273</v>
      </c>
      <c r="G529" s="58" t="s">
        <v>273</v>
      </c>
      <c r="H529" s="58" t="s">
        <v>274</v>
      </c>
      <c r="I529" s="58" t="s">
        <v>274</v>
      </c>
      <c r="J529" s="58"/>
      <c r="K529" s="58"/>
      <c r="L529" s="58" t="s">
        <v>351</v>
      </c>
      <c r="M529" s="58" t="s">
        <v>35</v>
      </c>
      <c r="N529" s="58">
        <v>2.1999999999999999E-2</v>
      </c>
      <c r="O529" s="58" t="s">
        <v>335</v>
      </c>
      <c r="P529" s="58" t="s">
        <v>103</v>
      </c>
      <c r="Q529" s="58" t="s">
        <v>104</v>
      </c>
      <c r="R529" s="58" t="s">
        <v>1703</v>
      </c>
      <c r="S529" s="58" t="s">
        <v>1704</v>
      </c>
      <c r="T529" s="58" t="s">
        <v>279</v>
      </c>
    </row>
    <row r="530" spans="1:20" ht="31.2">
      <c r="A530" s="58" t="s">
        <v>98</v>
      </c>
      <c r="B530" s="58" t="s">
        <v>35</v>
      </c>
      <c r="C530" s="58">
        <v>2</v>
      </c>
      <c r="D530" s="58" t="s">
        <v>521</v>
      </c>
      <c r="E530" s="58" t="s">
        <v>1705</v>
      </c>
      <c r="F530" s="58" t="s">
        <v>273</v>
      </c>
      <c r="G530" s="58" t="s">
        <v>273</v>
      </c>
      <c r="H530" s="58" t="s">
        <v>274</v>
      </c>
      <c r="I530" s="58" t="s">
        <v>274</v>
      </c>
      <c r="J530" s="58"/>
      <c r="K530" s="58"/>
      <c r="L530" s="58" t="s">
        <v>351</v>
      </c>
      <c r="M530" s="58" t="s">
        <v>35</v>
      </c>
      <c r="N530" s="58">
        <v>6.0999999999999999E-2</v>
      </c>
      <c r="O530" s="58" t="s">
        <v>523</v>
      </c>
      <c r="P530" s="58" t="s">
        <v>103</v>
      </c>
      <c r="Q530" s="58" t="s">
        <v>104</v>
      </c>
      <c r="R530" s="58" t="s">
        <v>1706</v>
      </c>
      <c r="S530" s="58" t="s">
        <v>1707</v>
      </c>
      <c r="T530" s="58" t="s">
        <v>279</v>
      </c>
    </row>
    <row r="531" spans="1:20" ht="31.2">
      <c r="A531" s="58" t="s">
        <v>98</v>
      </c>
      <c r="B531" s="58" t="s">
        <v>35</v>
      </c>
      <c r="C531" s="58">
        <v>3</v>
      </c>
      <c r="D531" s="58" t="s">
        <v>521</v>
      </c>
      <c r="E531" s="58" t="s">
        <v>1708</v>
      </c>
      <c r="F531" s="58" t="s">
        <v>273</v>
      </c>
      <c r="G531" s="58" t="s">
        <v>273</v>
      </c>
      <c r="H531" s="58" t="s">
        <v>274</v>
      </c>
      <c r="I531" s="58" t="s">
        <v>274</v>
      </c>
      <c r="J531" s="58"/>
      <c r="K531" s="58"/>
      <c r="L531" s="58" t="s">
        <v>351</v>
      </c>
      <c r="M531" s="58" t="s">
        <v>35</v>
      </c>
      <c r="N531" s="58">
        <v>0.01</v>
      </c>
      <c r="O531" s="58" t="s">
        <v>523</v>
      </c>
      <c r="P531" s="58" t="s">
        <v>103</v>
      </c>
      <c r="Q531" s="58" t="s">
        <v>104</v>
      </c>
      <c r="R531" s="58" t="s">
        <v>1709</v>
      </c>
      <c r="S531" s="58" t="s">
        <v>1710</v>
      </c>
      <c r="T531" s="58" t="s">
        <v>279</v>
      </c>
    </row>
    <row r="532" spans="1:20" ht="31.2">
      <c r="A532" s="58" t="s">
        <v>98</v>
      </c>
      <c r="B532" s="58" t="s">
        <v>35</v>
      </c>
      <c r="C532" s="58">
        <v>4</v>
      </c>
      <c r="D532" s="58" t="s">
        <v>521</v>
      </c>
      <c r="E532" s="58" t="s">
        <v>1711</v>
      </c>
      <c r="F532" s="58" t="s">
        <v>273</v>
      </c>
      <c r="G532" s="58" t="s">
        <v>273</v>
      </c>
      <c r="H532" s="58" t="s">
        <v>274</v>
      </c>
      <c r="I532" s="58" t="s">
        <v>274</v>
      </c>
      <c r="J532" s="58"/>
      <c r="K532" s="58"/>
      <c r="L532" s="58" t="s">
        <v>351</v>
      </c>
      <c r="M532" s="58" t="s">
        <v>35</v>
      </c>
      <c r="N532" s="58">
        <v>0.01</v>
      </c>
      <c r="O532" s="58" t="s">
        <v>523</v>
      </c>
      <c r="P532" s="58" t="s">
        <v>103</v>
      </c>
      <c r="Q532" s="58" t="s">
        <v>104</v>
      </c>
      <c r="R532" s="58" t="s">
        <v>1712</v>
      </c>
      <c r="S532" s="58" t="s">
        <v>1713</v>
      </c>
      <c r="T532" s="58" t="s">
        <v>279</v>
      </c>
    </row>
    <row r="533" spans="1:20" ht="31.2">
      <c r="A533" s="58" t="s">
        <v>98</v>
      </c>
      <c r="B533" s="58" t="s">
        <v>35</v>
      </c>
      <c r="C533" s="58">
        <v>5</v>
      </c>
      <c r="D533" s="58" t="s">
        <v>521</v>
      </c>
      <c r="E533" s="58" t="s">
        <v>1714</v>
      </c>
      <c r="F533" s="58" t="s">
        <v>273</v>
      </c>
      <c r="G533" s="58" t="s">
        <v>273</v>
      </c>
      <c r="H533" s="58" t="s">
        <v>274</v>
      </c>
      <c r="I533" s="58" t="s">
        <v>274</v>
      </c>
      <c r="J533" s="58"/>
      <c r="K533" s="58"/>
      <c r="L533" s="58" t="s">
        <v>351</v>
      </c>
      <c r="M533" s="58" t="s">
        <v>35</v>
      </c>
      <c r="N533" s="58">
        <v>0.115</v>
      </c>
      <c r="O533" s="58" t="s">
        <v>523</v>
      </c>
      <c r="P533" s="58" t="s">
        <v>103</v>
      </c>
      <c r="Q533" s="58" t="s">
        <v>104</v>
      </c>
      <c r="R533" s="58" t="s">
        <v>1715</v>
      </c>
      <c r="S533" s="58" t="s">
        <v>1716</v>
      </c>
      <c r="T533" s="58" t="s">
        <v>279</v>
      </c>
    </row>
    <row r="534" spans="1:20" ht="46.8">
      <c r="A534" s="58" t="s">
        <v>98</v>
      </c>
      <c r="B534" s="58" t="s">
        <v>35</v>
      </c>
      <c r="C534" s="58">
        <v>6</v>
      </c>
      <c r="D534" s="58" t="s">
        <v>521</v>
      </c>
      <c r="E534" s="58" t="s">
        <v>1717</v>
      </c>
      <c r="F534" s="58" t="s">
        <v>273</v>
      </c>
      <c r="G534" s="58" t="s">
        <v>273</v>
      </c>
      <c r="H534" s="58" t="s">
        <v>274</v>
      </c>
      <c r="I534" s="58" t="s">
        <v>274</v>
      </c>
      <c r="J534" s="58"/>
      <c r="K534" s="58"/>
      <c r="L534" s="58" t="s">
        <v>351</v>
      </c>
      <c r="M534" s="58" t="s">
        <v>35</v>
      </c>
      <c r="N534" s="58">
        <v>5.8000000000000003E-2</v>
      </c>
      <c r="O534" s="58" t="s">
        <v>523</v>
      </c>
      <c r="P534" s="58" t="s">
        <v>103</v>
      </c>
      <c r="Q534" s="58" t="s">
        <v>104</v>
      </c>
      <c r="R534" s="58" t="s">
        <v>1718</v>
      </c>
      <c r="S534" s="58" t="s">
        <v>1719</v>
      </c>
      <c r="T534" s="58" t="s">
        <v>279</v>
      </c>
    </row>
    <row r="535" spans="1:20" ht="31.2">
      <c r="A535" s="58" t="s">
        <v>98</v>
      </c>
      <c r="B535" s="58" t="s">
        <v>35</v>
      </c>
      <c r="C535" s="58">
        <v>7</v>
      </c>
      <c r="D535" s="58" t="s">
        <v>521</v>
      </c>
      <c r="E535" s="58" t="s">
        <v>538</v>
      </c>
      <c r="F535" s="58" t="s">
        <v>273</v>
      </c>
      <c r="G535" s="58" t="s">
        <v>273</v>
      </c>
      <c r="H535" s="58" t="s">
        <v>274</v>
      </c>
      <c r="I535" s="58" t="s">
        <v>274</v>
      </c>
      <c r="J535" s="58"/>
      <c r="K535" s="58"/>
      <c r="L535" s="58" t="s">
        <v>351</v>
      </c>
      <c r="M535" s="58" t="s">
        <v>35</v>
      </c>
      <c r="N535" s="58">
        <v>1.2999999999999999E-2</v>
      </c>
      <c r="O535" s="58" t="s">
        <v>539</v>
      </c>
      <c r="P535" s="58" t="s">
        <v>103</v>
      </c>
      <c r="Q535" s="58" t="s">
        <v>104</v>
      </c>
      <c r="R535" s="58" t="s">
        <v>1720</v>
      </c>
      <c r="S535" s="58" t="s">
        <v>1721</v>
      </c>
      <c r="T535" s="58" t="s">
        <v>279</v>
      </c>
    </row>
    <row r="536" spans="1:20" ht="31.2">
      <c r="A536" s="58" t="s">
        <v>98</v>
      </c>
      <c r="B536" s="58" t="s">
        <v>35</v>
      </c>
      <c r="C536" s="58">
        <v>8</v>
      </c>
      <c r="D536" s="58" t="s">
        <v>361</v>
      </c>
      <c r="E536" s="58" t="s">
        <v>1722</v>
      </c>
      <c r="F536" s="58" t="s">
        <v>273</v>
      </c>
      <c r="G536" s="58" t="s">
        <v>273</v>
      </c>
      <c r="H536" s="58" t="s">
        <v>274</v>
      </c>
      <c r="I536" s="58" t="s">
        <v>274</v>
      </c>
      <c r="J536" s="58"/>
      <c r="K536" s="58"/>
      <c r="L536" s="58" t="s">
        <v>351</v>
      </c>
      <c r="M536" s="58" t="s">
        <v>35</v>
      </c>
      <c r="N536" s="58">
        <v>1.7749999999999999</v>
      </c>
      <c r="O536" s="58" t="s">
        <v>494</v>
      </c>
      <c r="P536" s="58" t="s">
        <v>103</v>
      </c>
      <c r="Q536" s="58" t="s">
        <v>104</v>
      </c>
      <c r="R536" s="58" t="s">
        <v>1723</v>
      </c>
      <c r="S536" s="58" t="s">
        <v>1724</v>
      </c>
      <c r="T536" s="58" t="s">
        <v>279</v>
      </c>
    </row>
    <row r="537" spans="1:20" ht="31.2">
      <c r="A537" s="58" t="s">
        <v>98</v>
      </c>
      <c r="B537" s="58" t="s">
        <v>35</v>
      </c>
      <c r="C537" s="58">
        <v>9</v>
      </c>
      <c r="D537" s="58" t="s">
        <v>333</v>
      </c>
      <c r="E537" s="58" t="s">
        <v>355</v>
      </c>
      <c r="F537" s="58" t="s">
        <v>273</v>
      </c>
      <c r="G537" s="58" t="s">
        <v>273</v>
      </c>
      <c r="H537" s="58" t="s">
        <v>274</v>
      </c>
      <c r="I537" s="58" t="s">
        <v>274</v>
      </c>
      <c r="J537" s="58"/>
      <c r="K537" s="58" t="s">
        <v>274</v>
      </c>
      <c r="L537" s="58" t="s">
        <v>275</v>
      </c>
      <c r="M537" s="58" t="s">
        <v>35</v>
      </c>
      <c r="N537" s="58">
        <v>1.0999999999999999E-2</v>
      </c>
      <c r="O537" s="58" t="s">
        <v>335</v>
      </c>
      <c r="P537" s="58" t="s">
        <v>103</v>
      </c>
      <c r="Q537" s="58" t="s">
        <v>104</v>
      </c>
      <c r="R537" s="58" t="s">
        <v>1725</v>
      </c>
      <c r="S537" s="58" t="s">
        <v>1726</v>
      </c>
      <c r="T537" s="58" t="s">
        <v>279</v>
      </c>
    </row>
    <row r="538" spans="1:20" ht="31.2">
      <c r="A538" s="58" t="s">
        <v>98</v>
      </c>
      <c r="B538" s="58" t="s">
        <v>35</v>
      </c>
      <c r="C538" s="58">
        <v>10</v>
      </c>
      <c r="D538" s="58" t="s">
        <v>333</v>
      </c>
      <c r="E538" s="58" t="s">
        <v>355</v>
      </c>
      <c r="F538" s="58" t="s">
        <v>273</v>
      </c>
      <c r="G538" s="58" t="s">
        <v>273</v>
      </c>
      <c r="H538" s="58" t="s">
        <v>274</v>
      </c>
      <c r="I538" s="58" t="s">
        <v>274</v>
      </c>
      <c r="J538" s="58"/>
      <c r="K538" s="58" t="s">
        <v>273</v>
      </c>
      <c r="L538" s="58" t="s">
        <v>604</v>
      </c>
      <c r="M538" s="58" t="s">
        <v>35</v>
      </c>
      <c r="N538" s="58">
        <v>1.2999999999999999E-2</v>
      </c>
      <c r="O538" s="58" t="s">
        <v>335</v>
      </c>
      <c r="P538" s="58" t="s">
        <v>103</v>
      </c>
      <c r="Q538" s="58" t="s">
        <v>104</v>
      </c>
      <c r="R538" s="58" t="s">
        <v>1727</v>
      </c>
      <c r="S538" s="58" t="s">
        <v>1728</v>
      </c>
      <c r="T538" s="58" t="s">
        <v>279</v>
      </c>
    </row>
    <row r="539" spans="1:20" ht="31.2">
      <c r="A539" s="58" t="s">
        <v>98</v>
      </c>
      <c r="B539" s="58" t="s">
        <v>35</v>
      </c>
      <c r="C539" s="58">
        <v>11</v>
      </c>
      <c r="D539" s="58" t="s">
        <v>333</v>
      </c>
      <c r="E539" s="58" t="s">
        <v>355</v>
      </c>
      <c r="F539" s="58" t="s">
        <v>273</v>
      </c>
      <c r="G539" s="58" t="s">
        <v>273</v>
      </c>
      <c r="H539" s="58" t="s">
        <v>274</v>
      </c>
      <c r="I539" s="58" t="s">
        <v>274</v>
      </c>
      <c r="J539" s="58"/>
      <c r="K539" s="58" t="s">
        <v>273</v>
      </c>
      <c r="L539" s="58" t="s">
        <v>604</v>
      </c>
      <c r="M539" s="58" t="s">
        <v>35</v>
      </c>
      <c r="N539" s="58">
        <v>8.9999999999999993E-3</v>
      </c>
      <c r="O539" s="58" t="s">
        <v>335</v>
      </c>
      <c r="P539" s="58" t="s">
        <v>103</v>
      </c>
      <c r="Q539" s="58" t="s">
        <v>104</v>
      </c>
      <c r="R539" s="58" t="s">
        <v>1729</v>
      </c>
      <c r="S539" s="58" t="s">
        <v>1730</v>
      </c>
      <c r="T539" s="58" t="s">
        <v>279</v>
      </c>
    </row>
    <row r="540" spans="1:20" ht="31.2">
      <c r="A540" s="58" t="s">
        <v>98</v>
      </c>
      <c r="B540" s="58" t="s">
        <v>35</v>
      </c>
      <c r="C540" s="58">
        <v>12</v>
      </c>
      <c r="D540" s="58" t="s">
        <v>333</v>
      </c>
      <c r="E540" s="58" t="s">
        <v>355</v>
      </c>
      <c r="F540" s="58" t="s">
        <v>273</v>
      </c>
      <c r="G540" s="58" t="s">
        <v>273</v>
      </c>
      <c r="H540" s="58" t="s">
        <v>274</v>
      </c>
      <c r="I540" s="58" t="s">
        <v>274</v>
      </c>
      <c r="J540" s="58"/>
      <c r="K540" s="58" t="s">
        <v>273</v>
      </c>
      <c r="L540" s="58" t="s">
        <v>604</v>
      </c>
      <c r="M540" s="58" t="s">
        <v>35</v>
      </c>
      <c r="N540" s="58">
        <v>0.01</v>
      </c>
      <c r="O540" s="58" t="s">
        <v>335</v>
      </c>
      <c r="P540" s="58" t="s">
        <v>103</v>
      </c>
      <c r="Q540" s="58" t="s">
        <v>104</v>
      </c>
      <c r="R540" s="58" t="s">
        <v>1731</v>
      </c>
      <c r="S540" s="58" t="s">
        <v>1732</v>
      </c>
      <c r="T540" s="58" t="s">
        <v>279</v>
      </c>
    </row>
    <row r="541" spans="1:20" ht="31.2">
      <c r="A541" s="58" t="s">
        <v>98</v>
      </c>
      <c r="B541" s="58" t="s">
        <v>35</v>
      </c>
      <c r="C541" s="58">
        <v>13</v>
      </c>
      <c r="D541" s="58" t="s">
        <v>333</v>
      </c>
      <c r="E541" s="58" t="s">
        <v>355</v>
      </c>
      <c r="F541" s="58" t="s">
        <v>273</v>
      </c>
      <c r="G541" s="58" t="s">
        <v>273</v>
      </c>
      <c r="H541" s="58" t="s">
        <v>274</v>
      </c>
      <c r="I541" s="58" t="s">
        <v>274</v>
      </c>
      <c r="J541" s="58"/>
      <c r="K541" s="58" t="s">
        <v>273</v>
      </c>
      <c r="L541" s="58" t="s">
        <v>604</v>
      </c>
      <c r="M541" s="58" t="s">
        <v>35</v>
      </c>
      <c r="N541" s="58">
        <v>1.2E-2</v>
      </c>
      <c r="O541" s="58" t="s">
        <v>335</v>
      </c>
      <c r="P541" s="58" t="s">
        <v>103</v>
      </c>
      <c r="Q541" s="58" t="s">
        <v>104</v>
      </c>
      <c r="R541" s="58" t="s">
        <v>1733</v>
      </c>
      <c r="S541" s="58" t="s">
        <v>1734</v>
      </c>
      <c r="T541" s="58" t="s">
        <v>279</v>
      </c>
    </row>
    <row r="542" spans="1:20" ht="31.2">
      <c r="A542" s="58" t="s">
        <v>98</v>
      </c>
      <c r="B542" s="58" t="s">
        <v>35</v>
      </c>
      <c r="C542" s="58">
        <v>14</v>
      </c>
      <c r="D542" s="58" t="s">
        <v>333</v>
      </c>
      <c r="E542" s="58" t="s">
        <v>355</v>
      </c>
      <c r="F542" s="58" t="s">
        <v>273</v>
      </c>
      <c r="G542" s="58" t="s">
        <v>273</v>
      </c>
      <c r="H542" s="58" t="s">
        <v>274</v>
      </c>
      <c r="I542" s="58" t="s">
        <v>274</v>
      </c>
      <c r="J542" s="58"/>
      <c r="K542" s="58" t="s">
        <v>273</v>
      </c>
      <c r="L542" s="58" t="s">
        <v>604</v>
      </c>
      <c r="M542" s="58" t="s">
        <v>35</v>
      </c>
      <c r="N542" s="58">
        <v>8.0000000000000002E-3</v>
      </c>
      <c r="O542" s="58" t="s">
        <v>335</v>
      </c>
      <c r="P542" s="58" t="s">
        <v>103</v>
      </c>
      <c r="Q542" s="58" t="s">
        <v>104</v>
      </c>
      <c r="R542" s="58" t="s">
        <v>1735</v>
      </c>
      <c r="S542" s="58" t="s">
        <v>1736</v>
      </c>
      <c r="T542" s="58" t="s">
        <v>279</v>
      </c>
    </row>
    <row r="543" spans="1:20" ht="31.2">
      <c r="A543" s="58" t="s">
        <v>98</v>
      </c>
      <c r="B543" s="58" t="s">
        <v>35</v>
      </c>
      <c r="C543" s="58">
        <v>15</v>
      </c>
      <c r="D543" s="58" t="s">
        <v>333</v>
      </c>
      <c r="E543" s="58" t="s">
        <v>355</v>
      </c>
      <c r="F543" s="58" t="s">
        <v>273</v>
      </c>
      <c r="G543" s="58" t="s">
        <v>273</v>
      </c>
      <c r="H543" s="58" t="s">
        <v>274</v>
      </c>
      <c r="I543" s="58" t="s">
        <v>274</v>
      </c>
      <c r="J543" s="58"/>
      <c r="K543" s="58" t="s">
        <v>273</v>
      </c>
      <c r="L543" s="58" t="s">
        <v>604</v>
      </c>
      <c r="M543" s="58" t="s">
        <v>35</v>
      </c>
      <c r="N543" s="58">
        <v>2.9000000000000001E-2</v>
      </c>
      <c r="O543" s="58" t="s">
        <v>335</v>
      </c>
      <c r="P543" s="58" t="s">
        <v>103</v>
      </c>
      <c r="Q543" s="58" t="s">
        <v>104</v>
      </c>
      <c r="R543" s="58" t="s">
        <v>1737</v>
      </c>
      <c r="S543" s="58" t="s">
        <v>1738</v>
      </c>
      <c r="T543" s="58" t="s">
        <v>279</v>
      </c>
    </row>
    <row r="544" spans="1:20" ht="31.2">
      <c r="A544" s="58" t="s">
        <v>98</v>
      </c>
      <c r="B544" s="58" t="s">
        <v>35</v>
      </c>
      <c r="C544" s="58">
        <v>16</v>
      </c>
      <c r="D544" s="58" t="s">
        <v>333</v>
      </c>
      <c r="E544" s="58" t="s">
        <v>355</v>
      </c>
      <c r="F544" s="58" t="s">
        <v>273</v>
      </c>
      <c r="G544" s="58" t="s">
        <v>273</v>
      </c>
      <c r="H544" s="58" t="s">
        <v>274</v>
      </c>
      <c r="I544" s="58" t="s">
        <v>274</v>
      </c>
      <c r="J544" s="58"/>
      <c r="K544" s="58" t="s">
        <v>273</v>
      </c>
      <c r="L544" s="58" t="s">
        <v>604</v>
      </c>
      <c r="M544" s="58" t="s">
        <v>35</v>
      </c>
      <c r="N544" s="58">
        <v>1.2999999999999999E-2</v>
      </c>
      <c r="O544" s="58" t="s">
        <v>335</v>
      </c>
      <c r="P544" s="58" t="s">
        <v>103</v>
      </c>
      <c r="Q544" s="58" t="s">
        <v>104</v>
      </c>
      <c r="R544" s="58" t="s">
        <v>1739</v>
      </c>
      <c r="S544" s="58" t="s">
        <v>1740</v>
      </c>
      <c r="T544" s="58" t="s">
        <v>279</v>
      </c>
    </row>
    <row r="545" spans="1:20" ht="31.2">
      <c r="A545" s="58" t="s">
        <v>98</v>
      </c>
      <c r="B545" s="58" t="s">
        <v>35</v>
      </c>
      <c r="C545" s="58">
        <v>17</v>
      </c>
      <c r="D545" s="58" t="s">
        <v>333</v>
      </c>
      <c r="E545" s="58" t="s">
        <v>355</v>
      </c>
      <c r="F545" s="58" t="s">
        <v>273</v>
      </c>
      <c r="G545" s="58" t="s">
        <v>273</v>
      </c>
      <c r="H545" s="58" t="s">
        <v>274</v>
      </c>
      <c r="I545" s="58" t="s">
        <v>274</v>
      </c>
      <c r="J545" s="58"/>
      <c r="K545" s="58" t="s">
        <v>273</v>
      </c>
      <c r="L545" s="58" t="s">
        <v>604</v>
      </c>
      <c r="M545" s="58" t="s">
        <v>35</v>
      </c>
      <c r="N545" s="58">
        <v>1.2E-2</v>
      </c>
      <c r="O545" s="58" t="s">
        <v>335</v>
      </c>
      <c r="P545" s="58" t="s">
        <v>103</v>
      </c>
      <c r="Q545" s="58" t="s">
        <v>104</v>
      </c>
      <c r="R545" s="58" t="s">
        <v>1741</v>
      </c>
      <c r="S545" s="58" t="s">
        <v>1742</v>
      </c>
      <c r="T545" s="58" t="s">
        <v>279</v>
      </c>
    </row>
    <row r="546" spans="1:20" ht="31.2">
      <c r="A546" s="58" t="s">
        <v>98</v>
      </c>
      <c r="B546" s="58" t="s">
        <v>35</v>
      </c>
      <c r="C546" s="58">
        <v>18</v>
      </c>
      <c r="D546" s="58" t="s">
        <v>333</v>
      </c>
      <c r="E546" s="58" t="s">
        <v>355</v>
      </c>
      <c r="F546" s="58" t="s">
        <v>273</v>
      </c>
      <c r="G546" s="58" t="s">
        <v>273</v>
      </c>
      <c r="H546" s="58" t="s">
        <v>274</v>
      </c>
      <c r="I546" s="58" t="s">
        <v>274</v>
      </c>
      <c r="J546" s="58"/>
      <c r="K546" s="58" t="s">
        <v>273</v>
      </c>
      <c r="L546" s="58" t="s">
        <v>604</v>
      </c>
      <c r="M546" s="58" t="s">
        <v>35</v>
      </c>
      <c r="N546" s="58">
        <v>1.0999999999999999E-2</v>
      </c>
      <c r="O546" s="58" t="s">
        <v>335</v>
      </c>
      <c r="P546" s="58" t="s">
        <v>103</v>
      </c>
      <c r="Q546" s="58" t="s">
        <v>104</v>
      </c>
      <c r="R546" s="58" t="s">
        <v>1743</v>
      </c>
      <c r="S546" s="58" t="s">
        <v>1744</v>
      </c>
      <c r="T546" s="58" t="s">
        <v>279</v>
      </c>
    </row>
    <row r="547" spans="1:20" ht="31.2">
      <c r="A547" s="58" t="s">
        <v>98</v>
      </c>
      <c r="B547" s="58" t="s">
        <v>35</v>
      </c>
      <c r="C547" s="58">
        <v>19</v>
      </c>
      <c r="D547" s="58" t="s">
        <v>333</v>
      </c>
      <c r="E547" s="58" t="s">
        <v>355</v>
      </c>
      <c r="F547" s="58" t="s">
        <v>273</v>
      </c>
      <c r="G547" s="58" t="s">
        <v>273</v>
      </c>
      <c r="H547" s="58" t="s">
        <v>274</v>
      </c>
      <c r="I547" s="58" t="s">
        <v>274</v>
      </c>
      <c r="J547" s="58"/>
      <c r="K547" s="58" t="s">
        <v>273</v>
      </c>
      <c r="L547" s="58" t="s">
        <v>604</v>
      </c>
      <c r="M547" s="58" t="s">
        <v>35</v>
      </c>
      <c r="N547" s="58">
        <v>3.3000000000000002E-2</v>
      </c>
      <c r="O547" s="58" t="s">
        <v>335</v>
      </c>
      <c r="P547" s="58" t="s">
        <v>103</v>
      </c>
      <c r="Q547" s="58" t="s">
        <v>104</v>
      </c>
      <c r="R547" s="58" t="s">
        <v>1745</v>
      </c>
      <c r="S547" s="58" t="s">
        <v>1746</v>
      </c>
      <c r="T547" s="58" t="s">
        <v>279</v>
      </c>
    </row>
    <row r="548" spans="1:20" ht="31.2">
      <c r="A548" s="58" t="s">
        <v>98</v>
      </c>
      <c r="B548" s="58" t="s">
        <v>35</v>
      </c>
      <c r="C548" s="58">
        <v>20</v>
      </c>
      <c r="D548" s="58" t="s">
        <v>333</v>
      </c>
      <c r="E548" s="58" t="s">
        <v>355</v>
      </c>
      <c r="F548" s="58" t="s">
        <v>273</v>
      </c>
      <c r="G548" s="58" t="s">
        <v>273</v>
      </c>
      <c r="H548" s="58" t="s">
        <v>274</v>
      </c>
      <c r="I548" s="58" t="s">
        <v>274</v>
      </c>
      <c r="J548" s="58"/>
      <c r="K548" s="58" t="s">
        <v>273</v>
      </c>
      <c r="L548" s="58" t="s">
        <v>604</v>
      </c>
      <c r="M548" s="58" t="s">
        <v>35</v>
      </c>
      <c r="N548" s="58">
        <v>1.0999999999999999E-2</v>
      </c>
      <c r="O548" s="58" t="s">
        <v>335</v>
      </c>
      <c r="P548" s="58" t="s">
        <v>103</v>
      </c>
      <c r="Q548" s="58" t="s">
        <v>104</v>
      </c>
      <c r="R548" s="58" t="s">
        <v>1747</v>
      </c>
      <c r="S548" s="58" t="s">
        <v>1748</v>
      </c>
      <c r="T548" s="58" t="s">
        <v>279</v>
      </c>
    </row>
    <row r="549" spans="1:20" ht="31.2">
      <c r="A549" s="58" t="s">
        <v>98</v>
      </c>
      <c r="B549" s="58" t="s">
        <v>35</v>
      </c>
      <c r="C549" s="58">
        <v>21</v>
      </c>
      <c r="D549" s="58" t="s">
        <v>333</v>
      </c>
      <c r="E549" s="58" t="s">
        <v>355</v>
      </c>
      <c r="F549" s="58" t="s">
        <v>273</v>
      </c>
      <c r="G549" s="58" t="s">
        <v>273</v>
      </c>
      <c r="H549" s="58" t="s">
        <v>274</v>
      </c>
      <c r="I549" s="58" t="s">
        <v>274</v>
      </c>
      <c r="J549" s="58"/>
      <c r="K549" s="58" t="s">
        <v>273</v>
      </c>
      <c r="L549" s="58" t="s">
        <v>604</v>
      </c>
      <c r="M549" s="58" t="s">
        <v>35</v>
      </c>
      <c r="N549" s="58">
        <v>8.9999999999999993E-3</v>
      </c>
      <c r="O549" s="58" t="s">
        <v>335</v>
      </c>
      <c r="P549" s="58" t="s">
        <v>103</v>
      </c>
      <c r="Q549" s="58" t="s">
        <v>104</v>
      </c>
      <c r="R549" s="58" t="s">
        <v>1749</v>
      </c>
      <c r="S549" s="58" t="s">
        <v>1750</v>
      </c>
      <c r="T549" s="58" t="s">
        <v>279</v>
      </c>
    </row>
    <row r="550" spans="1:20" ht="31.2">
      <c r="A550" s="58" t="s">
        <v>98</v>
      </c>
      <c r="B550" s="58" t="s">
        <v>35</v>
      </c>
      <c r="C550" s="58">
        <v>22</v>
      </c>
      <c r="D550" s="58" t="s">
        <v>333</v>
      </c>
      <c r="E550" s="58" t="s">
        <v>355</v>
      </c>
      <c r="F550" s="58" t="s">
        <v>273</v>
      </c>
      <c r="G550" s="58" t="s">
        <v>273</v>
      </c>
      <c r="H550" s="58" t="s">
        <v>274</v>
      </c>
      <c r="I550" s="58" t="s">
        <v>274</v>
      </c>
      <c r="J550" s="58"/>
      <c r="K550" s="58" t="s">
        <v>273</v>
      </c>
      <c r="L550" s="58" t="s">
        <v>604</v>
      </c>
      <c r="M550" s="58" t="s">
        <v>35</v>
      </c>
      <c r="N550" s="58">
        <v>0.01</v>
      </c>
      <c r="O550" s="58" t="s">
        <v>335</v>
      </c>
      <c r="P550" s="58" t="s">
        <v>103</v>
      </c>
      <c r="Q550" s="58" t="s">
        <v>104</v>
      </c>
      <c r="R550" s="58" t="s">
        <v>1751</v>
      </c>
      <c r="S550" s="58" t="s">
        <v>1752</v>
      </c>
      <c r="T550" s="58" t="s">
        <v>279</v>
      </c>
    </row>
    <row r="551" spans="1:20" ht="31.2">
      <c r="A551" s="58" t="s">
        <v>76</v>
      </c>
      <c r="B551" s="58" t="s">
        <v>35</v>
      </c>
      <c r="C551" s="58">
        <v>1</v>
      </c>
      <c r="D551" s="58" t="s">
        <v>333</v>
      </c>
      <c r="E551" s="58" t="s">
        <v>1753</v>
      </c>
      <c r="F551" s="58" t="s">
        <v>273</v>
      </c>
      <c r="G551" s="58" t="s">
        <v>273</v>
      </c>
      <c r="H551" s="58" t="s">
        <v>274</v>
      </c>
      <c r="I551" s="58" t="s">
        <v>274</v>
      </c>
      <c r="J551" s="58"/>
      <c r="K551" s="58"/>
      <c r="L551" s="58" t="s">
        <v>351</v>
      </c>
      <c r="M551" s="58" t="s">
        <v>35</v>
      </c>
      <c r="N551" s="58">
        <v>2.7E-2</v>
      </c>
      <c r="O551" s="58" t="s">
        <v>335</v>
      </c>
      <c r="P551" s="58" t="s">
        <v>106</v>
      </c>
      <c r="Q551" s="58" t="s">
        <v>107</v>
      </c>
      <c r="R551" s="58" t="s">
        <v>1754</v>
      </c>
      <c r="S551" s="58" t="s">
        <v>1755</v>
      </c>
      <c r="T551" s="58" t="s">
        <v>279</v>
      </c>
    </row>
    <row r="552" spans="1:20" ht="31.2">
      <c r="A552" s="58" t="s">
        <v>76</v>
      </c>
      <c r="B552" s="58" t="s">
        <v>35</v>
      </c>
      <c r="C552" s="58">
        <v>2</v>
      </c>
      <c r="D552" s="58" t="s">
        <v>349</v>
      </c>
      <c r="E552" s="58" t="s">
        <v>1756</v>
      </c>
      <c r="F552" s="58" t="s">
        <v>273</v>
      </c>
      <c r="G552" s="58" t="s">
        <v>273</v>
      </c>
      <c r="H552" s="58" t="s">
        <v>274</v>
      </c>
      <c r="I552" s="58" t="s">
        <v>274</v>
      </c>
      <c r="J552" s="58"/>
      <c r="K552" s="58"/>
      <c r="L552" s="58" t="s">
        <v>351</v>
      </c>
      <c r="M552" s="58" t="s">
        <v>35</v>
      </c>
      <c r="N552" s="58">
        <v>4.7E-2</v>
      </c>
      <c r="O552" s="58" t="s">
        <v>1757</v>
      </c>
      <c r="P552" s="58" t="s">
        <v>106</v>
      </c>
      <c r="Q552" s="58" t="s">
        <v>107</v>
      </c>
      <c r="R552" s="58" t="s">
        <v>1758</v>
      </c>
      <c r="S552" s="58" t="s">
        <v>1759</v>
      </c>
      <c r="T552" s="58" t="s">
        <v>279</v>
      </c>
    </row>
    <row r="553" spans="1:20" ht="31.2">
      <c r="A553" s="58" t="s">
        <v>76</v>
      </c>
      <c r="B553" s="58" t="s">
        <v>35</v>
      </c>
      <c r="C553" s="58">
        <v>3</v>
      </c>
      <c r="D553" s="58" t="s">
        <v>361</v>
      </c>
      <c r="E553" s="58" t="s">
        <v>1760</v>
      </c>
      <c r="F553" s="58" t="s">
        <v>273</v>
      </c>
      <c r="G553" s="58" t="s">
        <v>273</v>
      </c>
      <c r="H553" s="58" t="s">
        <v>274</v>
      </c>
      <c r="I553" s="58" t="s">
        <v>274</v>
      </c>
      <c r="J553" s="58"/>
      <c r="K553" s="58"/>
      <c r="L553" s="58" t="s">
        <v>351</v>
      </c>
      <c r="M553" s="58" t="s">
        <v>35</v>
      </c>
      <c r="N553" s="58">
        <v>1.7889999999999999</v>
      </c>
      <c r="O553" s="58" t="s">
        <v>494</v>
      </c>
      <c r="P553" s="58" t="s">
        <v>106</v>
      </c>
      <c r="Q553" s="58" t="s">
        <v>107</v>
      </c>
      <c r="R553" s="58" t="s">
        <v>1761</v>
      </c>
      <c r="S553" s="58" t="s">
        <v>1762</v>
      </c>
      <c r="T553" s="58" t="s">
        <v>279</v>
      </c>
    </row>
    <row r="554" spans="1:20" ht="31.2">
      <c r="A554" s="58" t="s">
        <v>76</v>
      </c>
      <c r="B554" s="58" t="s">
        <v>35</v>
      </c>
      <c r="C554" s="58">
        <v>4</v>
      </c>
      <c r="D554" s="58" t="s">
        <v>333</v>
      </c>
      <c r="E554" s="58" t="s">
        <v>355</v>
      </c>
      <c r="F554" s="58" t="s">
        <v>273</v>
      </c>
      <c r="G554" s="58" t="s">
        <v>273</v>
      </c>
      <c r="H554" s="58" t="s">
        <v>274</v>
      </c>
      <c r="I554" s="58" t="s">
        <v>274</v>
      </c>
      <c r="J554" s="58"/>
      <c r="K554" s="58" t="s">
        <v>274</v>
      </c>
      <c r="L554" s="58" t="s">
        <v>275</v>
      </c>
      <c r="M554" s="58" t="s">
        <v>35</v>
      </c>
      <c r="N554" s="58">
        <v>2.5000000000000001E-2</v>
      </c>
      <c r="O554" s="58" t="s">
        <v>335</v>
      </c>
      <c r="P554" s="58" t="s">
        <v>106</v>
      </c>
      <c r="Q554" s="58" t="s">
        <v>107</v>
      </c>
      <c r="R554" s="58" t="s">
        <v>1763</v>
      </c>
      <c r="S554" s="58" t="s">
        <v>1764</v>
      </c>
      <c r="T554" s="58" t="s">
        <v>279</v>
      </c>
    </row>
    <row r="555" spans="1:20" ht="31.2">
      <c r="A555" s="58" t="s">
        <v>76</v>
      </c>
      <c r="B555" s="58" t="s">
        <v>35</v>
      </c>
      <c r="C555" s="58">
        <v>5</v>
      </c>
      <c r="D555" s="58" t="s">
        <v>521</v>
      </c>
      <c r="E555" s="58" t="s">
        <v>1765</v>
      </c>
      <c r="F555" s="58" t="s">
        <v>273</v>
      </c>
      <c r="G555" s="58" t="s">
        <v>273</v>
      </c>
      <c r="H555" s="58" t="s">
        <v>274</v>
      </c>
      <c r="I555" s="58" t="s">
        <v>274</v>
      </c>
      <c r="J555" s="58"/>
      <c r="K555" s="58"/>
      <c r="L555" s="58" t="s">
        <v>351</v>
      </c>
      <c r="M555" s="58" t="s">
        <v>35</v>
      </c>
      <c r="N555" s="58">
        <v>2.5000000000000001E-2</v>
      </c>
      <c r="O555" s="58" t="s">
        <v>523</v>
      </c>
      <c r="P555" s="58" t="s">
        <v>106</v>
      </c>
      <c r="Q555" s="58" t="s">
        <v>107</v>
      </c>
      <c r="R555" s="58" t="s">
        <v>1766</v>
      </c>
      <c r="S555" s="58" t="s">
        <v>1767</v>
      </c>
      <c r="T555" s="58" t="s">
        <v>279</v>
      </c>
    </row>
    <row r="556" spans="1:20" ht="31.2">
      <c r="A556" s="58" t="s">
        <v>76</v>
      </c>
      <c r="B556" s="58" t="s">
        <v>35</v>
      </c>
      <c r="C556" s="58">
        <v>6</v>
      </c>
      <c r="D556" s="58" t="s">
        <v>521</v>
      </c>
      <c r="E556" s="58" t="s">
        <v>1768</v>
      </c>
      <c r="F556" s="58" t="s">
        <v>273</v>
      </c>
      <c r="G556" s="58" t="s">
        <v>273</v>
      </c>
      <c r="H556" s="58" t="s">
        <v>274</v>
      </c>
      <c r="I556" s="58" t="s">
        <v>274</v>
      </c>
      <c r="J556" s="58"/>
      <c r="K556" s="58"/>
      <c r="L556" s="58" t="s">
        <v>351</v>
      </c>
      <c r="M556" s="58" t="s">
        <v>35</v>
      </c>
      <c r="N556" s="58">
        <v>8.9999999999999993E-3</v>
      </c>
      <c r="O556" s="58" t="s">
        <v>523</v>
      </c>
      <c r="P556" s="58" t="s">
        <v>106</v>
      </c>
      <c r="Q556" s="58" t="s">
        <v>107</v>
      </c>
      <c r="R556" s="58" t="s">
        <v>1769</v>
      </c>
      <c r="S556" s="58" t="s">
        <v>1770</v>
      </c>
      <c r="T556" s="58" t="s">
        <v>279</v>
      </c>
    </row>
    <row r="557" spans="1:20" ht="31.2">
      <c r="A557" s="58" t="s">
        <v>76</v>
      </c>
      <c r="B557" s="58" t="s">
        <v>35</v>
      </c>
      <c r="C557" s="58">
        <v>7</v>
      </c>
      <c r="D557" s="58" t="s">
        <v>521</v>
      </c>
      <c r="E557" s="58" t="s">
        <v>1771</v>
      </c>
      <c r="F557" s="58" t="s">
        <v>273</v>
      </c>
      <c r="G557" s="58" t="s">
        <v>273</v>
      </c>
      <c r="H557" s="58" t="s">
        <v>274</v>
      </c>
      <c r="I557" s="58" t="s">
        <v>274</v>
      </c>
      <c r="J557" s="58"/>
      <c r="K557" s="58"/>
      <c r="L557" s="58" t="s">
        <v>351</v>
      </c>
      <c r="M557" s="58" t="s">
        <v>35</v>
      </c>
      <c r="N557" s="58">
        <v>7.0000000000000001E-3</v>
      </c>
      <c r="O557" s="58" t="s">
        <v>523</v>
      </c>
      <c r="P557" s="58" t="s">
        <v>106</v>
      </c>
      <c r="Q557" s="58" t="s">
        <v>107</v>
      </c>
      <c r="R557" s="58" t="s">
        <v>1772</v>
      </c>
      <c r="S557" s="58" t="s">
        <v>1773</v>
      </c>
      <c r="T557" s="58" t="s">
        <v>279</v>
      </c>
    </row>
    <row r="558" spans="1:20" ht="31.2">
      <c r="A558" s="58" t="s">
        <v>76</v>
      </c>
      <c r="B558" s="58" t="s">
        <v>35</v>
      </c>
      <c r="C558" s="58">
        <v>8</v>
      </c>
      <c r="D558" s="58" t="s">
        <v>521</v>
      </c>
      <c r="E558" s="58" t="s">
        <v>1774</v>
      </c>
      <c r="F558" s="58" t="s">
        <v>273</v>
      </c>
      <c r="G558" s="58" t="s">
        <v>273</v>
      </c>
      <c r="H558" s="58" t="s">
        <v>274</v>
      </c>
      <c r="I558" s="58" t="s">
        <v>274</v>
      </c>
      <c r="J558" s="58"/>
      <c r="K558" s="58"/>
      <c r="L558" s="58" t="s">
        <v>351</v>
      </c>
      <c r="M558" s="58" t="s">
        <v>35</v>
      </c>
      <c r="N558" s="58">
        <v>8.9999999999999993E-3</v>
      </c>
      <c r="O558" s="58" t="s">
        <v>523</v>
      </c>
      <c r="P558" s="58" t="s">
        <v>106</v>
      </c>
      <c r="Q558" s="58" t="s">
        <v>107</v>
      </c>
      <c r="R558" s="58" t="s">
        <v>1775</v>
      </c>
      <c r="S558" s="58" t="s">
        <v>1776</v>
      </c>
      <c r="T558" s="58" t="s">
        <v>279</v>
      </c>
    </row>
    <row r="559" spans="1:20" ht="31.2">
      <c r="A559" s="58" t="s">
        <v>76</v>
      </c>
      <c r="B559" s="58" t="s">
        <v>35</v>
      </c>
      <c r="C559" s="58">
        <v>9</v>
      </c>
      <c r="D559" s="58" t="s">
        <v>521</v>
      </c>
      <c r="E559" s="58" t="s">
        <v>1777</v>
      </c>
      <c r="F559" s="58" t="s">
        <v>273</v>
      </c>
      <c r="G559" s="58" t="s">
        <v>273</v>
      </c>
      <c r="H559" s="58" t="s">
        <v>274</v>
      </c>
      <c r="I559" s="58" t="s">
        <v>274</v>
      </c>
      <c r="J559" s="58"/>
      <c r="K559" s="58"/>
      <c r="L559" s="58" t="s">
        <v>351</v>
      </c>
      <c r="M559" s="58" t="s">
        <v>35</v>
      </c>
      <c r="N559" s="58">
        <v>8.0000000000000002E-3</v>
      </c>
      <c r="O559" s="58" t="s">
        <v>523</v>
      </c>
      <c r="P559" s="58" t="s">
        <v>106</v>
      </c>
      <c r="Q559" s="58" t="s">
        <v>107</v>
      </c>
      <c r="R559" s="58" t="s">
        <v>1778</v>
      </c>
      <c r="S559" s="58" t="s">
        <v>1779</v>
      </c>
      <c r="T559" s="58" t="s">
        <v>279</v>
      </c>
    </row>
    <row r="560" spans="1:20" ht="31.2">
      <c r="A560" s="58" t="s">
        <v>76</v>
      </c>
      <c r="B560" s="58" t="s">
        <v>35</v>
      </c>
      <c r="C560" s="58">
        <v>10</v>
      </c>
      <c r="D560" s="58" t="s">
        <v>521</v>
      </c>
      <c r="E560" s="58" t="s">
        <v>538</v>
      </c>
      <c r="F560" s="58" t="s">
        <v>273</v>
      </c>
      <c r="G560" s="58" t="s">
        <v>273</v>
      </c>
      <c r="H560" s="58" t="s">
        <v>274</v>
      </c>
      <c r="I560" s="58" t="s">
        <v>274</v>
      </c>
      <c r="J560" s="58"/>
      <c r="K560" s="58"/>
      <c r="L560" s="58" t="s">
        <v>351</v>
      </c>
      <c r="M560" s="58" t="s">
        <v>35</v>
      </c>
      <c r="N560" s="58">
        <v>1.4999999999999999E-2</v>
      </c>
      <c r="O560" s="58" t="s">
        <v>539</v>
      </c>
      <c r="P560" s="58" t="s">
        <v>106</v>
      </c>
      <c r="Q560" s="58" t="s">
        <v>107</v>
      </c>
      <c r="R560" s="58" t="s">
        <v>1780</v>
      </c>
      <c r="S560" s="58" t="s">
        <v>1781</v>
      </c>
      <c r="T560" s="58" t="s">
        <v>279</v>
      </c>
    </row>
    <row r="561" spans="1:20" ht="31.2">
      <c r="A561" s="58" t="s">
        <v>76</v>
      </c>
      <c r="B561" s="58" t="s">
        <v>35</v>
      </c>
      <c r="C561" s="58">
        <v>11</v>
      </c>
      <c r="D561" s="58" t="s">
        <v>361</v>
      </c>
      <c r="E561" s="58" t="s">
        <v>1782</v>
      </c>
      <c r="F561" s="58" t="s">
        <v>273</v>
      </c>
      <c r="G561" s="58" t="s">
        <v>273</v>
      </c>
      <c r="H561" s="58" t="s">
        <v>274</v>
      </c>
      <c r="I561" s="58" t="s">
        <v>274</v>
      </c>
      <c r="J561" s="58"/>
      <c r="K561" s="58"/>
      <c r="L561" s="58" t="s">
        <v>351</v>
      </c>
      <c r="M561" s="58" t="s">
        <v>35</v>
      </c>
      <c r="N561" s="58">
        <v>1.2270000000000001</v>
      </c>
      <c r="O561" s="58" t="s">
        <v>494</v>
      </c>
      <c r="P561" s="58" t="s">
        <v>106</v>
      </c>
      <c r="Q561" s="58" t="s">
        <v>107</v>
      </c>
      <c r="R561" s="58" t="s">
        <v>1783</v>
      </c>
      <c r="S561" s="58" t="s">
        <v>1784</v>
      </c>
      <c r="T561" s="58" t="s">
        <v>279</v>
      </c>
    </row>
    <row r="562" spans="1:20" ht="31.2">
      <c r="A562" s="58" t="s">
        <v>76</v>
      </c>
      <c r="B562" s="58" t="s">
        <v>35</v>
      </c>
      <c r="C562" s="58">
        <v>12</v>
      </c>
      <c r="D562" s="58" t="s">
        <v>361</v>
      </c>
      <c r="E562" s="58" t="s">
        <v>1785</v>
      </c>
      <c r="F562" s="58" t="s">
        <v>273</v>
      </c>
      <c r="G562" s="58" t="s">
        <v>273</v>
      </c>
      <c r="H562" s="58" t="s">
        <v>274</v>
      </c>
      <c r="I562" s="58" t="s">
        <v>274</v>
      </c>
      <c r="J562" s="58"/>
      <c r="K562" s="58"/>
      <c r="L562" s="58" t="s">
        <v>275</v>
      </c>
      <c r="M562" s="58" t="s">
        <v>35</v>
      </c>
      <c r="N562" s="58">
        <v>0.57399999999999995</v>
      </c>
      <c r="O562" s="58" t="s">
        <v>494</v>
      </c>
      <c r="P562" s="58" t="s">
        <v>106</v>
      </c>
      <c r="Q562" s="58" t="s">
        <v>107</v>
      </c>
      <c r="R562" s="58" t="s">
        <v>1786</v>
      </c>
      <c r="S562" s="58" t="s">
        <v>1787</v>
      </c>
      <c r="T562" s="58" t="s">
        <v>279</v>
      </c>
    </row>
    <row r="563" spans="1:20" ht="31.2">
      <c r="A563" s="58" t="s">
        <v>76</v>
      </c>
      <c r="B563" s="58" t="s">
        <v>35</v>
      </c>
      <c r="C563" s="58">
        <v>13</v>
      </c>
      <c r="D563" s="58" t="s">
        <v>361</v>
      </c>
      <c r="E563" s="58" t="s">
        <v>1788</v>
      </c>
      <c r="F563" s="58" t="s">
        <v>273</v>
      </c>
      <c r="G563" s="58" t="s">
        <v>273</v>
      </c>
      <c r="H563" s="58" t="s">
        <v>274</v>
      </c>
      <c r="I563" s="58" t="s">
        <v>274</v>
      </c>
      <c r="J563" s="58"/>
      <c r="K563" s="58"/>
      <c r="L563" s="58" t="s">
        <v>275</v>
      </c>
      <c r="M563" s="58" t="s">
        <v>35</v>
      </c>
      <c r="N563" s="58">
        <v>2.2629999999999999</v>
      </c>
      <c r="O563" s="58" t="s">
        <v>494</v>
      </c>
      <c r="P563" s="58" t="s">
        <v>106</v>
      </c>
      <c r="Q563" s="58" t="s">
        <v>107</v>
      </c>
      <c r="R563" s="58" t="s">
        <v>1789</v>
      </c>
      <c r="S563" s="58" t="s">
        <v>1790</v>
      </c>
      <c r="T563" s="58" t="s">
        <v>279</v>
      </c>
    </row>
    <row r="564" spans="1:20" ht="31.2">
      <c r="A564" s="58" t="s">
        <v>76</v>
      </c>
      <c r="B564" s="58" t="s">
        <v>35</v>
      </c>
      <c r="C564" s="58">
        <v>14</v>
      </c>
      <c r="D564" s="58" t="s">
        <v>361</v>
      </c>
      <c r="E564" s="58" t="s">
        <v>1791</v>
      </c>
      <c r="F564" s="58" t="s">
        <v>273</v>
      </c>
      <c r="G564" s="58" t="s">
        <v>273</v>
      </c>
      <c r="H564" s="58" t="s">
        <v>274</v>
      </c>
      <c r="I564" s="58" t="s">
        <v>274</v>
      </c>
      <c r="J564" s="58"/>
      <c r="K564" s="58"/>
      <c r="L564" s="58" t="s">
        <v>275</v>
      </c>
      <c r="M564" s="58" t="s">
        <v>35</v>
      </c>
      <c r="N564" s="58">
        <v>0.48299999999999998</v>
      </c>
      <c r="O564" s="58" t="s">
        <v>494</v>
      </c>
      <c r="P564" s="58" t="s">
        <v>106</v>
      </c>
      <c r="Q564" s="58" t="s">
        <v>107</v>
      </c>
      <c r="R564" s="58" t="s">
        <v>1792</v>
      </c>
      <c r="S564" s="58" t="s">
        <v>1793</v>
      </c>
      <c r="T564" s="58" t="s">
        <v>279</v>
      </c>
    </row>
    <row r="565" spans="1:20" ht="31.2">
      <c r="A565" s="58" t="s">
        <v>76</v>
      </c>
      <c r="B565" s="58" t="s">
        <v>35</v>
      </c>
      <c r="C565" s="58">
        <v>15</v>
      </c>
      <c r="D565" s="58" t="s">
        <v>361</v>
      </c>
      <c r="E565" s="58" t="s">
        <v>1794</v>
      </c>
      <c r="F565" s="58" t="s">
        <v>273</v>
      </c>
      <c r="G565" s="58" t="s">
        <v>273</v>
      </c>
      <c r="H565" s="58" t="s">
        <v>274</v>
      </c>
      <c r="I565" s="58" t="s">
        <v>274</v>
      </c>
      <c r="J565" s="58"/>
      <c r="K565" s="58"/>
      <c r="L565" s="58" t="s">
        <v>275</v>
      </c>
      <c r="M565" s="58" t="s">
        <v>35</v>
      </c>
      <c r="N565" s="58">
        <v>3.0070000000000001</v>
      </c>
      <c r="O565" s="58" t="s">
        <v>494</v>
      </c>
      <c r="P565" s="58" t="s">
        <v>106</v>
      </c>
      <c r="Q565" s="58" t="s">
        <v>107</v>
      </c>
      <c r="R565" s="58" t="s">
        <v>1795</v>
      </c>
      <c r="S565" s="58" t="s">
        <v>1796</v>
      </c>
      <c r="T565" s="58" t="s">
        <v>279</v>
      </c>
    </row>
    <row r="566" spans="1:20" ht="31.2">
      <c r="A566" s="58" t="s">
        <v>76</v>
      </c>
      <c r="B566" s="58" t="s">
        <v>35</v>
      </c>
      <c r="C566" s="58">
        <v>16</v>
      </c>
      <c r="D566" s="58" t="s">
        <v>361</v>
      </c>
      <c r="E566" s="58" t="s">
        <v>1797</v>
      </c>
      <c r="F566" s="58" t="s">
        <v>273</v>
      </c>
      <c r="G566" s="58" t="s">
        <v>273</v>
      </c>
      <c r="H566" s="58" t="s">
        <v>274</v>
      </c>
      <c r="I566" s="58" t="s">
        <v>274</v>
      </c>
      <c r="J566" s="58"/>
      <c r="K566" s="58"/>
      <c r="L566" s="58" t="s">
        <v>275</v>
      </c>
      <c r="M566" s="58" t="s">
        <v>35</v>
      </c>
      <c r="N566" s="58">
        <v>3.0129999999999999</v>
      </c>
      <c r="O566" s="58" t="s">
        <v>494</v>
      </c>
      <c r="P566" s="58" t="s">
        <v>106</v>
      </c>
      <c r="Q566" s="58" t="s">
        <v>107</v>
      </c>
      <c r="R566" s="58" t="s">
        <v>1798</v>
      </c>
      <c r="S566" s="58" t="s">
        <v>1799</v>
      </c>
      <c r="T566" s="58" t="s">
        <v>279</v>
      </c>
    </row>
    <row r="567" spans="1:20" ht="31.2">
      <c r="A567" s="58" t="s">
        <v>76</v>
      </c>
      <c r="B567" s="58" t="s">
        <v>35</v>
      </c>
      <c r="C567" s="58">
        <v>17</v>
      </c>
      <c r="D567" s="58" t="s">
        <v>378</v>
      </c>
      <c r="E567" s="58" t="s">
        <v>1800</v>
      </c>
      <c r="F567" s="58" t="s">
        <v>273</v>
      </c>
      <c r="G567" s="58" t="s">
        <v>273</v>
      </c>
      <c r="H567" s="58" t="s">
        <v>274</v>
      </c>
      <c r="I567" s="58" t="s">
        <v>274</v>
      </c>
      <c r="J567" s="58"/>
      <c r="K567" s="58"/>
      <c r="L567" s="58" t="s">
        <v>275</v>
      </c>
      <c r="M567" s="58" t="s">
        <v>35</v>
      </c>
      <c r="N567" s="58">
        <v>0.159</v>
      </c>
      <c r="O567" s="58" t="s">
        <v>380</v>
      </c>
      <c r="P567" s="58" t="s">
        <v>106</v>
      </c>
      <c r="Q567" s="58" t="s">
        <v>107</v>
      </c>
      <c r="R567" s="58" t="s">
        <v>1801</v>
      </c>
      <c r="S567" s="58" t="s">
        <v>1802</v>
      </c>
      <c r="T567" s="58" t="s">
        <v>279</v>
      </c>
    </row>
    <row r="568" spans="1:20" ht="31.2">
      <c r="A568" s="58" t="s">
        <v>76</v>
      </c>
      <c r="B568" s="58" t="s">
        <v>35</v>
      </c>
      <c r="C568" s="58">
        <v>18</v>
      </c>
      <c r="D568" s="58" t="s">
        <v>361</v>
      </c>
      <c r="E568" s="58" t="s">
        <v>1803</v>
      </c>
      <c r="F568" s="58" t="s">
        <v>273</v>
      </c>
      <c r="G568" s="58" t="s">
        <v>273</v>
      </c>
      <c r="H568" s="58" t="s">
        <v>274</v>
      </c>
      <c r="I568" s="58" t="s">
        <v>274</v>
      </c>
      <c r="J568" s="58"/>
      <c r="K568" s="58"/>
      <c r="L568" s="58" t="s">
        <v>275</v>
      </c>
      <c r="M568" s="58" t="s">
        <v>35</v>
      </c>
      <c r="N568" s="58">
        <v>126.65</v>
      </c>
      <c r="O568" s="58" t="s">
        <v>494</v>
      </c>
      <c r="P568" s="58" t="s">
        <v>106</v>
      </c>
      <c r="Q568" s="58" t="s">
        <v>107</v>
      </c>
      <c r="R568" s="58" t="s">
        <v>1804</v>
      </c>
      <c r="S568" s="58" t="s">
        <v>1805</v>
      </c>
      <c r="T568" s="58" t="s">
        <v>279</v>
      </c>
    </row>
    <row r="569" spans="1:20" ht="31.2">
      <c r="A569" s="58" t="s">
        <v>76</v>
      </c>
      <c r="B569" s="58" t="s">
        <v>35</v>
      </c>
      <c r="C569" s="58">
        <v>19</v>
      </c>
      <c r="D569" s="58" t="s">
        <v>361</v>
      </c>
      <c r="E569" s="58" t="s">
        <v>1806</v>
      </c>
      <c r="F569" s="58" t="s">
        <v>273</v>
      </c>
      <c r="G569" s="58" t="s">
        <v>273</v>
      </c>
      <c r="H569" s="58" t="s">
        <v>274</v>
      </c>
      <c r="I569" s="58" t="s">
        <v>274</v>
      </c>
      <c r="J569" s="58"/>
      <c r="K569" s="58"/>
      <c r="L569" s="58" t="s">
        <v>275</v>
      </c>
      <c r="M569" s="58" t="s">
        <v>35</v>
      </c>
      <c r="N569" s="58">
        <v>4.7530000000000001</v>
      </c>
      <c r="O569" s="58" t="s">
        <v>494</v>
      </c>
      <c r="P569" s="58" t="s">
        <v>106</v>
      </c>
      <c r="Q569" s="58" t="s">
        <v>107</v>
      </c>
      <c r="R569" s="58" t="s">
        <v>1807</v>
      </c>
      <c r="S569" s="58" t="s">
        <v>1808</v>
      </c>
      <c r="T569" s="58" t="s">
        <v>279</v>
      </c>
    </row>
    <row r="570" spans="1:20" ht="31.2">
      <c r="A570" s="58" t="s">
        <v>76</v>
      </c>
      <c r="B570" s="58" t="s">
        <v>35</v>
      </c>
      <c r="C570" s="58">
        <v>20</v>
      </c>
      <c r="D570" s="58" t="s">
        <v>361</v>
      </c>
      <c r="E570" s="58" t="s">
        <v>1809</v>
      </c>
      <c r="F570" s="58" t="s">
        <v>273</v>
      </c>
      <c r="G570" s="58" t="s">
        <v>273</v>
      </c>
      <c r="H570" s="58" t="s">
        <v>274</v>
      </c>
      <c r="I570" s="58" t="s">
        <v>274</v>
      </c>
      <c r="J570" s="58"/>
      <c r="K570" s="58"/>
      <c r="L570" s="58" t="s">
        <v>275</v>
      </c>
      <c r="M570" s="58" t="s">
        <v>35</v>
      </c>
      <c r="N570" s="58">
        <v>6.0750000000000002</v>
      </c>
      <c r="O570" s="58" t="s">
        <v>494</v>
      </c>
      <c r="P570" s="58" t="s">
        <v>106</v>
      </c>
      <c r="Q570" s="58" t="s">
        <v>107</v>
      </c>
      <c r="R570" s="58" t="s">
        <v>1810</v>
      </c>
      <c r="S570" s="58" t="s">
        <v>1811</v>
      </c>
      <c r="T570" s="58" t="s">
        <v>279</v>
      </c>
    </row>
    <row r="571" spans="1:20" ht="31.2">
      <c r="A571" s="58" t="s">
        <v>76</v>
      </c>
      <c r="B571" s="58" t="s">
        <v>35</v>
      </c>
      <c r="C571" s="58">
        <v>21</v>
      </c>
      <c r="D571" s="58" t="s">
        <v>521</v>
      </c>
      <c r="E571" s="58" t="s">
        <v>577</v>
      </c>
      <c r="F571" s="58" t="s">
        <v>273</v>
      </c>
      <c r="G571" s="58" t="s">
        <v>273</v>
      </c>
      <c r="H571" s="58" t="s">
        <v>274</v>
      </c>
      <c r="I571" s="58" t="s">
        <v>274</v>
      </c>
      <c r="J571" s="58"/>
      <c r="K571" s="58"/>
      <c r="L571" s="58" t="s">
        <v>351</v>
      </c>
      <c r="M571" s="58" t="s">
        <v>35</v>
      </c>
      <c r="N571" s="58">
        <v>1.7999999999999999E-2</v>
      </c>
      <c r="O571" s="58" t="s">
        <v>539</v>
      </c>
      <c r="P571" s="58" t="s">
        <v>106</v>
      </c>
      <c r="Q571" s="58" t="s">
        <v>107</v>
      </c>
      <c r="R571" s="58" t="s">
        <v>1812</v>
      </c>
      <c r="S571" s="58" t="s">
        <v>1813</v>
      </c>
      <c r="T571" s="58" t="s">
        <v>279</v>
      </c>
    </row>
    <row r="572" spans="1:20" ht="31.2">
      <c r="A572" s="58" t="s">
        <v>76</v>
      </c>
      <c r="B572" s="58" t="s">
        <v>35</v>
      </c>
      <c r="C572" s="58">
        <v>22</v>
      </c>
      <c r="D572" s="58" t="s">
        <v>521</v>
      </c>
      <c r="E572" s="58" t="s">
        <v>1073</v>
      </c>
      <c r="F572" s="58" t="s">
        <v>273</v>
      </c>
      <c r="G572" s="58" t="s">
        <v>273</v>
      </c>
      <c r="H572" s="58" t="s">
        <v>274</v>
      </c>
      <c r="I572" s="58" t="s">
        <v>274</v>
      </c>
      <c r="J572" s="58"/>
      <c r="K572" s="58"/>
      <c r="L572" s="58" t="s">
        <v>351</v>
      </c>
      <c r="M572" s="58" t="s">
        <v>35</v>
      </c>
      <c r="N572" s="58">
        <v>1.4E-2</v>
      </c>
      <c r="O572" s="58" t="s">
        <v>539</v>
      </c>
      <c r="P572" s="58" t="s">
        <v>106</v>
      </c>
      <c r="Q572" s="58" t="s">
        <v>107</v>
      </c>
      <c r="R572" s="58" t="s">
        <v>1814</v>
      </c>
      <c r="S572" s="58" t="s">
        <v>1815</v>
      </c>
      <c r="T572" s="58" t="s">
        <v>279</v>
      </c>
    </row>
    <row r="573" spans="1:20" ht="31.2">
      <c r="A573" s="58" t="s">
        <v>76</v>
      </c>
      <c r="B573" s="58" t="s">
        <v>35</v>
      </c>
      <c r="C573" s="58">
        <v>23</v>
      </c>
      <c r="D573" s="58" t="s">
        <v>378</v>
      </c>
      <c r="E573" s="58" t="s">
        <v>1816</v>
      </c>
      <c r="F573" s="58" t="s">
        <v>273</v>
      </c>
      <c r="G573" s="58" t="s">
        <v>273</v>
      </c>
      <c r="H573" s="58" t="s">
        <v>274</v>
      </c>
      <c r="I573" s="58" t="s">
        <v>274</v>
      </c>
      <c r="J573" s="58"/>
      <c r="K573" s="58"/>
      <c r="L573" s="58" t="s">
        <v>275</v>
      </c>
      <c r="M573" s="58" t="s">
        <v>35</v>
      </c>
      <c r="N573" s="58">
        <v>3.9E-2</v>
      </c>
      <c r="O573" s="58" t="s">
        <v>380</v>
      </c>
      <c r="P573" s="58" t="s">
        <v>106</v>
      </c>
      <c r="Q573" s="58" t="s">
        <v>107</v>
      </c>
      <c r="R573" s="58" t="s">
        <v>1817</v>
      </c>
      <c r="S573" s="58" t="s">
        <v>1818</v>
      </c>
      <c r="T573" s="58" t="s">
        <v>279</v>
      </c>
    </row>
    <row r="574" spans="1:20" ht="31.2">
      <c r="A574" s="58" t="s">
        <v>76</v>
      </c>
      <c r="B574" s="58" t="s">
        <v>35</v>
      </c>
      <c r="C574" s="58">
        <v>24</v>
      </c>
      <c r="D574" s="58" t="s">
        <v>361</v>
      </c>
      <c r="E574" s="58" t="s">
        <v>1819</v>
      </c>
      <c r="F574" s="58" t="s">
        <v>273</v>
      </c>
      <c r="G574" s="58" t="s">
        <v>273</v>
      </c>
      <c r="H574" s="58" t="s">
        <v>274</v>
      </c>
      <c r="I574" s="58" t="s">
        <v>274</v>
      </c>
      <c r="J574" s="58"/>
      <c r="K574" s="58"/>
      <c r="L574" s="58" t="s">
        <v>275</v>
      </c>
      <c r="M574" s="58" t="s">
        <v>35</v>
      </c>
      <c r="N574" s="58">
        <v>17.562999999999999</v>
      </c>
      <c r="O574" s="58" t="s">
        <v>494</v>
      </c>
      <c r="P574" s="58" t="s">
        <v>106</v>
      </c>
      <c r="Q574" s="58" t="s">
        <v>107</v>
      </c>
      <c r="R574" s="58" t="s">
        <v>1820</v>
      </c>
      <c r="S574" s="58" t="s">
        <v>1821</v>
      </c>
      <c r="T574" s="58" t="s">
        <v>279</v>
      </c>
    </row>
    <row r="575" spans="1:20" ht="31.2">
      <c r="A575" s="58" t="s">
        <v>76</v>
      </c>
      <c r="B575" s="58" t="s">
        <v>35</v>
      </c>
      <c r="C575" s="58">
        <v>25</v>
      </c>
      <c r="D575" s="58" t="s">
        <v>361</v>
      </c>
      <c r="E575" s="58" t="s">
        <v>1822</v>
      </c>
      <c r="F575" s="58" t="s">
        <v>273</v>
      </c>
      <c r="G575" s="58" t="s">
        <v>273</v>
      </c>
      <c r="H575" s="58" t="s">
        <v>274</v>
      </c>
      <c r="I575" s="58" t="s">
        <v>274</v>
      </c>
      <c r="J575" s="58"/>
      <c r="K575" s="58"/>
      <c r="L575" s="58" t="s">
        <v>275</v>
      </c>
      <c r="M575" s="58" t="s">
        <v>35</v>
      </c>
      <c r="N575" s="58">
        <v>1.6930000000000001</v>
      </c>
      <c r="O575" s="58" t="s">
        <v>494</v>
      </c>
      <c r="P575" s="58" t="s">
        <v>106</v>
      </c>
      <c r="Q575" s="58" t="s">
        <v>107</v>
      </c>
      <c r="R575" s="58" t="s">
        <v>1823</v>
      </c>
      <c r="S575" s="58" t="s">
        <v>1824</v>
      </c>
      <c r="T575" s="58" t="s">
        <v>279</v>
      </c>
    </row>
    <row r="576" spans="1:20" ht="31.2">
      <c r="A576" s="58" t="s">
        <v>76</v>
      </c>
      <c r="B576" s="58" t="s">
        <v>35</v>
      </c>
      <c r="C576" s="58">
        <v>26</v>
      </c>
      <c r="D576" s="58" t="s">
        <v>361</v>
      </c>
      <c r="E576" s="58" t="s">
        <v>1825</v>
      </c>
      <c r="F576" s="58" t="s">
        <v>273</v>
      </c>
      <c r="G576" s="58" t="s">
        <v>273</v>
      </c>
      <c r="H576" s="58" t="s">
        <v>274</v>
      </c>
      <c r="I576" s="58" t="s">
        <v>274</v>
      </c>
      <c r="J576" s="58"/>
      <c r="K576" s="58"/>
      <c r="L576" s="58" t="s">
        <v>275</v>
      </c>
      <c r="M576" s="58" t="s">
        <v>35</v>
      </c>
      <c r="N576" s="58">
        <v>1.5049999999999999</v>
      </c>
      <c r="O576" s="58" t="s">
        <v>494</v>
      </c>
      <c r="P576" s="58" t="s">
        <v>106</v>
      </c>
      <c r="Q576" s="58" t="s">
        <v>107</v>
      </c>
      <c r="R576" s="58" t="s">
        <v>1826</v>
      </c>
      <c r="S576" s="58" t="s">
        <v>1827</v>
      </c>
      <c r="T576" s="58" t="s">
        <v>279</v>
      </c>
    </row>
    <row r="577" spans="1:20" ht="31.2">
      <c r="A577" s="58" t="s">
        <v>76</v>
      </c>
      <c r="B577" s="58" t="s">
        <v>35</v>
      </c>
      <c r="C577" s="58">
        <v>27</v>
      </c>
      <c r="D577" s="58" t="s">
        <v>361</v>
      </c>
      <c r="E577" s="58" t="s">
        <v>1828</v>
      </c>
      <c r="F577" s="58" t="s">
        <v>273</v>
      </c>
      <c r="G577" s="58" t="s">
        <v>273</v>
      </c>
      <c r="H577" s="58" t="s">
        <v>274</v>
      </c>
      <c r="I577" s="58" t="s">
        <v>274</v>
      </c>
      <c r="J577" s="58"/>
      <c r="K577" s="58"/>
      <c r="L577" s="58" t="s">
        <v>275</v>
      </c>
      <c r="M577" s="58" t="s">
        <v>35</v>
      </c>
      <c r="N577" s="58">
        <v>1.6060000000000001</v>
      </c>
      <c r="O577" s="58" t="s">
        <v>494</v>
      </c>
      <c r="P577" s="58" t="s">
        <v>106</v>
      </c>
      <c r="Q577" s="58" t="s">
        <v>107</v>
      </c>
      <c r="R577" s="58" t="s">
        <v>1829</v>
      </c>
      <c r="S577" s="58" t="s">
        <v>1830</v>
      </c>
      <c r="T577" s="58" t="s">
        <v>279</v>
      </c>
    </row>
    <row r="578" spans="1:20" ht="31.2">
      <c r="A578" s="58" t="s">
        <v>76</v>
      </c>
      <c r="B578" s="58" t="s">
        <v>35</v>
      </c>
      <c r="C578" s="58">
        <v>28</v>
      </c>
      <c r="D578" s="58" t="s">
        <v>361</v>
      </c>
      <c r="E578" s="58" t="s">
        <v>1831</v>
      </c>
      <c r="F578" s="58" t="s">
        <v>273</v>
      </c>
      <c r="G578" s="58" t="s">
        <v>273</v>
      </c>
      <c r="H578" s="58" t="s">
        <v>274</v>
      </c>
      <c r="I578" s="58" t="s">
        <v>274</v>
      </c>
      <c r="J578" s="58"/>
      <c r="K578" s="58"/>
      <c r="L578" s="58" t="s">
        <v>275</v>
      </c>
      <c r="M578" s="58" t="s">
        <v>35</v>
      </c>
      <c r="N578" s="58">
        <v>12.945</v>
      </c>
      <c r="O578" s="58" t="s">
        <v>494</v>
      </c>
      <c r="P578" s="58" t="s">
        <v>106</v>
      </c>
      <c r="Q578" s="58" t="s">
        <v>107</v>
      </c>
      <c r="R578" s="58" t="s">
        <v>1832</v>
      </c>
      <c r="S578" s="58" t="s">
        <v>1833</v>
      </c>
      <c r="T578" s="58" t="s">
        <v>279</v>
      </c>
    </row>
    <row r="579" spans="1:20" ht="31.2">
      <c r="A579" s="58" t="s">
        <v>76</v>
      </c>
      <c r="B579" s="58" t="s">
        <v>35</v>
      </c>
      <c r="C579" s="58">
        <v>29</v>
      </c>
      <c r="D579" s="58" t="s">
        <v>361</v>
      </c>
      <c r="E579" s="58" t="s">
        <v>1834</v>
      </c>
      <c r="F579" s="58" t="s">
        <v>273</v>
      </c>
      <c r="G579" s="58" t="s">
        <v>273</v>
      </c>
      <c r="H579" s="58" t="s">
        <v>274</v>
      </c>
      <c r="I579" s="58" t="s">
        <v>274</v>
      </c>
      <c r="J579" s="58"/>
      <c r="K579" s="58"/>
      <c r="L579" s="58" t="s">
        <v>275</v>
      </c>
      <c r="M579" s="58" t="s">
        <v>35</v>
      </c>
      <c r="N579" s="58">
        <v>6.726</v>
      </c>
      <c r="O579" s="58" t="s">
        <v>494</v>
      </c>
      <c r="P579" s="58" t="s">
        <v>106</v>
      </c>
      <c r="Q579" s="58" t="s">
        <v>107</v>
      </c>
      <c r="R579" s="58" t="s">
        <v>1835</v>
      </c>
      <c r="S579" s="58" t="s">
        <v>1836</v>
      </c>
      <c r="T579" s="58" t="s">
        <v>279</v>
      </c>
    </row>
    <row r="580" spans="1:20" ht="31.2">
      <c r="A580" s="58" t="s">
        <v>76</v>
      </c>
      <c r="B580" s="58" t="s">
        <v>35</v>
      </c>
      <c r="C580" s="58">
        <v>30</v>
      </c>
      <c r="D580" s="58" t="s">
        <v>361</v>
      </c>
      <c r="E580" s="58" t="s">
        <v>1837</v>
      </c>
      <c r="F580" s="58" t="s">
        <v>273</v>
      </c>
      <c r="G580" s="58" t="s">
        <v>273</v>
      </c>
      <c r="H580" s="58" t="s">
        <v>273</v>
      </c>
      <c r="I580" s="58" t="s">
        <v>274</v>
      </c>
      <c r="J580" s="58"/>
      <c r="K580" s="58"/>
      <c r="L580" s="58" t="s">
        <v>275</v>
      </c>
      <c r="M580" s="58" t="s">
        <v>35</v>
      </c>
      <c r="N580" s="58">
        <v>5.657</v>
      </c>
      <c r="O580" s="58" t="s">
        <v>494</v>
      </c>
      <c r="P580" s="58" t="s">
        <v>106</v>
      </c>
      <c r="Q580" s="58" t="s">
        <v>107</v>
      </c>
      <c r="R580" s="58" t="s">
        <v>1838</v>
      </c>
      <c r="S580" s="58" t="s">
        <v>1839</v>
      </c>
      <c r="T580" s="58" t="s">
        <v>279</v>
      </c>
    </row>
    <row r="581" spans="1:20" ht="31.2">
      <c r="A581" s="58" t="s">
        <v>76</v>
      </c>
      <c r="B581" s="58" t="s">
        <v>35</v>
      </c>
      <c r="C581" s="58">
        <v>31</v>
      </c>
      <c r="D581" s="58" t="s">
        <v>361</v>
      </c>
      <c r="E581" s="58" t="s">
        <v>1840</v>
      </c>
      <c r="F581" s="58" t="s">
        <v>273</v>
      </c>
      <c r="G581" s="58" t="s">
        <v>273</v>
      </c>
      <c r="H581" s="58" t="s">
        <v>274</v>
      </c>
      <c r="I581" s="58" t="s">
        <v>274</v>
      </c>
      <c r="J581" s="58"/>
      <c r="K581" s="58"/>
      <c r="L581" s="58" t="s">
        <v>275</v>
      </c>
      <c r="M581" s="58" t="s">
        <v>35</v>
      </c>
      <c r="N581" s="58">
        <v>7.8579999999999997</v>
      </c>
      <c r="O581" s="58" t="s">
        <v>494</v>
      </c>
      <c r="P581" s="58" t="s">
        <v>106</v>
      </c>
      <c r="Q581" s="58" t="s">
        <v>107</v>
      </c>
      <c r="R581" s="58" t="s">
        <v>1841</v>
      </c>
      <c r="S581" s="58" t="s">
        <v>1842</v>
      </c>
      <c r="T581" s="58" t="s">
        <v>279</v>
      </c>
    </row>
    <row r="582" spans="1:20" ht="31.2">
      <c r="A582" s="58" t="s">
        <v>76</v>
      </c>
      <c r="B582" s="58" t="s">
        <v>35</v>
      </c>
      <c r="C582" s="58">
        <v>32</v>
      </c>
      <c r="D582" s="58" t="s">
        <v>361</v>
      </c>
      <c r="E582" s="58" t="s">
        <v>1843</v>
      </c>
      <c r="F582" s="58" t="s">
        <v>273</v>
      </c>
      <c r="G582" s="58" t="s">
        <v>273</v>
      </c>
      <c r="H582" s="58" t="s">
        <v>274</v>
      </c>
      <c r="I582" s="58" t="s">
        <v>274</v>
      </c>
      <c r="J582" s="58"/>
      <c r="K582" s="58"/>
      <c r="L582" s="58" t="s">
        <v>275</v>
      </c>
      <c r="M582" s="58" t="s">
        <v>35</v>
      </c>
      <c r="N582" s="58">
        <v>3.0030000000000001</v>
      </c>
      <c r="O582" s="58" t="s">
        <v>494</v>
      </c>
      <c r="P582" s="58" t="s">
        <v>106</v>
      </c>
      <c r="Q582" s="58" t="s">
        <v>107</v>
      </c>
      <c r="R582" s="58" t="s">
        <v>1844</v>
      </c>
      <c r="S582" s="58" t="s">
        <v>1845</v>
      </c>
      <c r="T582" s="58" t="s">
        <v>279</v>
      </c>
    </row>
    <row r="583" spans="1:20" ht="31.2">
      <c r="A583" s="58" t="s">
        <v>76</v>
      </c>
      <c r="B583" s="58" t="s">
        <v>35</v>
      </c>
      <c r="C583" s="58">
        <v>33</v>
      </c>
      <c r="D583" s="58" t="s">
        <v>361</v>
      </c>
      <c r="E583" s="58" t="s">
        <v>1846</v>
      </c>
      <c r="F583" s="58" t="s">
        <v>273</v>
      </c>
      <c r="G583" s="58" t="s">
        <v>273</v>
      </c>
      <c r="H583" s="58" t="s">
        <v>274</v>
      </c>
      <c r="I583" s="58" t="s">
        <v>274</v>
      </c>
      <c r="J583" s="58"/>
      <c r="K583" s="58"/>
      <c r="L583" s="58" t="s">
        <v>275</v>
      </c>
      <c r="M583" s="58" t="s">
        <v>35</v>
      </c>
      <c r="N583" s="58">
        <v>2.0640000000000001</v>
      </c>
      <c r="O583" s="58" t="s">
        <v>494</v>
      </c>
      <c r="P583" s="58" t="s">
        <v>106</v>
      </c>
      <c r="Q583" s="58" t="s">
        <v>107</v>
      </c>
      <c r="R583" s="58" t="s">
        <v>1847</v>
      </c>
      <c r="S583" s="58" t="s">
        <v>1848</v>
      </c>
      <c r="T583" s="58" t="s">
        <v>279</v>
      </c>
    </row>
    <row r="584" spans="1:20" ht="31.2">
      <c r="A584" s="58" t="s">
        <v>76</v>
      </c>
      <c r="B584" s="58" t="s">
        <v>35</v>
      </c>
      <c r="C584" s="58">
        <v>34</v>
      </c>
      <c r="D584" s="58" t="s">
        <v>361</v>
      </c>
      <c r="E584" s="58" t="s">
        <v>1849</v>
      </c>
      <c r="F584" s="58" t="s">
        <v>273</v>
      </c>
      <c r="G584" s="58" t="s">
        <v>273</v>
      </c>
      <c r="H584" s="58" t="s">
        <v>274</v>
      </c>
      <c r="I584" s="58" t="s">
        <v>274</v>
      </c>
      <c r="J584" s="58"/>
      <c r="K584" s="58"/>
      <c r="L584" s="58" t="s">
        <v>275</v>
      </c>
      <c r="M584" s="58" t="s">
        <v>35</v>
      </c>
      <c r="N584" s="58">
        <v>2.1309999999999998</v>
      </c>
      <c r="O584" s="58" t="s">
        <v>494</v>
      </c>
      <c r="P584" s="58" t="s">
        <v>106</v>
      </c>
      <c r="Q584" s="58" t="s">
        <v>107</v>
      </c>
      <c r="R584" s="58" t="s">
        <v>1850</v>
      </c>
      <c r="S584" s="58" t="s">
        <v>1851</v>
      </c>
      <c r="T584" s="58" t="s">
        <v>279</v>
      </c>
    </row>
    <row r="585" spans="1:20" ht="31.2">
      <c r="A585" s="58" t="s">
        <v>76</v>
      </c>
      <c r="B585" s="58" t="s">
        <v>35</v>
      </c>
      <c r="C585" s="58">
        <v>35</v>
      </c>
      <c r="D585" s="58" t="s">
        <v>521</v>
      </c>
      <c r="E585" s="58" t="s">
        <v>660</v>
      </c>
      <c r="F585" s="58" t="s">
        <v>273</v>
      </c>
      <c r="G585" s="58" t="s">
        <v>273</v>
      </c>
      <c r="H585" s="58" t="s">
        <v>274</v>
      </c>
      <c r="I585" s="58" t="s">
        <v>274</v>
      </c>
      <c r="J585" s="58"/>
      <c r="K585" s="58"/>
      <c r="L585" s="58" t="s">
        <v>351</v>
      </c>
      <c r="M585" s="58" t="s">
        <v>35</v>
      </c>
      <c r="N585" s="58">
        <v>1.4E-2</v>
      </c>
      <c r="O585" s="58" t="s">
        <v>539</v>
      </c>
      <c r="P585" s="58" t="s">
        <v>106</v>
      </c>
      <c r="Q585" s="58" t="s">
        <v>107</v>
      </c>
      <c r="R585" s="58" t="s">
        <v>1852</v>
      </c>
      <c r="S585" s="58" t="s">
        <v>1853</v>
      </c>
      <c r="T585" s="58" t="s">
        <v>279</v>
      </c>
    </row>
    <row r="586" spans="1:20" ht="31.2">
      <c r="A586" s="58" t="s">
        <v>76</v>
      </c>
      <c r="B586" s="58" t="s">
        <v>35</v>
      </c>
      <c r="C586" s="58">
        <v>36</v>
      </c>
      <c r="D586" s="58" t="s">
        <v>521</v>
      </c>
      <c r="E586" s="58" t="s">
        <v>580</v>
      </c>
      <c r="F586" s="58" t="s">
        <v>273</v>
      </c>
      <c r="G586" s="58" t="s">
        <v>273</v>
      </c>
      <c r="H586" s="58" t="s">
        <v>274</v>
      </c>
      <c r="I586" s="58" t="s">
        <v>274</v>
      </c>
      <c r="J586" s="58"/>
      <c r="K586" s="58"/>
      <c r="L586" s="58" t="s">
        <v>351</v>
      </c>
      <c r="M586" s="58" t="s">
        <v>35</v>
      </c>
      <c r="N586" s="58">
        <v>1.0999999999999999E-2</v>
      </c>
      <c r="O586" s="58" t="s">
        <v>539</v>
      </c>
      <c r="P586" s="58" t="s">
        <v>106</v>
      </c>
      <c r="Q586" s="58" t="s">
        <v>107</v>
      </c>
      <c r="R586" s="58" t="s">
        <v>1854</v>
      </c>
      <c r="S586" s="58" t="s">
        <v>1855</v>
      </c>
      <c r="T586" s="58" t="s">
        <v>279</v>
      </c>
    </row>
    <row r="587" spans="1:20" ht="31.2">
      <c r="A587" s="58" t="s">
        <v>76</v>
      </c>
      <c r="B587" s="58" t="s">
        <v>35</v>
      </c>
      <c r="C587" s="58">
        <v>37</v>
      </c>
      <c r="D587" s="58" t="s">
        <v>361</v>
      </c>
      <c r="E587" s="58" t="s">
        <v>1856</v>
      </c>
      <c r="F587" s="58" t="s">
        <v>273</v>
      </c>
      <c r="G587" s="58" t="s">
        <v>273</v>
      </c>
      <c r="H587" s="58" t="s">
        <v>274</v>
      </c>
      <c r="I587" s="58" t="s">
        <v>274</v>
      </c>
      <c r="J587" s="58"/>
      <c r="K587" s="58"/>
      <c r="L587" s="58" t="s">
        <v>275</v>
      </c>
      <c r="M587" s="58" t="s">
        <v>35</v>
      </c>
      <c r="N587" s="58">
        <v>4.5860000000000003</v>
      </c>
      <c r="O587" s="58" t="s">
        <v>494</v>
      </c>
      <c r="P587" s="58" t="s">
        <v>106</v>
      </c>
      <c r="Q587" s="58" t="s">
        <v>107</v>
      </c>
      <c r="R587" s="58" t="s">
        <v>1857</v>
      </c>
      <c r="S587" s="58" t="s">
        <v>1858</v>
      </c>
      <c r="T587" s="58" t="s">
        <v>279</v>
      </c>
    </row>
    <row r="588" spans="1:20" ht="31.2">
      <c r="A588" s="58" t="s">
        <v>76</v>
      </c>
      <c r="B588" s="58" t="s">
        <v>35</v>
      </c>
      <c r="C588" s="58">
        <v>38</v>
      </c>
      <c r="D588" s="58" t="s">
        <v>361</v>
      </c>
      <c r="E588" s="58" t="s">
        <v>1859</v>
      </c>
      <c r="F588" s="58" t="s">
        <v>273</v>
      </c>
      <c r="G588" s="58" t="s">
        <v>273</v>
      </c>
      <c r="H588" s="58" t="s">
        <v>274</v>
      </c>
      <c r="I588" s="58" t="s">
        <v>274</v>
      </c>
      <c r="J588" s="58"/>
      <c r="K588" s="58"/>
      <c r="L588" s="58" t="s">
        <v>275</v>
      </c>
      <c r="M588" s="58" t="s">
        <v>35</v>
      </c>
      <c r="N588" s="58">
        <v>3.7170000000000001</v>
      </c>
      <c r="O588" s="58" t="s">
        <v>494</v>
      </c>
      <c r="P588" s="58" t="s">
        <v>106</v>
      </c>
      <c r="Q588" s="58" t="s">
        <v>107</v>
      </c>
      <c r="R588" s="58" t="s">
        <v>1860</v>
      </c>
      <c r="S588" s="58" t="s">
        <v>1861</v>
      </c>
      <c r="T588" s="58" t="s">
        <v>279</v>
      </c>
    </row>
    <row r="589" spans="1:20" ht="31.2">
      <c r="A589" s="58" t="s">
        <v>76</v>
      </c>
      <c r="B589" s="58" t="s">
        <v>35</v>
      </c>
      <c r="C589" s="58">
        <v>39</v>
      </c>
      <c r="D589" s="58" t="s">
        <v>378</v>
      </c>
      <c r="E589" s="58" t="s">
        <v>1862</v>
      </c>
      <c r="F589" s="58" t="s">
        <v>273</v>
      </c>
      <c r="G589" s="58" t="s">
        <v>273</v>
      </c>
      <c r="H589" s="58" t="s">
        <v>274</v>
      </c>
      <c r="I589" s="58" t="s">
        <v>274</v>
      </c>
      <c r="J589" s="58"/>
      <c r="K589" s="58"/>
      <c r="L589" s="58" t="s">
        <v>288</v>
      </c>
      <c r="M589" s="58" t="s">
        <v>35</v>
      </c>
      <c r="N589" s="58">
        <v>4.9000000000000002E-2</v>
      </c>
      <c r="O589" s="58" t="s">
        <v>380</v>
      </c>
      <c r="P589" s="58" t="s">
        <v>106</v>
      </c>
      <c r="Q589" s="58" t="s">
        <v>107</v>
      </c>
      <c r="R589" s="58" t="s">
        <v>1863</v>
      </c>
      <c r="S589" s="58" t="s">
        <v>1864</v>
      </c>
      <c r="T589" s="58" t="s">
        <v>279</v>
      </c>
    </row>
    <row r="590" spans="1:20" ht="31.2">
      <c r="A590" s="58" t="s">
        <v>76</v>
      </c>
      <c r="B590" s="58" t="s">
        <v>35</v>
      </c>
      <c r="C590" s="58">
        <v>40</v>
      </c>
      <c r="D590" s="58" t="s">
        <v>479</v>
      </c>
      <c r="E590" s="58" t="s">
        <v>1862</v>
      </c>
      <c r="F590" s="58" t="s">
        <v>273</v>
      </c>
      <c r="G590" s="58" t="s">
        <v>273</v>
      </c>
      <c r="H590" s="58" t="s">
        <v>274</v>
      </c>
      <c r="I590" s="58" t="s">
        <v>273</v>
      </c>
      <c r="J590" s="58" t="s">
        <v>273</v>
      </c>
      <c r="K590" s="58"/>
      <c r="L590" s="58" t="s">
        <v>288</v>
      </c>
      <c r="M590" s="58" t="s">
        <v>35</v>
      </c>
      <c r="N590" s="58">
        <v>4.7E-2</v>
      </c>
      <c r="O590" s="58" t="s">
        <v>554</v>
      </c>
      <c r="P590" s="58" t="s">
        <v>106</v>
      </c>
      <c r="Q590" s="58" t="s">
        <v>107</v>
      </c>
      <c r="R590" s="58" t="s">
        <v>1865</v>
      </c>
      <c r="S590" s="58" t="s">
        <v>1866</v>
      </c>
      <c r="T590" s="58" t="s">
        <v>279</v>
      </c>
    </row>
    <row r="591" spans="1:20" ht="31.2">
      <c r="A591" s="58" t="s">
        <v>76</v>
      </c>
      <c r="B591" s="58" t="s">
        <v>35</v>
      </c>
      <c r="C591" s="58">
        <v>41</v>
      </c>
      <c r="D591" s="58" t="s">
        <v>479</v>
      </c>
      <c r="E591" s="58" t="s">
        <v>1862</v>
      </c>
      <c r="F591" s="58" t="s">
        <v>273</v>
      </c>
      <c r="G591" s="58" t="s">
        <v>273</v>
      </c>
      <c r="H591" s="58" t="s">
        <v>274</v>
      </c>
      <c r="I591" s="58" t="s">
        <v>273</v>
      </c>
      <c r="J591" s="58" t="s">
        <v>273</v>
      </c>
      <c r="K591" s="58"/>
      <c r="L591" s="58" t="s">
        <v>288</v>
      </c>
      <c r="M591" s="58" t="s">
        <v>35</v>
      </c>
      <c r="N591" s="58">
        <v>0.02</v>
      </c>
      <c r="O591" s="58" t="s">
        <v>554</v>
      </c>
      <c r="P591" s="58" t="s">
        <v>106</v>
      </c>
      <c r="Q591" s="58" t="s">
        <v>107</v>
      </c>
      <c r="R591" s="58" t="s">
        <v>1867</v>
      </c>
      <c r="S591" s="58" t="s">
        <v>1868</v>
      </c>
      <c r="T591" s="58" t="s">
        <v>279</v>
      </c>
    </row>
    <row r="592" spans="1:20" ht="31.2">
      <c r="A592" s="58" t="s">
        <v>76</v>
      </c>
      <c r="B592" s="58" t="s">
        <v>35</v>
      </c>
      <c r="C592" s="58">
        <v>42</v>
      </c>
      <c r="D592" s="58" t="s">
        <v>479</v>
      </c>
      <c r="E592" s="58" t="s">
        <v>1862</v>
      </c>
      <c r="F592" s="58" t="s">
        <v>273</v>
      </c>
      <c r="G592" s="58" t="s">
        <v>273</v>
      </c>
      <c r="H592" s="58" t="s">
        <v>274</v>
      </c>
      <c r="I592" s="58" t="s">
        <v>273</v>
      </c>
      <c r="J592" s="58" t="s">
        <v>273</v>
      </c>
      <c r="K592" s="58"/>
      <c r="L592" s="58" t="s">
        <v>288</v>
      </c>
      <c r="M592" s="58" t="s">
        <v>35</v>
      </c>
      <c r="N592" s="58">
        <v>1.6E-2</v>
      </c>
      <c r="O592" s="58" t="s">
        <v>554</v>
      </c>
      <c r="P592" s="58" t="s">
        <v>106</v>
      </c>
      <c r="Q592" s="58" t="s">
        <v>107</v>
      </c>
      <c r="R592" s="58" t="s">
        <v>1869</v>
      </c>
      <c r="S592" s="58" t="s">
        <v>1870</v>
      </c>
      <c r="T592" s="58" t="s">
        <v>279</v>
      </c>
    </row>
    <row r="593" spans="1:20" ht="31.2">
      <c r="A593" s="58" t="s">
        <v>76</v>
      </c>
      <c r="B593" s="58" t="s">
        <v>35</v>
      </c>
      <c r="C593" s="58">
        <v>43</v>
      </c>
      <c r="D593" s="58" t="s">
        <v>361</v>
      </c>
      <c r="E593" s="58" t="s">
        <v>1871</v>
      </c>
      <c r="F593" s="58" t="s">
        <v>273</v>
      </c>
      <c r="G593" s="58" t="s">
        <v>273</v>
      </c>
      <c r="H593" s="58" t="s">
        <v>274</v>
      </c>
      <c r="I593" s="58" t="s">
        <v>274</v>
      </c>
      <c r="J593" s="58"/>
      <c r="K593" s="58"/>
      <c r="L593" s="58" t="s">
        <v>288</v>
      </c>
      <c r="M593" s="58" t="s">
        <v>35</v>
      </c>
      <c r="N593" s="58">
        <v>49.499000000000002</v>
      </c>
      <c r="O593" s="58" t="s">
        <v>494</v>
      </c>
      <c r="P593" s="58" t="s">
        <v>106</v>
      </c>
      <c r="Q593" s="58" t="s">
        <v>107</v>
      </c>
      <c r="R593" s="58" t="s">
        <v>1872</v>
      </c>
      <c r="S593" s="58" t="s">
        <v>1873</v>
      </c>
      <c r="T593" s="58" t="s">
        <v>279</v>
      </c>
    </row>
    <row r="594" spans="1:20" ht="31.2">
      <c r="A594" s="58" t="s">
        <v>76</v>
      </c>
      <c r="B594" s="58" t="s">
        <v>35</v>
      </c>
      <c r="C594" s="58">
        <v>44</v>
      </c>
      <c r="D594" s="58" t="s">
        <v>361</v>
      </c>
      <c r="E594" s="58" t="s">
        <v>1874</v>
      </c>
      <c r="F594" s="58" t="s">
        <v>273</v>
      </c>
      <c r="G594" s="58" t="s">
        <v>273</v>
      </c>
      <c r="H594" s="58" t="s">
        <v>274</v>
      </c>
      <c r="I594" s="58" t="s">
        <v>274</v>
      </c>
      <c r="J594" s="58"/>
      <c r="K594" s="58"/>
      <c r="L594" s="58" t="s">
        <v>288</v>
      </c>
      <c r="M594" s="58" t="s">
        <v>35</v>
      </c>
      <c r="N594" s="58">
        <v>1.6859999999999999</v>
      </c>
      <c r="O594" s="58" t="s">
        <v>494</v>
      </c>
      <c r="P594" s="58" t="s">
        <v>106</v>
      </c>
      <c r="Q594" s="58" t="s">
        <v>107</v>
      </c>
      <c r="R594" s="58" t="s">
        <v>1875</v>
      </c>
      <c r="S594" s="58" t="s">
        <v>1876</v>
      </c>
      <c r="T594" s="58" t="s">
        <v>279</v>
      </c>
    </row>
    <row r="595" spans="1:20" ht="31.2">
      <c r="A595" s="58" t="s">
        <v>76</v>
      </c>
      <c r="B595" s="58" t="s">
        <v>35</v>
      </c>
      <c r="C595" s="58">
        <v>45</v>
      </c>
      <c r="D595" s="58" t="s">
        <v>479</v>
      </c>
      <c r="E595" s="58" t="s">
        <v>1862</v>
      </c>
      <c r="F595" s="58" t="s">
        <v>273</v>
      </c>
      <c r="G595" s="58" t="s">
        <v>273</v>
      </c>
      <c r="H595" s="58" t="s">
        <v>274</v>
      </c>
      <c r="I595" s="58" t="s">
        <v>273</v>
      </c>
      <c r="J595" s="58" t="s">
        <v>273</v>
      </c>
      <c r="K595" s="58"/>
      <c r="L595" s="58" t="s">
        <v>288</v>
      </c>
      <c r="M595" s="58" t="s">
        <v>35</v>
      </c>
      <c r="N595" s="58">
        <v>3.6999999999999998E-2</v>
      </c>
      <c r="O595" s="58" t="s">
        <v>554</v>
      </c>
      <c r="P595" s="58" t="s">
        <v>106</v>
      </c>
      <c r="Q595" s="58" t="s">
        <v>107</v>
      </c>
      <c r="R595" s="58" t="s">
        <v>1877</v>
      </c>
      <c r="S595" s="58" t="s">
        <v>1878</v>
      </c>
      <c r="T595" s="58" t="s">
        <v>279</v>
      </c>
    </row>
    <row r="596" spans="1:20" ht="31.2">
      <c r="A596" s="58" t="s">
        <v>76</v>
      </c>
      <c r="B596" s="58" t="s">
        <v>35</v>
      </c>
      <c r="C596" s="58">
        <v>46</v>
      </c>
      <c r="D596" s="58" t="s">
        <v>479</v>
      </c>
      <c r="E596" s="58" t="s">
        <v>1862</v>
      </c>
      <c r="F596" s="58" t="s">
        <v>273</v>
      </c>
      <c r="G596" s="58" t="s">
        <v>273</v>
      </c>
      <c r="H596" s="58" t="s">
        <v>274</v>
      </c>
      <c r="I596" s="58" t="s">
        <v>273</v>
      </c>
      <c r="J596" s="58" t="s">
        <v>273</v>
      </c>
      <c r="K596" s="58"/>
      <c r="L596" s="58" t="s">
        <v>288</v>
      </c>
      <c r="M596" s="58" t="s">
        <v>35</v>
      </c>
      <c r="N596" s="58">
        <v>1.7999999999999999E-2</v>
      </c>
      <c r="O596" s="58" t="s">
        <v>554</v>
      </c>
      <c r="P596" s="58" t="s">
        <v>106</v>
      </c>
      <c r="Q596" s="58" t="s">
        <v>107</v>
      </c>
      <c r="R596" s="58" t="s">
        <v>1879</v>
      </c>
      <c r="S596" s="58" t="s">
        <v>1880</v>
      </c>
      <c r="T596" s="58" t="s">
        <v>279</v>
      </c>
    </row>
    <row r="597" spans="1:20" ht="31.2">
      <c r="A597" s="58" t="s">
        <v>76</v>
      </c>
      <c r="B597" s="58" t="s">
        <v>35</v>
      </c>
      <c r="C597" s="58">
        <v>47</v>
      </c>
      <c r="D597" s="58" t="s">
        <v>479</v>
      </c>
      <c r="E597" s="58" t="s">
        <v>1862</v>
      </c>
      <c r="F597" s="58" t="s">
        <v>273</v>
      </c>
      <c r="G597" s="58" t="s">
        <v>273</v>
      </c>
      <c r="H597" s="58" t="s">
        <v>274</v>
      </c>
      <c r="I597" s="58" t="s">
        <v>273</v>
      </c>
      <c r="J597" s="58" t="s">
        <v>273</v>
      </c>
      <c r="K597" s="58"/>
      <c r="L597" s="58" t="s">
        <v>288</v>
      </c>
      <c r="M597" s="58" t="s">
        <v>35</v>
      </c>
      <c r="N597" s="58">
        <v>1.7999999999999999E-2</v>
      </c>
      <c r="O597" s="58" t="s">
        <v>554</v>
      </c>
      <c r="P597" s="58" t="s">
        <v>106</v>
      </c>
      <c r="Q597" s="58" t="s">
        <v>107</v>
      </c>
      <c r="R597" s="58" t="s">
        <v>1881</v>
      </c>
      <c r="S597" s="58" t="s">
        <v>1882</v>
      </c>
      <c r="T597" s="58" t="s">
        <v>279</v>
      </c>
    </row>
    <row r="598" spans="1:20" ht="31.2">
      <c r="A598" s="58" t="s">
        <v>76</v>
      </c>
      <c r="B598" s="58" t="s">
        <v>35</v>
      </c>
      <c r="C598" s="58">
        <v>48</v>
      </c>
      <c r="D598" s="58" t="s">
        <v>479</v>
      </c>
      <c r="E598" s="58" t="s">
        <v>1862</v>
      </c>
      <c r="F598" s="58" t="s">
        <v>273</v>
      </c>
      <c r="G598" s="58" t="s">
        <v>273</v>
      </c>
      <c r="H598" s="58" t="s">
        <v>274</v>
      </c>
      <c r="I598" s="58" t="s">
        <v>273</v>
      </c>
      <c r="J598" s="58" t="s">
        <v>273</v>
      </c>
      <c r="K598" s="58"/>
      <c r="L598" s="58" t="s">
        <v>288</v>
      </c>
      <c r="M598" s="58" t="s">
        <v>35</v>
      </c>
      <c r="N598" s="58">
        <v>2.3E-2</v>
      </c>
      <c r="O598" s="58" t="s">
        <v>554</v>
      </c>
      <c r="P598" s="58" t="s">
        <v>106</v>
      </c>
      <c r="Q598" s="58" t="s">
        <v>107</v>
      </c>
      <c r="R598" s="58" t="s">
        <v>1883</v>
      </c>
      <c r="S598" s="58" t="s">
        <v>1884</v>
      </c>
      <c r="T598" s="58" t="s">
        <v>279</v>
      </c>
    </row>
    <row r="599" spans="1:20" ht="31.2">
      <c r="A599" s="58" t="s">
        <v>76</v>
      </c>
      <c r="B599" s="58" t="s">
        <v>35</v>
      </c>
      <c r="C599" s="58">
        <v>49</v>
      </c>
      <c r="D599" s="58" t="s">
        <v>479</v>
      </c>
      <c r="E599" s="58" t="s">
        <v>1862</v>
      </c>
      <c r="F599" s="58" t="s">
        <v>273</v>
      </c>
      <c r="G599" s="58" t="s">
        <v>273</v>
      </c>
      <c r="H599" s="58" t="s">
        <v>274</v>
      </c>
      <c r="I599" s="58" t="s">
        <v>273</v>
      </c>
      <c r="J599" s="58" t="s">
        <v>273</v>
      </c>
      <c r="K599" s="58"/>
      <c r="L599" s="58" t="s">
        <v>288</v>
      </c>
      <c r="M599" s="58" t="s">
        <v>35</v>
      </c>
      <c r="N599" s="58">
        <v>1.7999999999999999E-2</v>
      </c>
      <c r="O599" s="58" t="s">
        <v>554</v>
      </c>
      <c r="P599" s="58" t="s">
        <v>106</v>
      </c>
      <c r="Q599" s="58" t="s">
        <v>107</v>
      </c>
      <c r="R599" s="58" t="s">
        <v>1885</v>
      </c>
      <c r="S599" s="58" t="s">
        <v>1886</v>
      </c>
      <c r="T599" s="58" t="s">
        <v>279</v>
      </c>
    </row>
    <row r="600" spans="1:20" ht="31.2">
      <c r="A600" s="58" t="s">
        <v>76</v>
      </c>
      <c r="B600" s="58" t="s">
        <v>35</v>
      </c>
      <c r="C600" s="58">
        <v>50</v>
      </c>
      <c r="D600" s="58" t="s">
        <v>479</v>
      </c>
      <c r="E600" s="58" t="s">
        <v>1862</v>
      </c>
      <c r="F600" s="58" t="s">
        <v>273</v>
      </c>
      <c r="G600" s="58" t="s">
        <v>273</v>
      </c>
      <c r="H600" s="58" t="s">
        <v>274</v>
      </c>
      <c r="I600" s="58" t="s">
        <v>273</v>
      </c>
      <c r="J600" s="58" t="s">
        <v>273</v>
      </c>
      <c r="K600" s="58"/>
      <c r="L600" s="58" t="s">
        <v>288</v>
      </c>
      <c r="M600" s="58" t="s">
        <v>35</v>
      </c>
      <c r="N600" s="58">
        <v>3.5000000000000003E-2</v>
      </c>
      <c r="O600" s="58" t="s">
        <v>554</v>
      </c>
      <c r="P600" s="58" t="s">
        <v>106</v>
      </c>
      <c r="Q600" s="58" t="s">
        <v>107</v>
      </c>
      <c r="R600" s="58" t="s">
        <v>1887</v>
      </c>
      <c r="S600" s="58" t="s">
        <v>1888</v>
      </c>
      <c r="T600" s="58" t="s">
        <v>279</v>
      </c>
    </row>
    <row r="601" spans="1:20" ht="31.2">
      <c r="A601" s="58" t="s">
        <v>76</v>
      </c>
      <c r="B601" s="58" t="s">
        <v>35</v>
      </c>
      <c r="C601" s="58">
        <v>51</v>
      </c>
      <c r="D601" s="58" t="s">
        <v>479</v>
      </c>
      <c r="E601" s="58" t="s">
        <v>1862</v>
      </c>
      <c r="F601" s="58" t="s">
        <v>273</v>
      </c>
      <c r="G601" s="58" t="s">
        <v>273</v>
      </c>
      <c r="H601" s="58" t="s">
        <v>274</v>
      </c>
      <c r="I601" s="58" t="s">
        <v>273</v>
      </c>
      <c r="J601" s="58" t="s">
        <v>273</v>
      </c>
      <c r="K601" s="58"/>
      <c r="L601" s="58" t="s">
        <v>288</v>
      </c>
      <c r="M601" s="58" t="s">
        <v>35</v>
      </c>
      <c r="N601" s="58">
        <v>1.4999999999999999E-2</v>
      </c>
      <c r="O601" s="58" t="s">
        <v>554</v>
      </c>
      <c r="P601" s="58" t="s">
        <v>106</v>
      </c>
      <c r="Q601" s="58" t="s">
        <v>107</v>
      </c>
      <c r="R601" s="58" t="s">
        <v>1889</v>
      </c>
      <c r="S601" s="58" t="s">
        <v>1890</v>
      </c>
      <c r="T601" s="58" t="s">
        <v>279</v>
      </c>
    </row>
    <row r="602" spans="1:20" ht="31.2">
      <c r="A602" s="58" t="s">
        <v>76</v>
      </c>
      <c r="B602" s="58" t="s">
        <v>35</v>
      </c>
      <c r="C602" s="58">
        <v>52</v>
      </c>
      <c r="D602" s="58" t="s">
        <v>361</v>
      </c>
      <c r="E602" s="58" t="s">
        <v>1891</v>
      </c>
      <c r="F602" s="58" t="s">
        <v>273</v>
      </c>
      <c r="G602" s="58" t="s">
        <v>273</v>
      </c>
      <c r="H602" s="58" t="s">
        <v>274</v>
      </c>
      <c r="I602" s="58" t="s">
        <v>274</v>
      </c>
      <c r="J602" s="58"/>
      <c r="K602" s="58"/>
      <c r="L602" s="58" t="s">
        <v>288</v>
      </c>
      <c r="M602" s="58" t="s">
        <v>35</v>
      </c>
      <c r="N602" s="58">
        <v>1.012</v>
      </c>
      <c r="O602" s="58" t="s">
        <v>494</v>
      </c>
      <c r="P602" s="58" t="s">
        <v>106</v>
      </c>
      <c r="Q602" s="58" t="s">
        <v>107</v>
      </c>
      <c r="R602" s="58" t="s">
        <v>1892</v>
      </c>
      <c r="S602" s="58" t="s">
        <v>1893</v>
      </c>
      <c r="T602" s="58" t="s">
        <v>279</v>
      </c>
    </row>
    <row r="603" spans="1:20" ht="31.2">
      <c r="A603" s="58" t="s">
        <v>76</v>
      </c>
      <c r="B603" s="58" t="s">
        <v>35</v>
      </c>
      <c r="C603" s="58">
        <v>53</v>
      </c>
      <c r="D603" s="58" t="s">
        <v>361</v>
      </c>
      <c r="E603" s="58" t="s">
        <v>1894</v>
      </c>
      <c r="F603" s="58" t="s">
        <v>273</v>
      </c>
      <c r="G603" s="58" t="s">
        <v>273</v>
      </c>
      <c r="H603" s="58" t="s">
        <v>274</v>
      </c>
      <c r="I603" s="58" t="s">
        <v>274</v>
      </c>
      <c r="J603" s="58"/>
      <c r="K603" s="58"/>
      <c r="L603" s="58" t="s">
        <v>288</v>
      </c>
      <c r="M603" s="58" t="s">
        <v>35</v>
      </c>
      <c r="N603" s="58">
        <v>43.07</v>
      </c>
      <c r="O603" s="58" t="s">
        <v>494</v>
      </c>
      <c r="P603" s="58" t="s">
        <v>106</v>
      </c>
      <c r="Q603" s="58" t="s">
        <v>107</v>
      </c>
      <c r="R603" s="58" t="s">
        <v>1895</v>
      </c>
      <c r="S603" s="58" t="s">
        <v>1896</v>
      </c>
      <c r="T603" s="58" t="s">
        <v>279</v>
      </c>
    </row>
    <row r="604" spans="1:20" ht="31.2">
      <c r="A604" s="58" t="s">
        <v>76</v>
      </c>
      <c r="B604" s="58" t="s">
        <v>35</v>
      </c>
      <c r="C604" s="58">
        <v>54</v>
      </c>
      <c r="D604" s="58" t="s">
        <v>521</v>
      </c>
      <c r="E604" s="58" t="s">
        <v>657</v>
      </c>
      <c r="F604" s="58" t="s">
        <v>273</v>
      </c>
      <c r="G604" s="58" t="s">
        <v>273</v>
      </c>
      <c r="H604" s="58" t="s">
        <v>274</v>
      </c>
      <c r="I604" s="58" t="s">
        <v>274</v>
      </c>
      <c r="J604" s="58"/>
      <c r="K604" s="58"/>
      <c r="L604" s="58" t="s">
        <v>351</v>
      </c>
      <c r="M604" s="58" t="s">
        <v>35</v>
      </c>
      <c r="N604" s="58">
        <v>2.8000000000000001E-2</v>
      </c>
      <c r="O604" s="58" t="s">
        <v>539</v>
      </c>
      <c r="P604" s="58" t="s">
        <v>106</v>
      </c>
      <c r="Q604" s="58" t="s">
        <v>107</v>
      </c>
      <c r="R604" s="58" t="s">
        <v>1897</v>
      </c>
      <c r="S604" s="58" t="s">
        <v>1898</v>
      </c>
      <c r="T604" s="58" t="s">
        <v>279</v>
      </c>
    </row>
    <row r="605" spans="1:20" ht="31.2">
      <c r="A605" s="58" t="s">
        <v>76</v>
      </c>
      <c r="B605" s="58" t="s">
        <v>35</v>
      </c>
      <c r="C605" s="58">
        <v>55</v>
      </c>
      <c r="D605" s="58" t="s">
        <v>521</v>
      </c>
      <c r="E605" s="58" t="s">
        <v>663</v>
      </c>
      <c r="F605" s="58" t="s">
        <v>273</v>
      </c>
      <c r="G605" s="58" t="s">
        <v>273</v>
      </c>
      <c r="H605" s="58" t="s">
        <v>274</v>
      </c>
      <c r="I605" s="58" t="s">
        <v>274</v>
      </c>
      <c r="J605" s="58"/>
      <c r="K605" s="58"/>
      <c r="L605" s="58" t="s">
        <v>351</v>
      </c>
      <c r="M605" s="58" t="s">
        <v>35</v>
      </c>
      <c r="N605" s="58">
        <v>1.4999999999999999E-2</v>
      </c>
      <c r="O605" s="58" t="s">
        <v>539</v>
      </c>
      <c r="P605" s="58" t="s">
        <v>106</v>
      </c>
      <c r="Q605" s="58" t="s">
        <v>107</v>
      </c>
      <c r="R605" s="58" t="s">
        <v>1899</v>
      </c>
      <c r="S605" s="58" t="s">
        <v>1900</v>
      </c>
      <c r="T605" s="58" t="s">
        <v>279</v>
      </c>
    </row>
    <row r="606" spans="1:20" ht="31.2">
      <c r="A606" s="58" t="s">
        <v>76</v>
      </c>
      <c r="B606" s="58" t="s">
        <v>35</v>
      </c>
      <c r="C606" s="58">
        <v>56</v>
      </c>
      <c r="D606" s="58" t="s">
        <v>378</v>
      </c>
      <c r="E606" s="58" t="s">
        <v>1901</v>
      </c>
      <c r="F606" s="58" t="s">
        <v>273</v>
      </c>
      <c r="G606" s="58" t="s">
        <v>273</v>
      </c>
      <c r="H606" s="58" t="s">
        <v>274</v>
      </c>
      <c r="I606" s="58" t="s">
        <v>274</v>
      </c>
      <c r="J606" s="58"/>
      <c r="K606" s="58"/>
      <c r="L606" s="58" t="s">
        <v>288</v>
      </c>
      <c r="M606" s="58" t="s">
        <v>35</v>
      </c>
      <c r="N606" s="58">
        <v>3.9E-2</v>
      </c>
      <c r="O606" s="58" t="s">
        <v>380</v>
      </c>
      <c r="P606" s="58" t="s">
        <v>106</v>
      </c>
      <c r="Q606" s="58" t="s">
        <v>107</v>
      </c>
      <c r="R606" s="58" t="s">
        <v>1902</v>
      </c>
      <c r="S606" s="58" t="s">
        <v>1903</v>
      </c>
      <c r="T606" s="58" t="s">
        <v>279</v>
      </c>
    </row>
    <row r="607" spans="1:20" ht="31.2">
      <c r="A607" s="58" t="s">
        <v>76</v>
      </c>
      <c r="B607" s="58" t="s">
        <v>35</v>
      </c>
      <c r="C607" s="58">
        <v>57</v>
      </c>
      <c r="D607" s="58" t="s">
        <v>479</v>
      </c>
      <c r="E607" s="58" t="s">
        <v>1901</v>
      </c>
      <c r="F607" s="58" t="s">
        <v>273</v>
      </c>
      <c r="G607" s="58" t="s">
        <v>273</v>
      </c>
      <c r="H607" s="58" t="s">
        <v>274</v>
      </c>
      <c r="I607" s="58" t="s">
        <v>273</v>
      </c>
      <c r="J607" s="58" t="s">
        <v>273</v>
      </c>
      <c r="K607" s="58"/>
      <c r="L607" s="58" t="s">
        <v>288</v>
      </c>
      <c r="M607" s="58" t="s">
        <v>35</v>
      </c>
      <c r="N607" s="58">
        <v>2.4E-2</v>
      </c>
      <c r="O607" s="58" t="s">
        <v>554</v>
      </c>
      <c r="P607" s="58" t="s">
        <v>106</v>
      </c>
      <c r="Q607" s="58" t="s">
        <v>107</v>
      </c>
      <c r="R607" s="58" t="s">
        <v>1904</v>
      </c>
      <c r="S607" s="58" t="s">
        <v>1905</v>
      </c>
      <c r="T607" s="58" t="s">
        <v>279</v>
      </c>
    </row>
    <row r="608" spans="1:20" ht="31.2">
      <c r="A608" s="58" t="s">
        <v>76</v>
      </c>
      <c r="B608" s="58" t="s">
        <v>35</v>
      </c>
      <c r="C608" s="58">
        <v>58</v>
      </c>
      <c r="D608" s="58" t="s">
        <v>479</v>
      </c>
      <c r="E608" s="58" t="s">
        <v>1901</v>
      </c>
      <c r="F608" s="58" t="s">
        <v>273</v>
      </c>
      <c r="G608" s="58" t="s">
        <v>273</v>
      </c>
      <c r="H608" s="58" t="s">
        <v>274</v>
      </c>
      <c r="I608" s="58" t="s">
        <v>273</v>
      </c>
      <c r="J608" s="58" t="s">
        <v>273</v>
      </c>
      <c r="K608" s="58"/>
      <c r="L608" s="58" t="s">
        <v>288</v>
      </c>
      <c r="M608" s="58" t="s">
        <v>35</v>
      </c>
      <c r="N608" s="58">
        <v>1.4E-2</v>
      </c>
      <c r="O608" s="58" t="s">
        <v>554</v>
      </c>
      <c r="P608" s="58" t="s">
        <v>106</v>
      </c>
      <c r="Q608" s="58" t="s">
        <v>107</v>
      </c>
      <c r="R608" s="58" t="s">
        <v>1906</v>
      </c>
      <c r="S608" s="58" t="s">
        <v>1907</v>
      </c>
      <c r="T608" s="58" t="s">
        <v>279</v>
      </c>
    </row>
    <row r="609" spans="1:20" ht="31.2">
      <c r="A609" s="58" t="s">
        <v>76</v>
      </c>
      <c r="B609" s="58" t="s">
        <v>35</v>
      </c>
      <c r="C609" s="58">
        <v>59</v>
      </c>
      <c r="D609" s="58" t="s">
        <v>361</v>
      </c>
      <c r="E609" s="58" t="s">
        <v>685</v>
      </c>
      <c r="F609" s="58" t="s">
        <v>273</v>
      </c>
      <c r="G609" s="58" t="s">
        <v>273</v>
      </c>
      <c r="H609" s="58" t="s">
        <v>274</v>
      </c>
      <c r="I609" s="58" t="s">
        <v>274</v>
      </c>
      <c r="J609" s="58"/>
      <c r="K609" s="58"/>
      <c r="L609" s="58" t="s">
        <v>288</v>
      </c>
      <c r="M609" s="58" t="s">
        <v>35</v>
      </c>
      <c r="N609" s="58">
        <v>1.5660000000000001</v>
      </c>
      <c r="O609" s="58" t="s">
        <v>494</v>
      </c>
      <c r="P609" s="58" t="s">
        <v>106</v>
      </c>
      <c r="Q609" s="58" t="s">
        <v>107</v>
      </c>
      <c r="R609" s="58" t="s">
        <v>1908</v>
      </c>
      <c r="S609" s="58" t="s">
        <v>1909</v>
      </c>
      <c r="T609" s="58" t="s">
        <v>279</v>
      </c>
    </row>
    <row r="610" spans="1:20" ht="31.2">
      <c r="A610" s="58" t="s">
        <v>76</v>
      </c>
      <c r="B610" s="58" t="s">
        <v>35</v>
      </c>
      <c r="C610" s="58">
        <v>60</v>
      </c>
      <c r="D610" s="58" t="s">
        <v>361</v>
      </c>
      <c r="E610" s="58" t="s">
        <v>1910</v>
      </c>
      <c r="F610" s="58" t="s">
        <v>273</v>
      </c>
      <c r="G610" s="58" t="s">
        <v>273</v>
      </c>
      <c r="H610" s="58" t="s">
        <v>274</v>
      </c>
      <c r="I610" s="58" t="s">
        <v>274</v>
      </c>
      <c r="J610" s="58"/>
      <c r="K610" s="58"/>
      <c r="L610" s="58" t="s">
        <v>288</v>
      </c>
      <c r="M610" s="58" t="s">
        <v>35</v>
      </c>
      <c r="N610" s="58">
        <v>0.92300000000000004</v>
      </c>
      <c r="O610" s="58" t="s">
        <v>494</v>
      </c>
      <c r="P610" s="58" t="s">
        <v>106</v>
      </c>
      <c r="Q610" s="58" t="s">
        <v>107</v>
      </c>
      <c r="R610" s="58" t="s">
        <v>1911</v>
      </c>
      <c r="S610" s="58" t="s">
        <v>1912</v>
      </c>
      <c r="T610" s="58" t="s">
        <v>279</v>
      </c>
    </row>
    <row r="611" spans="1:20" ht="31.2">
      <c r="A611" s="58" t="s">
        <v>76</v>
      </c>
      <c r="B611" s="58" t="s">
        <v>35</v>
      </c>
      <c r="C611" s="58">
        <v>61</v>
      </c>
      <c r="D611" s="58" t="s">
        <v>361</v>
      </c>
      <c r="E611" s="58" t="s">
        <v>1913</v>
      </c>
      <c r="F611" s="58" t="s">
        <v>273</v>
      </c>
      <c r="G611" s="58" t="s">
        <v>273</v>
      </c>
      <c r="H611" s="58" t="s">
        <v>274</v>
      </c>
      <c r="I611" s="58" t="s">
        <v>274</v>
      </c>
      <c r="J611" s="58"/>
      <c r="K611" s="58"/>
      <c r="L611" s="58" t="s">
        <v>288</v>
      </c>
      <c r="M611" s="58" t="s">
        <v>35</v>
      </c>
      <c r="N611" s="58">
        <v>0.77600000000000002</v>
      </c>
      <c r="O611" s="58" t="s">
        <v>494</v>
      </c>
      <c r="P611" s="58" t="s">
        <v>106</v>
      </c>
      <c r="Q611" s="58" t="s">
        <v>107</v>
      </c>
      <c r="R611" s="58" t="s">
        <v>1914</v>
      </c>
      <c r="S611" s="58" t="s">
        <v>1915</v>
      </c>
      <c r="T611" s="58" t="s">
        <v>279</v>
      </c>
    </row>
    <row r="612" spans="1:20" ht="31.2">
      <c r="A612" s="58" t="s">
        <v>76</v>
      </c>
      <c r="B612" s="58" t="s">
        <v>35</v>
      </c>
      <c r="C612" s="58">
        <v>62</v>
      </c>
      <c r="D612" s="58" t="s">
        <v>361</v>
      </c>
      <c r="E612" s="58" t="s">
        <v>1916</v>
      </c>
      <c r="F612" s="58" t="s">
        <v>273</v>
      </c>
      <c r="G612" s="58" t="s">
        <v>273</v>
      </c>
      <c r="H612" s="58" t="s">
        <v>274</v>
      </c>
      <c r="I612" s="58" t="s">
        <v>274</v>
      </c>
      <c r="J612" s="58"/>
      <c r="K612" s="58"/>
      <c r="L612" s="58" t="s">
        <v>351</v>
      </c>
      <c r="M612" s="58" t="s">
        <v>35</v>
      </c>
      <c r="N612" s="58">
        <v>0.48899999999999999</v>
      </c>
      <c r="O612" s="58" t="s">
        <v>494</v>
      </c>
      <c r="P612" s="58" t="s">
        <v>106</v>
      </c>
      <c r="Q612" s="58" t="s">
        <v>107</v>
      </c>
      <c r="R612" s="58" t="s">
        <v>1917</v>
      </c>
      <c r="S612" s="58" t="s">
        <v>1918</v>
      </c>
      <c r="T612" s="58" t="s">
        <v>279</v>
      </c>
    </row>
    <row r="613" spans="1:20" ht="31.2">
      <c r="A613" s="58" t="s">
        <v>76</v>
      </c>
      <c r="B613" s="58" t="s">
        <v>35</v>
      </c>
      <c r="C613" s="58">
        <v>63</v>
      </c>
      <c r="D613" s="58" t="s">
        <v>361</v>
      </c>
      <c r="E613" s="58" t="s">
        <v>1919</v>
      </c>
      <c r="F613" s="58" t="s">
        <v>273</v>
      </c>
      <c r="G613" s="58" t="s">
        <v>273</v>
      </c>
      <c r="H613" s="58" t="s">
        <v>274</v>
      </c>
      <c r="I613" s="58" t="s">
        <v>274</v>
      </c>
      <c r="J613" s="58"/>
      <c r="K613" s="58"/>
      <c r="L613" s="58" t="s">
        <v>288</v>
      </c>
      <c r="M613" s="58" t="s">
        <v>35</v>
      </c>
      <c r="N613" s="58">
        <v>0.33200000000000002</v>
      </c>
      <c r="O613" s="58" t="s">
        <v>494</v>
      </c>
      <c r="P613" s="58" t="s">
        <v>106</v>
      </c>
      <c r="Q613" s="58" t="s">
        <v>107</v>
      </c>
      <c r="R613" s="58" t="s">
        <v>1920</v>
      </c>
      <c r="S613" s="58" t="s">
        <v>1921</v>
      </c>
      <c r="T613" s="58" t="s">
        <v>279</v>
      </c>
    </row>
    <row r="614" spans="1:20" ht="31.2">
      <c r="A614" s="58" t="s">
        <v>76</v>
      </c>
      <c r="B614" s="58" t="s">
        <v>35</v>
      </c>
      <c r="C614" s="58">
        <v>64</v>
      </c>
      <c r="D614" s="58" t="s">
        <v>361</v>
      </c>
      <c r="E614" s="58" t="s">
        <v>1922</v>
      </c>
      <c r="F614" s="58" t="s">
        <v>273</v>
      </c>
      <c r="G614" s="58" t="s">
        <v>273</v>
      </c>
      <c r="H614" s="58" t="s">
        <v>274</v>
      </c>
      <c r="I614" s="58" t="s">
        <v>274</v>
      </c>
      <c r="J614" s="58"/>
      <c r="K614" s="58"/>
      <c r="L614" s="58" t="s">
        <v>288</v>
      </c>
      <c r="M614" s="58" t="s">
        <v>35</v>
      </c>
      <c r="N614" s="58">
        <v>0.29099999999999998</v>
      </c>
      <c r="O614" s="58" t="s">
        <v>494</v>
      </c>
      <c r="P614" s="58" t="s">
        <v>106</v>
      </c>
      <c r="Q614" s="58" t="s">
        <v>107</v>
      </c>
      <c r="R614" s="58" t="s">
        <v>1923</v>
      </c>
      <c r="S614" s="58" t="s">
        <v>1924</v>
      </c>
      <c r="T614" s="58" t="s">
        <v>279</v>
      </c>
    </row>
    <row r="615" spans="1:20" ht="31.2">
      <c r="A615" s="58" t="s">
        <v>76</v>
      </c>
      <c r="B615" s="58" t="s">
        <v>35</v>
      </c>
      <c r="C615" s="58">
        <v>65</v>
      </c>
      <c r="D615" s="58" t="s">
        <v>361</v>
      </c>
      <c r="E615" s="58" t="s">
        <v>1925</v>
      </c>
      <c r="F615" s="58" t="s">
        <v>273</v>
      </c>
      <c r="G615" s="58" t="s">
        <v>273</v>
      </c>
      <c r="H615" s="58" t="s">
        <v>274</v>
      </c>
      <c r="I615" s="58" t="s">
        <v>274</v>
      </c>
      <c r="J615" s="58"/>
      <c r="K615" s="58"/>
      <c r="L615" s="58" t="s">
        <v>288</v>
      </c>
      <c r="M615" s="58" t="s">
        <v>35</v>
      </c>
      <c r="N615" s="58">
        <v>0.30399999999999999</v>
      </c>
      <c r="O615" s="58" t="s">
        <v>494</v>
      </c>
      <c r="P615" s="58" t="s">
        <v>106</v>
      </c>
      <c r="Q615" s="58" t="s">
        <v>107</v>
      </c>
      <c r="R615" s="58" t="s">
        <v>1926</v>
      </c>
      <c r="S615" s="58" t="s">
        <v>1927</v>
      </c>
      <c r="T615" s="58" t="s">
        <v>279</v>
      </c>
    </row>
    <row r="616" spans="1:20" ht="31.2">
      <c r="A616" s="58" t="s">
        <v>76</v>
      </c>
      <c r="B616" s="58" t="s">
        <v>35</v>
      </c>
      <c r="C616" s="58">
        <v>66</v>
      </c>
      <c r="D616" s="58" t="s">
        <v>361</v>
      </c>
      <c r="E616" s="58" t="s">
        <v>1928</v>
      </c>
      <c r="F616" s="58" t="s">
        <v>273</v>
      </c>
      <c r="G616" s="58" t="s">
        <v>273</v>
      </c>
      <c r="H616" s="58" t="s">
        <v>274</v>
      </c>
      <c r="I616" s="58" t="s">
        <v>274</v>
      </c>
      <c r="J616" s="58"/>
      <c r="K616" s="58"/>
      <c r="L616" s="58" t="s">
        <v>288</v>
      </c>
      <c r="M616" s="58" t="s">
        <v>35</v>
      </c>
      <c r="N616" s="58">
        <v>0.82</v>
      </c>
      <c r="O616" s="58" t="s">
        <v>494</v>
      </c>
      <c r="P616" s="58" t="s">
        <v>106</v>
      </c>
      <c r="Q616" s="58" t="s">
        <v>107</v>
      </c>
      <c r="R616" s="58" t="s">
        <v>1929</v>
      </c>
      <c r="S616" s="58" t="s">
        <v>1930</v>
      </c>
      <c r="T616" s="58" t="s">
        <v>279</v>
      </c>
    </row>
    <row r="617" spans="1:20" ht="31.2">
      <c r="A617" s="58" t="s">
        <v>76</v>
      </c>
      <c r="B617" s="58" t="s">
        <v>35</v>
      </c>
      <c r="C617" s="58">
        <v>67</v>
      </c>
      <c r="D617" s="58" t="s">
        <v>521</v>
      </c>
      <c r="E617" s="58" t="s">
        <v>737</v>
      </c>
      <c r="F617" s="58" t="s">
        <v>273</v>
      </c>
      <c r="G617" s="58" t="s">
        <v>273</v>
      </c>
      <c r="H617" s="58" t="s">
        <v>274</v>
      </c>
      <c r="I617" s="58" t="s">
        <v>274</v>
      </c>
      <c r="J617" s="58"/>
      <c r="K617" s="58"/>
      <c r="L617" s="58" t="s">
        <v>351</v>
      </c>
      <c r="M617" s="58" t="s">
        <v>35</v>
      </c>
      <c r="N617" s="58">
        <v>1.0999999999999999E-2</v>
      </c>
      <c r="O617" s="58" t="s">
        <v>539</v>
      </c>
      <c r="P617" s="58" t="s">
        <v>106</v>
      </c>
      <c r="Q617" s="58" t="s">
        <v>107</v>
      </c>
      <c r="R617" s="58" t="s">
        <v>1931</v>
      </c>
      <c r="S617" s="58" t="s">
        <v>1932</v>
      </c>
      <c r="T617" s="58" t="s">
        <v>279</v>
      </c>
    </row>
    <row r="618" spans="1:20" ht="31.2">
      <c r="A618" s="58" t="s">
        <v>76</v>
      </c>
      <c r="B618" s="58" t="s">
        <v>35</v>
      </c>
      <c r="C618" s="58">
        <v>68</v>
      </c>
      <c r="D618" s="58" t="s">
        <v>521</v>
      </c>
      <c r="E618" s="58" t="s">
        <v>740</v>
      </c>
      <c r="F618" s="58" t="s">
        <v>273</v>
      </c>
      <c r="G618" s="58" t="s">
        <v>273</v>
      </c>
      <c r="H618" s="58" t="s">
        <v>274</v>
      </c>
      <c r="I618" s="58" t="s">
        <v>274</v>
      </c>
      <c r="J618" s="58"/>
      <c r="K618" s="58"/>
      <c r="L618" s="58" t="s">
        <v>351</v>
      </c>
      <c r="M618" s="58" t="s">
        <v>35</v>
      </c>
      <c r="N618" s="58">
        <v>8.0000000000000002E-3</v>
      </c>
      <c r="O618" s="58" t="s">
        <v>539</v>
      </c>
      <c r="P618" s="58" t="s">
        <v>106</v>
      </c>
      <c r="Q618" s="58" t="s">
        <v>107</v>
      </c>
      <c r="R618" s="58" t="s">
        <v>1933</v>
      </c>
      <c r="S618" s="58" t="s">
        <v>1934</v>
      </c>
      <c r="T618" s="58" t="s">
        <v>279</v>
      </c>
    </row>
    <row r="619" spans="1:20" ht="31.2">
      <c r="A619" s="58" t="s">
        <v>76</v>
      </c>
      <c r="B619" s="58" t="s">
        <v>35</v>
      </c>
      <c r="C619" s="58">
        <v>69</v>
      </c>
      <c r="D619" s="58" t="s">
        <v>378</v>
      </c>
      <c r="E619" s="58" t="s">
        <v>1935</v>
      </c>
      <c r="F619" s="58" t="s">
        <v>273</v>
      </c>
      <c r="G619" s="58" t="s">
        <v>273</v>
      </c>
      <c r="H619" s="58" t="s">
        <v>274</v>
      </c>
      <c r="I619" s="58" t="s">
        <v>274</v>
      </c>
      <c r="J619" s="58"/>
      <c r="K619" s="58"/>
      <c r="L619" s="58" t="s">
        <v>288</v>
      </c>
      <c r="M619" s="58" t="s">
        <v>35</v>
      </c>
      <c r="N619" s="58">
        <v>7.0999999999999994E-2</v>
      </c>
      <c r="O619" s="58" t="s">
        <v>380</v>
      </c>
      <c r="P619" s="58" t="s">
        <v>106</v>
      </c>
      <c r="Q619" s="58" t="s">
        <v>107</v>
      </c>
      <c r="R619" s="58" t="s">
        <v>1936</v>
      </c>
      <c r="S619" s="58" t="s">
        <v>1937</v>
      </c>
      <c r="T619" s="58" t="s">
        <v>279</v>
      </c>
    </row>
    <row r="620" spans="1:20" ht="31.2">
      <c r="A620" s="58" t="s">
        <v>76</v>
      </c>
      <c r="B620" s="58" t="s">
        <v>35</v>
      </c>
      <c r="C620" s="58">
        <v>70</v>
      </c>
      <c r="D620" s="58" t="s">
        <v>361</v>
      </c>
      <c r="E620" s="58" t="s">
        <v>1938</v>
      </c>
      <c r="F620" s="58" t="s">
        <v>273</v>
      </c>
      <c r="G620" s="58" t="s">
        <v>273</v>
      </c>
      <c r="H620" s="58" t="s">
        <v>274</v>
      </c>
      <c r="I620" s="58" t="s">
        <v>274</v>
      </c>
      <c r="J620" s="58"/>
      <c r="K620" s="58"/>
      <c r="L620" s="58" t="s">
        <v>288</v>
      </c>
      <c r="M620" s="58" t="s">
        <v>35</v>
      </c>
      <c r="N620" s="58">
        <v>1.427</v>
      </c>
      <c r="O620" s="58" t="s">
        <v>494</v>
      </c>
      <c r="P620" s="58" t="s">
        <v>106</v>
      </c>
      <c r="Q620" s="58" t="s">
        <v>107</v>
      </c>
      <c r="R620" s="58" t="s">
        <v>1939</v>
      </c>
      <c r="S620" s="58" t="s">
        <v>1940</v>
      </c>
      <c r="T620" s="58" t="s">
        <v>279</v>
      </c>
    </row>
    <row r="621" spans="1:20" ht="31.2">
      <c r="A621" s="58" t="s">
        <v>76</v>
      </c>
      <c r="B621" s="58" t="s">
        <v>35</v>
      </c>
      <c r="C621" s="58">
        <v>71</v>
      </c>
      <c r="D621" s="58" t="s">
        <v>361</v>
      </c>
      <c r="E621" s="58" t="s">
        <v>1941</v>
      </c>
      <c r="F621" s="58" t="s">
        <v>273</v>
      </c>
      <c r="G621" s="58" t="s">
        <v>273</v>
      </c>
      <c r="H621" s="58" t="s">
        <v>274</v>
      </c>
      <c r="I621" s="58" t="s">
        <v>274</v>
      </c>
      <c r="J621" s="58"/>
      <c r="K621" s="58"/>
      <c r="L621" s="58" t="s">
        <v>351</v>
      </c>
      <c r="M621" s="58" t="s">
        <v>35</v>
      </c>
      <c r="N621" s="58">
        <v>0.46300000000000002</v>
      </c>
      <c r="O621" s="58" t="s">
        <v>494</v>
      </c>
      <c r="P621" s="58" t="s">
        <v>106</v>
      </c>
      <c r="Q621" s="58" t="s">
        <v>107</v>
      </c>
      <c r="R621" s="58" t="s">
        <v>1942</v>
      </c>
      <c r="S621" s="58" t="s">
        <v>1943</v>
      </c>
      <c r="T621" s="58" t="s">
        <v>279</v>
      </c>
    </row>
    <row r="622" spans="1:20" ht="31.2">
      <c r="A622" s="58" t="s">
        <v>76</v>
      </c>
      <c r="B622" s="58" t="s">
        <v>35</v>
      </c>
      <c r="C622" s="58">
        <v>72</v>
      </c>
      <c r="D622" s="58" t="s">
        <v>479</v>
      </c>
      <c r="E622" s="58" t="s">
        <v>1901</v>
      </c>
      <c r="F622" s="58" t="s">
        <v>273</v>
      </c>
      <c r="G622" s="58" t="s">
        <v>273</v>
      </c>
      <c r="H622" s="58" t="s">
        <v>274</v>
      </c>
      <c r="I622" s="58" t="s">
        <v>273</v>
      </c>
      <c r="J622" s="58" t="s">
        <v>273</v>
      </c>
      <c r="K622" s="58"/>
      <c r="L622" s="58" t="s">
        <v>288</v>
      </c>
      <c r="M622" s="58" t="s">
        <v>35</v>
      </c>
      <c r="N622" s="58">
        <v>1.9E-2</v>
      </c>
      <c r="O622" s="58" t="s">
        <v>554</v>
      </c>
      <c r="P622" s="58" t="s">
        <v>106</v>
      </c>
      <c r="Q622" s="58" t="s">
        <v>107</v>
      </c>
      <c r="R622" s="58" t="s">
        <v>1944</v>
      </c>
      <c r="S622" s="58" t="s">
        <v>1945</v>
      </c>
      <c r="T622" s="58" t="s">
        <v>279</v>
      </c>
    </row>
    <row r="623" spans="1:20" ht="31.2">
      <c r="A623" s="58" t="s">
        <v>76</v>
      </c>
      <c r="B623" s="58" t="s">
        <v>35</v>
      </c>
      <c r="C623" s="58">
        <v>73</v>
      </c>
      <c r="D623" s="58" t="s">
        <v>479</v>
      </c>
      <c r="E623" s="58" t="s">
        <v>1901</v>
      </c>
      <c r="F623" s="58" t="s">
        <v>273</v>
      </c>
      <c r="G623" s="58" t="s">
        <v>273</v>
      </c>
      <c r="H623" s="58" t="s">
        <v>274</v>
      </c>
      <c r="I623" s="58" t="s">
        <v>273</v>
      </c>
      <c r="J623" s="58" t="s">
        <v>273</v>
      </c>
      <c r="K623" s="58"/>
      <c r="L623" s="58" t="s">
        <v>288</v>
      </c>
      <c r="M623" s="58" t="s">
        <v>35</v>
      </c>
      <c r="N623" s="58">
        <v>1.7999999999999999E-2</v>
      </c>
      <c r="O623" s="58" t="s">
        <v>554</v>
      </c>
      <c r="P623" s="58" t="s">
        <v>106</v>
      </c>
      <c r="Q623" s="58" t="s">
        <v>107</v>
      </c>
      <c r="R623" s="58" t="s">
        <v>1946</v>
      </c>
      <c r="S623" s="58" t="s">
        <v>1947</v>
      </c>
      <c r="T623" s="58" t="s">
        <v>279</v>
      </c>
    </row>
    <row r="624" spans="1:20" ht="31.2">
      <c r="A624" s="58" t="s">
        <v>76</v>
      </c>
      <c r="B624" s="58" t="s">
        <v>35</v>
      </c>
      <c r="C624" s="58">
        <v>74</v>
      </c>
      <c r="D624" s="58" t="s">
        <v>361</v>
      </c>
      <c r="E624" s="58" t="s">
        <v>1948</v>
      </c>
      <c r="F624" s="58" t="s">
        <v>273</v>
      </c>
      <c r="G624" s="58" t="s">
        <v>273</v>
      </c>
      <c r="H624" s="58" t="s">
        <v>274</v>
      </c>
      <c r="I624" s="58" t="s">
        <v>274</v>
      </c>
      <c r="J624" s="58"/>
      <c r="K624" s="58"/>
      <c r="L624" s="58" t="s">
        <v>288</v>
      </c>
      <c r="M624" s="58" t="s">
        <v>35</v>
      </c>
      <c r="N624" s="58">
        <v>2.0070000000000001</v>
      </c>
      <c r="O624" s="58" t="s">
        <v>494</v>
      </c>
      <c r="P624" s="58" t="s">
        <v>106</v>
      </c>
      <c r="Q624" s="58" t="s">
        <v>107</v>
      </c>
      <c r="R624" s="58" t="s">
        <v>1949</v>
      </c>
      <c r="S624" s="58" t="s">
        <v>1950</v>
      </c>
      <c r="T624" s="58" t="s">
        <v>279</v>
      </c>
    </row>
    <row r="625" spans="1:20" ht="31.2">
      <c r="A625" s="58" t="s">
        <v>76</v>
      </c>
      <c r="B625" s="58" t="s">
        <v>35</v>
      </c>
      <c r="C625" s="58">
        <v>75</v>
      </c>
      <c r="D625" s="58" t="s">
        <v>338</v>
      </c>
      <c r="E625" s="58" t="s">
        <v>1951</v>
      </c>
      <c r="F625" s="58" t="s">
        <v>273</v>
      </c>
      <c r="G625" s="58" t="s">
        <v>273</v>
      </c>
      <c r="H625" s="58" t="s">
        <v>274</v>
      </c>
      <c r="I625" s="58" t="s">
        <v>274</v>
      </c>
      <c r="J625" s="58"/>
      <c r="K625" s="58"/>
      <c r="L625" s="58" t="s">
        <v>351</v>
      </c>
      <c r="M625" s="58" t="s">
        <v>35</v>
      </c>
      <c r="N625" s="58">
        <v>0.23</v>
      </c>
      <c r="O625" s="58" t="s">
        <v>1448</v>
      </c>
      <c r="P625" s="58" t="s">
        <v>106</v>
      </c>
      <c r="Q625" s="58" t="s">
        <v>107</v>
      </c>
      <c r="R625" s="58" t="s">
        <v>1952</v>
      </c>
      <c r="S625" s="58" t="s">
        <v>1953</v>
      </c>
      <c r="T625" s="58" t="s">
        <v>279</v>
      </c>
    </row>
    <row r="626" spans="1:20" ht="31.2">
      <c r="A626" s="58" t="s">
        <v>76</v>
      </c>
      <c r="B626" s="58" t="s">
        <v>35</v>
      </c>
      <c r="C626" s="58">
        <v>76</v>
      </c>
      <c r="D626" s="58" t="s">
        <v>361</v>
      </c>
      <c r="E626" s="58" t="s">
        <v>1954</v>
      </c>
      <c r="F626" s="58" t="s">
        <v>273</v>
      </c>
      <c r="G626" s="58" t="s">
        <v>273</v>
      </c>
      <c r="H626" s="58" t="s">
        <v>274</v>
      </c>
      <c r="I626" s="58" t="s">
        <v>274</v>
      </c>
      <c r="J626" s="58"/>
      <c r="K626" s="58"/>
      <c r="L626" s="58" t="s">
        <v>351</v>
      </c>
      <c r="M626" s="58" t="s">
        <v>35</v>
      </c>
      <c r="N626" s="58">
        <v>0.67</v>
      </c>
      <c r="O626" s="58" t="s">
        <v>494</v>
      </c>
      <c r="P626" s="58" t="s">
        <v>106</v>
      </c>
      <c r="Q626" s="58" t="s">
        <v>107</v>
      </c>
      <c r="R626" s="58" t="s">
        <v>1955</v>
      </c>
      <c r="S626" s="58" t="s">
        <v>1956</v>
      </c>
      <c r="T626" s="58" t="s">
        <v>279</v>
      </c>
    </row>
    <row r="627" spans="1:20" ht="31.2">
      <c r="A627" s="58" t="s">
        <v>76</v>
      </c>
      <c r="B627" s="58" t="s">
        <v>35</v>
      </c>
      <c r="C627" s="58">
        <v>77</v>
      </c>
      <c r="D627" s="58" t="s">
        <v>361</v>
      </c>
      <c r="E627" s="58" t="s">
        <v>1957</v>
      </c>
      <c r="F627" s="58" t="s">
        <v>273</v>
      </c>
      <c r="G627" s="58" t="s">
        <v>273</v>
      </c>
      <c r="H627" s="58" t="s">
        <v>274</v>
      </c>
      <c r="I627" s="58" t="s">
        <v>274</v>
      </c>
      <c r="J627" s="58"/>
      <c r="K627" s="58"/>
      <c r="L627" s="58" t="s">
        <v>351</v>
      </c>
      <c r="M627" s="58" t="s">
        <v>35</v>
      </c>
      <c r="N627" s="58">
        <v>0.27200000000000002</v>
      </c>
      <c r="O627" s="58" t="s">
        <v>494</v>
      </c>
      <c r="P627" s="58" t="s">
        <v>106</v>
      </c>
      <c r="Q627" s="58" t="s">
        <v>107</v>
      </c>
      <c r="R627" s="58" t="s">
        <v>1958</v>
      </c>
      <c r="S627" s="58" t="s">
        <v>1959</v>
      </c>
      <c r="T627" s="58" t="s">
        <v>279</v>
      </c>
    </row>
    <row r="628" spans="1:20" ht="31.2">
      <c r="A628" s="58" t="s">
        <v>76</v>
      </c>
      <c r="B628" s="58" t="s">
        <v>35</v>
      </c>
      <c r="C628" s="58">
        <v>78</v>
      </c>
      <c r="D628" s="58" t="s">
        <v>479</v>
      </c>
      <c r="E628" s="58" t="s">
        <v>1935</v>
      </c>
      <c r="F628" s="58" t="s">
        <v>273</v>
      </c>
      <c r="G628" s="58" t="s">
        <v>273</v>
      </c>
      <c r="H628" s="58" t="s">
        <v>274</v>
      </c>
      <c r="I628" s="58" t="s">
        <v>273</v>
      </c>
      <c r="J628" s="58" t="s">
        <v>273</v>
      </c>
      <c r="K628" s="58"/>
      <c r="L628" s="58" t="s">
        <v>288</v>
      </c>
      <c r="M628" s="58" t="s">
        <v>35</v>
      </c>
      <c r="N628" s="58">
        <v>1.9E-2</v>
      </c>
      <c r="O628" s="58" t="s">
        <v>554</v>
      </c>
      <c r="P628" s="58" t="s">
        <v>106</v>
      </c>
      <c r="Q628" s="58" t="s">
        <v>107</v>
      </c>
      <c r="R628" s="58" t="s">
        <v>1960</v>
      </c>
      <c r="S628" s="58" t="s">
        <v>1961</v>
      </c>
      <c r="T628" s="58" t="s">
        <v>279</v>
      </c>
    </row>
    <row r="629" spans="1:20" ht="31.2">
      <c r="A629" s="58" t="s">
        <v>76</v>
      </c>
      <c r="B629" s="58" t="s">
        <v>35</v>
      </c>
      <c r="C629" s="58">
        <v>79</v>
      </c>
      <c r="D629" s="58" t="s">
        <v>361</v>
      </c>
      <c r="E629" s="58" t="s">
        <v>1962</v>
      </c>
      <c r="F629" s="58" t="s">
        <v>273</v>
      </c>
      <c r="G629" s="58" t="s">
        <v>273</v>
      </c>
      <c r="H629" s="58" t="s">
        <v>274</v>
      </c>
      <c r="I629" s="58" t="s">
        <v>274</v>
      </c>
      <c r="J629" s="58"/>
      <c r="K629" s="58"/>
      <c r="L629" s="58" t="s">
        <v>288</v>
      </c>
      <c r="M629" s="58" t="s">
        <v>35</v>
      </c>
      <c r="N629" s="58">
        <v>49.451000000000001</v>
      </c>
      <c r="O629" s="58" t="s">
        <v>494</v>
      </c>
      <c r="P629" s="58" t="s">
        <v>106</v>
      </c>
      <c r="Q629" s="58" t="s">
        <v>107</v>
      </c>
      <c r="R629" s="58" t="s">
        <v>1963</v>
      </c>
      <c r="S629" s="58" t="s">
        <v>1964</v>
      </c>
      <c r="T629" s="58" t="s">
        <v>279</v>
      </c>
    </row>
    <row r="630" spans="1:20" ht="31.2">
      <c r="A630" s="58" t="s">
        <v>76</v>
      </c>
      <c r="B630" s="58" t="s">
        <v>35</v>
      </c>
      <c r="C630" s="58">
        <v>80</v>
      </c>
      <c r="D630" s="58" t="s">
        <v>361</v>
      </c>
      <c r="E630" s="58" t="s">
        <v>1965</v>
      </c>
      <c r="F630" s="58" t="s">
        <v>273</v>
      </c>
      <c r="G630" s="58" t="s">
        <v>273</v>
      </c>
      <c r="H630" s="58" t="s">
        <v>274</v>
      </c>
      <c r="I630" s="58" t="s">
        <v>274</v>
      </c>
      <c r="J630" s="58"/>
      <c r="K630" s="58"/>
      <c r="L630" s="58" t="s">
        <v>288</v>
      </c>
      <c r="M630" s="58" t="s">
        <v>35</v>
      </c>
      <c r="N630" s="58">
        <v>1.004</v>
      </c>
      <c r="O630" s="58" t="s">
        <v>494</v>
      </c>
      <c r="P630" s="58" t="s">
        <v>106</v>
      </c>
      <c r="Q630" s="58" t="s">
        <v>107</v>
      </c>
      <c r="R630" s="58" t="s">
        <v>1966</v>
      </c>
      <c r="S630" s="58" t="s">
        <v>1967</v>
      </c>
      <c r="T630" s="58" t="s">
        <v>279</v>
      </c>
    </row>
    <row r="631" spans="1:20" ht="31.2">
      <c r="A631" s="58" t="s">
        <v>76</v>
      </c>
      <c r="B631" s="58" t="s">
        <v>35</v>
      </c>
      <c r="C631" s="58">
        <v>81</v>
      </c>
      <c r="D631" s="58" t="s">
        <v>479</v>
      </c>
      <c r="E631" s="58" t="s">
        <v>1901</v>
      </c>
      <c r="F631" s="58" t="s">
        <v>273</v>
      </c>
      <c r="G631" s="58" t="s">
        <v>273</v>
      </c>
      <c r="H631" s="58" t="s">
        <v>274</v>
      </c>
      <c r="I631" s="58" t="s">
        <v>273</v>
      </c>
      <c r="J631" s="58" t="s">
        <v>273</v>
      </c>
      <c r="K631" s="58"/>
      <c r="L631" s="58" t="s">
        <v>288</v>
      </c>
      <c r="M631" s="58" t="s">
        <v>35</v>
      </c>
      <c r="N631" s="58">
        <v>2.7E-2</v>
      </c>
      <c r="O631" s="58" t="s">
        <v>554</v>
      </c>
      <c r="P631" s="58" t="s">
        <v>106</v>
      </c>
      <c r="Q631" s="58" t="s">
        <v>107</v>
      </c>
      <c r="R631" s="58" t="s">
        <v>1968</v>
      </c>
      <c r="S631" s="58" t="s">
        <v>1969</v>
      </c>
      <c r="T631" s="58" t="s">
        <v>279</v>
      </c>
    </row>
    <row r="632" spans="1:20" ht="31.2">
      <c r="A632" s="58" t="s">
        <v>76</v>
      </c>
      <c r="B632" s="58" t="s">
        <v>35</v>
      </c>
      <c r="C632" s="58">
        <v>82</v>
      </c>
      <c r="D632" s="58" t="s">
        <v>361</v>
      </c>
      <c r="E632" s="58" t="s">
        <v>1970</v>
      </c>
      <c r="F632" s="58" t="s">
        <v>273</v>
      </c>
      <c r="G632" s="58" t="s">
        <v>273</v>
      </c>
      <c r="H632" s="58" t="s">
        <v>274</v>
      </c>
      <c r="I632" s="58" t="s">
        <v>274</v>
      </c>
      <c r="J632" s="58"/>
      <c r="K632" s="58"/>
      <c r="L632" s="58" t="s">
        <v>288</v>
      </c>
      <c r="M632" s="58" t="s">
        <v>35</v>
      </c>
      <c r="N632" s="58">
        <v>1.9530000000000001</v>
      </c>
      <c r="O632" s="58" t="s">
        <v>494</v>
      </c>
      <c r="P632" s="58" t="s">
        <v>106</v>
      </c>
      <c r="Q632" s="58" t="s">
        <v>107</v>
      </c>
      <c r="R632" s="58" t="s">
        <v>1971</v>
      </c>
      <c r="S632" s="58" t="s">
        <v>1972</v>
      </c>
      <c r="T632" s="58" t="s">
        <v>279</v>
      </c>
    </row>
    <row r="633" spans="1:20" ht="31.2">
      <c r="A633" s="58" t="s">
        <v>76</v>
      </c>
      <c r="B633" s="58" t="s">
        <v>35</v>
      </c>
      <c r="C633" s="58">
        <v>83</v>
      </c>
      <c r="D633" s="58" t="s">
        <v>361</v>
      </c>
      <c r="E633" s="58" t="s">
        <v>1973</v>
      </c>
      <c r="F633" s="58" t="s">
        <v>273</v>
      </c>
      <c r="G633" s="58" t="s">
        <v>273</v>
      </c>
      <c r="H633" s="58" t="s">
        <v>274</v>
      </c>
      <c r="I633" s="58" t="s">
        <v>274</v>
      </c>
      <c r="J633" s="58"/>
      <c r="K633" s="58"/>
      <c r="L633" s="58" t="s">
        <v>288</v>
      </c>
      <c r="M633" s="58" t="s">
        <v>35</v>
      </c>
      <c r="N633" s="58">
        <v>0.77100000000000002</v>
      </c>
      <c r="O633" s="58" t="s">
        <v>494</v>
      </c>
      <c r="P633" s="58" t="s">
        <v>106</v>
      </c>
      <c r="Q633" s="58" t="s">
        <v>107</v>
      </c>
      <c r="R633" s="58" t="s">
        <v>1974</v>
      </c>
      <c r="S633" s="58" t="s">
        <v>1975</v>
      </c>
      <c r="T633" s="58" t="s">
        <v>279</v>
      </c>
    </row>
    <row r="634" spans="1:20" ht="31.2">
      <c r="A634" s="58" t="s">
        <v>76</v>
      </c>
      <c r="B634" s="58" t="s">
        <v>35</v>
      </c>
      <c r="C634" s="58">
        <v>84</v>
      </c>
      <c r="D634" s="58" t="s">
        <v>361</v>
      </c>
      <c r="E634" s="58" t="s">
        <v>1976</v>
      </c>
      <c r="F634" s="58" t="s">
        <v>273</v>
      </c>
      <c r="G634" s="58" t="s">
        <v>273</v>
      </c>
      <c r="H634" s="58" t="s">
        <v>274</v>
      </c>
      <c r="I634" s="58" t="s">
        <v>274</v>
      </c>
      <c r="J634" s="58"/>
      <c r="K634" s="58"/>
      <c r="L634" s="58" t="s">
        <v>288</v>
      </c>
      <c r="M634" s="58" t="s">
        <v>35</v>
      </c>
      <c r="N634" s="58">
        <v>0.26900000000000002</v>
      </c>
      <c r="O634" s="58" t="s">
        <v>494</v>
      </c>
      <c r="P634" s="58" t="s">
        <v>106</v>
      </c>
      <c r="Q634" s="58" t="s">
        <v>107</v>
      </c>
      <c r="R634" s="58" t="s">
        <v>1977</v>
      </c>
      <c r="S634" s="58" t="s">
        <v>1978</v>
      </c>
      <c r="T634" s="58" t="s">
        <v>279</v>
      </c>
    </row>
    <row r="635" spans="1:20" ht="31.2">
      <c r="A635" s="58" t="s">
        <v>76</v>
      </c>
      <c r="B635" s="58" t="s">
        <v>35</v>
      </c>
      <c r="C635" s="58">
        <v>85</v>
      </c>
      <c r="D635" s="58" t="s">
        <v>361</v>
      </c>
      <c r="E635" s="58" t="s">
        <v>1979</v>
      </c>
      <c r="F635" s="58" t="s">
        <v>273</v>
      </c>
      <c r="G635" s="58" t="s">
        <v>273</v>
      </c>
      <c r="H635" s="58" t="s">
        <v>274</v>
      </c>
      <c r="I635" s="58" t="s">
        <v>274</v>
      </c>
      <c r="J635" s="58"/>
      <c r="K635" s="58"/>
      <c r="L635" s="58" t="s">
        <v>288</v>
      </c>
      <c r="M635" s="58" t="s">
        <v>35</v>
      </c>
      <c r="N635" s="58">
        <v>0.78200000000000003</v>
      </c>
      <c r="O635" s="58" t="s">
        <v>494</v>
      </c>
      <c r="P635" s="58" t="s">
        <v>106</v>
      </c>
      <c r="Q635" s="58" t="s">
        <v>107</v>
      </c>
      <c r="R635" s="58" t="s">
        <v>1980</v>
      </c>
      <c r="S635" s="58" t="s">
        <v>1981</v>
      </c>
      <c r="T635" s="58" t="s">
        <v>279</v>
      </c>
    </row>
    <row r="636" spans="1:20" ht="31.2">
      <c r="A636" s="58" t="s">
        <v>76</v>
      </c>
      <c r="B636" s="58" t="s">
        <v>35</v>
      </c>
      <c r="C636" s="58">
        <v>86</v>
      </c>
      <c r="D636" s="58" t="s">
        <v>521</v>
      </c>
      <c r="E636" s="58" t="s">
        <v>825</v>
      </c>
      <c r="F636" s="58" t="s">
        <v>273</v>
      </c>
      <c r="G636" s="58" t="s">
        <v>273</v>
      </c>
      <c r="H636" s="58" t="s">
        <v>274</v>
      </c>
      <c r="I636" s="58" t="s">
        <v>274</v>
      </c>
      <c r="J636" s="58"/>
      <c r="K636" s="58"/>
      <c r="L636" s="58" t="s">
        <v>351</v>
      </c>
      <c r="M636" s="58" t="s">
        <v>35</v>
      </c>
      <c r="N636" s="58">
        <v>2.1000000000000001E-2</v>
      </c>
      <c r="O636" s="58" t="s">
        <v>539</v>
      </c>
      <c r="P636" s="58" t="s">
        <v>106</v>
      </c>
      <c r="Q636" s="58" t="s">
        <v>107</v>
      </c>
      <c r="R636" s="58" t="s">
        <v>1982</v>
      </c>
      <c r="S636" s="58" t="s">
        <v>1983</v>
      </c>
      <c r="T636" s="58" t="s">
        <v>279</v>
      </c>
    </row>
    <row r="637" spans="1:20" ht="31.2">
      <c r="A637" s="58" t="s">
        <v>70</v>
      </c>
      <c r="B637" s="58" t="s">
        <v>35</v>
      </c>
      <c r="C637" s="58">
        <v>1</v>
      </c>
      <c r="D637" s="58" t="s">
        <v>333</v>
      </c>
      <c r="E637" s="58" t="s">
        <v>1984</v>
      </c>
      <c r="F637" s="58" t="s">
        <v>273</v>
      </c>
      <c r="G637" s="58"/>
      <c r="H637" s="58" t="s">
        <v>274</v>
      </c>
      <c r="I637" s="58" t="s">
        <v>274</v>
      </c>
      <c r="J637" s="58"/>
      <c r="K637" s="58"/>
      <c r="L637" s="58" t="s">
        <v>351</v>
      </c>
      <c r="M637" s="58" t="s">
        <v>35</v>
      </c>
      <c r="N637" s="58"/>
      <c r="O637" s="58" t="s">
        <v>836</v>
      </c>
      <c r="P637" s="58" t="s">
        <v>109</v>
      </c>
      <c r="Q637" s="58" t="s">
        <v>110</v>
      </c>
      <c r="R637" s="58" t="s">
        <v>1985</v>
      </c>
      <c r="S637" s="58" t="s">
        <v>1986</v>
      </c>
      <c r="T637" s="58" t="s">
        <v>279</v>
      </c>
    </row>
    <row r="638" spans="1:20" ht="31.2">
      <c r="A638" s="58" t="s">
        <v>70</v>
      </c>
      <c r="B638" s="58" t="s">
        <v>35</v>
      </c>
      <c r="C638" s="58">
        <v>2</v>
      </c>
      <c r="D638" s="58" t="s">
        <v>338</v>
      </c>
      <c r="E638" s="58" t="s">
        <v>1987</v>
      </c>
      <c r="F638" s="58" t="s">
        <v>273</v>
      </c>
      <c r="G638" s="58"/>
      <c r="H638" s="58" t="s">
        <v>274</v>
      </c>
      <c r="I638" s="58" t="s">
        <v>274</v>
      </c>
      <c r="J638" s="58"/>
      <c r="K638" s="58"/>
      <c r="L638" s="58" t="s">
        <v>351</v>
      </c>
      <c r="M638" s="58" t="s">
        <v>35</v>
      </c>
      <c r="N638" s="58"/>
      <c r="O638" s="58" t="s">
        <v>1988</v>
      </c>
      <c r="P638" s="58" t="s">
        <v>109</v>
      </c>
      <c r="Q638" s="58" t="s">
        <v>110</v>
      </c>
      <c r="R638" s="58" t="s">
        <v>1989</v>
      </c>
      <c r="S638" s="58" t="s">
        <v>1990</v>
      </c>
      <c r="T638" s="58" t="s">
        <v>279</v>
      </c>
    </row>
    <row r="639" spans="1:20" ht="31.2">
      <c r="A639" s="58" t="s">
        <v>70</v>
      </c>
      <c r="B639" s="58" t="s">
        <v>35</v>
      </c>
      <c r="C639" s="58">
        <v>3</v>
      </c>
      <c r="D639" s="58" t="s">
        <v>338</v>
      </c>
      <c r="E639" s="58" t="s">
        <v>1991</v>
      </c>
      <c r="F639" s="58" t="s">
        <v>273</v>
      </c>
      <c r="G639" s="58"/>
      <c r="H639" s="58" t="s">
        <v>274</v>
      </c>
      <c r="I639" s="58" t="s">
        <v>274</v>
      </c>
      <c r="J639" s="58"/>
      <c r="K639" s="58"/>
      <c r="L639" s="58" t="s">
        <v>351</v>
      </c>
      <c r="M639" s="58" t="s">
        <v>35</v>
      </c>
      <c r="N639" s="58"/>
      <c r="O639" s="58" t="s">
        <v>1988</v>
      </c>
      <c r="P639" s="58" t="s">
        <v>109</v>
      </c>
      <c r="Q639" s="58" t="s">
        <v>110</v>
      </c>
      <c r="R639" s="58" t="s">
        <v>1992</v>
      </c>
      <c r="S639" s="58" t="s">
        <v>1993</v>
      </c>
      <c r="T639" s="58" t="s">
        <v>279</v>
      </c>
    </row>
    <row r="640" spans="1:20" ht="31.2">
      <c r="A640" s="58" t="s">
        <v>70</v>
      </c>
      <c r="B640" s="58" t="s">
        <v>35</v>
      </c>
      <c r="C640" s="58">
        <v>4</v>
      </c>
      <c r="D640" s="58" t="s">
        <v>338</v>
      </c>
      <c r="E640" s="58" t="s">
        <v>1994</v>
      </c>
      <c r="F640" s="58" t="s">
        <v>273</v>
      </c>
      <c r="G640" s="58"/>
      <c r="H640" s="58" t="s">
        <v>274</v>
      </c>
      <c r="I640" s="58" t="s">
        <v>274</v>
      </c>
      <c r="J640" s="58"/>
      <c r="K640" s="58"/>
      <c r="L640" s="58" t="s">
        <v>351</v>
      </c>
      <c r="M640" s="58" t="s">
        <v>35</v>
      </c>
      <c r="N640" s="58"/>
      <c r="O640" s="58" t="s">
        <v>1995</v>
      </c>
      <c r="P640" s="58" t="s">
        <v>109</v>
      </c>
      <c r="Q640" s="58" t="s">
        <v>110</v>
      </c>
      <c r="R640" s="58" t="s">
        <v>1996</v>
      </c>
      <c r="S640" s="58" t="s">
        <v>1997</v>
      </c>
      <c r="T640" s="58" t="s">
        <v>279</v>
      </c>
    </row>
    <row r="641" spans="1:20" ht="31.2">
      <c r="A641" s="58" t="s">
        <v>70</v>
      </c>
      <c r="B641" s="58" t="s">
        <v>35</v>
      </c>
      <c r="C641" s="58">
        <v>5</v>
      </c>
      <c r="D641" s="58" t="s">
        <v>338</v>
      </c>
      <c r="E641" s="58" t="s">
        <v>1998</v>
      </c>
      <c r="F641" s="58" t="s">
        <v>273</v>
      </c>
      <c r="G641" s="58"/>
      <c r="H641" s="58" t="s">
        <v>274</v>
      </c>
      <c r="I641" s="58" t="s">
        <v>274</v>
      </c>
      <c r="J641" s="58"/>
      <c r="K641" s="58"/>
      <c r="L641" s="58" t="s">
        <v>351</v>
      </c>
      <c r="M641" s="58" t="s">
        <v>35</v>
      </c>
      <c r="N641" s="58"/>
      <c r="O641" s="58" t="s">
        <v>1995</v>
      </c>
      <c r="P641" s="58" t="s">
        <v>109</v>
      </c>
      <c r="Q641" s="58" t="s">
        <v>110</v>
      </c>
      <c r="R641" s="58" t="s">
        <v>1999</v>
      </c>
      <c r="S641" s="58" t="s">
        <v>2000</v>
      </c>
      <c r="T641" s="58" t="s">
        <v>279</v>
      </c>
    </row>
    <row r="642" spans="1:20" ht="31.2">
      <c r="A642" s="58" t="s">
        <v>70</v>
      </c>
      <c r="B642" s="58" t="s">
        <v>35</v>
      </c>
      <c r="C642" s="58">
        <v>6</v>
      </c>
      <c r="D642" s="58" t="s">
        <v>333</v>
      </c>
      <c r="E642" s="58" t="s">
        <v>2001</v>
      </c>
      <c r="F642" s="58" t="s">
        <v>273</v>
      </c>
      <c r="G642" s="58"/>
      <c r="H642" s="58" t="s">
        <v>274</v>
      </c>
      <c r="I642" s="58" t="s">
        <v>274</v>
      </c>
      <c r="J642" s="58"/>
      <c r="K642" s="58" t="s">
        <v>274</v>
      </c>
      <c r="L642" s="58" t="s">
        <v>351</v>
      </c>
      <c r="M642" s="58" t="s">
        <v>35</v>
      </c>
      <c r="N642" s="58"/>
      <c r="O642" s="58" t="s">
        <v>836</v>
      </c>
      <c r="P642" s="58" t="s">
        <v>109</v>
      </c>
      <c r="Q642" s="58" t="s">
        <v>110</v>
      </c>
      <c r="R642" s="58" t="s">
        <v>2002</v>
      </c>
      <c r="S642" s="58" t="s">
        <v>2003</v>
      </c>
      <c r="T642" s="58" t="s">
        <v>279</v>
      </c>
    </row>
    <row r="643" spans="1:20" ht="31.2">
      <c r="A643" s="58" t="s">
        <v>70</v>
      </c>
      <c r="B643" s="58" t="s">
        <v>35</v>
      </c>
      <c r="C643" s="58">
        <v>7</v>
      </c>
      <c r="D643" s="58" t="s">
        <v>338</v>
      </c>
      <c r="E643" s="58" t="s">
        <v>2004</v>
      </c>
      <c r="F643" s="58" t="s">
        <v>273</v>
      </c>
      <c r="G643" s="58"/>
      <c r="H643" s="58" t="s">
        <v>274</v>
      </c>
      <c r="I643" s="58" t="s">
        <v>274</v>
      </c>
      <c r="J643" s="58"/>
      <c r="K643" s="58"/>
      <c r="L643" s="58" t="s">
        <v>351</v>
      </c>
      <c r="M643" s="58" t="s">
        <v>35</v>
      </c>
      <c r="N643" s="58"/>
      <c r="O643" s="58" t="s">
        <v>1995</v>
      </c>
      <c r="P643" s="58" t="s">
        <v>109</v>
      </c>
      <c r="Q643" s="58" t="s">
        <v>110</v>
      </c>
      <c r="R643" s="58" t="s">
        <v>2005</v>
      </c>
      <c r="S643" s="58" t="s">
        <v>2006</v>
      </c>
      <c r="T643" s="58" t="s">
        <v>279</v>
      </c>
    </row>
    <row r="644" spans="1:20" ht="31.2">
      <c r="A644" s="58" t="s">
        <v>70</v>
      </c>
      <c r="B644" s="58" t="s">
        <v>35</v>
      </c>
      <c r="C644" s="58">
        <v>8</v>
      </c>
      <c r="D644" s="58" t="s">
        <v>333</v>
      </c>
      <c r="E644" s="58" t="s">
        <v>2007</v>
      </c>
      <c r="F644" s="58" t="s">
        <v>273</v>
      </c>
      <c r="G644" s="58"/>
      <c r="H644" s="58" t="s">
        <v>274</v>
      </c>
      <c r="I644" s="58" t="s">
        <v>274</v>
      </c>
      <c r="J644" s="58"/>
      <c r="K644" s="58" t="s">
        <v>274</v>
      </c>
      <c r="L644" s="58" t="s">
        <v>275</v>
      </c>
      <c r="M644" s="58" t="s">
        <v>35</v>
      </c>
      <c r="N644" s="58"/>
      <c r="O644" s="58" t="s">
        <v>836</v>
      </c>
      <c r="P644" s="58" t="s">
        <v>109</v>
      </c>
      <c r="Q644" s="58" t="s">
        <v>110</v>
      </c>
      <c r="R644" s="58" t="s">
        <v>2008</v>
      </c>
      <c r="S644" s="58" t="s">
        <v>2009</v>
      </c>
      <c r="T644" s="58" t="s">
        <v>279</v>
      </c>
    </row>
    <row r="645" spans="1:20" ht="31.2">
      <c r="A645" s="58" t="s">
        <v>70</v>
      </c>
      <c r="B645" s="58" t="s">
        <v>35</v>
      </c>
      <c r="C645" s="58">
        <v>9</v>
      </c>
      <c r="D645" s="58" t="s">
        <v>361</v>
      </c>
      <c r="E645" s="58" t="s">
        <v>2010</v>
      </c>
      <c r="F645" s="58" t="s">
        <v>273</v>
      </c>
      <c r="G645" s="58" t="s">
        <v>273</v>
      </c>
      <c r="H645" s="58" t="s">
        <v>274</v>
      </c>
      <c r="I645" s="58" t="s">
        <v>274</v>
      </c>
      <c r="J645" s="58"/>
      <c r="K645" s="58"/>
      <c r="L645" s="58" t="s">
        <v>351</v>
      </c>
      <c r="M645" s="58" t="s">
        <v>35</v>
      </c>
      <c r="N645" s="58"/>
      <c r="O645" s="58" t="s">
        <v>829</v>
      </c>
      <c r="P645" s="58" t="s">
        <v>109</v>
      </c>
      <c r="Q645" s="58" t="s">
        <v>110</v>
      </c>
      <c r="R645" s="58" t="s">
        <v>2011</v>
      </c>
      <c r="S645" s="58" t="s">
        <v>2012</v>
      </c>
      <c r="T645" s="58" t="s">
        <v>279</v>
      </c>
    </row>
    <row r="646" spans="1:20" ht="31.2">
      <c r="A646" s="58" t="s">
        <v>70</v>
      </c>
      <c r="B646" s="58" t="s">
        <v>35</v>
      </c>
      <c r="C646" s="58">
        <v>10</v>
      </c>
      <c r="D646" s="58" t="s">
        <v>378</v>
      </c>
      <c r="E646" s="58" t="s">
        <v>2013</v>
      </c>
      <c r="F646" s="58" t="s">
        <v>274</v>
      </c>
      <c r="G646" s="58"/>
      <c r="H646" s="58"/>
      <c r="I646" s="58" t="s">
        <v>274</v>
      </c>
      <c r="J646" s="58"/>
      <c r="K646" s="58"/>
      <c r="L646" s="58" t="s">
        <v>275</v>
      </c>
      <c r="M646" s="58" t="s">
        <v>35</v>
      </c>
      <c r="N646" s="58"/>
      <c r="O646" s="58" t="s">
        <v>852</v>
      </c>
      <c r="P646" s="58" t="s">
        <v>109</v>
      </c>
      <c r="Q646" s="58" t="s">
        <v>110</v>
      </c>
      <c r="R646" s="58" t="s">
        <v>2014</v>
      </c>
      <c r="S646" s="58" t="s">
        <v>2015</v>
      </c>
      <c r="T646" s="58" t="s">
        <v>279</v>
      </c>
    </row>
    <row r="647" spans="1:20" ht="31.2">
      <c r="A647" s="58" t="s">
        <v>70</v>
      </c>
      <c r="B647" s="58" t="s">
        <v>35</v>
      </c>
      <c r="C647" s="58">
        <v>11</v>
      </c>
      <c r="D647" s="58" t="s">
        <v>361</v>
      </c>
      <c r="E647" s="58" t="s">
        <v>2016</v>
      </c>
      <c r="F647" s="58" t="s">
        <v>273</v>
      </c>
      <c r="G647" s="58" t="s">
        <v>274</v>
      </c>
      <c r="H647" s="58" t="s">
        <v>273</v>
      </c>
      <c r="I647" s="58" t="s">
        <v>274</v>
      </c>
      <c r="J647" s="58"/>
      <c r="K647" s="58"/>
      <c r="L647" s="58" t="s">
        <v>275</v>
      </c>
      <c r="M647" s="58" t="s">
        <v>35</v>
      </c>
      <c r="N647" s="58"/>
      <c r="O647" s="58" t="s">
        <v>829</v>
      </c>
      <c r="P647" s="58" t="s">
        <v>109</v>
      </c>
      <c r="Q647" s="58" t="s">
        <v>110</v>
      </c>
      <c r="R647" s="58" t="s">
        <v>2017</v>
      </c>
      <c r="S647" s="58" t="s">
        <v>2018</v>
      </c>
      <c r="T647" s="58" t="s">
        <v>279</v>
      </c>
    </row>
    <row r="648" spans="1:20" ht="31.2">
      <c r="A648" s="58" t="s">
        <v>70</v>
      </c>
      <c r="B648" s="58" t="s">
        <v>35</v>
      </c>
      <c r="C648" s="58">
        <v>12</v>
      </c>
      <c r="D648" s="58" t="s">
        <v>378</v>
      </c>
      <c r="E648" s="58" t="s">
        <v>2019</v>
      </c>
      <c r="F648" s="58" t="s">
        <v>273</v>
      </c>
      <c r="G648" s="58"/>
      <c r="H648" s="58" t="s">
        <v>274</v>
      </c>
      <c r="I648" s="58" t="s">
        <v>274</v>
      </c>
      <c r="J648" s="58"/>
      <c r="K648" s="58"/>
      <c r="L648" s="58" t="s">
        <v>275</v>
      </c>
      <c r="M648" s="58" t="s">
        <v>35</v>
      </c>
      <c r="N648" s="58"/>
      <c r="O648" s="58" t="s">
        <v>852</v>
      </c>
      <c r="P648" s="58" t="s">
        <v>109</v>
      </c>
      <c r="Q648" s="58" t="s">
        <v>110</v>
      </c>
      <c r="R648" s="58" t="s">
        <v>2020</v>
      </c>
      <c r="S648" s="58" t="s">
        <v>2021</v>
      </c>
      <c r="T648" s="58" t="s">
        <v>279</v>
      </c>
    </row>
    <row r="649" spans="1:20" ht="31.2">
      <c r="A649" s="58" t="s">
        <v>70</v>
      </c>
      <c r="B649" s="58" t="s">
        <v>35</v>
      </c>
      <c r="C649" s="58">
        <v>13</v>
      </c>
      <c r="D649" s="58" t="s">
        <v>361</v>
      </c>
      <c r="E649" s="58" t="s">
        <v>2022</v>
      </c>
      <c r="F649" s="58" t="s">
        <v>273</v>
      </c>
      <c r="G649" s="58" t="s">
        <v>273</v>
      </c>
      <c r="H649" s="58" t="s">
        <v>274</v>
      </c>
      <c r="I649" s="58" t="s">
        <v>274</v>
      </c>
      <c r="J649" s="58"/>
      <c r="K649" s="58"/>
      <c r="L649" s="58" t="s">
        <v>275</v>
      </c>
      <c r="M649" s="58" t="s">
        <v>35</v>
      </c>
      <c r="N649" s="58"/>
      <c r="O649" s="58" t="s">
        <v>829</v>
      </c>
      <c r="P649" s="58" t="s">
        <v>109</v>
      </c>
      <c r="Q649" s="58" t="s">
        <v>110</v>
      </c>
      <c r="R649" s="58" t="s">
        <v>2023</v>
      </c>
      <c r="S649" s="58" t="s">
        <v>2024</v>
      </c>
      <c r="T649" s="58" t="s">
        <v>279</v>
      </c>
    </row>
    <row r="650" spans="1:20" ht="31.2">
      <c r="A650" s="58" t="s">
        <v>70</v>
      </c>
      <c r="B650" s="58" t="s">
        <v>35</v>
      </c>
      <c r="C650" s="58">
        <v>14</v>
      </c>
      <c r="D650" s="58" t="s">
        <v>361</v>
      </c>
      <c r="E650" s="58" t="s">
        <v>2025</v>
      </c>
      <c r="F650" s="58" t="s">
        <v>273</v>
      </c>
      <c r="G650" s="58" t="s">
        <v>273</v>
      </c>
      <c r="H650" s="58" t="s">
        <v>274</v>
      </c>
      <c r="I650" s="58" t="s">
        <v>274</v>
      </c>
      <c r="J650" s="58"/>
      <c r="K650" s="58"/>
      <c r="L650" s="58" t="s">
        <v>275</v>
      </c>
      <c r="M650" s="58" t="s">
        <v>35</v>
      </c>
      <c r="N650" s="58"/>
      <c r="O650" s="58" t="s">
        <v>829</v>
      </c>
      <c r="P650" s="58" t="s">
        <v>109</v>
      </c>
      <c r="Q650" s="58" t="s">
        <v>110</v>
      </c>
      <c r="R650" s="58" t="s">
        <v>2026</v>
      </c>
      <c r="S650" s="58" t="s">
        <v>2027</v>
      </c>
      <c r="T650" s="58" t="s">
        <v>279</v>
      </c>
    </row>
    <row r="651" spans="1:20" ht="31.2">
      <c r="A651" s="58" t="s">
        <v>70</v>
      </c>
      <c r="B651" s="58" t="s">
        <v>35</v>
      </c>
      <c r="C651" s="58">
        <v>15</v>
      </c>
      <c r="D651" s="58" t="s">
        <v>378</v>
      </c>
      <c r="E651" s="58" t="s">
        <v>2028</v>
      </c>
      <c r="F651" s="58" t="s">
        <v>273</v>
      </c>
      <c r="G651" s="58"/>
      <c r="H651" s="58" t="s">
        <v>274</v>
      </c>
      <c r="I651" s="58" t="s">
        <v>274</v>
      </c>
      <c r="J651" s="58"/>
      <c r="K651" s="58"/>
      <c r="L651" s="58" t="s">
        <v>275</v>
      </c>
      <c r="M651" s="58" t="s">
        <v>35</v>
      </c>
      <c r="N651" s="58"/>
      <c r="O651" s="58" t="s">
        <v>852</v>
      </c>
      <c r="P651" s="58" t="s">
        <v>109</v>
      </c>
      <c r="Q651" s="58" t="s">
        <v>110</v>
      </c>
      <c r="R651" s="58" t="s">
        <v>2029</v>
      </c>
      <c r="S651" s="58" t="s">
        <v>2030</v>
      </c>
      <c r="T651" s="58" t="s">
        <v>279</v>
      </c>
    </row>
    <row r="652" spans="1:20" ht="31.2">
      <c r="A652" s="58" t="s">
        <v>70</v>
      </c>
      <c r="B652" s="58" t="s">
        <v>35</v>
      </c>
      <c r="C652" s="58">
        <v>16</v>
      </c>
      <c r="D652" s="58" t="s">
        <v>361</v>
      </c>
      <c r="E652" s="58" t="s">
        <v>2031</v>
      </c>
      <c r="F652" s="58" t="s">
        <v>273</v>
      </c>
      <c r="G652" s="58" t="s">
        <v>273</v>
      </c>
      <c r="H652" s="58" t="s">
        <v>274</v>
      </c>
      <c r="I652" s="58" t="s">
        <v>274</v>
      </c>
      <c r="J652" s="58"/>
      <c r="K652" s="58"/>
      <c r="L652" s="58" t="s">
        <v>275</v>
      </c>
      <c r="M652" s="58" t="s">
        <v>35</v>
      </c>
      <c r="N652" s="58"/>
      <c r="O652" s="58" t="s">
        <v>829</v>
      </c>
      <c r="P652" s="58" t="s">
        <v>109</v>
      </c>
      <c r="Q652" s="58" t="s">
        <v>110</v>
      </c>
      <c r="R652" s="58" t="s">
        <v>2032</v>
      </c>
      <c r="S652" s="58" t="s">
        <v>2033</v>
      </c>
      <c r="T652" s="58" t="s">
        <v>279</v>
      </c>
    </row>
    <row r="653" spans="1:20" ht="31.2">
      <c r="A653" s="58" t="s">
        <v>70</v>
      </c>
      <c r="B653" s="58" t="s">
        <v>35</v>
      </c>
      <c r="C653" s="58">
        <v>17</v>
      </c>
      <c r="D653" s="58" t="s">
        <v>361</v>
      </c>
      <c r="E653" s="58" t="s">
        <v>2034</v>
      </c>
      <c r="F653" s="58" t="s">
        <v>273</v>
      </c>
      <c r="G653" s="58" t="s">
        <v>273</v>
      </c>
      <c r="H653" s="58" t="s">
        <v>274</v>
      </c>
      <c r="I653" s="58" t="s">
        <v>274</v>
      </c>
      <c r="J653" s="58"/>
      <c r="K653" s="58"/>
      <c r="L653" s="58" t="s">
        <v>275</v>
      </c>
      <c r="M653" s="58" t="s">
        <v>35</v>
      </c>
      <c r="N653" s="58"/>
      <c r="O653" s="58" t="s">
        <v>829</v>
      </c>
      <c r="P653" s="58" t="s">
        <v>109</v>
      </c>
      <c r="Q653" s="58" t="s">
        <v>110</v>
      </c>
      <c r="R653" s="58" t="s">
        <v>2035</v>
      </c>
      <c r="S653" s="58" t="s">
        <v>2036</v>
      </c>
      <c r="T653" s="58" t="s">
        <v>279</v>
      </c>
    </row>
    <row r="654" spans="1:20" ht="31.2">
      <c r="A654" s="58" t="s">
        <v>70</v>
      </c>
      <c r="B654" s="58" t="s">
        <v>35</v>
      </c>
      <c r="C654" s="58">
        <v>18</v>
      </c>
      <c r="D654" s="58" t="s">
        <v>378</v>
      </c>
      <c r="E654" s="58" t="s">
        <v>2037</v>
      </c>
      <c r="F654" s="58" t="s">
        <v>273</v>
      </c>
      <c r="G654" s="58"/>
      <c r="H654" s="58" t="s">
        <v>274</v>
      </c>
      <c r="I654" s="58" t="s">
        <v>274</v>
      </c>
      <c r="J654" s="58"/>
      <c r="K654" s="58"/>
      <c r="L654" s="58" t="s">
        <v>275</v>
      </c>
      <c r="M654" s="58" t="s">
        <v>35</v>
      </c>
      <c r="N654" s="58"/>
      <c r="O654" s="58" t="s">
        <v>852</v>
      </c>
      <c r="P654" s="58" t="s">
        <v>109</v>
      </c>
      <c r="Q654" s="58" t="s">
        <v>110</v>
      </c>
      <c r="R654" s="58" t="s">
        <v>2038</v>
      </c>
      <c r="S654" s="58" t="s">
        <v>2039</v>
      </c>
      <c r="T654" s="58" t="s">
        <v>279</v>
      </c>
    </row>
    <row r="655" spans="1:20" ht="31.2">
      <c r="A655" s="58" t="s">
        <v>70</v>
      </c>
      <c r="B655" s="58" t="s">
        <v>35</v>
      </c>
      <c r="C655" s="58">
        <v>19</v>
      </c>
      <c r="D655" s="58" t="s">
        <v>361</v>
      </c>
      <c r="E655" s="58" t="s">
        <v>2040</v>
      </c>
      <c r="F655" s="58" t="s">
        <v>273</v>
      </c>
      <c r="G655" s="58" t="s">
        <v>273</v>
      </c>
      <c r="H655" s="58" t="s">
        <v>274</v>
      </c>
      <c r="I655" s="58" t="s">
        <v>274</v>
      </c>
      <c r="J655" s="58"/>
      <c r="K655" s="58"/>
      <c r="L655" s="58" t="s">
        <v>275</v>
      </c>
      <c r="M655" s="58" t="s">
        <v>35</v>
      </c>
      <c r="N655" s="58"/>
      <c r="O655" s="58" t="s">
        <v>829</v>
      </c>
      <c r="P655" s="58" t="s">
        <v>109</v>
      </c>
      <c r="Q655" s="58" t="s">
        <v>110</v>
      </c>
      <c r="R655" s="58" t="s">
        <v>2041</v>
      </c>
      <c r="S655" s="58" t="s">
        <v>2042</v>
      </c>
      <c r="T655" s="58" t="s">
        <v>279</v>
      </c>
    </row>
    <row r="656" spans="1:20" ht="31.2">
      <c r="A656" s="58" t="s">
        <v>70</v>
      </c>
      <c r="B656" s="58" t="s">
        <v>35</v>
      </c>
      <c r="C656" s="58">
        <v>20</v>
      </c>
      <c r="D656" s="58" t="s">
        <v>378</v>
      </c>
      <c r="E656" s="58" t="s">
        <v>2043</v>
      </c>
      <c r="F656" s="58" t="s">
        <v>273</v>
      </c>
      <c r="G656" s="58"/>
      <c r="H656" s="58" t="s">
        <v>274</v>
      </c>
      <c r="I656" s="58" t="s">
        <v>274</v>
      </c>
      <c r="J656" s="58"/>
      <c r="K656" s="58"/>
      <c r="L656" s="58" t="s">
        <v>275</v>
      </c>
      <c r="M656" s="58" t="s">
        <v>35</v>
      </c>
      <c r="N656" s="58"/>
      <c r="O656" s="58" t="s">
        <v>852</v>
      </c>
      <c r="P656" s="58" t="s">
        <v>109</v>
      </c>
      <c r="Q656" s="58" t="s">
        <v>110</v>
      </c>
      <c r="R656" s="58" t="s">
        <v>2044</v>
      </c>
      <c r="S656" s="58" t="s">
        <v>2045</v>
      </c>
      <c r="T656" s="58" t="s">
        <v>279</v>
      </c>
    </row>
    <row r="657" spans="1:20" ht="31.2">
      <c r="A657" s="58" t="s">
        <v>70</v>
      </c>
      <c r="B657" s="58" t="s">
        <v>35</v>
      </c>
      <c r="C657" s="58">
        <v>21</v>
      </c>
      <c r="D657" s="58" t="s">
        <v>361</v>
      </c>
      <c r="E657" s="58" t="s">
        <v>2046</v>
      </c>
      <c r="F657" s="58" t="s">
        <v>273</v>
      </c>
      <c r="G657" s="58" t="s">
        <v>273</v>
      </c>
      <c r="H657" s="58" t="s">
        <v>274</v>
      </c>
      <c r="I657" s="58" t="s">
        <v>274</v>
      </c>
      <c r="J657" s="58"/>
      <c r="K657" s="58"/>
      <c r="L657" s="58" t="s">
        <v>275</v>
      </c>
      <c r="M657" s="58" t="s">
        <v>35</v>
      </c>
      <c r="N657" s="58"/>
      <c r="O657" s="58" t="s">
        <v>829</v>
      </c>
      <c r="P657" s="58" t="s">
        <v>109</v>
      </c>
      <c r="Q657" s="58" t="s">
        <v>110</v>
      </c>
      <c r="R657" s="58" t="s">
        <v>2047</v>
      </c>
      <c r="S657" s="58" t="s">
        <v>2048</v>
      </c>
      <c r="T657" s="58" t="s">
        <v>279</v>
      </c>
    </row>
    <row r="658" spans="1:20" ht="31.2">
      <c r="A658" s="58" t="s">
        <v>70</v>
      </c>
      <c r="B658" s="58" t="s">
        <v>35</v>
      </c>
      <c r="C658" s="58">
        <v>22</v>
      </c>
      <c r="D658" s="58" t="s">
        <v>378</v>
      </c>
      <c r="E658" s="58" t="s">
        <v>2049</v>
      </c>
      <c r="F658" s="58" t="s">
        <v>273</v>
      </c>
      <c r="G658" s="58"/>
      <c r="H658" s="58" t="s">
        <v>274</v>
      </c>
      <c r="I658" s="58" t="s">
        <v>274</v>
      </c>
      <c r="J658" s="58"/>
      <c r="K658" s="58"/>
      <c r="L658" s="58" t="s">
        <v>275</v>
      </c>
      <c r="M658" s="58" t="s">
        <v>35</v>
      </c>
      <c r="N658" s="58"/>
      <c r="O658" s="58" t="s">
        <v>852</v>
      </c>
      <c r="P658" s="58" t="s">
        <v>109</v>
      </c>
      <c r="Q658" s="58" t="s">
        <v>110</v>
      </c>
      <c r="R658" s="58" t="s">
        <v>2050</v>
      </c>
      <c r="S658" s="58" t="s">
        <v>2051</v>
      </c>
      <c r="T658" s="58" t="s">
        <v>279</v>
      </c>
    </row>
    <row r="659" spans="1:20" ht="31.2">
      <c r="A659" s="58" t="s">
        <v>70</v>
      </c>
      <c r="B659" s="58" t="s">
        <v>35</v>
      </c>
      <c r="C659" s="58">
        <v>23</v>
      </c>
      <c r="D659" s="58" t="s">
        <v>361</v>
      </c>
      <c r="E659" s="58" t="s">
        <v>2052</v>
      </c>
      <c r="F659" s="58" t="s">
        <v>273</v>
      </c>
      <c r="G659" s="58" t="s">
        <v>273</v>
      </c>
      <c r="H659" s="58" t="s">
        <v>274</v>
      </c>
      <c r="I659" s="58" t="s">
        <v>274</v>
      </c>
      <c r="J659" s="58"/>
      <c r="K659" s="58"/>
      <c r="L659" s="58" t="s">
        <v>275</v>
      </c>
      <c r="M659" s="58" t="s">
        <v>35</v>
      </c>
      <c r="N659" s="58"/>
      <c r="O659" s="58" t="s">
        <v>829</v>
      </c>
      <c r="P659" s="58" t="s">
        <v>109</v>
      </c>
      <c r="Q659" s="58" t="s">
        <v>110</v>
      </c>
      <c r="R659" s="58" t="s">
        <v>2053</v>
      </c>
      <c r="S659" s="58" t="s">
        <v>2054</v>
      </c>
      <c r="T659" s="58" t="s">
        <v>279</v>
      </c>
    </row>
    <row r="660" spans="1:20" ht="31.2">
      <c r="A660" s="58" t="s">
        <v>70</v>
      </c>
      <c r="B660" s="58" t="s">
        <v>35</v>
      </c>
      <c r="C660" s="58">
        <v>24</v>
      </c>
      <c r="D660" s="58" t="s">
        <v>378</v>
      </c>
      <c r="E660" s="58" t="s">
        <v>2055</v>
      </c>
      <c r="F660" s="58" t="s">
        <v>273</v>
      </c>
      <c r="G660" s="58"/>
      <c r="H660" s="58" t="s">
        <v>274</v>
      </c>
      <c r="I660" s="58" t="s">
        <v>274</v>
      </c>
      <c r="J660" s="58"/>
      <c r="K660" s="58"/>
      <c r="L660" s="58" t="s">
        <v>275</v>
      </c>
      <c r="M660" s="58" t="s">
        <v>35</v>
      </c>
      <c r="N660" s="58"/>
      <c r="O660" s="58" t="s">
        <v>852</v>
      </c>
      <c r="P660" s="58" t="s">
        <v>109</v>
      </c>
      <c r="Q660" s="58" t="s">
        <v>110</v>
      </c>
      <c r="R660" s="58" t="s">
        <v>2056</v>
      </c>
      <c r="S660" s="58" t="s">
        <v>2057</v>
      </c>
      <c r="T660" s="58" t="s">
        <v>279</v>
      </c>
    </row>
    <row r="661" spans="1:20" ht="31.2">
      <c r="A661" s="58" t="s">
        <v>70</v>
      </c>
      <c r="B661" s="58" t="s">
        <v>35</v>
      </c>
      <c r="C661" s="58">
        <v>25</v>
      </c>
      <c r="D661" s="58" t="s">
        <v>361</v>
      </c>
      <c r="E661" s="58" t="s">
        <v>2058</v>
      </c>
      <c r="F661" s="58" t="s">
        <v>273</v>
      </c>
      <c r="G661" s="58" t="s">
        <v>273</v>
      </c>
      <c r="H661" s="58" t="s">
        <v>274</v>
      </c>
      <c r="I661" s="58" t="s">
        <v>274</v>
      </c>
      <c r="J661" s="58"/>
      <c r="K661" s="58"/>
      <c r="L661" s="58" t="s">
        <v>275</v>
      </c>
      <c r="M661" s="58" t="s">
        <v>35</v>
      </c>
      <c r="N661" s="58"/>
      <c r="O661" s="58" t="s">
        <v>829</v>
      </c>
      <c r="P661" s="58" t="s">
        <v>109</v>
      </c>
      <c r="Q661" s="58" t="s">
        <v>110</v>
      </c>
      <c r="R661" s="58" t="s">
        <v>2059</v>
      </c>
      <c r="S661" s="58" t="s">
        <v>2060</v>
      </c>
      <c r="T661" s="58" t="s">
        <v>279</v>
      </c>
    </row>
    <row r="662" spans="1:20" ht="31.2">
      <c r="A662" s="58" t="s">
        <v>70</v>
      </c>
      <c r="B662" s="58" t="s">
        <v>35</v>
      </c>
      <c r="C662" s="58">
        <v>26</v>
      </c>
      <c r="D662" s="58" t="s">
        <v>378</v>
      </c>
      <c r="E662" s="58" t="s">
        <v>2061</v>
      </c>
      <c r="F662" s="58" t="s">
        <v>273</v>
      </c>
      <c r="G662" s="58"/>
      <c r="H662" s="58" t="s">
        <v>274</v>
      </c>
      <c r="I662" s="58" t="s">
        <v>274</v>
      </c>
      <c r="J662" s="58"/>
      <c r="K662" s="58"/>
      <c r="L662" s="58" t="s">
        <v>275</v>
      </c>
      <c r="M662" s="58" t="s">
        <v>35</v>
      </c>
      <c r="N662" s="58"/>
      <c r="O662" s="58" t="s">
        <v>852</v>
      </c>
      <c r="P662" s="58" t="s">
        <v>109</v>
      </c>
      <c r="Q662" s="58" t="s">
        <v>110</v>
      </c>
      <c r="R662" s="58" t="s">
        <v>2062</v>
      </c>
      <c r="S662" s="58" t="s">
        <v>2063</v>
      </c>
      <c r="T662" s="58" t="s">
        <v>279</v>
      </c>
    </row>
    <row r="663" spans="1:20" ht="31.2">
      <c r="A663" s="58" t="s">
        <v>70</v>
      </c>
      <c r="B663" s="58" t="s">
        <v>35</v>
      </c>
      <c r="C663" s="58">
        <v>27</v>
      </c>
      <c r="D663" s="58" t="s">
        <v>361</v>
      </c>
      <c r="E663" s="58" t="s">
        <v>2064</v>
      </c>
      <c r="F663" s="58" t="s">
        <v>273</v>
      </c>
      <c r="G663" s="58" t="s">
        <v>273</v>
      </c>
      <c r="H663" s="58" t="s">
        <v>274</v>
      </c>
      <c r="I663" s="58" t="s">
        <v>274</v>
      </c>
      <c r="J663" s="58"/>
      <c r="K663" s="58"/>
      <c r="L663" s="58" t="s">
        <v>275</v>
      </c>
      <c r="M663" s="58" t="s">
        <v>35</v>
      </c>
      <c r="N663" s="58"/>
      <c r="O663" s="58" t="s">
        <v>829</v>
      </c>
      <c r="P663" s="58" t="s">
        <v>109</v>
      </c>
      <c r="Q663" s="58" t="s">
        <v>110</v>
      </c>
      <c r="R663" s="58" t="s">
        <v>2065</v>
      </c>
      <c r="S663" s="58" t="s">
        <v>2066</v>
      </c>
      <c r="T663" s="58" t="s">
        <v>279</v>
      </c>
    </row>
    <row r="664" spans="1:20" ht="31.2">
      <c r="A664" s="58" t="s">
        <v>70</v>
      </c>
      <c r="B664" s="58" t="s">
        <v>35</v>
      </c>
      <c r="C664" s="58">
        <v>28</v>
      </c>
      <c r="D664" s="58" t="s">
        <v>378</v>
      </c>
      <c r="E664" s="58" t="s">
        <v>2067</v>
      </c>
      <c r="F664" s="58" t="s">
        <v>273</v>
      </c>
      <c r="G664" s="58"/>
      <c r="H664" s="58" t="s">
        <v>274</v>
      </c>
      <c r="I664" s="58" t="s">
        <v>274</v>
      </c>
      <c r="J664" s="58"/>
      <c r="K664" s="58"/>
      <c r="L664" s="58" t="s">
        <v>275</v>
      </c>
      <c r="M664" s="58" t="s">
        <v>35</v>
      </c>
      <c r="N664" s="58"/>
      <c r="O664" s="58" t="s">
        <v>852</v>
      </c>
      <c r="P664" s="58" t="s">
        <v>109</v>
      </c>
      <c r="Q664" s="58" t="s">
        <v>110</v>
      </c>
      <c r="R664" s="58" t="s">
        <v>2068</v>
      </c>
      <c r="S664" s="58" t="s">
        <v>2069</v>
      </c>
      <c r="T664" s="58" t="s">
        <v>279</v>
      </c>
    </row>
    <row r="665" spans="1:20" ht="31.2">
      <c r="A665" s="58" t="s">
        <v>70</v>
      </c>
      <c r="B665" s="58" t="s">
        <v>35</v>
      </c>
      <c r="C665" s="58">
        <v>29</v>
      </c>
      <c r="D665" s="58" t="s">
        <v>361</v>
      </c>
      <c r="E665" s="58" t="s">
        <v>2070</v>
      </c>
      <c r="F665" s="58" t="s">
        <v>273</v>
      </c>
      <c r="G665" s="58" t="s">
        <v>274</v>
      </c>
      <c r="H665" s="58" t="s">
        <v>273</v>
      </c>
      <c r="I665" s="58" t="s">
        <v>274</v>
      </c>
      <c r="J665" s="58"/>
      <c r="K665" s="58"/>
      <c r="L665" s="58" t="s">
        <v>275</v>
      </c>
      <c r="M665" s="58" t="s">
        <v>35</v>
      </c>
      <c r="N665" s="58"/>
      <c r="O665" s="58" t="s">
        <v>829</v>
      </c>
      <c r="P665" s="58" t="s">
        <v>109</v>
      </c>
      <c r="Q665" s="58" t="s">
        <v>110</v>
      </c>
      <c r="R665" s="58" t="s">
        <v>2071</v>
      </c>
      <c r="S665" s="58" t="s">
        <v>2072</v>
      </c>
      <c r="T665" s="58" t="s">
        <v>279</v>
      </c>
    </row>
    <row r="666" spans="1:20" ht="31.2">
      <c r="A666" s="58" t="s">
        <v>70</v>
      </c>
      <c r="B666" s="58" t="s">
        <v>35</v>
      </c>
      <c r="C666" s="58">
        <v>30</v>
      </c>
      <c r="D666" s="58" t="s">
        <v>378</v>
      </c>
      <c r="E666" s="58" t="s">
        <v>2067</v>
      </c>
      <c r="F666" s="58" t="s">
        <v>273</v>
      </c>
      <c r="G666" s="58"/>
      <c r="H666" s="58" t="s">
        <v>274</v>
      </c>
      <c r="I666" s="58" t="s">
        <v>274</v>
      </c>
      <c r="J666" s="58"/>
      <c r="K666" s="58"/>
      <c r="L666" s="58" t="s">
        <v>275</v>
      </c>
      <c r="M666" s="58" t="s">
        <v>35</v>
      </c>
      <c r="N666" s="58"/>
      <c r="O666" s="58" t="s">
        <v>852</v>
      </c>
      <c r="P666" s="58" t="s">
        <v>109</v>
      </c>
      <c r="Q666" s="58" t="s">
        <v>110</v>
      </c>
      <c r="R666" s="58" t="s">
        <v>2073</v>
      </c>
      <c r="S666" s="58" t="s">
        <v>2074</v>
      </c>
      <c r="T666" s="58" t="s">
        <v>279</v>
      </c>
    </row>
    <row r="667" spans="1:20" ht="31.2">
      <c r="A667" s="58" t="s">
        <v>70</v>
      </c>
      <c r="B667" s="58" t="s">
        <v>35</v>
      </c>
      <c r="C667" s="58">
        <v>31</v>
      </c>
      <c r="D667" s="58" t="s">
        <v>361</v>
      </c>
      <c r="E667" s="58" t="s">
        <v>2070</v>
      </c>
      <c r="F667" s="58" t="s">
        <v>273</v>
      </c>
      <c r="G667" s="58" t="s">
        <v>273</v>
      </c>
      <c r="H667" s="58" t="s">
        <v>274</v>
      </c>
      <c r="I667" s="58" t="s">
        <v>274</v>
      </c>
      <c r="J667" s="58"/>
      <c r="K667" s="58"/>
      <c r="L667" s="58" t="s">
        <v>275</v>
      </c>
      <c r="M667" s="58" t="s">
        <v>35</v>
      </c>
      <c r="N667" s="58"/>
      <c r="O667" s="58" t="s">
        <v>829</v>
      </c>
      <c r="P667" s="58" t="s">
        <v>109</v>
      </c>
      <c r="Q667" s="58" t="s">
        <v>110</v>
      </c>
      <c r="R667" s="58" t="s">
        <v>2075</v>
      </c>
      <c r="S667" s="58" t="s">
        <v>2076</v>
      </c>
      <c r="T667" s="58" t="s">
        <v>279</v>
      </c>
    </row>
    <row r="668" spans="1:20" ht="31.2">
      <c r="A668" s="58" t="s">
        <v>70</v>
      </c>
      <c r="B668" s="58" t="s">
        <v>35</v>
      </c>
      <c r="C668" s="58">
        <v>32</v>
      </c>
      <c r="D668" s="58" t="s">
        <v>361</v>
      </c>
      <c r="E668" s="58" t="s">
        <v>2077</v>
      </c>
      <c r="F668" s="58" t="s">
        <v>273</v>
      </c>
      <c r="G668" s="58" t="s">
        <v>274</v>
      </c>
      <c r="H668" s="58" t="s">
        <v>273</v>
      </c>
      <c r="I668" s="58" t="s">
        <v>274</v>
      </c>
      <c r="J668" s="58"/>
      <c r="K668" s="58"/>
      <c r="L668" s="58" t="s">
        <v>275</v>
      </c>
      <c r="M668" s="58" t="s">
        <v>35</v>
      </c>
      <c r="N668" s="58"/>
      <c r="O668" s="58" t="s">
        <v>829</v>
      </c>
      <c r="P668" s="58" t="s">
        <v>109</v>
      </c>
      <c r="Q668" s="58" t="s">
        <v>110</v>
      </c>
      <c r="R668" s="58" t="s">
        <v>2078</v>
      </c>
      <c r="S668" s="58" t="s">
        <v>2079</v>
      </c>
      <c r="T668" s="58" t="s">
        <v>279</v>
      </c>
    </row>
    <row r="669" spans="1:20" ht="31.2">
      <c r="A669" s="58" t="s">
        <v>70</v>
      </c>
      <c r="B669" s="58" t="s">
        <v>35</v>
      </c>
      <c r="C669" s="58">
        <v>33</v>
      </c>
      <c r="D669" s="58" t="s">
        <v>378</v>
      </c>
      <c r="E669" s="58" t="s">
        <v>2080</v>
      </c>
      <c r="F669" s="58" t="s">
        <v>273</v>
      </c>
      <c r="G669" s="58"/>
      <c r="H669" s="58" t="s">
        <v>274</v>
      </c>
      <c r="I669" s="58" t="s">
        <v>274</v>
      </c>
      <c r="J669" s="58"/>
      <c r="K669" s="58"/>
      <c r="L669" s="58" t="s">
        <v>275</v>
      </c>
      <c r="M669" s="58" t="s">
        <v>35</v>
      </c>
      <c r="N669" s="58"/>
      <c r="O669" s="58" t="s">
        <v>852</v>
      </c>
      <c r="P669" s="58" t="s">
        <v>109</v>
      </c>
      <c r="Q669" s="58" t="s">
        <v>110</v>
      </c>
      <c r="R669" s="58" t="s">
        <v>2081</v>
      </c>
      <c r="S669" s="58" t="s">
        <v>2082</v>
      </c>
      <c r="T669" s="58" t="s">
        <v>279</v>
      </c>
    </row>
    <row r="670" spans="1:20" ht="31.2">
      <c r="A670" s="58" t="s">
        <v>70</v>
      </c>
      <c r="B670" s="58" t="s">
        <v>35</v>
      </c>
      <c r="C670" s="58">
        <v>34</v>
      </c>
      <c r="D670" s="58" t="s">
        <v>361</v>
      </c>
      <c r="E670" s="58" t="s">
        <v>2083</v>
      </c>
      <c r="F670" s="58" t="s">
        <v>273</v>
      </c>
      <c r="G670" s="58" t="s">
        <v>273</v>
      </c>
      <c r="H670" s="58" t="s">
        <v>274</v>
      </c>
      <c r="I670" s="58" t="s">
        <v>274</v>
      </c>
      <c r="J670" s="58"/>
      <c r="K670" s="58"/>
      <c r="L670" s="58" t="s">
        <v>275</v>
      </c>
      <c r="M670" s="58" t="s">
        <v>35</v>
      </c>
      <c r="N670" s="58"/>
      <c r="O670" s="58" t="s">
        <v>829</v>
      </c>
      <c r="P670" s="58" t="s">
        <v>109</v>
      </c>
      <c r="Q670" s="58" t="s">
        <v>110</v>
      </c>
      <c r="R670" s="58" t="s">
        <v>2084</v>
      </c>
      <c r="S670" s="58" t="s">
        <v>2085</v>
      </c>
      <c r="T670" s="58" t="s">
        <v>279</v>
      </c>
    </row>
    <row r="671" spans="1:20" ht="31.2">
      <c r="A671" s="58" t="s">
        <v>70</v>
      </c>
      <c r="B671" s="58" t="s">
        <v>35</v>
      </c>
      <c r="C671" s="58">
        <v>35</v>
      </c>
      <c r="D671" s="58" t="s">
        <v>378</v>
      </c>
      <c r="E671" s="58" t="s">
        <v>2086</v>
      </c>
      <c r="F671" s="58" t="s">
        <v>273</v>
      </c>
      <c r="G671" s="58"/>
      <c r="H671" s="58" t="s">
        <v>274</v>
      </c>
      <c r="I671" s="58" t="s">
        <v>274</v>
      </c>
      <c r="J671" s="58"/>
      <c r="K671" s="58"/>
      <c r="L671" s="58" t="s">
        <v>288</v>
      </c>
      <c r="M671" s="58" t="s">
        <v>35</v>
      </c>
      <c r="N671" s="58"/>
      <c r="O671" s="58" t="s">
        <v>852</v>
      </c>
      <c r="P671" s="58" t="s">
        <v>109</v>
      </c>
      <c r="Q671" s="58" t="s">
        <v>110</v>
      </c>
      <c r="R671" s="58" t="s">
        <v>2087</v>
      </c>
      <c r="S671" s="58" t="s">
        <v>2088</v>
      </c>
      <c r="T671" s="58" t="s">
        <v>279</v>
      </c>
    </row>
    <row r="672" spans="1:20" ht="31.2">
      <c r="A672" s="58" t="s">
        <v>70</v>
      </c>
      <c r="B672" s="58" t="s">
        <v>35</v>
      </c>
      <c r="C672" s="58">
        <v>36</v>
      </c>
      <c r="D672" s="58" t="s">
        <v>361</v>
      </c>
      <c r="E672" s="58" t="s">
        <v>2089</v>
      </c>
      <c r="F672" s="58" t="s">
        <v>273</v>
      </c>
      <c r="G672" s="58" t="s">
        <v>273</v>
      </c>
      <c r="H672" s="58" t="s">
        <v>274</v>
      </c>
      <c r="I672" s="58" t="s">
        <v>274</v>
      </c>
      <c r="J672" s="58"/>
      <c r="K672" s="58"/>
      <c r="L672" s="58" t="s">
        <v>288</v>
      </c>
      <c r="M672" s="58" t="s">
        <v>35</v>
      </c>
      <c r="N672" s="58"/>
      <c r="O672" s="58" t="s">
        <v>829</v>
      </c>
      <c r="P672" s="58" t="s">
        <v>109</v>
      </c>
      <c r="Q672" s="58" t="s">
        <v>110</v>
      </c>
      <c r="R672" s="58" t="s">
        <v>2090</v>
      </c>
      <c r="S672" s="58" t="s">
        <v>2091</v>
      </c>
      <c r="T672" s="58" t="s">
        <v>279</v>
      </c>
    </row>
    <row r="673" spans="1:20" ht="31.2">
      <c r="A673" s="58" t="s">
        <v>70</v>
      </c>
      <c r="B673" s="58" t="s">
        <v>35</v>
      </c>
      <c r="C673" s="58">
        <v>37</v>
      </c>
      <c r="D673" s="58" t="s">
        <v>361</v>
      </c>
      <c r="E673" s="58" t="s">
        <v>2092</v>
      </c>
      <c r="F673" s="58" t="s">
        <v>273</v>
      </c>
      <c r="G673" s="58" t="s">
        <v>273</v>
      </c>
      <c r="H673" s="58" t="s">
        <v>274</v>
      </c>
      <c r="I673" s="58" t="s">
        <v>274</v>
      </c>
      <c r="J673" s="58"/>
      <c r="K673" s="58"/>
      <c r="L673" s="58" t="s">
        <v>288</v>
      </c>
      <c r="M673" s="58" t="s">
        <v>35</v>
      </c>
      <c r="N673" s="58"/>
      <c r="O673" s="58" t="s">
        <v>829</v>
      </c>
      <c r="P673" s="58" t="s">
        <v>109</v>
      </c>
      <c r="Q673" s="58" t="s">
        <v>110</v>
      </c>
      <c r="R673" s="58" t="s">
        <v>2093</v>
      </c>
      <c r="S673" s="58" t="s">
        <v>2094</v>
      </c>
      <c r="T673" s="58" t="s">
        <v>279</v>
      </c>
    </row>
    <row r="674" spans="1:20" ht="31.2">
      <c r="A674" s="58" t="s">
        <v>70</v>
      </c>
      <c r="B674" s="58" t="s">
        <v>35</v>
      </c>
      <c r="C674" s="58">
        <v>38</v>
      </c>
      <c r="D674" s="58" t="s">
        <v>361</v>
      </c>
      <c r="E674" s="58" t="s">
        <v>2095</v>
      </c>
      <c r="F674" s="58" t="s">
        <v>273</v>
      </c>
      <c r="G674" s="58" t="s">
        <v>273</v>
      </c>
      <c r="H674" s="58" t="s">
        <v>274</v>
      </c>
      <c r="I674" s="58" t="s">
        <v>274</v>
      </c>
      <c r="J674" s="58"/>
      <c r="K674" s="58"/>
      <c r="L674" s="58" t="s">
        <v>288</v>
      </c>
      <c r="M674" s="58" t="s">
        <v>35</v>
      </c>
      <c r="N674" s="58"/>
      <c r="O674" s="58" t="s">
        <v>829</v>
      </c>
      <c r="P674" s="58" t="s">
        <v>109</v>
      </c>
      <c r="Q674" s="58" t="s">
        <v>110</v>
      </c>
      <c r="R674" s="58" t="s">
        <v>2096</v>
      </c>
      <c r="S674" s="58" t="s">
        <v>2097</v>
      </c>
      <c r="T674" s="58" t="s">
        <v>279</v>
      </c>
    </row>
    <row r="675" spans="1:20" ht="31.2">
      <c r="A675" s="58" t="s">
        <v>70</v>
      </c>
      <c r="B675" s="58" t="s">
        <v>35</v>
      </c>
      <c r="C675" s="58">
        <v>39</v>
      </c>
      <c r="D675" s="58" t="s">
        <v>361</v>
      </c>
      <c r="E675" s="58" t="s">
        <v>2098</v>
      </c>
      <c r="F675" s="58" t="s">
        <v>273</v>
      </c>
      <c r="G675" s="58" t="s">
        <v>273</v>
      </c>
      <c r="H675" s="58" t="s">
        <v>274</v>
      </c>
      <c r="I675" s="58" t="s">
        <v>274</v>
      </c>
      <c r="J675" s="58"/>
      <c r="K675" s="58"/>
      <c r="L675" s="58" t="s">
        <v>288</v>
      </c>
      <c r="M675" s="58" t="s">
        <v>35</v>
      </c>
      <c r="N675" s="58"/>
      <c r="O675" s="58" t="s">
        <v>829</v>
      </c>
      <c r="P675" s="58" t="s">
        <v>109</v>
      </c>
      <c r="Q675" s="58" t="s">
        <v>110</v>
      </c>
      <c r="R675" s="58" t="s">
        <v>2099</v>
      </c>
      <c r="S675" s="58" t="s">
        <v>2100</v>
      </c>
      <c r="T675" s="58" t="s">
        <v>279</v>
      </c>
    </row>
    <row r="676" spans="1:20" ht="31.2">
      <c r="A676" s="58" t="s">
        <v>70</v>
      </c>
      <c r="B676" s="58" t="s">
        <v>35</v>
      </c>
      <c r="C676" s="58">
        <v>40</v>
      </c>
      <c r="D676" s="58" t="s">
        <v>361</v>
      </c>
      <c r="E676" s="58" t="s">
        <v>2101</v>
      </c>
      <c r="F676" s="58" t="s">
        <v>273</v>
      </c>
      <c r="G676" s="58" t="s">
        <v>273</v>
      </c>
      <c r="H676" s="58" t="s">
        <v>274</v>
      </c>
      <c r="I676" s="58" t="s">
        <v>274</v>
      </c>
      <c r="J676" s="58"/>
      <c r="K676" s="58"/>
      <c r="L676" s="58" t="s">
        <v>288</v>
      </c>
      <c r="M676" s="58" t="s">
        <v>35</v>
      </c>
      <c r="N676" s="58"/>
      <c r="O676" s="58" t="s">
        <v>829</v>
      </c>
      <c r="P676" s="58" t="s">
        <v>109</v>
      </c>
      <c r="Q676" s="58" t="s">
        <v>110</v>
      </c>
      <c r="R676" s="58" t="s">
        <v>2102</v>
      </c>
      <c r="S676" s="58" t="s">
        <v>2103</v>
      </c>
      <c r="T676" s="58" t="s">
        <v>279</v>
      </c>
    </row>
    <row r="677" spans="1:20" ht="31.2">
      <c r="A677" s="58" t="s">
        <v>70</v>
      </c>
      <c r="B677" s="58" t="s">
        <v>35</v>
      </c>
      <c r="C677" s="58">
        <v>41</v>
      </c>
      <c r="D677" s="58" t="s">
        <v>378</v>
      </c>
      <c r="E677" s="58" t="s">
        <v>2104</v>
      </c>
      <c r="F677" s="58" t="s">
        <v>273</v>
      </c>
      <c r="G677" s="58"/>
      <c r="H677" s="58" t="s">
        <v>274</v>
      </c>
      <c r="I677" s="58" t="s">
        <v>274</v>
      </c>
      <c r="J677" s="58"/>
      <c r="K677" s="58"/>
      <c r="L677" s="58" t="s">
        <v>288</v>
      </c>
      <c r="M677" s="58" t="s">
        <v>35</v>
      </c>
      <c r="N677" s="58"/>
      <c r="O677" s="58" t="s">
        <v>852</v>
      </c>
      <c r="P677" s="58" t="s">
        <v>109</v>
      </c>
      <c r="Q677" s="58" t="s">
        <v>110</v>
      </c>
      <c r="R677" s="58" t="s">
        <v>2105</v>
      </c>
      <c r="S677" s="58" t="s">
        <v>2106</v>
      </c>
      <c r="T677" s="58" t="s">
        <v>279</v>
      </c>
    </row>
    <row r="678" spans="1:20" ht="31.2">
      <c r="A678" s="58" t="s">
        <v>70</v>
      </c>
      <c r="B678" s="58" t="s">
        <v>35</v>
      </c>
      <c r="C678" s="58">
        <v>42</v>
      </c>
      <c r="D678" s="58" t="s">
        <v>361</v>
      </c>
      <c r="E678" s="58" t="s">
        <v>2107</v>
      </c>
      <c r="F678" s="58" t="s">
        <v>273</v>
      </c>
      <c r="G678" s="58" t="s">
        <v>273</v>
      </c>
      <c r="H678" s="58" t="s">
        <v>274</v>
      </c>
      <c r="I678" s="58" t="s">
        <v>274</v>
      </c>
      <c r="J678" s="58"/>
      <c r="K678" s="58"/>
      <c r="L678" s="58" t="s">
        <v>288</v>
      </c>
      <c r="M678" s="58" t="s">
        <v>35</v>
      </c>
      <c r="N678" s="58"/>
      <c r="O678" s="58" t="s">
        <v>829</v>
      </c>
      <c r="P678" s="58" t="s">
        <v>109</v>
      </c>
      <c r="Q678" s="58" t="s">
        <v>110</v>
      </c>
      <c r="R678" s="58" t="s">
        <v>2108</v>
      </c>
      <c r="S678" s="58" t="s">
        <v>2109</v>
      </c>
      <c r="T678" s="58" t="s">
        <v>279</v>
      </c>
    </row>
    <row r="679" spans="1:20" ht="31.2">
      <c r="A679" s="58" t="s">
        <v>70</v>
      </c>
      <c r="B679" s="58" t="s">
        <v>35</v>
      </c>
      <c r="C679" s="58">
        <v>43</v>
      </c>
      <c r="D679" s="58" t="s">
        <v>361</v>
      </c>
      <c r="E679" s="58" t="s">
        <v>2110</v>
      </c>
      <c r="F679" s="58" t="s">
        <v>273</v>
      </c>
      <c r="G679" s="58" t="s">
        <v>273</v>
      </c>
      <c r="H679" s="58" t="s">
        <v>274</v>
      </c>
      <c r="I679" s="58" t="s">
        <v>274</v>
      </c>
      <c r="J679" s="58"/>
      <c r="K679" s="58"/>
      <c r="L679" s="58" t="s">
        <v>288</v>
      </c>
      <c r="M679" s="58" t="s">
        <v>35</v>
      </c>
      <c r="N679" s="58"/>
      <c r="O679" s="58" t="s">
        <v>829</v>
      </c>
      <c r="P679" s="58" t="s">
        <v>109</v>
      </c>
      <c r="Q679" s="58" t="s">
        <v>110</v>
      </c>
      <c r="R679" s="58" t="s">
        <v>2111</v>
      </c>
      <c r="S679" s="58" t="s">
        <v>2112</v>
      </c>
      <c r="T679" s="58" t="s">
        <v>279</v>
      </c>
    </row>
    <row r="680" spans="1:20" ht="31.2">
      <c r="A680" s="58" t="s">
        <v>70</v>
      </c>
      <c r="B680" s="58" t="s">
        <v>35</v>
      </c>
      <c r="C680" s="58">
        <v>44</v>
      </c>
      <c r="D680" s="58" t="s">
        <v>361</v>
      </c>
      <c r="E680" s="58" t="s">
        <v>2113</v>
      </c>
      <c r="F680" s="58" t="s">
        <v>273</v>
      </c>
      <c r="G680" s="58" t="s">
        <v>273</v>
      </c>
      <c r="H680" s="58" t="s">
        <v>274</v>
      </c>
      <c r="I680" s="58" t="s">
        <v>274</v>
      </c>
      <c r="J680" s="58"/>
      <c r="K680" s="58"/>
      <c r="L680" s="58" t="s">
        <v>288</v>
      </c>
      <c r="M680" s="58" t="s">
        <v>35</v>
      </c>
      <c r="N680" s="58"/>
      <c r="O680" s="58" t="s">
        <v>829</v>
      </c>
      <c r="P680" s="58" t="s">
        <v>109</v>
      </c>
      <c r="Q680" s="58" t="s">
        <v>110</v>
      </c>
      <c r="R680" s="58" t="s">
        <v>2114</v>
      </c>
      <c r="S680" s="58" t="s">
        <v>2115</v>
      </c>
      <c r="T680" s="58" t="s">
        <v>279</v>
      </c>
    </row>
    <row r="681" spans="1:20" ht="31.2">
      <c r="A681" s="58" t="s">
        <v>70</v>
      </c>
      <c r="B681" s="58" t="s">
        <v>35</v>
      </c>
      <c r="C681" s="58">
        <v>45</v>
      </c>
      <c r="D681" s="58" t="s">
        <v>378</v>
      </c>
      <c r="E681" s="58" t="s">
        <v>1004</v>
      </c>
      <c r="F681" s="58" t="s">
        <v>273</v>
      </c>
      <c r="G681" s="58"/>
      <c r="H681" s="58" t="s">
        <v>274</v>
      </c>
      <c r="I681" s="58" t="s">
        <v>274</v>
      </c>
      <c r="J681" s="58"/>
      <c r="K681" s="58"/>
      <c r="L681" s="58" t="s">
        <v>288</v>
      </c>
      <c r="M681" s="58" t="s">
        <v>35</v>
      </c>
      <c r="N681" s="58"/>
      <c r="O681" s="58" t="s">
        <v>852</v>
      </c>
      <c r="P681" s="58" t="s">
        <v>109</v>
      </c>
      <c r="Q681" s="58" t="s">
        <v>110</v>
      </c>
      <c r="R681" s="58" t="s">
        <v>2116</v>
      </c>
      <c r="S681" s="58" t="s">
        <v>2117</v>
      </c>
      <c r="T681" s="58" t="s">
        <v>279</v>
      </c>
    </row>
    <row r="682" spans="1:20" ht="31.2">
      <c r="A682" s="58" t="s">
        <v>70</v>
      </c>
      <c r="B682" s="58" t="s">
        <v>35</v>
      </c>
      <c r="C682" s="58">
        <v>46</v>
      </c>
      <c r="D682" s="58" t="s">
        <v>378</v>
      </c>
      <c r="E682" s="58" t="s">
        <v>2118</v>
      </c>
      <c r="F682" s="58" t="s">
        <v>273</v>
      </c>
      <c r="G682" s="58"/>
      <c r="H682" s="58" t="s">
        <v>274</v>
      </c>
      <c r="I682" s="58" t="s">
        <v>274</v>
      </c>
      <c r="J682" s="58"/>
      <c r="K682" s="58"/>
      <c r="L682" s="58" t="s">
        <v>288</v>
      </c>
      <c r="M682" s="58" t="s">
        <v>35</v>
      </c>
      <c r="N682" s="58"/>
      <c r="O682" s="58" t="s">
        <v>852</v>
      </c>
      <c r="P682" s="58" t="s">
        <v>109</v>
      </c>
      <c r="Q682" s="58" t="s">
        <v>110</v>
      </c>
      <c r="R682" s="58" t="s">
        <v>2119</v>
      </c>
      <c r="S682" s="58" t="s">
        <v>2120</v>
      </c>
      <c r="T682" s="58" t="s">
        <v>279</v>
      </c>
    </row>
    <row r="683" spans="1:20" ht="31.2">
      <c r="A683" s="58" t="s">
        <v>70</v>
      </c>
      <c r="B683" s="58" t="s">
        <v>35</v>
      </c>
      <c r="C683" s="58">
        <v>47</v>
      </c>
      <c r="D683" s="58" t="s">
        <v>361</v>
      </c>
      <c r="E683" s="58" t="s">
        <v>2121</v>
      </c>
      <c r="F683" s="58" t="s">
        <v>273</v>
      </c>
      <c r="G683" s="58" t="s">
        <v>273</v>
      </c>
      <c r="H683" s="58" t="s">
        <v>274</v>
      </c>
      <c r="I683" s="58" t="s">
        <v>274</v>
      </c>
      <c r="J683" s="58"/>
      <c r="K683" s="58"/>
      <c r="L683" s="58" t="s">
        <v>288</v>
      </c>
      <c r="M683" s="58" t="s">
        <v>35</v>
      </c>
      <c r="N683" s="58"/>
      <c r="O683" s="58" t="s">
        <v>829</v>
      </c>
      <c r="P683" s="58" t="s">
        <v>109</v>
      </c>
      <c r="Q683" s="58" t="s">
        <v>110</v>
      </c>
      <c r="R683" s="58" t="s">
        <v>2122</v>
      </c>
      <c r="S683" s="58" t="s">
        <v>2123</v>
      </c>
      <c r="T683" s="58" t="s">
        <v>279</v>
      </c>
    </row>
    <row r="684" spans="1:20" ht="31.2">
      <c r="A684" s="58" t="s">
        <v>57</v>
      </c>
      <c r="B684" s="58" t="s">
        <v>35</v>
      </c>
      <c r="C684" s="58">
        <v>1</v>
      </c>
      <c r="D684" s="58" t="s">
        <v>349</v>
      </c>
      <c r="E684" s="58" t="s">
        <v>2124</v>
      </c>
      <c r="F684" s="58" t="s">
        <v>274</v>
      </c>
      <c r="G684" s="58"/>
      <c r="H684" s="58"/>
      <c r="I684" s="58" t="s">
        <v>274</v>
      </c>
      <c r="J684" s="58"/>
      <c r="K684" s="58"/>
      <c r="L684" s="58" t="s">
        <v>351</v>
      </c>
      <c r="M684" s="58" t="s">
        <v>35</v>
      </c>
      <c r="N684" s="58"/>
      <c r="O684" s="58" t="s">
        <v>352</v>
      </c>
      <c r="P684" s="58" t="s">
        <v>112</v>
      </c>
      <c r="Q684" s="58" t="s">
        <v>113</v>
      </c>
      <c r="R684" s="58" t="s">
        <v>2125</v>
      </c>
      <c r="S684" s="58" t="s">
        <v>2126</v>
      </c>
      <c r="T684" s="58" t="s">
        <v>279</v>
      </c>
    </row>
    <row r="685" spans="1:20" ht="31.2">
      <c r="A685" s="58" t="s">
        <v>57</v>
      </c>
      <c r="B685" s="58" t="s">
        <v>35</v>
      </c>
      <c r="C685" s="58">
        <v>2</v>
      </c>
      <c r="D685" s="58" t="s">
        <v>333</v>
      </c>
      <c r="E685" s="58" t="s">
        <v>358</v>
      </c>
      <c r="F685" s="58" t="s">
        <v>274</v>
      </c>
      <c r="G685" s="58"/>
      <c r="H685" s="58"/>
      <c r="I685" s="58" t="s">
        <v>274</v>
      </c>
      <c r="J685" s="58"/>
      <c r="K685" s="58" t="s">
        <v>274</v>
      </c>
      <c r="L685" s="58" t="s">
        <v>351</v>
      </c>
      <c r="M685" s="58" t="s">
        <v>35</v>
      </c>
      <c r="N685" s="58"/>
      <c r="O685" s="58" t="s">
        <v>335</v>
      </c>
      <c r="P685" s="58" t="s">
        <v>112</v>
      </c>
      <c r="Q685" s="58" t="s">
        <v>113</v>
      </c>
      <c r="R685" s="58" t="s">
        <v>2127</v>
      </c>
      <c r="S685" s="58" t="s">
        <v>2128</v>
      </c>
      <c r="T685" s="58" t="s">
        <v>279</v>
      </c>
    </row>
    <row r="686" spans="1:20" ht="31.2">
      <c r="A686" s="58" t="s">
        <v>57</v>
      </c>
      <c r="B686" s="58" t="s">
        <v>35</v>
      </c>
      <c r="C686" s="58">
        <v>3</v>
      </c>
      <c r="D686" s="58" t="s">
        <v>338</v>
      </c>
      <c r="E686" s="58" t="s">
        <v>343</v>
      </c>
      <c r="F686" s="58" t="s">
        <v>274</v>
      </c>
      <c r="G686" s="58"/>
      <c r="H686" s="58"/>
      <c r="I686" s="58" t="s">
        <v>274</v>
      </c>
      <c r="J686" s="58"/>
      <c r="K686" s="58"/>
      <c r="L686" s="58" t="s">
        <v>351</v>
      </c>
      <c r="M686" s="58" t="s">
        <v>35</v>
      </c>
      <c r="N686" s="58"/>
      <c r="O686" s="58" t="s">
        <v>340</v>
      </c>
      <c r="P686" s="58" t="s">
        <v>112</v>
      </c>
      <c r="Q686" s="58" t="s">
        <v>113</v>
      </c>
      <c r="R686" s="58" t="s">
        <v>2129</v>
      </c>
      <c r="S686" s="58" t="s">
        <v>2130</v>
      </c>
      <c r="T686" s="58" t="s">
        <v>279</v>
      </c>
    </row>
    <row r="687" spans="1:20" ht="31.2">
      <c r="A687" s="58" t="s">
        <v>57</v>
      </c>
      <c r="B687" s="58" t="s">
        <v>35</v>
      </c>
      <c r="C687" s="58">
        <v>4</v>
      </c>
      <c r="D687" s="58" t="s">
        <v>338</v>
      </c>
      <c r="E687" s="58" t="s">
        <v>339</v>
      </c>
      <c r="F687" s="58" t="s">
        <v>274</v>
      </c>
      <c r="G687" s="58"/>
      <c r="H687" s="58"/>
      <c r="I687" s="58" t="s">
        <v>274</v>
      </c>
      <c r="J687" s="58"/>
      <c r="K687" s="58"/>
      <c r="L687" s="58" t="s">
        <v>351</v>
      </c>
      <c r="M687" s="58" t="s">
        <v>35</v>
      </c>
      <c r="N687" s="58"/>
      <c r="O687" s="58" t="s">
        <v>340</v>
      </c>
      <c r="P687" s="58" t="s">
        <v>112</v>
      </c>
      <c r="Q687" s="58" t="s">
        <v>113</v>
      </c>
      <c r="R687" s="58" t="s">
        <v>2131</v>
      </c>
      <c r="S687" s="58" t="s">
        <v>2132</v>
      </c>
      <c r="T687" s="58" t="s">
        <v>279</v>
      </c>
    </row>
    <row r="688" spans="1:20" ht="31.2">
      <c r="A688" s="58" t="s">
        <v>57</v>
      </c>
      <c r="B688" s="58" t="s">
        <v>35</v>
      </c>
      <c r="C688" s="58">
        <v>5</v>
      </c>
      <c r="D688" s="58" t="s">
        <v>333</v>
      </c>
      <c r="E688" s="58" t="s">
        <v>334</v>
      </c>
      <c r="F688" s="58" t="s">
        <v>274</v>
      </c>
      <c r="G688" s="58"/>
      <c r="H688" s="58"/>
      <c r="I688" s="58" t="s">
        <v>274</v>
      </c>
      <c r="J688" s="58"/>
      <c r="K688" s="58" t="s">
        <v>274</v>
      </c>
      <c r="L688" s="58" t="s">
        <v>351</v>
      </c>
      <c r="M688" s="58" t="s">
        <v>35</v>
      </c>
      <c r="N688" s="58"/>
      <c r="O688" s="58" t="s">
        <v>335</v>
      </c>
      <c r="P688" s="58" t="s">
        <v>112</v>
      </c>
      <c r="Q688" s="58" t="s">
        <v>113</v>
      </c>
      <c r="R688" s="58" t="s">
        <v>2133</v>
      </c>
      <c r="S688" s="58" t="s">
        <v>2134</v>
      </c>
      <c r="T688" s="58" t="s">
        <v>279</v>
      </c>
    </row>
    <row r="689" spans="1:20" ht="31.2">
      <c r="A689" s="58" t="s">
        <v>57</v>
      </c>
      <c r="B689" s="58" t="s">
        <v>35</v>
      </c>
      <c r="C689" s="58">
        <v>6</v>
      </c>
      <c r="D689" s="58" t="s">
        <v>349</v>
      </c>
      <c r="E689" s="58" t="s">
        <v>2135</v>
      </c>
      <c r="F689" s="58" t="s">
        <v>274</v>
      </c>
      <c r="G689" s="58"/>
      <c r="H689" s="58"/>
      <c r="I689" s="58" t="s">
        <v>274</v>
      </c>
      <c r="J689" s="58"/>
      <c r="K689" s="58"/>
      <c r="L689" s="58" t="s">
        <v>351</v>
      </c>
      <c r="M689" s="58" t="s">
        <v>35</v>
      </c>
      <c r="N689" s="58"/>
      <c r="O689" s="58" t="s">
        <v>2136</v>
      </c>
      <c r="P689" s="58" t="s">
        <v>112</v>
      </c>
      <c r="Q689" s="58" t="s">
        <v>113</v>
      </c>
      <c r="R689" s="58" t="s">
        <v>2137</v>
      </c>
      <c r="S689" s="58" t="s">
        <v>2138</v>
      </c>
      <c r="T689" s="58" t="s">
        <v>279</v>
      </c>
    </row>
    <row r="690" spans="1:20" ht="31.2">
      <c r="A690" s="58" t="s">
        <v>57</v>
      </c>
      <c r="B690" s="58" t="s">
        <v>35</v>
      </c>
      <c r="C690" s="58">
        <v>7</v>
      </c>
      <c r="D690" s="58" t="s">
        <v>333</v>
      </c>
      <c r="E690" s="58" t="s">
        <v>2139</v>
      </c>
      <c r="F690" s="58" t="s">
        <v>274</v>
      </c>
      <c r="G690" s="58"/>
      <c r="H690" s="58"/>
      <c r="I690" s="58" t="s">
        <v>274</v>
      </c>
      <c r="J690" s="58"/>
      <c r="K690" s="58" t="s">
        <v>274</v>
      </c>
      <c r="L690" s="58" t="s">
        <v>351</v>
      </c>
      <c r="M690" s="58" t="s">
        <v>35</v>
      </c>
      <c r="N690" s="58"/>
      <c r="O690" s="58" t="s">
        <v>335</v>
      </c>
      <c r="P690" s="58" t="s">
        <v>112</v>
      </c>
      <c r="Q690" s="58" t="s">
        <v>113</v>
      </c>
      <c r="R690" s="58" t="s">
        <v>2140</v>
      </c>
      <c r="S690" s="58" t="s">
        <v>2141</v>
      </c>
      <c r="T690" s="58" t="s">
        <v>279</v>
      </c>
    </row>
    <row r="691" spans="1:20" ht="31.2">
      <c r="A691" s="58" t="s">
        <v>57</v>
      </c>
      <c r="B691" s="58" t="s">
        <v>35</v>
      </c>
      <c r="C691" s="58">
        <v>8</v>
      </c>
      <c r="D691" s="58" t="s">
        <v>333</v>
      </c>
      <c r="E691" s="58" t="s">
        <v>355</v>
      </c>
      <c r="F691" s="58" t="s">
        <v>274</v>
      </c>
      <c r="G691" s="58"/>
      <c r="H691" s="58"/>
      <c r="I691" s="58" t="s">
        <v>274</v>
      </c>
      <c r="J691" s="58"/>
      <c r="K691" s="58" t="s">
        <v>274</v>
      </c>
      <c r="L691" s="58" t="s">
        <v>275</v>
      </c>
      <c r="M691" s="58" t="s">
        <v>35</v>
      </c>
      <c r="N691" s="58"/>
      <c r="O691" s="58" t="s">
        <v>335</v>
      </c>
      <c r="P691" s="58" t="s">
        <v>112</v>
      </c>
      <c r="Q691" s="58" t="s">
        <v>113</v>
      </c>
      <c r="R691" s="58" t="s">
        <v>2142</v>
      </c>
      <c r="S691" s="58" t="s">
        <v>2143</v>
      </c>
      <c r="T691" s="58" t="s">
        <v>279</v>
      </c>
    </row>
    <row r="692" spans="1:20" ht="31.2">
      <c r="A692" s="58" t="s">
        <v>57</v>
      </c>
      <c r="B692" s="58" t="s">
        <v>35</v>
      </c>
      <c r="C692" s="58">
        <v>9</v>
      </c>
      <c r="D692" s="58" t="s">
        <v>333</v>
      </c>
      <c r="E692" s="58" t="s">
        <v>2144</v>
      </c>
      <c r="F692" s="58" t="s">
        <v>274</v>
      </c>
      <c r="G692" s="58"/>
      <c r="H692" s="58"/>
      <c r="I692" s="58" t="s">
        <v>274</v>
      </c>
      <c r="J692" s="58"/>
      <c r="K692" s="58" t="s">
        <v>274</v>
      </c>
      <c r="L692" s="58" t="s">
        <v>351</v>
      </c>
      <c r="M692" s="58" t="s">
        <v>35</v>
      </c>
      <c r="N692" s="58"/>
      <c r="O692" s="58" t="s">
        <v>335</v>
      </c>
      <c r="P692" s="58" t="s">
        <v>112</v>
      </c>
      <c r="Q692" s="58" t="s">
        <v>113</v>
      </c>
      <c r="R692" s="58" t="s">
        <v>2145</v>
      </c>
      <c r="S692" s="58" t="s">
        <v>2146</v>
      </c>
      <c r="T692" s="58" t="s">
        <v>279</v>
      </c>
    </row>
    <row r="693" spans="1:20" ht="31.2">
      <c r="A693" s="58" t="s">
        <v>57</v>
      </c>
      <c r="B693" s="58" t="s">
        <v>35</v>
      </c>
      <c r="C693" s="58">
        <v>10</v>
      </c>
      <c r="D693" s="58" t="s">
        <v>333</v>
      </c>
      <c r="E693" s="58" t="s">
        <v>2147</v>
      </c>
      <c r="F693" s="58" t="s">
        <v>274</v>
      </c>
      <c r="G693" s="58"/>
      <c r="H693" s="58"/>
      <c r="I693" s="58" t="s">
        <v>274</v>
      </c>
      <c r="J693" s="58"/>
      <c r="K693" s="58" t="s">
        <v>274</v>
      </c>
      <c r="L693" s="58" t="s">
        <v>351</v>
      </c>
      <c r="M693" s="58" t="s">
        <v>35</v>
      </c>
      <c r="N693" s="58"/>
      <c r="O693" s="58" t="s">
        <v>335</v>
      </c>
      <c r="P693" s="58" t="s">
        <v>112</v>
      </c>
      <c r="Q693" s="58" t="s">
        <v>113</v>
      </c>
      <c r="R693" s="58" t="s">
        <v>2148</v>
      </c>
      <c r="S693" s="58" t="s">
        <v>2149</v>
      </c>
      <c r="T693" s="58" t="s">
        <v>279</v>
      </c>
    </row>
    <row r="694" spans="1:20" ht="31.2">
      <c r="A694" s="58" t="s">
        <v>57</v>
      </c>
      <c r="B694" s="58" t="s">
        <v>35</v>
      </c>
      <c r="C694" s="58">
        <v>11</v>
      </c>
      <c r="D694" s="58" t="s">
        <v>333</v>
      </c>
      <c r="E694" s="58" t="s">
        <v>334</v>
      </c>
      <c r="F694" s="58" t="s">
        <v>274</v>
      </c>
      <c r="G694" s="58"/>
      <c r="H694" s="58"/>
      <c r="I694" s="58" t="s">
        <v>274</v>
      </c>
      <c r="J694" s="58"/>
      <c r="K694" s="58" t="s">
        <v>274</v>
      </c>
      <c r="L694" s="58" t="s">
        <v>351</v>
      </c>
      <c r="M694" s="58" t="s">
        <v>35</v>
      </c>
      <c r="N694" s="58"/>
      <c r="O694" s="58" t="s">
        <v>335</v>
      </c>
      <c r="P694" s="58" t="s">
        <v>112</v>
      </c>
      <c r="Q694" s="58" t="s">
        <v>113</v>
      </c>
      <c r="R694" s="58" t="s">
        <v>2150</v>
      </c>
      <c r="S694" s="58" t="s">
        <v>2151</v>
      </c>
      <c r="T694" s="58" t="s">
        <v>279</v>
      </c>
    </row>
    <row r="695" spans="1:20" ht="31.2">
      <c r="A695" s="58" t="s">
        <v>57</v>
      </c>
      <c r="B695" s="58" t="s">
        <v>35</v>
      </c>
      <c r="C695" s="58">
        <v>12</v>
      </c>
      <c r="D695" s="58" t="s">
        <v>361</v>
      </c>
      <c r="E695" s="58" t="s">
        <v>2152</v>
      </c>
      <c r="F695" s="58" t="s">
        <v>274</v>
      </c>
      <c r="G695" s="58"/>
      <c r="H695" s="58"/>
      <c r="I695" s="58" t="s">
        <v>274</v>
      </c>
      <c r="J695" s="58"/>
      <c r="K695" s="58"/>
      <c r="L695" s="58" t="s">
        <v>275</v>
      </c>
      <c r="M695" s="58" t="s">
        <v>35</v>
      </c>
      <c r="N695" s="58"/>
      <c r="O695" s="58" t="s">
        <v>363</v>
      </c>
      <c r="P695" s="58" t="s">
        <v>112</v>
      </c>
      <c r="Q695" s="58" t="s">
        <v>113</v>
      </c>
      <c r="R695" s="58" t="s">
        <v>2153</v>
      </c>
      <c r="S695" s="58" t="s">
        <v>2154</v>
      </c>
      <c r="T695" s="58" t="s">
        <v>279</v>
      </c>
    </row>
    <row r="696" spans="1:20" ht="31.2">
      <c r="A696" s="58" t="s">
        <v>57</v>
      </c>
      <c r="B696" s="58" t="s">
        <v>35</v>
      </c>
      <c r="C696" s="58">
        <v>13</v>
      </c>
      <c r="D696" s="58" t="s">
        <v>349</v>
      </c>
      <c r="E696" s="58" t="s">
        <v>2155</v>
      </c>
      <c r="F696" s="58" t="s">
        <v>274</v>
      </c>
      <c r="G696" s="58"/>
      <c r="H696" s="58"/>
      <c r="I696" s="58" t="s">
        <v>274</v>
      </c>
      <c r="J696" s="58"/>
      <c r="K696" s="58"/>
      <c r="L696" s="58" t="s">
        <v>351</v>
      </c>
      <c r="M696" s="58" t="s">
        <v>35</v>
      </c>
      <c r="N696" s="58"/>
      <c r="O696" s="58" t="s">
        <v>352</v>
      </c>
      <c r="P696" s="58" t="s">
        <v>112</v>
      </c>
      <c r="Q696" s="58" t="s">
        <v>113</v>
      </c>
      <c r="R696" s="58" t="s">
        <v>2156</v>
      </c>
      <c r="S696" s="58" t="s">
        <v>2157</v>
      </c>
      <c r="T696" s="58" t="s">
        <v>279</v>
      </c>
    </row>
    <row r="697" spans="1:20" ht="31.2">
      <c r="A697" s="58" t="s">
        <v>57</v>
      </c>
      <c r="B697" s="58" t="s">
        <v>35</v>
      </c>
      <c r="C697" s="58">
        <v>14</v>
      </c>
      <c r="D697" s="58" t="s">
        <v>361</v>
      </c>
      <c r="E697" s="58" t="s">
        <v>2158</v>
      </c>
      <c r="F697" s="58" t="s">
        <v>274</v>
      </c>
      <c r="G697" s="58"/>
      <c r="H697" s="58"/>
      <c r="I697" s="58" t="s">
        <v>274</v>
      </c>
      <c r="J697" s="58"/>
      <c r="K697" s="58"/>
      <c r="L697" s="58" t="s">
        <v>275</v>
      </c>
      <c r="M697" s="58" t="s">
        <v>35</v>
      </c>
      <c r="N697" s="58"/>
      <c r="O697" s="58" t="s">
        <v>363</v>
      </c>
      <c r="P697" s="58" t="s">
        <v>112</v>
      </c>
      <c r="Q697" s="58" t="s">
        <v>113</v>
      </c>
      <c r="R697" s="58" t="s">
        <v>2159</v>
      </c>
      <c r="S697" s="58" t="s">
        <v>2160</v>
      </c>
      <c r="T697" s="58" t="s">
        <v>279</v>
      </c>
    </row>
    <row r="698" spans="1:20" ht="31.2">
      <c r="A698" s="58" t="s">
        <v>57</v>
      </c>
      <c r="B698" s="58" t="s">
        <v>35</v>
      </c>
      <c r="C698" s="58">
        <v>15</v>
      </c>
      <c r="D698" s="58" t="s">
        <v>361</v>
      </c>
      <c r="E698" s="58" t="s">
        <v>2161</v>
      </c>
      <c r="F698" s="58" t="s">
        <v>274</v>
      </c>
      <c r="G698" s="58"/>
      <c r="H698" s="58"/>
      <c r="I698" s="58" t="s">
        <v>274</v>
      </c>
      <c r="J698" s="58"/>
      <c r="K698" s="58"/>
      <c r="L698" s="58" t="s">
        <v>275</v>
      </c>
      <c r="M698" s="58" t="s">
        <v>35</v>
      </c>
      <c r="N698" s="58"/>
      <c r="O698" s="58" t="s">
        <v>363</v>
      </c>
      <c r="P698" s="58" t="s">
        <v>112</v>
      </c>
      <c r="Q698" s="58" t="s">
        <v>113</v>
      </c>
      <c r="R698" s="58" t="s">
        <v>2162</v>
      </c>
      <c r="S698" s="58" t="s">
        <v>2163</v>
      </c>
      <c r="T698" s="58" t="s">
        <v>279</v>
      </c>
    </row>
    <row r="699" spans="1:20" ht="31.2">
      <c r="A699" s="58" t="s">
        <v>57</v>
      </c>
      <c r="B699" s="58" t="s">
        <v>35</v>
      </c>
      <c r="C699" s="58">
        <v>16</v>
      </c>
      <c r="D699" s="58" t="s">
        <v>361</v>
      </c>
      <c r="E699" s="58" t="s">
        <v>2164</v>
      </c>
      <c r="F699" s="58" t="s">
        <v>274</v>
      </c>
      <c r="G699" s="58"/>
      <c r="H699" s="58"/>
      <c r="I699" s="58" t="s">
        <v>274</v>
      </c>
      <c r="J699" s="58"/>
      <c r="K699" s="58"/>
      <c r="L699" s="58" t="s">
        <v>275</v>
      </c>
      <c r="M699" s="58" t="s">
        <v>35</v>
      </c>
      <c r="N699" s="58"/>
      <c r="O699" s="58" t="s">
        <v>363</v>
      </c>
      <c r="P699" s="58" t="s">
        <v>112</v>
      </c>
      <c r="Q699" s="58" t="s">
        <v>113</v>
      </c>
      <c r="R699" s="58" t="s">
        <v>2165</v>
      </c>
      <c r="S699" s="58" t="s">
        <v>2166</v>
      </c>
      <c r="T699" s="58" t="s">
        <v>279</v>
      </c>
    </row>
    <row r="700" spans="1:20" ht="31.2">
      <c r="A700" s="58" t="s">
        <v>57</v>
      </c>
      <c r="B700" s="58" t="s">
        <v>35</v>
      </c>
      <c r="C700" s="58">
        <v>17</v>
      </c>
      <c r="D700" s="58" t="s">
        <v>361</v>
      </c>
      <c r="E700" s="58" t="s">
        <v>2167</v>
      </c>
      <c r="F700" s="58" t="s">
        <v>274</v>
      </c>
      <c r="G700" s="58"/>
      <c r="H700" s="58"/>
      <c r="I700" s="58" t="s">
        <v>274</v>
      </c>
      <c r="J700" s="58"/>
      <c r="K700" s="58"/>
      <c r="L700" s="58" t="s">
        <v>275</v>
      </c>
      <c r="M700" s="58" t="s">
        <v>35</v>
      </c>
      <c r="N700" s="58"/>
      <c r="O700" s="58" t="s">
        <v>363</v>
      </c>
      <c r="P700" s="58" t="s">
        <v>112</v>
      </c>
      <c r="Q700" s="58" t="s">
        <v>113</v>
      </c>
      <c r="R700" s="58" t="s">
        <v>2168</v>
      </c>
      <c r="S700" s="58" t="s">
        <v>2169</v>
      </c>
      <c r="T700" s="58" t="s">
        <v>279</v>
      </c>
    </row>
    <row r="701" spans="1:20" ht="31.2">
      <c r="A701" s="58" t="s">
        <v>57</v>
      </c>
      <c r="B701" s="58" t="s">
        <v>35</v>
      </c>
      <c r="C701" s="58">
        <v>18</v>
      </c>
      <c r="D701" s="58" t="s">
        <v>361</v>
      </c>
      <c r="E701" s="58" t="s">
        <v>2170</v>
      </c>
      <c r="F701" s="58" t="s">
        <v>274</v>
      </c>
      <c r="G701" s="58"/>
      <c r="H701" s="58"/>
      <c r="I701" s="58" t="s">
        <v>274</v>
      </c>
      <c r="J701" s="58"/>
      <c r="K701" s="58"/>
      <c r="L701" s="58" t="s">
        <v>275</v>
      </c>
      <c r="M701" s="58" t="s">
        <v>35</v>
      </c>
      <c r="N701" s="58"/>
      <c r="O701" s="58" t="s">
        <v>363</v>
      </c>
      <c r="P701" s="58" t="s">
        <v>112</v>
      </c>
      <c r="Q701" s="58" t="s">
        <v>113</v>
      </c>
      <c r="R701" s="58" t="s">
        <v>2171</v>
      </c>
      <c r="S701" s="58" t="s">
        <v>2172</v>
      </c>
      <c r="T701" s="58" t="s">
        <v>279</v>
      </c>
    </row>
    <row r="702" spans="1:20" ht="31.2">
      <c r="A702" s="58" t="s">
        <v>57</v>
      </c>
      <c r="B702" s="58" t="s">
        <v>35</v>
      </c>
      <c r="C702" s="58">
        <v>19</v>
      </c>
      <c r="D702" s="58" t="s">
        <v>361</v>
      </c>
      <c r="E702" s="58" t="s">
        <v>2173</v>
      </c>
      <c r="F702" s="58" t="s">
        <v>274</v>
      </c>
      <c r="G702" s="58"/>
      <c r="H702" s="58"/>
      <c r="I702" s="58" t="s">
        <v>274</v>
      </c>
      <c r="J702" s="58"/>
      <c r="K702" s="58"/>
      <c r="L702" s="58" t="s">
        <v>275</v>
      </c>
      <c r="M702" s="58" t="s">
        <v>35</v>
      </c>
      <c r="N702" s="58"/>
      <c r="O702" s="58" t="s">
        <v>363</v>
      </c>
      <c r="P702" s="58" t="s">
        <v>112</v>
      </c>
      <c r="Q702" s="58" t="s">
        <v>113</v>
      </c>
      <c r="R702" s="58" t="s">
        <v>2174</v>
      </c>
      <c r="S702" s="58" t="s">
        <v>2175</v>
      </c>
      <c r="T702" s="58" t="s">
        <v>279</v>
      </c>
    </row>
    <row r="703" spans="1:20" ht="31.2">
      <c r="A703" s="58" t="s">
        <v>57</v>
      </c>
      <c r="B703" s="58" t="s">
        <v>35</v>
      </c>
      <c r="C703" s="58">
        <v>20</v>
      </c>
      <c r="D703" s="58" t="s">
        <v>361</v>
      </c>
      <c r="E703" s="58" t="s">
        <v>2176</v>
      </c>
      <c r="F703" s="58" t="s">
        <v>274</v>
      </c>
      <c r="G703" s="58"/>
      <c r="H703" s="58"/>
      <c r="I703" s="58" t="s">
        <v>274</v>
      </c>
      <c r="J703" s="58"/>
      <c r="K703" s="58"/>
      <c r="L703" s="58" t="s">
        <v>275</v>
      </c>
      <c r="M703" s="58" t="s">
        <v>35</v>
      </c>
      <c r="N703" s="58"/>
      <c r="O703" s="58" t="s">
        <v>363</v>
      </c>
      <c r="P703" s="58" t="s">
        <v>112</v>
      </c>
      <c r="Q703" s="58" t="s">
        <v>113</v>
      </c>
      <c r="R703" s="58" t="s">
        <v>2177</v>
      </c>
      <c r="S703" s="58" t="s">
        <v>2178</v>
      </c>
      <c r="T703" s="58" t="s">
        <v>279</v>
      </c>
    </row>
    <row r="704" spans="1:20" ht="31.2">
      <c r="A704" s="58" t="s">
        <v>57</v>
      </c>
      <c r="B704" s="58" t="s">
        <v>35</v>
      </c>
      <c r="C704" s="58">
        <v>21</v>
      </c>
      <c r="D704" s="58" t="s">
        <v>361</v>
      </c>
      <c r="E704" s="58" t="s">
        <v>2179</v>
      </c>
      <c r="F704" s="58" t="s">
        <v>274</v>
      </c>
      <c r="G704" s="58"/>
      <c r="H704" s="58"/>
      <c r="I704" s="58" t="s">
        <v>274</v>
      </c>
      <c r="J704" s="58"/>
      <c r="K704" s="58"/>
      <c r="L704" s="58" t="s">
        <v>275</v>
      </c>
      <c r="M704" s="58" t="s">
        <v>35</v>
      </c>
      <c r="N704" s="58"/>
      <c r="O704" s="58" t="s">
        <v>363</v>
      </c>
      <c r="P704" s="58" t="s">
        <v>112</v>
      </c>
      <c r="Q704" s="58" t="s">
        <v>113</v>
      </c>
      <c r="R704" s="58" t="s">
        <v>2180</v>
      </c>
      <c r="S704" s="58" t="s">
        <v>2181</v>
      </c>
      <c r="T704" s="58" t="s">
        <v>279</v>
      </c>
    </row>
    <row r="705" spans="1:20" ht="31.2">
      <c r="A705" s="58" t="s">
        <v>57</v>
      </c>
      <c r="B705" s="58" t="s">
        <v>35</v>
      </c>
      <c r="C705" s="58">
        <v>22</v>
      </c>
      <c r="D705" s="58" t="s">
        <v>361</v>
      </c>
      <c r="E705" s="58" t="s">
        <v>2182</v>
      </c>
      <c r="F705" s="58" t="s">
        <v>274</v>
      </c>
      <c r="G705" s="58"/>
      <c r="H705" s="58"/>
      <c r="I705" s="58" t="s">
        <v>274</v>
      </c>
      <c r="J705" s="58"/>
      <c r="K705" s="58"/>
      <c r="L705" s="58" t="s">
        <v>275</v>
      </c>
      <c r="M705" s="58" t="s">
        <v>35</v>
      </c>
      <c r="N705" s="58"/>
      <c r="O705" s="58" t="s">
        <v>363</v>
      </c>
      <c r="P705" s="58" t="s">
        <v>112</v>
      </c>
      <c r="Q705" s="58" t="s">
        <v>113</v>
      </c>
      <c r="R705" s="58" t="s">
        <v>2183</v>
      </c>
      <c r="S705" s="58" t="s">
        <v>2184</v>
      </c>
      <c r="T705" s="58" t="s">
        <v>279</v>
      </c>
    </row>
    <row r="706" spans="1:20" ht="31.2">
      <c r="A706" s="58" t="s">
        <v>57</v>
      </c>
      <c r="B706" s="58" t="s">
        <v>35</v>
      </c>
      <c r="C706" s="58">
        <v>23</v>
      </c>
      <c r="D706" s="58" t="s">
        <v>361</v>
      </c>
      <c r="E706" s="58" t="s">
        <v>2185</v>
      </c>
      <c r="F706" s="58" t="s">
        <v>274</v>
      </c>
      <c r="G706" s="58"/>
      <c r="H706" s="58"/>
      <c r="I706" s="58" t="s">
        <v>274</v>
      </c>
      <c r="J706" s="58"/>
      <c r="K706" s="58"/>
      <c r="L706" s="58" t="s">
        <v>275</v>
      </c>
      <c r="M706" s="58" t="s">
        <v>35</v>
      </c>
      <c r="N706" s="58"/>
      <c r="O706" s="58" t="s">
        <v>363</v>
      </c>
      <c r="P706" s="58" t="s">
        <v>112</v>
      </c>
      <c r="Q706" s="58" t="s">
        <v>113</v>
      </c>
      <c r="R706" s="58" t="s">
        <v>2186</v>
      </c>
      <c r="S706" s="58" t="s">
        <v>2187</v>
      </c>
      <c r="T706" s="58" t="s">
        <v>279</v>
      </c>
    </row>
    <row r="707" spans="1:20" ht="31.2">
      <c r="A707" s="58" t="s">
        <v>57</v>
      </c>
      <c r="B707" s="58" t="s">
        <v>35</v>
      </c>
      <c r="C707" s="58">
        <v>24</v>
      </c>
      <c r="D707" s="58" t="s">
        <v>361</v>
      </c>
      <c r="E707" s="58" t="s">
        <v>2188</v>
      </c>
      <c r="F707" s="58" t="s">
        <v>274</v>
      </c>
      <c r="G707" s="58"/>
      <c r="H707" s="58"/>
      <c r="I707" s="58" t="s">
        <v>274</v>
      </c>
      <c r="J707" s="58"/>
      <c r="K707" s="58"/>
      <c r="L707" s="58" t="s">
        <v>275</v>
      </c>
      <c r="M707" s="58" t="s">
        <v>35</v>
      </c>
      <c r="N707" s="58"/>
      <c r="O707" s="58" t="s">
        <v>363</v>
      </c>
      <c r="P707" s="58" t="s">
        <v>112</v>
      </c>
      <c r="Q707" s="58" t="s">
        <v>113</v>
      </c>
      <c r="R707" s="58" t="s">
        <v>2189</v>
      </c>
      <c r="S707" s="58" t="s">
        <v>2190</v>
      </c>
      <c r="T707" s="58" t="s">
        <v>279</v>
      </c>
    </row>
    <row r="708" spans="1:20" ht="31.2">
      <c r="A708" s="58" t="s">
        <v>57</v>
      </c>
      <c r="B708" s="58" t="s">
        <v>35</v>
      </c>
      <c r="C708" s="58">
        <v>25</v>
      </c>
      <c r="D708" s="58" t="s">
        <v>361</v>
      </c>
      <c r="E708" s="58" t="s">
        <v>2191</v>
      </c>
      <c r="F708" s="58" t="s">
        <v>274</v>
      </c>
      <c r="G708" s="58"/>
      <c r="H708" s="58"/>
      <c r="I708" s="58" t="s">
        <v>274</v>
      </c>
      <c r="J708" s="58"/>
      <c r="K708" s="58"/>
      <c r="L708" s="58" t="s">
        <v>275</v>
      </c>
      <c r="M708" s="58" t="s">
        <v>35</v>
      </c>
      <c r="N708" s="58"/>
      <c r="O708" s="58" t="s">
        <v>363</v>
      </c>
      <c r="P708" s="58" t="s">
        <v>112</v>
      </c>
      <c r="Q708" s="58" t="s">
        <v>113</v>
      </c>
      <c r="R708" s="58" t="s">
        <v>2192</v>
      </c>
      <c r="S708" s="58" t="s">
        <v>2193</v>
      </c>
      <c r="T708" s="58" t="s">
        <v>279</v>
      </c>
    </row>
    <row r="709" spans="1:20" ht="31.2">
      <c r="A709" s="58" t="s">
        <v>57</v>
      </c>
      <c r="B709" s="58" t="s">
        <v>35</v>
      </c>
      <c r="C709" s="58">
        <v>26</v>
      </c>
      <c r="D709" s="58" t="s">
        <v>361</v>
      </c>
      <c r="E709" s="58" t="s">
        <v>2194</v>
      </c>
      <c r="F709" s="58" t="s">
        <v>274</v>
      </c>
      <c r="G709" s="58"/>
      <c r="H709" s="58"/>
      <c r="I709" s="58" t="s">
        <v>274</v>
      </c>
      <c r="J709" s="58"/>
      <c r="K709" s="58"/>
      <c r="L709" s="58" t="s">
        <v>288</v>
      </c>
      <c r="M709" s="58" t="s">
        <v>35</v>
      </c>
      <c r="N709" s="58"/>
      <c r="O709" s="58" t="s">
        <v>363</v>
      </c>
      <c r="P709" s="58" t="s">
        <v>112</v>
      </c>
      <c r="Q709" s="58" t="s">
        <v>113</v>
      </c>
      <c r="R709" s="58" t="s">
        <v>2195</v>
      </c>
      <c r="S709" s="58" t="s">
        <v>2196</v>
      </c>
      <c r="T709" s="58" t="s">
        <v>279</v>
      </c>
    </row>
    <row r="710" spans="1:20" ht="31.2">
      <c r="A710" s="58" t="s">
        <v>57</v>
      </c>
      <c r="B710" s="58" t="s">
        <v>35</v>
      </c>
      <c r="C710" s="58">
        <v>27</v>
      </c>
      <c r="D710" s="58" t="s">
        <v>378</v>
      </c>
      <c r="E710" s="58" t="s">
        <v>2197</v>
      </c>
      <c r="F710" s="58" t="s">
        <v>274</v>
      </c>
      <c r="G710" s="58"/>
      <c r="H710" s="58"/>
      <c r="I710" s="58" t="s">
        <v>274</v>
      </c>
      <c r="J710" s="58"/>
      <c r="K710" s="58"/>
      <c r="L710" s="58" t="s">
        <v>288</v>
      </c>
      <c r="M710" s="58" t="s">
        <v>35</v>
      </c>
      <c r="N710" s="58"/>
      <c r="O710" s="58" t="s">
        <v>380</v>
      </c>
      <c r="P710" s="58" t="s">
        <v>112</v>
      </c>
      <c r="Q710" s="58" t="s">
        <v>113</v>
      </c>
      <c r="R710" s="58" t="s">
        <v>2198</v>
      </c>
      <c r="S710" s="58" t="s">
        <v>2199</v>
      </c>
      <c r="T710" s="58" t="s">
        <v>279</v>
      </c>
    </row>
    <row r="711" spans="1:20" ht="31.2">
      <c r="A711" s="58" t="s">
        <v>57</v>
      </c>
      <c r="B711" s="58" t="s">
        <v>35</v>
      </c>
      <c r="C711" s="58">
        <v>28</v>
      </c>
      <c r="D711" s="58" t="s">
        <v>361</v>
      </c>
      <c r="E711" s="58" t="s">
        <v>2200</v>
      </c>
      <c r="F711" s="58" t="s">
        <v>274</v>
      </c>
      <c r="G711" s="58"/>
      <c r="H711" s="58"/>
      <c r="I711" s="58" t="s">
        <v>274</v>
      </c>
      <c r="J711" s="58"/>
      <c r="K711" s="58"/>
      <c r="L711" s="58" t="s">
        <v>288</v>
      </c>
      <c r="M711" s="58" t="s">
        <v>35</v>
      </c>
      <c r="N711" s="58"/>
      <c r="O711" s="58" t="s">
        <v>363</v>
      </c>
      <c r="P711" s="58" t="s">
        <v>112</v>
      </c>
      <c r="Q711" s="58" t="s">
        <v>113</v>
      </c>
      <c r="R711" s="58" t="s">
        <v>2201</v>
      </c>
      <c r="S711" s="58" t="s">
        <v>2202</v>
      </c>
      <c r="T711" s="58" t="s">
        <v>279</v>
      </c>
    </row>
    <row r="712" spans="1:20" ht="31.2">
      <c r="A712" s="58" t="s">
        <v>57</v>
      </c>
      <c r="B712" s="58" t="s">
        <v>35</v>
      </c>
      <c r="C712" s="58">
        <v>29</v>
      </c>
      <c r="D712" s="58" t="s">
        <v>378</v>
      </c>
      <c r="E712" s="58" t="s">
        <v>2203</v>
      </c>
      <c r="F712" s="58" t="s">
        <v>274</v>
      </c>
      <c r="G712" s="58"/>
      <c r="H712" s="58"/>
      <c r="I712" s="58" t="s">
        <v>274</v>
      </c>
      <c r="J712" s="58"/>
      <c r="K712" s="58"/>
      <c r="L712" s="58" t="s">
        <v>288</v>
      </c>
      <c r="M712" s="58" t="s">
        <v>35</v>
      </c>
      <c r="N712" s="58"/>
      <c r="O712" s="58" t="s">
        <v>380</v>
      </c>
      <c r="P712" s="58" t="s">
        <v>112</v>
      </c>
      <c r="Q712" s="58" t="s">
        <v>113</v>
      </c>
      <c r="R712" s="58" t="s">
        <v>2204</v>
      </c>
      <c r="S712" s="58" t="s">
        <v>2205</v>
      </c>
      <c r="T712" s="58" t="s">
        <v>279</v>
      </c>
    </row>
    <row r="713" spans="1:20" ht="31.2">
      <c r="A713" s="58" t="s">
        <v>57</v>
      </c>
      <c r="B713" s="58" t="s">
        <v>35</v>
      </c>
      <c r="C713" s="58">
        <v>30</v>
      </c>
      <c r="D713" s="58" t="s">
        <v>361</v>
      </c>
      <c r="E713" s="58" t="s">
        <v>2206</v>
      </c>
      <c r="F713" s="58" t="s">
        <v>274</v>
      </c>
      <c r="G713" s="58"/>
      <c r="H713" s="58"/>
      <c r="I713" s="58" t="s">
        <v>274</v>
      </c>
      <c r="J713" s="58"/>
      <c r="K713" s="58"/>
      <c r="L713" s="58" t="s">
        <v>288</v>
      </c>
      <c r="M713" s="58" t="s">
        <v>35</v>
      </c>
      <c r="N713" s="58"/>
      <c r="O713" s="58" t="s">
        <v>363</v>
      </c>
      <c r="P713" s="58" t="s">
        <v>112</v>
      </c>
      <c r="Q713" s="58" t="s">
        <v>113</v>
      </c>
      <c r="R713" s="58" t="s">
        <v>2207</v>
      </c>
      <c r="S713" s="58" t="s">
        <v>2208</v>
      </c>
      <c r="T713" s="58" t="s">
        <v>279</v>
      </c>
    </row>
    <row r="714" spans="1:20" ht="31.2">
      <c r="A714" s="58" t="s">
        <v>57</v>
      </c>
      <c r="B714" s="58" t="s">
        <v>35</v>
      </c>
      <c r="C714" s="58">
        <v>31</v>
      </c>
      <c r="D714" s="58" t="s">
        <v>378</v>
      </c>
      <c r="E714" s="58" t="s">
        <v>2209</v>
      </c>
      <c r="F714" s="58" t="s">
        <v>274</v>
      </c>
      <c r="G714" s="58"/>
      <c r="H714" s="58"/>
      <c r="I714" s="58" t="s">
        <v>274</v>
      </c>
      <c r="J714" s="58"/>
      <c r="K714" s="58"/>
      <c r="L714" s="58" t="s">
        <v>288</v>
      </c>
      <c r="M714" s="58" t="s">
        <v>35</v>
      </c>
      <c r="N714" s="58"/>
      <c r="O714" s="58" t="s">
        <v>380</v>
      </c>
      <c r="P714" s="58" t="s">
        <v>112</v>
      </c>
      <c r="Q714" s="58" t="s">
        <v>113</v>
      </c>
      <c r="R714" s="58" t="s">
        <v>2210</v>
      </c>
      <c r="S714" s="58" t="s">
        <v>2211</v>
      </c>
      <c r="T714" s="58" t="s">
        <v>279</v>
      </c>
    </row>
    <row r="715" spans="1:20" ht="31.2">
      <c r="A715" s="58" t="s">
        <v>57</v>
      </c>
      <c r="B715" s="58" t="s">
        <v>35</v>
      </c>
      <c r="C715" s="58">
        <v>32</v>
      </c>
      <c r="D715" s="58" t="s">
        <v>361</v>
      </c>
      <c r="E715" s="58" t="s">
        <v>2212</v>
      </c>
      <c r="F715" s="58" t="s">
        <v>274</v>
      </c>
      <c r="G715" s="58"/>
      <c r="H715" s="58"/>
      <c r="I715" s="58" t="s">
        <v>274</v>
      </c>
      <c r="J715" s="58"/>
      <c r="K715" s="58"/>
      <c r="L715" s="58" t="s">
        <v>288</v>
      </c>
      <c r="M715" s="58" t="s">
        <v>35</v>
      </c>
      <c r="N715" s="58"/>
      <c r="O715" s="58" t="s">
        <v>363</v>
      </c>
      <c r="P715" s="58" t="s">
        <v>112</v>
      </c>
      <c r="Q715" s="58" t="s">
        <v>113</v>
      </c>
      <c r="R715" s="58" t="s">
        <v>2213</v>
      </c>
      <c r="S715" s="58" t="s">
        <v>2214</v>
      </c>
      <c r="T715" s="58" t="s">
        <v>279</v>
      </c>
    </row>
    <row r="716" spans="1:20" ht="31.2">
      <c r="A716" s="58" t="s">
        <v>57</v>
      </c>
      <c r="B716" s="58" t="s">
        <v>35</v>
      </c>
      <c r="C716" s="58">
        <v>33</v>
      </c>
      <c r="D716" s="58" t="s">
        <v>361</v>
      </c>
      <c r="E716" s="58" t="s">
        <v>2215</v>
      </c>
      <c r="F716" s="58" t="s">
        <v>274</v>
      </c>
      <c r="G716" s="58"/>
      <c r="H716" s="58"/>
      <c r="I716" s="58" t="s">
        <v>274</v>
      </c>
      <c r="J716" s="58"/>
      <c r="K716" s="58"/>
      <c r="L716" s="58" t="s">
        <v>351</v>
      </c>
      <c r="M716" s="58" t="s">
        <v>35</v>
      </c>
      <c r="N716" s="58"/>
      <c r="O716" s="58" t="s">
        <v>363</v>
      </c>
      <c r="P716" s="58" t="s">
        <v>112</v>
      </c>
      <c r="Q716" s="58" t="s">
        <v>113</v>
      </c>
      <c r="R716" s="58" t="s">
        <v>2216</v>
      </c>
      <c r="S716" s="58" t="s">
        <v>2217</v>
      </c>
      <c r="T716" s="58" t="s">
        <v>279</v>
      </c>
    </row>
    <row r="717" spans="1:20" ht="31.2">
      <c r="A717" s="58" t="s">
        <v>57</v>
      </c>
      <c r="B717" s="58" t="s">
        <v>35</v>
      </c>
      <c r="C717" s="58">
        <v>34</v>
      </c>
      <c r="D717" s="58" t="s">
        <v>378</v>
      </c>
      <c r="E717" s="58" t="s">
        <v>2218</v>
      </c>
      <c r="F717" s="58" t="s">
        <v>274</v>
      </c>
      <c r="G717" s="58"/>
      <c r="H717" s="58"/>
      <c r="I717" s="58" t="s">
        <v>274</v>
      </c>
      <c r="J717" s="58"/>
      <c r="K717" s="58"/>
      <c r="L717" s="58" t="s">
        <v>288</v>
      </c>
      <c r="M717" s="58" t="s">
        <v>35</v>
      </c>
      <c r="N717" s="58"/>
      <c r="O717" s="58" t="s">
        <v>380</v>
      </c>
      <c r="P717" s="58" t="s">
        <v>112</v>
      </c>
      <c r="Q717" s="58" t="s">
        <v>113</v>
      </c>
      <c r="R717" s="58" t="s">
        <v>2219</v>
      </c>
      <c r="S717" s="58" t="s">
        <v>2220</v>
      </c>
      <c r="T717" s="58" t="s">
        <v>279</v>
      </c>
    </row>
    <row r="718" spans="1:20" ht="31.2">
      <c r="A718" s="58" t="s">
        <v>57</v>
      </c>
      <c r="B718" s="58" t="s">
        <v>35</v>
      </c>
      <c r="C718" s="58">
        <v>35</v>
      </c>
      <c r="D718" s="58" t="s">
        <v>361</v>
      </c>
      <c r="E718" s="58" t="s">
        <v>2221</v>
      </c>
      <c r="F718" s="58" t="s">
        <v>274</v>
      </c>
      <c r="G718" s="58"/>
      <c r="H718" s="58"/>
      <c r="I718" s="58" t="s">
        <v>274</v>
      </c>
      <c r="J718" s="58"/>
      <c r="K718" s="58"/>
      <c r="L718" s="58" t="s">
        <v>288</v>
      </c>
      <c r="M718" s="58" t="s">
        <v>35</v>
      </c>
      <c r="N718" s="58"/>
      <c r="O718" s="58" t="s">
        <v>363</v>
      </c>
      <c r="P718" s="58" t="s">
        <v>112</v>
      </c>
      <c r="Q718" s="58" t="s">
        <v>113</v>
      </c>
      <c r="R718" s="58" t="s">
        <v>2222</v>
      </c>
      <c r="S718" s="58" t="s">
        <v>2223</v>
      </c>
      <c r="T718" s="58" t="s">
        <v>279</v>
      </c>
    </row>
    <row r="719" spans="1:20" ht="31.2">
      <c r="A719" s="58" t="s">
        <v>57</v>
      </c>
      <c r="B719" s="58" t="s">
        <v>35</v>
      </c>
      <c r="C719" s="58">
        <v>36</v>
      </c>
      <c r="D719" s="58" t="s">
        <v>333</v>
      </c>
      <c r="E719" s="58" t="s">
        <v>2224</v>
      </c>
      <c r="F719" s="58" t="s">
        <v>274</v>
      </c>
      <c r="G719" s="58"/>
      <c r="H719" s="58"/>
      <c r="I719" s="58" t="s">
        <v>274</v>
      </c>
      <c r="J719" s="58"/>
      <c r="K719" s="58" t="s">
        <v>274</v>
      </c>
      <c r="L719" s="58" t="s">
        <v>288</v>
      </c>
      <c r="M719" s="58" t="s">
        <v>35</v>
      </c>
      <c r="N719" s="58"/>
      <c r="O719" s="58" t="s">
        <v>335</v>
      </c>
      <c r="P719" s="58" t="s">
        <v>112</v>
      </c>
      <c r="Q719" s="58" t="s">
        <v>113</v>
      </c>
      <c r="R719" s="58" t="s">
        <v>2225</v>
      </c>
      <c r="S719" s="58" t="s">
        <v>2226</v>
      </c>
      <c r="T719" s="58" t="s">
        <v>279</v>
      </c>
    </row>
    <row r="720" spans="1:20" ht="31.2">
      <c r="A720" s="58" t="s">
        <v>57</v>
      </c>
      <c r="B720" s="58" t="s">
        <v>35</v>
      </c>
      <c r="C720" s="58">
        <v>37</v>
      </c>
      <c r="D720" s="58" t="s">
        <v>333</v>
      </c>
      <c r="E720" s="58" t="s">
        <v>2227</v>
      </c>
      <c r="F720" s="58" t="s">
        <v>274</v>
      </c>
      <c r="G720" s="58"/>
      <c r="H720" s="58"/>
      <c r="I720" s="58" t="s">
        <v>274</v>
      </c>
      <c r="J720" s="58"/>
      <c r="K720" s="58" t="s">
        <v>274</v>
      </c>
      <c r="L720" s="58" t="s">
        <v>288</v>
      </c>
      <c r="M720" s="58" t="s">
        <v>35</v>
      </c>
      <c r="N720" s="58"/>
      <c r="O720" s="58" t="s">
        <v>335</v>
      </c>
      <c r="P720" s="58" t="s">
        <v>112</v>
      </c>
      <c r="Q720" s="58" t="s">
        <v>113</v>
      </c>
      <c r="R720" s="58" t="s">
        <v>2228</v>
      </c>
      <c r="S720" s="58" t="s">
        <v>2229</v>
      </c>
      <c r="T720" s="58" t="s">
        <v>279</v>
      </c>
    </row>
    <row r="721" spans="1:20" ht="31.2">
      <c r="A721" s="58" t="s">
        <v>57</v>
      </c>
      <c r="B721" s="58" t="s">
        <v>35</v>
      </c>
      <c r="C721" s="58">
        <v>38</v>
      </c>
      <c r="D721" s="58" t="s">
        <v>333</v>
      </c>
      <c r="E721" s="58" t="s">
        <v>2230</v>
      </c>
      <c r="F721" s="58" t="s">
        <v>274</v>
      </c>
      <c r="G721" s="58"/>
      <c r="H721" s="58"/>
      <c r="I721" s="58" t="s">
        <v>274</v>
      </c>
      <c r="J721" s="58"/>
      <c r="K721" s="58" t="s">
        <v>274</v>
      </c>
      <c r="L721" s="58" t="s">
        <v>288</v>
      </c>
      <c r="M721" s="58" t="s">
        <v>35</v>
      </c>
      <c r="N721" s="58"/>
      <c r="O721" s="58" t="s">
        <v>335</v>
      </c>
      <c r="P721" s="58" t="s">
        <v>112</v>
      </c>
      <c r="Q721" s="58" t="s">
        <v>113</v>
      </c>
      <c r="R721" s="58" t="s">
        <v>2231</v>
      </c>
      <c r="S721" s="58" t="s">
        <v>2232</v>
      </c>
      <c r="T721" s="58" t="s">
        <v>279</v>
      </c>
    </row>
    <row r="722" spans="1:20" ht="31.2">
      <c r="A722" s="58" t="s">
        <v>57</v>
      </c>
      <c r="B722" s="58" t="s">
        <v>35</v>
      </c>
      <c r="C722" s="58">
        <v>39</v>
      </c>
      <c r="D722" s="58" t="s">
        <v>333</v>
      </c>
      <c r="E722" s="58" t="s">
        <v>2233</v>
      </c>
      <c r="F722" s="58" t="s">
        <v>274</v>
      </c>
      <c r="G722" s="58"/>
      <c r="H722" s="58"/>
      <c r="I722" s="58" t="s">
        <v>274</v>
      </c>
      <c r="J722" s="58"/>
      <c r="K722" s="58" t="s">
        <v>274</v>
      </c>
      <c r="L722" s="58" t="s">
        <v>288</v>
      </c>
      <c r="M722" s="58" t="s">
        <v>35</v>
      </c>
      <c r="N722" s="58"/>
      <c r="O722" s="58" t="s">
        <v>335</v>
      </c>
      <c r="P722" s="58" t="s">
        <v>112</v>
      </c>
      <c r="Q722" s="58" t="s">
        <v>113</v>
      </c>
      <c r="R722" s="58" t="s">
        <v>2234</v>
      </c>
      <c r="S722" s="58" t="s">
        <v>2235</v>
      </c>
      <c r="T722" s="58" t="s">
        <v>279</v>
      </c>
    </row>
    <row r="723" spans="1:20" ht="31.2">
      <c r="A723" s="58" t="s">
        <v>57</v>
      </c>
      <c r="B723" s="58" t="s">
        <v>35</v>
      </c>
      <c r="C723" s="58">
        <v>40</v>
      </c>
      <c r="D723" s="58" t="s">
        <v>333</v>
      </c>
      <c r="E723" s="58" t="s">
        <v>2236</v>
      </c>
      <c r="F723" s="58" t="s">
        <v>274</v>
      </c>
      <c r="G723" s="58"/>
      <c r="H723" s="58"/>
      <c r="I723" s="58" t="s">
        <v>274</v>
      </c>
      <c r="J723" s="58"/>
      <c r="K723" s="58" t="s">
        <v>274</v>
      </c>
      <c r="L723" s="58" t="s">
        <v>288</v>
      </c>
      <c r="M723" s="58" t="s">
        <v>35</v>
      </c>
      <c r="N723" s="58"/>
      <c r="O723" s="58" t="s">
        <v>335</v>
      </c>
      <c r="P723" s="58" t="s">
        <v>112</v>
      </c>
      <c r="Q723" s="58" t="s">
        <v>113</v>
      </c>
      <c r="R723" s="58" t="s">
        <v>2237</v>
      </c>
      <c r="S723" s="58" t="s">
        <v>2238</v>
      </c>
      <c r="T723" s="58" t="s">
        <v>279</v>
      </c>
    </row>
    <row r="724" spans="1:20" ht="31.2">
      <c r="A724" s="58" t="s">
        <v>57</v>
      </c>
      <c r="B724" s="58" t="s">
        <v>35</v>
      </c>
      <c r="C724" s="58">
        <v>41</v>
      </c>
      <c r="D724" s="58" t="s">
        <v>333</v>
      </c>
      <c r="E724" s="58" t="s">
        <v>2239</v>
      </c>
      <c r="F724" s="58" t="s">
        <v>274</v>
      </c>
      <c r="G724" s="58"/>
      <c r="H724" s="58"/>
      <c r="I724" s="58" t="s">
        <v>274</v>
      </c>
      <c r="J724" s="58"/>
      <c r="K724" s="58" t="s">
        <v>274</v>
      </c>
      <c r="L724" s="58" t="s">
        <v>288</v>
      </c>
      <c r="M724" s="58" t="s">
        <v>35</v>
      </c>
      <c r="N724" s="58"/>
      <c r="O724" s="58" t="s">
        <v>335</v>
      </c>
      <c r="P724" s="58" t="s">
        <v>112</v>
      </c>
      <c r="Q724" s="58" t="s">
        <v>113</v>
      </c>
      <c r="R724" s="58" t="s">
        <v>2240</v>
      </c>
      <c r="S724" s="58" t="s">
        <v>2241</v>
      </c>
      <c r="T724" s="58" t="s">
        <v>279</v>
      </c>
    </row>
    <row r="725" spans="1:20" ht="31.2">
      <c r="A725" s="58" t="s">
        <v>57</v>
      </c>
      <c r="B725" s="58" t="s">
        <v>35</v>
      </c>
      <c r="C725" s="58">
        <v>42</v>
      </c>
      <c r="D725" s="58" t="s">
        <v>333</v>
      </c>
      <c r="E725" s="58" t="s">
        <v>2242</v>
      </c>
      <c r="F725" s="58" t="s">
        <v>274</v>
      </c>
      <c r="G725" s="58"/>
      <c r="H725" s="58"/>
      <c r="I725" s="58" t="s">
        <v>274</v>
      </c>
      <c r="J725" s="58"/>
      <c r="K725" s="58" t="s">
        <v>274</v>
      </c>
      <c r="L725" s="58" t="s">
        <v>288</v>
      </c>
      <c r="M725" s="58" t="s">
        <v>35</v>
      </c>
      <c r="N725" s="58"/>
      <c r="O725" s="58" t="s">
        <v>335</v>
      </c>
      <c r="P725" s="58" t="s">
        <v>112</v>
      </c>
      <c r="Q725" s="58" t="s">
        <v>113</v>
      </c>
      <c r="R725" s="58" t="s">
        <v>2243</v>
      </c>
      <c r="S725" s="58" t="s">
        <v>2244</v>
      </c>
      <c r="T725" s="58" t="s">
        <v>279</v>
      </c>
    </row>
    <row r="726" spans="1:20" ht="31.2">
      <c r="A726" s="58" t="s">
        <v>57</v>
      </c>
      <c r="B726" s="58" t="s">
        <v>35</v>
      </c>
      <c r="C726" s="58">
        <v>43</v>
      </c>
      <c r="D726" s="58" t="s">
        <v>333</v>
      </c>
      <c r="E726" s="58" t="s">
        <v>2245</v>
      </c>
      <c r="F726" s="58" t="s">
        <v>274</v>
      </c>
      <c r="G726" s="58"/>
      <c r="H726" s="58"/>
      <c r="I726" s="58" t="s">
        <v>274</v>
      </c>
      <c r="J726" s="58"/>
      <c r="K726" s="58" t="s">
        <v>274</v>
      </c>
      <c r="L726" s="58" t="s">
        <v>288</v>
      </c>
      <c r="M726" s="58" t="s">
        <v>35</v>
      </c>
      <c r="N726" s="58"/>
      <c r="O726" s="58" t="s">
        <v>335</v>
      </c>
      <c r="P726" s="58" t="s">
        <v>112</v>
      </c>
      <c r="Q726" s="58" t="s">
        <v>113</v>
      </c>
      <c r="R726" s="58" t="s">
        <v>2246</v>
      </c>
      <c r="S726" s="58" t="s">
        <v>2247</v>
      </c>
      <c r="T726" s="58" t="s">
        <v>279</v>
      </c>
    </row>
    <row r="727" spans="1:20" ht="31.2">
      <c r="A727" s="58" t="s">
        <v>57</v>
      </c>
      <c r="B727" s="58" t="s">
        <v>35</v>
      </c>
      <c r="C727" s="58">
        <v>44</v>
      </c>
      <c r="D727" s="58" t="s">
        <v>333</v>
      </c>
      <c r="E727" s="58" t="s">
        <v>2248</v>
      </c>
      <c r="F727" s="58" t="s">
        <v>274</v>
      </c>
      <c r="G727" s="58"/>
      <c r="H727" s="58"/>
      <c r="I727" s="58" t="s">
        <v>274</v>
      </c>
      <c r="J727" s="58"/>
      <c r="K727" s="58" t="s">
        <v>274</v>
      </c>
      <c r="L727" s="58" t="s">
        <v>288</v>
      </c>
      <c r="M727" s="58" t="s">
        <v>35</v>
      </c>
      <c r="N727" s="58"/>
      <c r="O727" s="58" t="s">
        <v>335</v>
      </c>
      <c r="P727" s="58" t="s">
        <v>112</v>
      </c>
      <c r="Q727" s="58" t="s">
        <v>113</v>
      </c>
      <c r="R727" s="58" t="s">
        <v>2249</v>
      </c>
      <c r="S727" s="58" t="s">
        <v>2250</v>
      </c>
      <c r="T727" s="58" t="s">
        <v>279</v>
      </c>
    </row>
    <row r="728" spans="1:20" ht="31.2">
      <c r="A728" s="58" t="s">
        <v>57</v>
      </c>
      <c r="B728" s="58" t="s">
        <v>35</v>
      </c>
      <c r="C728" s="58">
        <v>45</v>
      </c>
      <c r="D728" s="58" t="s">
        <v>338</v>
      </c>
      <c r="E728" s="58" t="s">
        <v>2251</v>
      </c>
      <c r="F728" s="58" t="s">
        <v>274</v>
      </c>
      <c r="G728" s="58"/>
      <c r="H728" s="58"/>
      <c r="I728" s="58" t="s">
        <v>274</v>
      </c>
      <c r="J728" s="58"/>
      <c r="K728" s="58"/>
      <c r="L728" s="58" t="s">
        <v>288</v>
      </c>
      <c r="M728" s="58" t="s">
        <v>35</v>
      </c>
      <c r="N728" s="58"/>
      <c r="O728" s="58" t="s">
        <v>1448</v>
      </c>
      <c r="P728" s="58" t="s">
        <v>112</v>
      </c>
      <c r="Q728" s="58" t="s">
        <v>113</v>
      </c>
      <c r="R728" s="58" t="s">
        <v>2252</v>
      </c>
      <c r="S728" s="58" t="s">
        <v>2253</v>
      </c>
      <c r="T728" s="58" t="s">
        <v>279</v>
      </c>
    </row>
    <row r="729" spans="1:20" ht="31.2">
      <c r="A729" s="58" t="s">
        <v>57</v>
      </c>
      <c r="B729" s="58" t="s">
        <v>35</v>
      </c>
      <c r="C729" s="58">
        <v>46</v>
      </c>
      <c r="D729" s="58" t="s">
        <v>333</v>
      </c>
      <c r="E729" s="58" t="s">
        <v>2254</v>
      </c>
      <c r="F729" s="58" t="s">
        <v>274</v>
      </c>
      <c r="G729" s="58"/>
      <c r="H729" s="58"/>
      <c r="I729" s="58" t="s">
        <v>274</v>
      </c>
      <c r="J729" s="58"/>
      <c r="K729" s="58" t="s">
        <v>274</v>
      </c>
      <c r="L729" s="58" t="s">
        <v>288</v>
      </c>
      <c r="M729" s="58" t="s">
        <v>35</v>
      </c>
      <c r="N729" s="58"/>
      <c r="O729" s="58" t="s">
        <v>335</v>
      </c>
      <c r="P729" s="58" t="s">
        <v>112</v>
      </c>
      <c r="Q729" s="58" t="s">
        <v>113</v>
      </c>
      <c r="R729" s="58" t="s">
        <v>2255</v>
      </c>
      <c r="S729" s="58" t="s">
        <v>2256</v>
      </c>
      <c r="T729" s="58" t="s">
        <v>279</v>
      </c>
    </row>
    <row r="730" spans="1:20" ht="31.2">
      <c r="A730" s="58" t="s">
        <v>57</v>
      </c>
      <c r="B730" s="58" t="s">
        <v>35</v>
      </c>
      <c r="C730" s="58">
        <v>47</v>
      </c>
      <c r="D730" s="58" t="s">
        <v>333</v>
      </c>
      <c r="E730" s="58" t="s">
        <v>2257</v>
      </c>
      <c r="F730" s="58" t="s">
        <v>274</v>
      </c>
      <c r="G730" s="58"/>
      <c r="H730" s="58"/>
      <c r="I730" s="58" t="s">
        <v>274</v>
      </c>
      <c r="J730" s="58"/>
      <c r="K730" s="58" t="s">
        <v>274</v>
      </c>
      <c r="L730" s="58" t="s">
        <v>288</v>
      </c>
      <c r="M730" s="58" t="s">
        <v>35</v>
      </c>
      <c r="N730" s="58"/>
      <c r="O730" s="58" t="s">
        <v>335</v>
      </c>
      <c r="P730" s="58" t="s">
        <v>112</v>
      </c>
      <c r="Q730" s="58" t="s">
        <v>113</v>
      </c>
      <c r="R730" s="58" t="s">
        <v>2258</v>
      </c>
      <c r="S730" s="58" t="s">
        <v>2259</v>
      </c>
      <c r="T730" s="58" t="s">
        <v>279</v>
      </c>
    </row>
    <row r="731" spans="1:20" ht="31.2">
      <c r="A731" s="58" t="s">
        <v>57</v>
      </c>
      <c r="B731" s="58" t="s">
        <v>35</v>
      </c>
      <c r="C731" s="58">
        <v>48</v>
      </c>
      <c r="D731" s="58" t="s">
        <v>378</v>
      </c>
      <c r="E731" s="58" t="s">
        <v>2260</v>
      </c>
      <c r="F731" s="58" t="s">
        <v>274</v>
      </c>
      <c r="G731" s="58"/>
      <c r="H731" s="58"/>
      <c r="I731" s="58" t="s">
        <v>274</v>
      </c>
      <c r="J731" s="58"/>
      <c r="K731" s="58"/>
      <c r="L731" s="58" t="s">
        <v>288</v>
      </c>
      <c r="M731" s="58" t="s">
        <v>35</v>
      </c>
      <c r="N731" s="58"/>
      <c r="O731" s="58" t="s">
        <v>380</v>
      </c>
      <c r="P731" s="58" t="s">
        <v>112</v>
      </c>
      <c r="Q731" s="58" t="s">
        <v>113</v>
      </c>
      <c r="R731" s="58" t="s">
        <v>2261</v>
      </c>
      <c r="S731" s="58" t="s">
        <v>2262</v>
      </c>
      <c r="T731" s="58" t="s">
        <v>279</v>
      </c>
    </row>
    <row r="732" spans="1:20" ht="31.2">
      <c r="A732" s="58" t="s">
        <v>57</v>
      </c>
      <c r="B732" s="58" t="s">
        <v>35</v>
      </c>
      <c r="C732" s="58">
        <v>49</v>
      </c>
      <c r="D732" s="58" t="s">
        <v>378</v>
      </c>
      <c r="E732" s="58" t="s">
        <v>2263</v>
      </c>
      <c r="F732" s="58" t="s">
        <v>274</v>
      </c>
      <c r="G732" s="58"/>
      <c r="H732" s="58"/>
      <c r="I732" s="58" t="s">
        <v>274</v>
      </c>
      <c r="J732" s="58"/>
      <c r="K732" s="58"/>
      <c r="L732" s="58" t="s">
        <v>288</v>
      </c>
      <c r="M732" s="58" t="s">
        <v>35</v>
      </c>
      <c r="N732" s="58"/>
      <c r="O732" s="58" t="s">
        <v>380</v>
      </c>
      <c r="P732" s="58" t="s">
        <v>112</v>
      </c>
      <c r="Q732" s="58" t="s">
        <v>113</v>
      </c>
      <c r="R732" s="58" t="s">
        <v>2264</v>
      </c>
      <c r="S732" s="58" t="s">
        <v>2265</v>
      </c>
      <c r="T732" s="58" t="s">
        <v>279</v>
      </c>
    </row>
    <row r="733" spans="1:20" ht="31.2">
      <c r="A733" s="58" t="s">
        <v>57</v>
      </c>
      <c r="B733" s="58" t="s">
        <v>35</v>
      </c>
      <c r="C733" s="58">
        <v>50</v>
      </c>
      <c r="D733" s="58" t="s">
        <v>361</v>
      </c>
      <c r="E733" s="58" t="s">
        <v>2266</v>
      </c>
      <c r="F733" s="58" t="s">
        <v>274</v>
      </c>
      <c r="G733" s="58"/>
      <c r="H733" s="58"/>
      <c r="I733" s="58" t="s">
        <v>274</v>
      </c>
      <c r="J733" s="58"/>
      <c r="K733" s="58"/>
      <c r="L733" s="58" t="s">
        <v>288</v>
      </c>
      <c r="M733" s="58" t="s">
        <v>35</v>
      </c>
      <c r="N733" s="58"/>
      <c r="O733" s="58" t="s">
        <v>363</v>
      </c>
      <c r="P733" s="58" t="s">
        <v>112</v>
      </c>
      <c r="Q733" s="58" t="s">
        <v>113</v>
      </c>
      <c r="R733" s="58" t="s">
        <v>2267</v>
      </c>
      <c r="S733" s="58" t="s">
        <v>2268</v>
      </c>
      <c r="T733" s="58" t="s">
        <v>279</v>
      </c>
    </row>
    <row r="734" spans="1:20" ht="31.2">
      <c r="A734" s="58" t="s">
        <v>57</v>
      </c>
      <c r="B734" s="58" t="s">
        <v>35</v>
      </c>
      <c r="C734" s="58">
        <v>51</v>
      </c>
      <c r="D734" s="58" t="s">
        <v>338</v>
      </c>
      <c r="E734" s="58" t="s">
        <v>2269</v>
      </c>
      <c r="F734" s="58" t="s">
        <v>274</v>
      </c>
      <c r="G734" s="58"/>
      <c r="H734" s="58"/>
      <c r="I734" s="58" t="s">
        <v>274</v>
      </c>
      <c r="J734" s="58"/>
      <c r="K734" s="58"/>
      <c r="L734" s="58" t="s">
        <v>351</v>
      </c>
      <c r="M734" s="58" t="s">
        <v>35</v>
      </c>
      <c r="N734" s="58"/>
      <c r="O734" s="58" t="s">
        <v>340</v>
      </c>
      <c r="P734" s="58" t="s">
        <v>112</v>
      </c>
      <c r="Q734" s="58" t="s">
        <v>113</v>
      </c>
      <c r="R734" s="58" t="s">
        <v>2270</v>
      </c>
      <c r="S734" s="58" t="s">
        <v>2271</v>
      </c>
      <c r="T734" s="58" t="s">
        <v>279</v>
      </c>
    </row>
    <row r="735" spans="1:20" ht="25.95" customHeight="1">
      <c r="A735" s="58" t="s">
        <v>115</v>
      </c>
      <c r="B735" s="58" t="s">
        <v>48</v>
      </c>
      <c r="C735" s="58">
        <v>1</v>
      </c>
      <c r="D735" s="58" t="s">
        <v>361</v>
      </c>
      <c r="E735" s="58" t="s">
        <v>493</v>
      </c>
      <c r="F735" s="58" t="s">
        <v>274</v>
      </c>
      <c r="G735" s="58"/>
      <c r="H735" s="58"/>
      <c r="I735" s="58" t="s">
        <v>274</v>
      </c>
      <c r="J735" s="58"/>
      <c r="K735" s="58"/>
      <c r="L735" s="58" t="s">
        <v>351</v>
      </c>
      <c r="M735" s="58" t="s">
        <v>2272</v>
      </c>
      <c r="N735" s="58"/>
      <c r="O735" s="58" t="s">
        <v>363</v>
      </c>
      <c r="P735" s="58" t="s">
        <v>119</v>
      </c>
      <c r="Q735" s="58"/>
      <c r="R735" s="58" t="s">
        <v>2273</v>
      </c>
      <c r="S735" s="58" t="s">
        <v>2274</v>
      </c>
      <c r="T735" s="58" t="s">
        <v>2275</v>
      </c>
    </row>
    <row r="736" spans="1:20" ht="25.95" customHeight="1">
      <c r="A736" s="58" t="s">
        <v>115</v>
      </c>
      <c r="B736" s="58" t="s">
        <v>48</v>
      </c>
      <c r="C736" s="58">
        <v>2</v>
      </c>
      <c r="D736" s="58" t="s">
        <v>361</v>
      </c>
      <c r="E736" s="58" t="s">
        <v>493</v>
      </c>
      <c r="F736" s="58" t="s">
        <v>274</v>
      </c>
      <c r="G736" s="58"/>
      <c r="H736" s="58"/>
      <c r="I736" s="58" t="s">
        <v>274</v>
      </c>
      <c r="J736" s="58"/>
      <c r="K736" s="58"/>
      <c r="L736" s="58" t="s">
        <v>351</v>
      </c>
      <c r="M736" s="58" t="s">
        <v>2272</v>
      </c>
      <c r="N736" s="58"/>
      <c r="O736" s="58" t="s">
        <v>363</v>
      </c>
      <c r="P736" s="58" t="s">
        <v>119</v>
      </c>
      <c r="Q736" s="58"/>
      <c r="R736" s="58" t="s">
        <v>2276</v>
      </c>
      <c r="S736" s="58" t="s">
        <v>2277</v>
      </c>
      <c r="T736" s="58" t="s">
        <v>2275</v>
      </c>
    </row>
    <row r="737" spans="1:20" ht="25.95" customHeight="1">
      <c r="A737" s="58" t="s">
        <v>115</v>
      </c>
      <c r="B737" s="58" t="s">
        <v>48</v>
      </c>
      <c r="C737" s="58">
        <v>3</v>
      </c>
      <c r="D737" s="58" t="s">
        <v>333</v>
      </c>
      <c r="E737" s="58" t="s">
        <v>355</v>
      </c>
      <c r="F737" s="58" t="s">
        <v>274</v>
      </c>
      <c r="G737" s="58"/>
      <c r="H737" s="58"/>
      <c r="I737" s="58" t="s">
        <v>274</v>
      </c>
      <c r="J737" s="58"/>
      <c r="K737" s="58"/>
      <c r="L737" s="58" t="s">
        <v>275</v>
      </c>
      <c r="M737" s="58" t="s">
        <v>2272</v>
      </c>
      <c r="N737" s="58"/>
      <c r="O737" s="58" t="s">
        <v>335</v>
      </c>
      <c r="P737" s="58" t="s">
        <v>119</v>
      </c>
      <c r="Q737" s="58"/>
      <c r="R737" s="58" t="s">
        <v>2278</v>
      </c>
      <c r="S737" s="58" t="s">
        <v>2279</v>
      </c>
      <c r="T737" s="58" t="s">
        <v>2275</v>
      </c>
    </row>
    <row r="738" spans="1:20" ht="25.95" customHeight="1">
      <c r="A738" s="58" t="s">
        <v>115</v>
      </c>
      <c r="B738" s="58" t="s">
        <v>48</v>
      </c>
      <c r="C738" s="58">
        <v>4</v>
      </c>
      <c r="D738" s="58" t="s">
        <v>333</v>
      </c>
      <c r="E738" s="58" t="s">
        <v>2280</v>
      </c>
      <c r="F738" s="58" t="s">
        <v>274</v>
      </c>
      <c r="G738" s="58"/>
      <c r="H738" s="58"/>
      <c r="I738" s="58" t="s">
        <v>274</v>
      </c>
      <c r="J738" s="58"/>
      <c r="K738" s="58"/>
      <c r="L738" s="58" t="s">
        <v>351</v>
      </c>
      <c r="M738" s="58" t="s">
        <v>2272</v>
      </c>
      <c r="N738" s="58"/>
      <c r="O738" s="58" t="s">
        <v>335</v>
      </c>
      <c r="P738" s="58" t="s">
        <v>119</v>
      </c>
      <c r="Q738" s="58"/>
      <c r="R738" s="58" t="s">
        <v>2281</v>
      </c>
      <c r="S738" s="58" t="s">
        <v>2282</v>
      </c>
      <c r="T738" s="58" t="s">
        <v>2275</v>
      </c>
    </row>
    <row r="739" spans="1:20" ht="25.95" customHeight="1">
      <c r="A739" s="58" t="s">
        <v>115</v>
      </c>
      <c r="B739" s="58" t="s">
        <v>48</v>
      </c>
      <c r="C739" s="58">
        <v>5</v>
      </c>
      <c r="D739" s="58" t="s">
        <v>361</v>
      </c>
      <c r="E739" s="58" t="s">
        <v>2283</v>
      </c>
      <c r="F739" s="58" t="s">
        <v>274</v>
      </c>
      <c r="G739" s="58"/>
      <c r="H739" s="58"/>
      <c r="I739" s="58" t="s">
        <v>274</v>
      </c>
      <c r="J739" s="58"/>
      <c r="K739" s="58"/>
      <c r="L739" s="58" t="s">
        <v>351</v>
      </c>
      <c r="M739" s="58" t="s">
        <v>2272</v>
      </c>
      <c r="N739" s="58"/>
      <c r="O739" s="58" t="s">
        <v>363</v>
      </c>
      <c r="P739" s="58" t="s">
        <v>119</v>
      </c>
      <c r="Q739" s="58"/>
      <c r="R739" s="58" t="s">
        <v>2284</v>
      </c>
      <c r="S739" s="58" t="s">
        <v>2285</v>
      </c>
      <c r="T739" s="58" t="s">
        <v>2275</v>
      </c>
    </row>
    <row r="740" spans="1:20" ht="31.2">
      <c r="A740" s="58" t="s">
        <v>115</v>
      </c>
      <c r="B740" s="58" t="s">
        <v>48</v>
      </c>
      <c r="C740" s="58">
        <v>6</v>
      </c>
      <c r="D740" s="58" t="s">
        <v>333</v>
      </c>
      <c r="E740" s="58" t="s">
        <v>334</v>
      </c>
      <c r="F740" s="58" t="s">
        <v>274</v>
      </c>
      <c r="G740" s="58"/>
      <c r="H740" s="58"/>
      <c r="I740" s="58" t="s">
        <v>274</v>
      </c>
      <c r="J740" s="58"/>
      <c r="K740" s="58"/>
      <c r="L740" s="58" t="s">
        <v>351</v>
      </c>
      <c r="M740" s="58" t="s">
        <v>2272</v>
      </c>
      <c r="N740" s="58"/>
      <c r="O740" s="58" t="s">
        <v>335</v>
      </c>
      <c r="P740" s="58" t="s">
        <v>119</v>
      </c>
      <c r="Q740" s="58"/>
      <c r="R740" s="58" t="s">
        <v>2286</v>
      </c>
      <c r="S740" s="58" t="s">
        <v>2287</v>
      </c>
      <c r="T740" s="58" t="s">
        <v>2275</v>
      </c>
    </row>
    <row r="741" spans="1:20" ht="25.95" customHeight="1">
      <c r="A741" s="58" t="s">
        <v>115</v>
      </c>
      <c r="B741" s="58" t="s">
        <v>48</v>
      </c>
      <c r="C741" s="58">
        <v>7</v>
      </c>
      <c r="D741" s="58" t="s">
        <v>378</v>
      </c>
      <c r="E741" s="58" t="s">
        <v>2288</v>
      </c>
      <c r="F741" s="58" t="s">
        <v>274</v>
      </c>
      <c r="G741" s="58"/>
      <c r="H741" s="58"/>
      <c r="I741" s="58" t="s">
        <v>274</v>
      </c>
      <c r="J741" s="58"/>
      <c r="K741" s="58"/>
      <c r="L741" s="58" t="s">
        <v>275</v>
      </c>
      <c r="M741" s="58" t="s">
        <v>2272</v>
      </c>
      <c r="N741" s="58"/>
      <c r="O741" s="58" t="s">
        <v>380</v>
      </c>
      <c r="P741" s="58" t="s">
        <v>119</v>
      </c>
      <c r="Q741" s="58"/>
      <c r="R741" s="58" t="s">
        <v>2289</v>
      </c>
      <c r="S741" s="58" t="s">
        <v>2290</v>
      </c>
      <c r="T741" s="58" t="s">
        <v>2275</v>
      </c>
    </row>
    <row r="742" spans="1:20" ht="25.95" customHeight="1">
      <c r="A742" s="58" t="s">
        <v>115</v>
      </c>
      <c r="B742" s="58" t="s">
        <v>48</v>
      </c>
      <c r="C742" s="58">
        <v>8</v>
      </c>
      <c r="D742" s="58" t="s">
        <v>361</v>
      </c>
      <c r="E742" s="58" t="s">
        <v>2291</v>
      </c>
      <c r="F742" s="58" t="s">
        <v>274</v>
      </c>
      <c r="G742" s="58"/>
      <c r="H742" s="58"/>
      <c r="I742" s="58" t="s">
        <v>274</v>
      </c>
      <c r="J742" s="58"/>
      <c r="K742" s="58"/>
      <c r="L742" s="58" t="s">
        <v>275</v>
      </c>
      <c r="M742" s="58" t="s">
        <v>2272</v>
      </c>
      <c r="N742" s="58"/>
      <c r="O742" s="58" t="s">
        <v>363</v>
      </c>
      <c r="P742" s="58" t="s">
        <v>119</v>
      </c>
      <c r="Q742" s="58"/>
      <c r="R742" s="58" t="s">
        <v>2292</v>
      </c>
      <c r="S742" s="58" t="s">
        <v>2293</v>
      </c>
      <c r="T742" s="58" t="s">
        <v>2275</v>
      </c>
    </row>
    <row r="743" spans="1:20" ht="25.95" customHeight="1">
      <c r="A743" s="58" t="s">
        <v>115</v>
      </c>
      <c r="B743" s="58" t="s">
        <v>48</v>
      </c>
      <c r="C743" s="58">
        <v>9</v>
      </c>
      <c r="D743" s="58" t="s">
        <v>361</v>
      </c>
      <c r="E743" s="58" t="s">
        <v>2294</v>
      </c>
      <c r="F743" s="58" t="s">
        <v>274</v>
      </c>
      <c r="G743" s="58"/>
      <c r="H743" s="58"/>
      <c r="I743" s="58" t="s">
        <v>274</v>
      </c>
      <c r="J743" s="58"/>
      <c r="K743" s="58"/>
      <c r="L743" s="58" t="s">
        <v>275</v>
      </c>
      <c r="M743" s="58" t="s">
        <v>2272</v>
      </c>
      <c r="N743" s="58"/>
      <c r="O743" s="58" t="s">
        <v>363</v>
      </c>
      <c r="P743" s="58" t="s">
        <v>119</v>
      </c>
      <c r="Q743" s="58"/>
      <c r="R743" s="58" t="s">
        <v>2295</v>
      </c>
      <c r="S743" s="58" t="s">
        <v>2296</v>
      </c>
      <c r="T743" s="58" t="s">
        <v>2275</v>
      </c>
    </row>
    <row r="744" spans="1:20" ht="25.95" customHeight="1">
      <c r="A744" s="58" t="s">
        <v>115</v>
      </c>
      <c r="B744" s="58" t="s">
        <v>48</v>
      </c>
      <c r="C744" s="58">
        <v>10</v>
      </c>
      <c r="D744" s="58" t="s">
        <v>333</v>
      </c>
      <c r="E744" s="58" t="s">
        <v>2297</v>
      </c>
      <c r="F744" s="58" t="s">
        <v>274</v>
      </c>
      <c r="G744" s="58"/>
      <c r="H744" s="58"/>
      <c r="I744" s="58" t="s">
        <v>274</v>
      </c>
      <c r="J744" s="58"/>
      <c r="K744" s="58"/>
      <c r="L744" s="58" t="s">
        <v>275</v>
      </c>
      <c r="M744" s="58" t="s">
        <v>2272</v>
      </c>
      <c r="N744" s="58"/>
      <c r="O744" s="58" t="s">
        <v>335</v>
      </c>
      <c r="P744" s="58" t="s">
        <v>119</v>
      </c>
      <c r="Q744" s="58"/>
      <c r="R744" s="58" t="s">
        <v>2298</v>
      </c>
      <c r="S744" s="58" t="s">
        <v>2299</v>
      </c>
      <c r="T744" s="58" t="s">
        <v>2275</v>
      </c>
    </row>
    <row r="745" spans="1:20" ht="25.95" customHeight="1">
      <c r="A745" s="58" t="s">
        <v>115</v>
      </c>
      <c r="B745" s="58" t="s">
        <v>48</v>
      </c>
      <c r="C745" s="58">
        <v>11</v>
      </c>
      <c r="D745" s="58" t="s">
        <v>378</v>
      </c>
      <c r="E745" s="58" t="s">
        <v>2300</v>
      </c>
      <c r="F745" s="58" t="s">
        <v>274</v>
      </c>
      <c r="G745" s="58"/>
      <c r="H745" s="58"/>
      <c r="I745" s="58" t="s">
        <v>274</v>
      </c>
      <c r="J745" s="58"/>
      <c r="K745" s="58"/>
      <c r="L745" s="58" t="s">
        <v>275</v>
      </c>
      <c r="M745" s="58" t="s">
        <v>2272</v>
      </c>
      <c r="N745" s="58"/>
      <c r="O745" s="58" t="s">
        <v>380</v>
      </c>
      <c r="P745" s="58" t="s">
        <v>119</v>
      </c>
      <c r="Q745" s="58"/>
      <c r="R745" s="58" t="s">
        <v>2301</v>
      </c>
      <c r="S745" s="58" t="s">
        <v>2302</v>
      </c>
      <c r="T745" s="58" t="s">
        <v>2275</v>
      </c>
    </row>
    <row r="746" spans="1:20" ht="25.95" customHeight="1">
      <c r="A746" s="58" t="s">
        <v>115</v>
      </c>
      <c r="B746" s="58" t="s">
        <v>48</v>
      </c>
      <c r="C746" s="58">
        <v>12</v>
      </c>
      <c r="D746" s="58" t="s">
        <v>361</v>
      </c>
      <c r="E746" s="58" t="s">
        <v>2303</v>
      </c>
      <c r="F746" s="58" t="s">
        <v>274</v>
      </c>
      <c r="G746" s="58"/>
      <c r="H746" s="58"/>
      <c r="I746" s="58" t="s">
        <v>274</v>
      </c>
      <c r="J746" s="58"/>
      <c r="K746" s="58"/>
      <c r="L746" s="58" t="s">
        <v>275</v>
      </c>
      <c r="M746" s="58" t="s">
        <v>2272</v>
      </c>
      <c r="N746" s="58"/>
      <c r="O746" s="58" t="s">
        <v>363</v>
      </c>
      <c r="P746" s="58" t="s">
        <v>119</v>
      </c>
      <c r="Q746" s="58"/>
      <c r="R746" s="58" t="s">
        <v>2304</v>
      </c>
      <c r="S746" s="58" t="s">
        <v>2305</v>
      </c>
      <c r="T746" s="58" t="s">
        <v>2275</v>
      </c>
    </row>
    <row r="747" spans="1:20" ht="25.95" customHeight="1">
      <c r="A747" s="58" t="s">
        <v>115</v>
      </c>
      <c r="B747" s="58" t="s">
        <v>48</v>
      </c>
      <c r="C747" s="58">
        <v>13</v>
      </c>
      <c r="D747" s="58" t="s">
        <v>333</v>
      </c>
      <c r="E747" s="58" t="s">
        <v>2306</v>
      </c>
      <c r="F747" s="58" t="s">
        <v>274</v>
      </c>
      <c r="G747" s="58"/>
      <c r="H747" s="58"/>
      <c r="I747" s="58" t="s">
        <v>274</v>
      </c>
      <c r="J747" s="58"/>
      <c r="K747" s="58"/>
      <c r="L747" s="58" t="s">
        <v>275</v>
      </c>
      <c r="M747" s="58" t="s">
        <v>2272</v>
      </c>
      <c r="N747" s="58"/>
      <c r="O747" s="58" t="s">
        <v>335</v>
      </c>
      <c r="P747" s="58" t="s">
        <v>119</v>
      </c>
      <c r="Q747" s="58"/>
      <c r="R747" s="58" t="s">
        <v>2307</v>
      </c>
      <c r="S747" s="58" t="s">
        <v>2308</v>
      </c>
      <c r="T747" s="58" t="s">
        <v>2275</v>
      </c>
    </row>
    <row r="748" spans="1:20" ht="25.95" customHeight="1">
      <c r="A748" s="58" t="s">
        <v>115</v>
      </c>
      <c r="B748" s="58" t="s">
        <v>48</v>
      </c>
      <c r="C748" s="58">
        <v>14</v>
      </c>
      <c r="D748" s="58" t="s">
        <v>378</v>
      </c>
      <c r="E748" s="58" t="s">
        <v>2309</v>
      </c>
      <c r="F748" s="58" t="s">
        <v>274</v>
      </c>
      <c r="G748" s="58"/>
      <c r="H748" s="58"/>
      <c r="I748" s="58" t="s">
        <v>274</v>
      </c>
      <c r="J748" s="58"/>
      <c r="K748" s="58"/>
      <c r="L748" s="58" t="s">
        <v>275</v>
      </c>
      <c r="M748" s="58" t="s">
        <v>2272</v>
      </c>
      <c r="N748" s="58"/>
      <c r="O748" s="58" t="s">
        <v>380</v>
      </c>
      <c r="P748" s="58" t="s">
        <v>119</v>
      </c>
      <c r="Q748" s="58"/>
      <c r="R748" s="58" t="s">
        <v>2310</v>
      </c>
      <c r="S748" s="58" t="s">
        <v>2311</v>
      </c>
      <c r="T748" s="58" t="s">
        <v>2275</v>
      </c>
    </row>
    <row r="749" spans="1:20" ht="25.95" customHeight="1">
      <c r="A749" s="58" t="s">
        <v>115</v>
      </c>
      <c r="B749" s="58" t="s">
        <v>48</v>
      </c>
      <c r="C749" s="58">
        <v>15</v>
      </c>
      <c r="D749" s="58" t="s">
        <v>361</v>
      </c>
      <c r="E749" s="58" t="s">
        <v>2312</v>
      </c>
      <c r="F749" s="58" t="s">
        <v>274</v>
      </c>
      <c r="G749" s="58"/>
      <c r="H749" s="58"/>
      <c r="I749" s="58" t="s">
        <v>274</v>
      </c>
      <c r="J749" s="58"/>
      <c r="K749" s="58"/>
      <c r="L749" s="58" t="s">
        <v>275</v>
      </c>
      <c r="M749" s="58" t="s">
        <v>2272</v>
      </c>
      <c r="N749" s="58"/>
      <c r="O749" s="58" t="s">
        <v>363</v>
      </c>
      <c r="P749" s="58" t="s">
        <v>119</v>
      </c>
      <c r="Q749" s="58"/>
      <c r="R749" s="58" t="s">
        <v>2313</v>
      </c>
      <c r="S749" s="58" t="s">
        <v>2314</v>
      </c>
      <c r="T749" s="58" t="s">
        <v>2275</v>
      </c>
    </row>
    <row r="750" spans="1:20" ht="25.95" customHeight="1">
      <c r="A750" s="58" t="s">
        <v>115</v>
      </c>
      <c r="B750" s="58" t="s">
        <v>48</v>
      </c>
      <c r="C750" s="58">
        <v>16</v>
      </c>
      <c r="D750" s="58" t="s">
        <v>333</v>
      </c>
      <c r="E750" s="58" t="s">
        <v>2315</v>
      </c>
      <c r="F750" s="58" t="s">
        <v>274</v>
      </c>
      <c r="G750" s="58"/>
      <c r="H750" s="58"/>
      <c r="I750" s="58" t="s">
        <v>274</v>
      </c>
      <c r="J750" s="58"/>
      <c r="K750" s="58"/>
      <c r="L750" s="58" t="s">
        <v>275</v>
      </c>
      <c r="M750" s="58" t="s">
        <v>2272</v>
      </c>
      <c r="N750" s="58"/>
      <c r="O750" s="58" t="s">
        <v>335</v>
      </c>
      <c r="P750" s="58" t="s">
        <v>119</v>
      </c>
      <c r="Q750" s="58"/>
      <c r="R750" s="58" t="s">
        <v>2316</v>
      </c>
      <c r="S750" s="58" t="s">
        <v>2317</v>
      </c>
      <c r="T750" s="58" t="s">
        <v>2275</v>
      </c>
    </row>
    <row r="751" spans="1:20" ht="25.95" customHeight="1">
      <c r="A751" s="58" t="s">
        <v>115</v>
      </c>
      <c r="B751" s="58" t="s">
        <v>48</v>
      </c>
      <c r="C751" s="58">
        <v>17</v>
      </c>
      <c r="D751" s="58" t="s">
        <v>479</v>
      </c>
      <c r="E751" s="58" t="s">
        <v>2309</v>
      </c>
      <c r="F751" s="58" t="s">
        <v>274</v>
      </c>
      <c r="G751" s="58"/>
      <c r="H751" s="58"/>
      <c r="I751" s="58" t="s">
        <v>273</v>
      </c>
      <c r="J751" s="58"/>
      <c r="K751" s="58"/>
      <c r="L751" s="58" t="s">
        <v>275</v>
      </c>
      <c r="M751" s="58" t="s">
        <v>2272</v>
      </c>
      <c r="N751" s="58"/>
      <c r="O751" s="58" t="s">
        <v>480</v>
      </c>
      <c r="P751" s="58" t="s">
        <v>119</v>
      </c>
      <c r="Q751" s="58"/>
      <c r="R751" s="58" t="s">
        <v>2318</v>
      </c>
      <c r="S751" s="58" t="s">
        <v>2319</v>
      </c>
      <c r="T751" s="58" t="s">
        <v>2275</v>
      </c>
    </row>
    <row r="752" spans="1:20" ht="25.95" customHeight="1">
      <c r="A752" s="58" t="s">
        <v>115</v>
      </c>
      <c r="B752" s="58" t="s">
        <v>48</v>
      </c>
      <c r="C752" s="58">
        <v>18</v>
      </c>
      <c r="D752" s="58" t="s">
        <v>361</v>
      </c>
      <c r="E752" s="58" t="s">
        <v>2320</v>
      </c>
      <c r="F752" s="58" t="s">
        <v>274</v>
      </c>
      <c r="G752" s="58"/>
      <c r="H752" s="58"/>
      <c r="I752" s="58" t="s">
        <v>274</v>
      </c>
      <c r="J752" s="58"/>
      <c r="K752" s="58"/>
      <c r="L752" s="58" t="s">
        <v>275</v>
      </c>
      <c r="M752" s="58" t="s">
        <v>2272</v>
      </c>
      <c r="N752" s="58"/>
      <c r="O752" s="58" t="s">
        <v>363</v>
      </c>
      <c r="P752" s="58" t="s">
        <v>119</v>
      </c>
      <c r="Q752" s="58"/>
      <c r="R752" s="58" t="s">
        <v>2321</v>
      </c>
      <c r="S752" s="58" t="s">
        <v>2322</v>
      </c>
      <c r="T752" s="58" t="s">
        <v>2275</v>
      </c>
    </row>
    <row r="753" spans="1:20" ht="25.95" customHeight="1">
      <c r="A753" s="58" t="s">
        <v>115</v>
      </c>
      <c r="B753" s="58" t="s">
        <v>48</v>
      </c>
      <c r="C753" s="58">
        <v>19</v>
      </c>
      <c r="D753" s="58" t="s">
        <v>333</v>
      </c>
      <c r="E753" s="58" t="s">
        <v>2315</v>
      </c>
      <c r="F753" s="58" t="s">
        <v>274</v>
      </c>
      <c r="G753" s="58"/>
      <c r="H753" s="58"/>
      <c r="I753" s="58" t="s">
        <v>274</v>
      </c>
      <c r="J753" s="58"/>
      <c r="K753" s="58"/>
      <c r="L753" s="58" t="s">
        <v>275</v>
      </c>
      <c r="M753" s="58" t="s">
        <v>2272</v>
      </c>
      <c r="N753" s="58"/>
      <c r="O753" s="58" t="s">
        <v>335</v>
      </c>
      <c r="P753" s="58" t="s">
        <v>119</v>
      </c>
      <c r="Q753" s="58"/>
      <c r="R753" s="58" t="s">
        <v>2323</v>
      </c>
      <c r="S753" s="58" t="s">
        <v>2324</v>
      </c>
      <c r="T753" s="58" t="s">
        <v>2275</v>
      </c>
    </row>
    <row r="754" spans="1:20" ht="25.95" customHeight="1">
      <c r="A754" s="58" t="s">
        <v>115</v>
      </c>
      <c r="B754" s="58" t="s">
        <v>48</v>
      </c>
      <c r="C754" s="58">
        <v>20</v>
      </c>
      <c r="D754" s="58" t="s">
        <v>479</v>
      </c>
      <c r="E754" s="58" t="s">
        <v>2309</v>
      </c>
      <c r="F754" s="58" t="s">
        <v>274</v>
      </c>
      <c r="G754" s="58"/>
      <c r="H754" s="58"/>
      <c r="I754" s="58" t="s">
        <v>273</v>
      </c>
      <c r="J754" s="58"/>
      <c r="K754" s="58"/>
      <c r="L754" s="58" t="s">
        <v>275</v>
      </c>
      <c r="M754" s="58" t="s">
        <v>2272</v>
      </c>
      <c r="N754" s="58"/>
      <c r="O754" s="58" t="s">
        <v>480</v>
      </c>
      <c r="P754" s="58" t="s">
        <v>119</v>
      </c>
      <c r="Q754" s="58"/>
      <c r="R754" s="58" t="s">
        <v>2325</v>
      </c>
      <c r="S754" s="58" t="s">
        <v>2326</v>
      </c>
      <c r="T754" s="58" t="s">
        <v>2275</v>
      </c>
    </row>
    <row r="755" spans="1:20" ht="25.95" customHeight="1">
      <c r="A755" s="58" t="s">
        <v>115</v>
      </c>
      <c r="B755" s="58" t="s">
        <v>48</v>
      </c>
      <c r="C755" s="58">
        <v>21</v>
      </c>
      <c r="D755" s="58" t="s">
        <v>361</v>
      </c>
      <c r="E755" s="58" t="s">
        <v>2320</v>
      </c>
      <c r="F755" s="58" t="s">
        <v>274</v>
      </c>
      <c r="G755" s="58"/>
      <c r="H755" s="58"/>
      <c r="I755" s="58" t="s">
        <v>274</v>
      </c>
      <c r="J755" s="58"/>
      <c r="K755" s="58"/>
      <c r="L755" s="58" t="s">
        <v>275</v>
      </c>
      <c r="M755" s="58" t="s">
        <v>2272</v>
      </c>
      <c r="N755" s="58"/>
      <c r="O755" s="58" t="s">
        <v>363</v>
      </c>
      <c r="P755" s="58" t="s">
        <v>119</v>
      </c>
      <c r="Q755" s="58"/>
      <c r="R755" s="58" t="s">
        <v>2327</v>
      </c>
      <c r="S755" s="58" t="s">
        <v>2328</v>
      </c>
      <c r="T755" s="58" t="s">
        <v>2275</v>
      </c>
    </row>
    <row r="756" spans="1:20" ht="25.95" customHeight="1">
      <c r="A756" s="58" t="s">
        <v>115</v>
      </c>
      <c r="B756" s="58" t="s">
        <v>48</v>
      </c>
      <c r="C756" s="58">
        <v>22</v>
      </c>
      <c r="D756" s="58" t="s">
        <v>333</v>
      </c>
      <c r="E756" s="58" t="s">
        <v>2315</v>
      </c>
      <c r="F756" s="58" t="s">
        <v>274</v>
      </c>
      <c r="G756" s="58"/>
      <c r="H756" s="58"/>
      <c r="I756" s="58" t="s">
        <v>274</v>
      </c>
      <c r="J756" s="58"/>
      <c r="K756" s="58"/>
      <c r="L756" s="58" t="s">
        <v>275</v>
      </c>
      <c r="M756" s="58" t="s">
        <v>2272</v>
      </c>
      <c r="N756" s="58"/>
      <c r="O756" s="58" t="s">
        <v>335</v>
      </c>
      <c r="P756" s="58" t="s">
        <v>119</v>
      </c>
      <c r="Q756" s="58"/>
      <c r="R756" s="58" t="s">
        <v>2329</v>
      </c>
      <c r="S756" s="58" t="s">
        <v>2330</v>
      </c>
      <c r="T756" s="58" t="s">
        <v>2275</v>
      </c>
    </row>
    <row r="757" spans="1:20" ht="25.95" customHeight="1">
      <c r="A757" s="58" t="s">
        <v>115</v>
      </c>
      <c r="B757" s="58" t="s">
        <v>48</v>
      </c>
      <c r="C757" s="58">
        <v>23</v>
      </c>
      <c r="D757" s="58" t="s">
        <v>378</v>
      </c>
      <c r="E757" s="58" t="s">
        <v>2331</v>
      </c>
      <c r="F757" s="58" t="s">
        <v>274</v>
      </c>
      <c r="G757" s="58"/>
      <c r="H757" s="58"/>
      <c r="I757" s="58" t="s">
        <v>274</v>
      </c>
      <c r="J757" s="58"/>
      <c r="K757" s="58"/>
      <c r="L757" s="58" t="s">
        <v>275</v>
      </c>
      <c r="M757" s="58" t="s">
        <v>2272</v>
      </c>
      <c r="N757" s="58"/>
      <c r="O757" s="58" t="s">
        <v>380</v>
      </c>
      <c r="P757" s="58" t="s">
        <v>119</v>
      </c>
      <c r="Q757" s="58"/>
      <c r="R757" s="58" t="s">
        <v>2332</v>
      </c>
      <c r="S757" s="58" t="s">
        <v>2333</v>
      </c>
      <c r="T757" s="58" t="s">
        <v>2275</v>
      </c>
    </row>
    <row r="758" spans="1:20" ht="25.95" customHeight="1">
      <c r="A758" s="58" t="s">
        <v>115</v>
      </c>
      <c r="B758" s="58" t="s">
        <v>48</v>
      </c>
      <c r="C758" s="58">
        <v>24</v>
      </c>
      <c r="D758" s="58" t="s">
        <v>361</v>
      </c>
      <c r="E758" s="58" t="s">
        <v>2334</v>
      </c>
      <c r="F758" s="58" t="s">
        <v>274</v>
      </c>
      <c r="G758" s="58"/>
      <c r="H758" s="58"/>
      <c r="I758" s="58" t="s">
        <v>274</v>
      </c>
      <c r="J758" s="58"/>
      <c r="K758" s="58"/>
      <c r="L758" s="58" t="s">
        <v>275</v>
      </c>
      <c r="M758" s="58" t="s">
        <v>2272</v>
      </c>
      <c r="N758" s="58"/>
      <c r="O758" s="58" t="s">
        <v>363</v>
      </c>
      <c r="P758" s="58" t="s">
        <v>119</v>
      </c>
      <c r="Q758" s="58"/>
      <c r="R758" s="58" t="s">
        <v>2335</v>
      </c>
      <c r="S758" s="58" t="s">
        <v>2336</v>
      </c>
      <c r="T758" s="58" t="s">
        <v>2275</v>
      </c>
    </row>
    <row r="759" spans="1:20" ht="25.95" customHeight="1">
      <c r="A759" s="58" t="s">
        <v>115</v>
      </c>
      <c r="B759" s="58" t="s">
        <v>48</v>
      </c>
      <c r="C759" s="58">
        <v>25</v>
      </c>
      <c r="D759" s="58" t="s">
        <v>333</v>
      </c>
      <c r="E759" s="58" t="s">
        <v>2337</v>
      </c>
      <c r="F759" s="58" t="s">
        <v>274</v>
      </c>
      <c r="G759" s="58"/>
      <c r="H759" s="58"/>
      <c r="I759" s="58" t="s">
        <v>274</v>
      </c>
      <c r="J759" s="58"/>
      <c r="K759" s="58"/>
      <c r="L759" s="58" t="s">
        <v>275</v>
      </c>
      <c r="M759" s="58" t="s">
        <v>2272</v>
      </c>
      <c r="N759" s="58"/>
      <c r="O759" s="58" t="s">
        <v>335</v>
      </c>
      <c r="P759" s="58" t="s">
        <v>119</v>
      </c>
      <c r="Q759" s="58"/>
      <c r="R759" s="58" t="s">
        <v>2338</v>
      </c>
      <c r="S759" s="58" t="s">
        <v>2339</v>
      </c>
      <c r="T759" s="58" t="s">
        <v>2275</v>
      </c>
    </row>
    <row r="760" spans="1:20" ht="25.95" customHeight="1">
      <c r="A760" s="58" t="s">
        <v>115</v>
      </c>
      <c r="B760" s="58" t="s">
        <v>48</v>
      </c>
      <c r="C760" s="58">
        <v>26</v>
      </c>
      <c r="D760" s="58" t="s">
        <v>378</v>
      </c>
      <c r="E760" s="58" t="s">
        <v>2340</v>
      </c>
      <c r="F760" s="58" t="s">
        <v>274</v>
      </c>
      <c r="G760" s="58"/>
      <c r="H760" s="58"/>
      <c r="I760" s="58" t="s">
        <v>274</v>
      </c>
      <c r="J760" s="58"/>
      <c r="K760" s="58"/>
      <c r="L760" s="58" t="s">
        <v>275</v>
      </c>
      <c r="M760" s="58" t="s">
        <v>2272</v>
      </c>
      <c r="N760" s="58"/>
      <c r="O760" s="58" t="s">
        <v>380</v>
      </c>
      <c r="P760" s="58" t="s">
        <v>119</v>
      </c>
      <c r="Q760" s="58"/>
      <c r="R760" s="58" t="s">
        <v>2341</v>
      </c>
      <c r="S760" s="58" t="s">
        <v>2342</v>
      </c>
      <c r="T760" s="58" t="s">
        <v>2275</v>
      </c>
    </row>
    <row r="761" spans="1:20" ht="25.95" customHeight="1">
      <c r="A761" s="58" t="s">
        <v>115</v>
      </c>
      <c r="B761" s="58" t="s">
        <v>48</v>
      </c>
      <c r="C761" s="58">
        <v>27</v>
      </c>
      <c r="D761" s="58" t="s">
        <v>361</v>
      </c>
      <c r="E761" s="58" t="s">
        <v>2343</v>
      </c>
      <c r="F761" s="58" t="s">
        <v>274</v>
      </c>
      <c r="G761" s="58"/>
      <c r="H761" s="58"/>
      <c r="I761" s="58" t="s">
        <v>274</v>
      </c>
      <c r="J761" s="58"/>
      <c r="K761" s="58"/>
      <c r="L761" s="58" t="s">
        <v>275</v>
      </c>
      <c r="M761" s="58" t="s">
        <v>2272</v>
      </c>
      <c r="N761" s="58"/>
      <c r="O761" s="58" t="s">
        <v>363</v>
      </c>
      <c r="P761" s="58" t="s">
        <v>119</v>
      </c>
      <c r="Q761" s="58"/>
      <c r="R761" s="58" t="s">
        <v>2344</v>
      </c>
      <c r="S761" s="58" t="s">
        <v>2345</v>
      </c>
      <c r="T761" s="58" t="s">
        <v>2275</v>
      </c>
    </row>
    <row r="762" spans="1:20" ht="25.95" customHeight="1">
      <c r="A762" s="58" t="s">
        <v>115</v>
      </c>
      <c r="B762" s="58" t="s">
        <v>48</v>
      </c>
      <c r="C762" s="58">
        <v>28</v>
      </c>
      <c r="D762" s="58" t="s">
        <v>333</v>
      </c>
      <c r="E762" s="58" t="s">
        <v>2346</v>
      </c>
      <c r="F762" s="58" t="s">
        <v>274</v>
      </c>
      <c r="G762" s="58"/>
      <c r="H762" s="58"/>
      <c r="I762" s="58" t="s">
        <v>274</v>
      </c>
      <c r="J762" s="58"/>
      <c r="K762" s="58"/>
      <c r="L762" s="58" t="s">
        <v>275</v>
      </c>
      <c r="M762" s="58" t="s">
        <v>2272</v>
      </c>
      <c r="N762" s="58"/>
      <c r="O762" s="58" t="s">
        <v>335</v>
      </c>
      <c r="P762" s="58" t="s">
        <v>119</v>
      </c>
      <c r="Q762" s="58"/>
      <c r="R762" s="58" t="s">
        <v>2347</v>
      </c>
      <c r="S762" s="58" t="s">
        <v>2348</v>
      </c>
      <c r="T762" s="58" t="s">
        <v>2275</v>
      </c>
    </row>
    <row r="763" spans="1:20" ht="25.95" customHeight="1">
      <c r="A763" s="58" t="s">
        <v>115</v>
      </c>
      <c r="B763" s="58" t="s">
        <v>48</v>
      </c>
      <c r="C763" s="58">
        <v>29</v>
      </c>
      <c r="D763" s="58" t="s">
        <v>378</v>
      </c>
      <c r="E763" s="58" t="s">
        <v>2349</v>
      </c>
      <c r="F763" s="58" t="s">
        <v>274</v>
      </c>
      <c r="G763" s="58"/>
      <c r="H763" s="58"/>
      <c r="I763" s="58" t="s">
        <v>274</v>
      </c>
      <c r="J763" s="58"/>
      <c r="K763" s="58"/>
      <c r="L763" s="58" t="s">
        <v>288</v>
      </c>
      <c r="M763" s="58" t="s">
        <v>2272</v>
      </c>
      <c r="N763" s="58"/>
      <c r="O763" s="58" t="s">
        <v>380</v>
      </c>
      <c r="P763" s="58" t="s">
        <v>119</v>
      </c>
      <c r="Q763" s="58"/>
      <c r="R763" s="58" t="s">
        <v>2350</v>
      </c>
      <c r="S763" s="58" t="s">
        <v>2351</v>
      </c>
      <c r="T763" s="58" t="s">
        <v>2275</v>
      </c>
    </row>
    <row r="764" spans="1:20" ht="25.95" customHeight="1">
      <c r="A764" s="58" t="s">
        <v>115</v>
      </c>
      <c r="B764" s="58" t="s">
        <v>48</v>
      </c>
      <c r="C764" s="58">
        <v>30</v>
      </c>
      <c r="D764" s="58" t="s">
        <v>361</v>
      </c>
      <c r="E764" s="58" t="s">
        <v>2352</v>
      </c>
      <c r="F764" s="58" t="s">
        <v>274</v>
      </c>
      <c r="G764" s="58"/>
      <c r="H764" s="58"/>
      <c r="I764" s="58" t="s">
        <v>274</v>
      </c>
      <c r="J764" s="58"/>
      <c r="K764" s="58"/>
      <c r="L764" s="58" t="s">
        <v>288</v>
      </c>
      <c r="M764" s="58" t="s">
        <v>2272</v>
      </c>
      <c r="N764" s="58"/>
      <c r="O764" s="58" t="s">
        <v>363</v>
      </c>
      <c r="P764" s="58" t="s">
        <v>119</v>
      </c>
      <c r="Q764" s="58"/>
      <c r="R764" s="58" t="s">
        <v>2353</v>
      </c>
      <c r="S764" s="58" t="s">
        <v>2354</v>
      </c>
      <c r="T764" s="58" t="s">
        <v>2275</v>
      </c>
    </row>
    <row r="765" spans="1:20" ht="25.95" customHeight="1">
      <c r="A765" s="58" t="s">
        <v>115</v>
      </c>
      <c r="B765" s="58" t="s">
        <v>48</v>
      </c>
      <c r="C765" s="58">
        <v>31</v>
      </c>
      <c r="D765" s="58" t="s">
        <v>479</v>
      </c>
      <c r="E765" s="58" t="s">
        <v>2349</v>
      </c>
      <c r="F765" s="58" t="s">
        <v>274</v>
      </c>
      <c r="G765" s="58"/>
      <c r="H765" s="58"/>
      <c r="I765" s="58" t="s">
        <v>273</v>
      </c>
      <c r="J765" s="58"/>
      <c r="K765" s="58"/>
      <c r="L765" s="58" t="s">
        <v>288</v>
      </c>
      <c r="M765" s="58" t="s">
        <v>2272</v>
      </c>
      <c r="N765" s="58"/>
      <c r="O765" s="58" t="s">
        <v>480</v>
      </c>
      <c r="P765" s="58" t="s">
        <v>119</v>
      </c>
      <c r="Q765" s="58"/>
      <c r="R765" s="58" t="s">
        <v>2355</v>
      </c>
      <c r="S765" s="58" t="s">
        <v>2356</v>
      </c>
      <c r="T765" s="58" t="s">
        <v>2275</v>
      </c>
    </row>
    <row r="766" spans="1:20" ht="25.95" customHeight="1">
      <c r="A766" s="58" t="s">
        <v>115</v>
      </c>
      <c r="B766" s="58" t="s">
        <v>48</v>
      </c>
      <c r="C766" s="58">
        <v>32</v>
      </c>
      <c r="D766" s="58" t="s">
        <v>361</v>
      </c>
      <c r="E766" s="58" t="s">
        <v>2357</v>
      </c>
      <c r="F766" s="58" t="s">
        <v>274</v>
      </c>
      <c r="G766" s="58"/>
      <c r="H766" s="58"/>
      <c r="I766" s="58" t="s">
        <v>274</v>
      </c>
      <c r="J766" s="58"/>
      <c r="K766" s="58"/>
      <c r="L766" s="58" t="s">
        <v>288</v>
      </c>
      <c r="M766" s="58" t="s">
        <v>2272</v>
      </c>
      <c r="N766" s="58"/>
      <c r="O766" s="58" t="s">
        <v>363</v>
      </c>
      <c r="P766" s="58" t="s">
        <v>119</v>
      </c>
      <c r="Q766" s="58"/>
      <c r="R766" s="58" t="s">
        <v>2358</v>
      </c>
      <c r="S766" s="58" t="s">
        <v>2359</v>
      </c>
      <c r="T766" s="58" t="s">
        <v>2275</v>
      </c>
    </row>
    <row r="767" spans="1:20" ht="25.95" customHeight="1">
      <c r="A767" s="58" t="s">
        <v>115</v>
      </c>
      <c r="B767" s="58" t="s">
        <v>48</v>
      </c>
      <c r="C767" s="58">
        <v>33</v>
      </c>
      <c r="D767" s="58" t="s">
        <v>333</v>
      </c>
      <c r="E767" s="58" t="s">
        <v>2360</v>
      </c>
      <c r="F767" s="58" t="s">
        <v>274</v>
      </c>
      <c r="G767" s="58"/>
      <c r="H767" s="58"/>
      <c r="I767" s="58" t="s">
        <v>274</v>
      </c>
      <c r="J767" s="58"/>
      <c r="K767" s="58"/>
      <c r="L767" s="58" t="s">
        <v>288</v>
      </c>
      <c r="M767" s="58" t="s">
        <v>2272</v>
      </c>
      <c r="N767" s="58"/>
      <c r="O767" s="58" t="s">
        <v>335</v>
      </c>
      <c r="P767" s="58" t="s">
        <v>119</v>
      </c>
      <c r="Q767" s="58"/>
      <c r="R767" s="58" t="s">
        <v>2361</v>
      </c>
      <c r="S767" s="58" t="s">
        <v>2362</v>
      </c>
      <c r="T767" s="58" t="s">
        <v>2275</v>
      </c>
    </row>
    <row r="768" spans="1:20" ht="25.95" customHeight="1">
      <c r="A768" s="58" t="s">
        <v>115</v>
      </c>
      <c r="B768" s="58" t="s">
        <v>48</v>
      </c>
      <c r="C768" s="58">
        <v>34</v>
      </c>
      <c r="D768" s="58" t="s">
        <v>333</v>
      </c>
      <c r="E768" s="58" t="s">
        <v>2363</v>
      </c>
      <c r="F768" s="58" t="s">
        <v>274</v>
      </c>
      <c r="G768" s="58"/>
      <c r="H768" s="58"/>
      <c r="I768" s="58" t="s">
        <v>274</v>
      </c>
      <c r="J768" s="58"/>
      <c r="K768" s="58"/>
      <c r="L768" s="58" t="s">
        <v>288</v>
      </c>
      <c r="M768" s="58" t="s">
        <v>2272</v>
      </c>
      <c r="N768" s="58"/>
      <c r="O768" s="58" t="s">
        <v>335</v>
      </c>
      <c r="P768" s="58" t="s">
        <v>119</v>
      </c>
      <c r="Q768" s="58"/>
      <c r="R768" s="58" t="s">
        <v>2364</v>
      </c>
      <c r="S768" s="58" t="s">
        <v>2365</v>
      </c>
      <c r="T768" s="58" t="s">
        <v>2275</v>
      </c>
    </row>
    <row r="769" spans="1:20" ht="25.95" customHeight="1">
      <c r="A769" s="58" t="s">
        <v>115</v>
      </c>
      <c r="B769" s="58" t="s">
        <v>48</v>
      </c>
      <c r="C769" s="58">
        <v>35</v>
      </c>
      <c r="D769" s="58" t="s">
        <v>333</v>
      </c>
      <c r="E769" s="58" t="s">
        <v>2366</v>
      </c>
      <c r="F769" s="58" t="s">
        <v>274</v>
      </c>
      <c r="G769" s="58"/>
      <c r="H769" s="58"/>
      <c r="I769" s="58" t="s">
        <v>274</v>
      </c>
      <c r="J769" s="58"/>
      <c r="K769" s="58"/>
      <c r="L769" s="58" t="s">
        <v>288</v>
      </c>
      <c r="M769" s="58" t="s">
        <v>2272</v>
      </c>
      <c r="N769" s="58"/>
      <c r="O769" s="58" t="s">
        <v>335</v>
      </c>
      <c r="P769" s="58" t="s">
        <v>119</v>
      </c>
      <c r="Q769" s="58"/>
      <c r="R769" s="58" t="s">
        <v>2367</v>
      </c>
      <c r="S769" s="58" t="s">
        <v>2368</v>
      </c>
      <c r="T769" s="58" t="s">
        <v>2275</v>
      </c>
    </row>
    <row r="770" spans="1:20" ht="25.95" customHeight="1">
      <c r="A770" s="58" t="s">
        <v>115</v>
      </c>
      <c r="B770" s="58" t="s">
        <v>48</v>
      </c>
      <c r="C770" s="58">
        <v>36</v>
      </c>
      <c r="D770" s="58" t="s">
        <v>333</v>
      </c>
      <c r="E770" s="58" t="s">
        <v>2369</v>
      </c>
      <c r="F770" s="58" t="s">
        <v>274</v>
      </c>
      <c r="G770" s="58"/>
      <c r="H770" s="58"/>
      <c r="I770" s="58" t="s">
        <v>274</v>
      </c>
      <c r="J770" s="58"/>
      <c r="K770" s="58"/>
      <c r="L770" s="58" t="s">
        <v>288</v>
      </c>
      <c r="M770" s="58" t="s">
        <v>2272</v>
      </c>
      <c r="N770" s="58"/>
      <c r="O770" s="58" t="s">
        <v>335</v>
      </c>
      <c r="P770" s="58" t="s">
        <v>119</v>
      </c>
      <c r="Q770" s="58"/>
      <c r="R770" s="58" t="s">
        <v>2370</v>
      </c>
      <c r="S770" s="58" t="s">
        <v>2371</v>
      </c>
      <c r="T770" s="58" t="s">
        <v>2275</v>
      </c>
    </row>
    <row r="771" spans="1:20" ht="31.2">
      <c r="A771" s="58" t="s">
        <v>115</v>
      </c>
      <c r="B771" s="58" t="s">
        <v>48</v>
      </c>
      <c r="C771" s="58">
        <v>37</v>
      </c>
      <c r="D771" s="58" t="s">
        <v>333</v>
      </c>
      <c r="E771" s="58" t="s">
        <v>2372</v>
      </c>
      <c r="F771" s="58" t="s">
        <v>274</v>
      </c>
      <c r="G771" s="58"/>
      <c r="H771" s="58"/>
      <c r="I771" s="58" t="s">
        <v>274</v>
      </c>
      <c r="J771" s="58"/>
      <c r="K771" s="58"/>
      <c r="L771" s="58" t="s">
        <v>288</v>
      </c>
      <c r="M771" s="58" t="s">
        <v>2272</v>
      </c>
      <c r="N771" s="58"/>
      <c r="O771" s="58" t="s">
        <v>335</v>
      </c>
      <c r="P771" s="58" t="s">
        <v>119</v>
      </c>
      <c r="Q771" s="58"/>
      <c r="R771" s="58" t="s">
        <v>2373</v>
      </c>
      <c r="S771" s="58" t="s">
        <v>2374</v>
      </c>
      <c r="T771" s="58" t="s">
        <v>2275</v>
      </c>
    </row>
    <row r="772" spans="1:20" ht="25.95" customHeight="1">
      <c r="A772" s="58" t="s">
        <v>115</v>
      </c>
      <c r="B772" s="58" t="s">
        <v>48</v>
      </c>
      <c r="C772" s="58">
        <v>38</v>
      </c>
      <c r="D772" s="58" t="s">
        <v>333</v>
      </c>
      <c r="E772" s="58" t="s">
        <v>2375</v>
      </c>
      <c r="F772" s="58" t="s">
        <v>274</v>
      </c>
      <c r="G772" s="58"/>
      <c r="H772" s="58"/>
      <c r="I772" s="58" t="s">
        <v>274</v>
      </c>
      <c r="J772" s="58"/>
      <c r="K772" s="58"/>
      <c r="L772" s="58" t="s">
        <v>288</v>
      </c>
      <c r="M772" s="58" t="s">
        <v>2272</v>
      </c>
      <c r="N772" s="58"/>
      <c r="O772" s="58" t="s">
        <v>335</v>
      </c>
      <c r="P772" s="58" t="s">
        <v>119</v>
      </c>
      <c r="Q772" s="58"/>
      <c r="R772" s="58" t="s">
        <v>2376</v>
      </c>
      <c r="S772" s="58" t="s">
        <v>2377</v>
      </c>
      <c r="T772" s="58" t="s">
        <v>2275</v>
      </c>
    </row>
    <row r="773" spans="1:20" ht="25.95" customHeight="1">
      <c r="A773" s="58" t="s">
        <v>115</v>
      </c>
      <c r="B773" s="58" t="s">
        <v>48</v>
      </c>
      <c r="C773" s="58">
        <v>39</v>
      </c>
      <c r="D773" s="58" t="s">
        <v>479</v>
      </c>
      <c r="E773" s="58" t="s">
        <v>2349</v>
      </c>
      <c r="F773" s="58" t="s">
        <v>274</v>
      </c>
      <c r="G773" s="58"/>
      <c r="H773" s="58"/>
      <c r="I773" s="58" t="s">
        <v>273</v>
      </c>
      <c r="J773" s="58"/>
      <c r="K773" s="58"/>
      <c r="L773" s="58" t="s">
        <v>288</v>
      </c>
      <c r="M773" s="58" t="s">
        <v>2272</v>
      </c>
      <c r="N773" s="58"/>
      <c r="O773" s="58" t="s">
        <v>480</v>
      </c>
      <c r="P773" s="58" t="s">
        <v>119</v>
      </c>
      <c r="Q773" s="58"/>
      <c r="R773" s="58" t="s">
        <v>2378</v>
      </c>
      <c r="S773" s="58" t="s">
        <v>2379</v>
      </c>
      <c r="T773" s="58" t="s">
        <v>2275</v>
      </c>
    </row>
    <row r="774" spans="1:20" ht="25.95" customHeight="1">
      <c r="A774" s="58" t="s">
        <v>115</v>
      </c>
      <c r="B774" s="58" t="s">
        <v>48</v>
      </c>
      <c r="C774" s="58">
        <v>40</v>
      </c>
      <c r="D774" s="58" t="s">
        <v>361</v>
      </c>
      <c r="E774" s="58" t="s">
        <v>2380</v>
      </c>
      <c r="F774" s="58" t="s">
        <v>274</v>
      </c>
      <c r="G774" s="58"/>
      <c r="H774" s="58"/>
      <c r="I774" s="58" t="s">
        <v>274</v>
      </c>
      <c r="J774" s="58"/>
      <c r="K774" s="58"/>
      <c r="L774" s="58" t="s">
        <v>288</v>
      </c>
      <c r="M774" s="58" t="s">
        <v>2272</v>
      </c>
      <c r="N774" s="58"/>
      <c r="O774" s="58" t="s">
        <v>363</v>
      </c>
      <c r="P774" s="58" t="s">
        <v>119</v>
      </c>
      <c r="Q774" s="58"/>
      <c r="R774" s="58" t="s">
        <v>2381</v>
      </c>
      <c r="S774" s="58" t="s">
        <v>2382</v>
      </c>
      <c r="T774" s="58" t="s">
        <v>2275</v>
      </c>
    </row>
    <row r="775" spans="1:20" ht="25.95" customHeight="1">
      <c r="A775" s="58" t="s">
        <v>115</v>
      </c>
      <c r="B775" s="58" t="s">
        <v>48</v>
      </c>
      <c r="C775" s="58">
        <v>41</v>
      </c>
      <c r="D775" s="58" t="s">
        <v>378</v>
      </c>
      <c r="E775" s="58" t="s">
        <v>2383</v>
      </c>
      <c r="F775" s="58" t="s">
        <v>274</v>
      </c>
      <c r="G775" s="58"/>
      <c r="H775" s="58"/>
      <c r="I775" s="58" t="s">
        <v>274</v>
      </c>
      <c r="J775" s="58"/>
      <c r="K775" s="58"/>
      <c r="L775" s="58" t="s">
        <v>288</v>
      </c>
      <c r="M775" s="58" t="s">
        <v>2272</v>
      </c>
      <c r="N775" s="58"/>
      <c r="O775" s="58" t="s">
        <v>380</v>
      </c>
      <c r="P775" s="58" t="s">
        <v>119</v>
      </c>
      <c r="Q775" s="58"/>
      <c r="R775" s="58" t="s">
        <v>2384</v>
      </c>
      <c r="S775" s="58" t="s">
        <v>2385</v>
      </c>
      <c r="T775" s="58" t="s">
        <v>2275</v>
      </c>
    </row>
    <row r="776" spans="1:20" ht="25.95" customHeight="1">
      <c r="A776" s="58" t="s">
        <v>115</v>
      </c>
      <c r="B776" s="58" t="s">
        <v>48</v>
      </c>
      <c r="C776" s="58">
        <v>42</v>
      </c>
      <c r="D776" s="58" t="s">
        <v>378</v>
      </c>
      <c r="E776" s="58" t="s">
        <v>2383</v>
      </c>
      <c r="F776" s="58" t="s">
        <v>274</v>
      </c>
      <c r="G776" s="58"/>
      <c r="H776" s="58"/>
      <c r="I776" s="58" t="s">
        <v>274</v>
      </c>
      <c r="J776" s="58"/>
      <c r="K776" s="58"/>
      <c r="L776" s="58" t="s">
        <v>288</v>
      </c>
      <c r="M776" s="58" t="s">
        <v>2272</v>
      </c>
      <c r="N776" s="58"/>
      <c r="O776" s="58" t="s">
        <v>380</v>
      </c>
      <c r="P776" s="58" t="s">
        <v>119</v>
      </c>
      <c r="Q776" s="58"/>
      <c r="R776" s="58" t="s">
        <v>2386</v>
      </c>
      <c r="S776" s="58" t="s">
        <v>2387</v>
      </c>
      <c r="T776" s="58" t="s">
        <v>2275</v>
      </c>
    </row>
    <row r="777" spans="1:20" ht="25.95" customHeight="1">
      <c r="A777" s="58" t="s">
        <v>115</v>
      </c>
      <c r="B777" s="58" t="s">
        <v>48</v>
      </c>
      <c r="C777" s="58">
        <v>43</v>
      </c>
      <c r="D777" s="58" t="s">
        <v>378</v>
      </c>
      <c r="E777" s="58" t="s">
        <v>2383</v>
      </c>
      <c r="F777" s="58" t="s">
        <v>274</v>
      </c>
      <c r="G777" s="58"/>
      <c r="H777" s="58"/>
      <c r="I777" s="58" t="s">
        <v>274</v>
      </c>
      <c r="J777" s="58"/>
      <c r="K777" s="58"/>
      <c r="L777" s="58" t="s">
        <v>288</v>
      </c>
      <c r="M777" s="58" t="s">
        <v>2272</v>
      </c>
      <c r="N777" s="58"/>
      <c r="O777" s="58" t="s">
        <v>380</v>
      </c>
      <c r="P777" s="58" t="s">
        <v>119</v>
      </c>
      <c r="Q777" s="58"/>
      <c r="R777" s="58" t="s">
        <v>2388</v>
      </c>
      <c r="S777" s="58" t="s">
        <v>2389</v>
      </c>
      <c r="T777" s="58" t="s">
        <v>2275</v>
      </c>
    </row>
    <row r="778" spans="1:20" ht="25.95" customHeight="1">
      <c r="A778" s="58" t="s">
        <v>115</v>
      </c>
      <c r="B778" s="58" t="s">
        <v>48</v>
      </c>
      <c r="C778" s="58">
        <v>44</v>
      </c>
      <c r="D778" s="58" t="s">
        <v>378</v>
      </c>
      <c r="E778" s="58" t="s">
        <v>2383</v>
      </c>
      <c r="F778" s="58" t="s">
        <v>274</v>
      </c>
      <c r="G778" s="58"/>
      <c r="H778" s="58"/>
      <c r="I778" s="58" t="s">
        <v>274</v>
      </c>
      <c r="J778" s="58"/>
      <c r="K778" s="58"/>
      <c r="L778" s="58" t="s">
        <v>288</v>
      </c>
      <c r="M778" s="58" t="s">
        <v>2272</v>
      </c>
      <c r="N778" s="58"/>
      <c r="O778" s="58" t="s">
        <v>380</v>
      </c>
      <c r="P778" s="58" t="s">
        <v>119</v>
      </c>
      <c r="Q778" s="58"/>
      <c r="R778" s="58" t="s">
        <v>2390</v>
      </c>
      <c r="S778" s="58" t="s">
        <v>2391</v>
      </c>
      <c r="T778" s="58" t="s">
        <v>2275</v>
      </c>
    </row>
    <row r="779" spans="1:20" ht="25.95" customHeight="1">
      <c r="A779" s="58" t="s">
        <v>115</v>
      </c>
      <c r="B779" s="58" t="s">
        <v>48</v>
      </c>
      <c r="C779" s="58">
        <v>45</v>
      </c>
      <c r="D779" s="58" t="s">
        <v>378</v>
      </c>
      <c r="E779" s="58" t="s">
        <v>2383</v>
      </c>
      <c r="F779" s="58" t="s">
        <v>274</v>
      </c>
      <c r="G779" s="58"/>
      <c r="H779" s="58"/>
      <c r="I779" s="58" t="s">
        <v>274</v>
      </c>
      <c r="J779" s="58"/>
      <c r="K779" s="58"/>
      <c r="L779" s="58" t="s">
        <v>288</v>
      </c>
      <c r="M779" s="58" t="s">
        <v>2272</v>
      </c>
      <c r="N779" s="58"/>
      <c r="O779" s="58" t="s">
        <v>380</v>
      </c>
      <c r="P779" s="58" t="s">
        <v>119</v>
      </c>
      <c r="Q779" s="58"/>
      <c r="R779" s="58" t="s">
        <v>2392</v>
      </c>
      <c r="S779" s="58" t="s">
        <v>2393</v>
      </c>
      <c r="T779" s="58" t="s">
        <v>2275</v>
      </c>
    </row>
    <row r="780" spans="1:20" ht="25.95" customHeight="1">
      <c r="A780" s="58" t="s">
        <v>115</v>
      </c>
      <c r="B780" s="58" t="s">
        <v>48</v>
      </c>
      <c r="C780" s="58">
        <v>46</v>
      </c>
      <c r="D780" s="58" t="s">
        <v>333</v>
      </c>
      <c r="E780" s="58" t="s">
        <v>2394</v>
      </c>
      <c r="F780" s="58" t="s">
        <v>274</v>
      </c>
      <c r="G780" s="58"/>
      <c r="H780" s="58"/>
      <c r="I780" s="58" t="s">
        <v>274</v>
      </c>
      <c r="J780" s="58"/>
      <c r="K780" s="58"/>
      <c r="L780" s="58" t="s">
        <v>288</v>
      </c>
      <c r="M780" s="58" t="s">
        <v>2272</v>
      </c>
      <c r="N780" s="58"/>
      <c r="O780" s="58" t="s">
        <v>335</v>
      </c>
      <c r="P780" s="58" t="s">
        <v>119</v>
      </c>
      <c r="Q780" s="58"/>
      <c r="R780" s="58" t="s">
        <v>2395</v>
      </c>
      <c r="S780" s="58" t="s">
        <v>2396</v>
      </c>
      <c r="T780" s="58" t="s">
        <v>2275</v>
      </c>
    </row>
    <row r="781" spans="1:20" ht="25.95" customHeight="1">
      <c r="A781" s="58" t="s">
        <v>115</v>
      </c>
      <c r="B781" s="58" t="s">
        <v>48</v>
      </c>
      <c r="C781" s="58">
        <v>47</v>
      </c>
      <c r="D781" s="58" t="s">
        <v>479</v>
      </c>
      <c r="E781" s="58" t="s">
        <v>2394</v>
      </c>
      <c r="F781" s="58" t="s">
        <v>274</v>
      </c>
      <c r="G781" s="58"/>
      <c r="H781" s="58"/>
      <c r="I781" s="58" t="s">
        <v>273</v>
      </c>
      <c r="J781" s="58"/>
      <c r="K781" s="58"/>
      <c r="L781" s="58" t="s">
        <v>288</v>
      </c>
      <c r="M781" s="58" t="s">
        <v>2272</v>
      </c>
      <c r="N781" s="58"/>
      <c r="O781" s="58" t="s">
        <v>480</v>
      </c>
      <c r="P781" s="58" t="s">
        <v>119</v>
      </c>
      <c r="Q781" s="58"/>
      <c r="R781" s="58" t="s">
        <v>2397</v>
      </c>
      <c r="S781" s="58" t="s">
        <v>2398</v>
      </c>
      <c r="T781" s="58" t="s">
        <v>2275</v>
      </c>
    </row>
    <row r="782" spans="1:20" ht="25.95" customHeight="1">
      <c r="A782" s="58" t="s">
        <v>115</v>
      </c>
      <c r="B782" s="58" t="s">
        <v>48</v>
      </c>
      <c r="C782" s="58">
        <v>48</v>
      </c>
      <c r="D782" s="58" t="s">
        <v>333</v>
      </c>
      <c r="E782" s="58" t="s">
        <v>2399</v>
      </c>
      <c r="F782" s="58" t="s">
        <v>274</v>
      </c>
      <c r="G782" s="58"/>
      <c r="H782" s="58"/>
      <c r="I782" s="58" t="s">
        <v>274</v>
      </c>
      <c r="J782" s="58"/>
      <c r="K782" s="58"/>
      <c r="L782" s="58" t="s">
        <v>288</v>
      </c>
      <c r="M782" s="58" t="s">
        <v>2272</v>
      </c>
      <c r="N782" s="58"/>
      <c r="O782" s="58" t="s">
        <v>335</v>
      </c>
      <c r="P782" s="58" t="s">
        <v>119</v>
      </c>
      <c r="Q782" s="58"/>
      <c r="R782" s="58" t="s">
        <v>2400</v>
      </c>
      <c r="S782" s="58" t="s">
        <v>2401</v>
      </c>
      <c r="T782" s="58" t="s">
        <v>2275</v>
      </c>
    </row>
    <row r="783" spans="1:20" ht="25.95" customHeight="1">
      <c r="A783" s="58" t="s">
        <v>115</v>
      </c>
      <c r="B783" s="58" t="s">
        <v>48</v>
      </c>
      <c r="C783" s="58">
        <v>49</v>
      </c>
      <c r="D783" s="58" t="s">
        <v>479</v>
      </c>
      <c r="E783" s="58" t="s">
        <v>2399</v>
      </c>
      <c r="F783" s="58" t="s">
        <v>274</v>
      </c>
      <c r="G783" s="58"/>
      <c r="H783" s="58"/>
      <c r="I783" s="58" t="s">
        <v>273</v>
      </c>
      <c r="J783" s="58"/>
      <c r="K783" s="58"/>
      <c r="L783" s="58" t="s">
        <v>288</v>
      </c>
      <c r="M783" s="58" t="s">
        <v>2272</v>
      </c>
      <c r="N783" s="58"/>
      <c r="O783" s="58" t="s">
        <v>480</v>
      </c>
      <c r="P783" s="58" t="s">
        <v>119</v>
      </c>
      <c r="Q783" s="58"/>
      <c r="R783" s="58" t="s">
        <v>2402</v>
      </c>
      <c r="S783" s="58" t="s">
        <v>2403</v>
      </c>
      <c r="T783" s="58" t="s">
        <v>2275</v>
      </c>
    </row>
    <row r="784" spans="1:20" ht="25.95" customHeight="1">
      <c r="A784" s="58" t="s">
        <v>115</v>
      </c>
      <c r="B784" s="58" t="s">
        <v>48</v>
      </c>
      <c r="C784" s="58">
        <v>50</v>
      </c>
      <c r="D784" s="58" t="s">
        <v>333</v>
      </c>
      <c r="E784" s="58" t="s">
        <v>2404</v>
      </c>
      <c r="F784" s="58" t="s">
        <v>274</v>
      </c>
      <c r="G784" s="58"/>
      <c r="H784" s="58"/>
      <c r="I784" s="58" t="s">
        <v>274</v>
      </c>
      <c r="J784" s="58"/>
      <c r="K784" s="58"/>
      <c r="L784" s="58" t="s">
        <v>288</v>
      </c>
      <c r="M784" s="58" t="s">
        <v>2272</v>
      </c>
      <c r="N784" s="58"/>
      <c r="O784" s="58" t="s">
        <v>335</v>
      </c>
      <c r="P784" s="58" t="s">
        <v>119</v>
      </c>
      <c r="Q784" s="58"/>
      <c r="R784" s="58" t="s">
        <v>2405</v>
      </c>
      <c r="S784" s="58" t="s">
        <v>2406</v>
      </c>
      <c r="T784" s="58" t="s">
        <v>2275</v>
      </c>
    </row>
    <row r="785" spans="1:20" ht="25.95" customHeight="1">
      <c r="A785" s="58" t="s">
        <v>115</v>
      </c>
      <c r="B785" s="58" t="s">
        <v>48</v>
      </c>
      <c r="C785" s="58">
        <v>51</v>
      </c>
      <c r="D785" s="58" t="s">
        <v>333</v>
      </c>
      <c r="E785" s="58" t="s">
        <v>2407</v>
      </c>
      <c r="F785" s="58" t="s">
        <v>274</v>
      </c>
      <c r="G785" s="58"/>
      <c r="H785" s="58"/>
      <c r="I785" s="58" t="s">
        <v>274</v>
      </c>
      <c r="J785" s="58"/>
      <c r="K785" s="58"/>
      <c r="L785" s="58" t="s">
        <v>288</v>
      </c>
      <c r="M785" s="58" t="s">
        <v>2272</v>
      </c>
      <c r="N785" s="58"/>
      <c r="O785" s="58" t="s">
        <v>335</v>
      </c>
      <c r="P785" s="58" t="s">
        <v>119</v>
      </c>
      <c r="Q785" s="58"/>
      <c r="R785" s="58" t="s">
        <v>2408</v>
      </c>
      <c r="S785" s="58" t="s">
        <v>2409</v>
      </c>
      <c r="T785" s="58" t="s">
        <v>2275</v>
      </c>
    </row>
    <row r="786" spans="1:20" ht="25.95" customHeight="1">
      <c r="A786" s="58" t="s">
        <v>115</v>
      </c>
      <c r="B786" s="58" t="s">
        <v>48</v>
      </c>
      <c r="C786" s="58">
        <v>52</v>
      </c>
      <c r="D786" s="58" t="s">
        <v>338</v>
      </c>
      <c r="E786" s="58" t="s">
        <v>2383</v>
      </c>
      <c r="F786" s="58" t="s">
        <v>274</v>
      </c>
      <c r="G786" s="58"/>
      <c r="H786" s="58"/>
      <c r="I786" s="58" t="s">
        <v>274</v>
      </c>
      <c r="J786" s="58"/>
      <c r="K786" s="58"/>
      <c r="L786" s="58" t="s">
        <v>288</v>
      </c>
      <c r="M786" s="58" t="s">
        <v>2272</v>
      </c>
      <c r="N786" s="58"/>
      <c r="O786" s="58" t="s">
        <v>340</v>
      </c>
      <c r="P786" s="58" t="s">
        <v>119</v>
      </c>
      <c r="Q786" s="58"/>
      <c r="R786" s="58" t="s">
        <v>2410</v>
      </c>
      <c r="S786" s="58" t="s">
        <v>2411</v>
      </c>
      <c r="T786" s="58" t="s">
        <v>2412</v>
      </c>
    </row>
    <row r="787" spans="1:20" ht="25.95" customHeight="1">
      <c r="A787" s="58" t="s">
        <v>115</v>
      </c>
      <c r="B787" s="58" t="s">
        <v>48</v>
      </c>
      <c r="C787" s="58">
        <v>53</v>
      </c>
      <c r="D787" s="58" t="s">
        <v>333</v>
      </c>
      <c r="E787" s="58" t="s">
        <v>2413</v>
      </c>
      <c r="F787" s="58" t="s">
        <v>274</v>
      </c>
      <c r="G787" s="58"/>
      <c r="H787" s="58"/>
      <c r="I787" s="58" t="s">
        <v>274</v>
      </c>
      <c r="J787" s="58"/>
      <c r="K787" s="58"/>
      <c r="L787" s="58" t="s">
        <v>288</v>
      </c>
      <c r="M787" s="58" t="s">
        <v>2272</v>
      </c>
      <c r="N787" s="58"/>
      <c r="O787" s="58" t="s">
        <v>335</v>
      </c>
      <c r="P787" s="58" t="s">
        <v>119</v>
      </c>
      <c r="Q787" s="58"/>
      <c r="R787" s="58" t="s">
        <v>2414</v>
      </c>
      <c r="S787" s="58" t="s">
        <v>2415</v>
      </c>
      <c r="T787" s="58" t="s">
        <v>2412</v>
      </c>
    </row>
    <row r="788" spans="1:20" ht="25.95" customHeight="1">
      <c r="A788" s="58" t="s">
        <v>115</v>
      </c>
      <c r="B788" s="58" t="s">
        <v>48</v>
      </c>
      <c r="C788" s="58">
        <v>54</v>
      </c>
      <c r="D788" s="58" t="s">
        <v>333</v>
      </c>
      <c r="E788" s="58" t="s">
        <v>2416</v>
      </c>
      <c r="F788" s="58" t="s">
        <v>274</v>
      </c>
      <c r="G788" s="58"/>
      <c r="H788" s="58"/>
      <c r="I788" s="58" t="s">
        <v>274</v>
      </c>
      <c r="J788" s="58"/>
      <c r="K788" s="58"/>
      <c r="L788" s="58" t="s">
        <v>288</v>
      </c>
      <c r="M788" s="58" t="s">
        <v>2272</v>
      </c>
      <c r="N788" s="58"/>
      <c r="O788" s="58" t="s">
        <v>335</v>
      </c>
      <c r="P788" s="58" t="s">
        <v>119</v>
      </c>
      <c r="Q788" s="58"/>
      <c r="R788" s="58" t="s">
        <v>2417</v>
      </c>
      <c r="S788" s="58" t="s">
        <v>2418</v>
      </c>
      <c r="T788" s="58" t="s">
        <v>2412</v>
      </c>
    </row>
    <row r="789" spans="1:20" ht="25.95" customHeight="1">
      <c r="A789" s="58" t="s">
        <v>115</v>
      </c>
      <c r="B789" s="58" t="s">
        <v>48</v>
      </c>
      <c r="C789" s="58">
        <v>55</v>
      </c>
      <c r="D789" s="58" t="s">
        <v>333</v>
      </c>
      <c r="E789" s="58" t="s">
        <v>2419</v>
      </c>
      <c r="F789" s="58" t="s">
        <v>274</v>
      </c>
      <c r="G789" s="58"/>
      <c r="H789" s="58"/>
      <c r="I789" s="58" t="s">
        <v>274</v>
      </c>
      <c r="J789" s="58"/>
      <c r="K789" s="58"/>
      <c r="L789" s="58" t="s">
        <v>288</v>
      </c>
      <c r="M789" s="58" t="s">
        <v>2272</v>
      </c>
      <c r="N789" s="58"/>
      <c r="O789" s="58" t="s">
        <v>335</v>
      </c>
      <c r="P789" s="58" t="s">
        <v>119</v>
      </c>
      <c r="Q789" s="58"/>
      <c r="R789" s="58" t="s">
        <v>2420</v>
      </c>
      <c r="S789" s="58" t="s">
        <v>2421</v>
      </c>
      <c r="T789" s="58" t="s">
        <v>2412</v>
      </c>
    </row>
    <row r="790" spans="1:20" ht="25.95" customHeight="1">
      <c r="A790" s="58" t="s">
        <v>115</v>
      </c>
      <c r="B790" s="58" t="s">
        <v>48</v>
      </c>
      <c r="C790" s="58">
        <v>56</v>
      </c>
      <c r="D790" s="58" t="s">
        <v>333</v>
      </c>
      <c r="E790" s="58" t="s">
        <v>2422</v>
      </c>
      <c r="F790" s="58" t="s">
        <v>274</v>
      </c>
      <c r="G790" s="58"/>
      <c r="H790" s="58"/>
      <c r="I790" s="58" t="s">
        <v>274</v>
      </c>
      <c r="J790" s="58"/>
      <c r="K790" s="58"/>
      <c r="L790" s="58" t="s">
        <v>288</v>
      </c>
      <c r="M790" s="58" t="s">
        <v>2272</v>
      </c>
      <c r="N790" s="58"/>
      <c r="O790" s="58" t="s">
        <v>335</v>
      </c>
      <c r="P790" s="58" t="s">
        <v>119</v>
      </c>
      <c r="Q790" s="58"/>
      <c r="R790" s="58" t="s">
        <v>2423</v>
      </c>
      <c r="S790" s="58" t="s">
        <v>2424</v>
      </c>
      <c r="T790" s="58" t="s">
        <v>2412</v>
      </c>
    </row>
    <row r="791" spans="1:20" ht="25.95" customHeight="1">
      <c r="A791" s="58" t="s">
        <v>115</v>
      </c>
      <c r="B791" s="58" t="s">
        <v>48</v>
      </c>
      <c r="C791" s="58">
        <v>57</v>
      </c>
      <c r="D791" s="58" t="s">
        <v>338</v>
      </c>
      <c r="E791" s="58" t="s">
        <v>2383</v>
      </c>
      <c r="F791" s="58" t="s">
        <v>274</v>
      </c>
      <c r="G791" s="58"/>
      <c r="H791" s="58"/>
      <c r="I791" s="58" t="s">
        <v>274</v>
      </c>
      <c r="J791" s="58"/>
      <c r="K791" s="58"/>
      <c r="L791" s="58" t="s">
        <v>288</v>
      </c>
      <c r="M791" s="58" t="s">
        <v>2272</v>
      </c>
      <c r="N791" s="58"/>
      <c r="O791" s="58" t="s">
        <v>340</v>
      </c>
      <c r="P791" s="58" t="s">
        <v>119</v>
      </c>
      <c r="Q791" s="58"/>
      <c r="R791" s="58" t="s">
        <v>2425</v>
      </c>
      <c r="S791" s="58" t="s">
        <v>2426</v>
      </c>
      <c r="T791" s="58" t="s">
        <v>2412</v>
      </c>
    </row>
    <row r="792" spans="1:20" ht="25.95" customHeight="1">
      <c r="A792" s="58" t="s">
        <v>115</v>
      </c>
      <c r="B792" s="58" t="s">
        <v>48</v>
      </c>
      <c r="C792" s="58">
        <v>58</v>
      </c>
      <c r="D792" s="58" t="s">
        <v>333</v>
      </c>
      <c r="E792" s="58" t="s">
        <v>2427</v>
      </c>
      <c r="F792" s="58" t="s">
        <v>274</v>
      </c>
      <c r="G792" s="58"/>
      <c r="H792" s="58"/>
      <c r="I792" s="58" t="s">
        <v>274</v>
      </c>
      <c r="J792" s="58"/>
      <c r="K792" s="58"/>
      <c r="L792" s="58" t="s">
        <v>288</v>
      </c>
      <c r="M792" s="58" t="s">
        <v>2272</v>
      </c>
      <c r="N792" s="58"/>
      <c r="O792" s="58" t="s">
        <v>335</v>
      </c>
      <c r="P792" s="58" t="s">
        <v>119</v>
      </c>
      <c r="Q792" s="58"/>
      <c r="R792" s="58" t="s">
        <v>2428</v>
      </c>
      <c r="S792" s="58" t="s">
        <v>2429</v>
      </c>
      <c r="T792" s="58" t="s">
        <v>2412</v>
      </c>
    </row>
    <row r="793" spans="1:20" ht="25.95" customHeight="1">
      <c r="A793" s="58" t="s">
        <v>115</v>
      </c>
      <c r="B793" s="58" t="s">
        <v>48</v>
      </c>
      <c r="C793" s="58">
        <v>59</v>
      </c>
      <c r="D793" s="58" t="s">
        <v>333</v>
      </c>
      <c r="E793" s="58" t="s">
        <v>2430</v>
      </c>
      <c r="F793" s="58" t="s">
        <v>274</v>
      </c>
      <c r="G793" s="58"/>
      <c r="H793" s="58"/>
      <c r="I793" s="58" t="s">
        <v>274</v>
      </c>
      <c r="J793" s="58"/>
      <c r="K793" s="58"/>
      <c r="L793" s="58" t="s">
        <v>288</v>
      </c>
      <c r="M793" s="58" t="s">
        <v>2272</v>
      </c>
      <c r="N793" s="58"/>
      <c r="O793" s="58" t="s">
        <v>335</v>
      </c>
      <c r="P793" s="58" t="s">
        <v>119</v>
      </c>
      <c r="Q793" s="58"/>
      <c r="R793" s="58" t="s">
        <v>2431</v>
      </c>
      <c r="S793" s="58" t="s">
        <v>2432</v>
      </c>
      <c r="T793" s="58" t="s">
        <v>2412</v>
      </c>
    </row>
    <row r="794" spans="1:20" ht="25.95" customHeight="1">
      <c r="A794" s="58" t="s">
        <v>115</v>
      </c>
      <c r="B794" s="58" t="s">
        <v>48</v>
      </c>
      <c r="C794" s="58">
        <v>60</v>
      </c>
      <c r="D794" s="58" t="s">
        <v>333</v>
      </c>
      <c r="E794" s="58" t="s">
        <v>2433</v>
      </c>
      <c r="F794" s="58" t="s">
        <v>274</v>
      </c>
      <c r="G794" s="58"/>
      <c r="H794" s="58"/>
      <c r="I794" s="58" t="s">
        <v>274</v>
      </c>
      <c r="J794" s="58"/>
      <c r="K794" s="58"/>
      <c r="L794" s="58" t="s">
        <v>288</v>
      </c>
      <c r="M794" s="58" t="s">
        <v>2272</v>
      </c>
      <c r="N794" s="58"/>
      <c r="O794" s="58" t="s">
        <v>335</v>
      </c>
      <c r="P794" s="58" t="s">
        <v>119</v>
      </c>
      <c r="Q794" s="58"/>
      <c r="R794" s="58" t="s">
        <v>2434</v>
      </c>
      <c r="S794" s="58" t="s">
        <v>2435</v>
      </c>
      <c r="T794" s="58" t="s">
        <v>2412</v>
      </c>
    </row>
    <row r="795" spans="1:20" ht="25.95" customHeight="1">
      <c r="A795" s="58" t="s">
        <v>115</v>
      </c>
      <c r="B795" s="58" t="s">
        <v>48</v>
      </c>
      <c r="C795" s="58">
        <v>61</v>
      </c>
      <c r="D795" s="58" t="s">
        <v>361</v>
      </c>
      <c r="E795" s="58" t="s">
        <v>2436</v>
      </c>
      <c r="F795" s="58" t="s">
        <v>274</v>
      </c>
      <c r="G795" s="58"/>
      <c r="H795" s="58"/>
      <c r="I795" s="58" t="s">
        <v>274</v>
      </c>
      <c r="J795" s="58"/>
      <c r="K795" s="58"/>
      <c r="L795" s="58" t="s">
        <v>288</v>
      </c>
      <c r="M795" s="58" t="s">
        <v>2272</v>
      </c>
      <c r="N795" s="58"/>
      <c r="O795" s="58" t="s">
        <v>363</v>
      </c>
      <c r="P795" s="58" t="s">
        <v>119</v>
      </c>
      <c r="Q795" s="58"/>
      <c r="R795" s="58" t="s">
        <v>2437</v>
      </c>
      <c r="S795" s="58" t="s">
        <v>2438</v>
      </c>
      <c r="T795" s="58" t="s">
        <v>2412</v>
      </c>
    </row>
    <row r="796" spans="1:20" ht="25.95" customHeight="1">
      <c r="A796" s="58" t="s">
        <v>115</v>
      </c>
      <c r="B796" s="58" t="s">
        <v>48</v>
      </c>
      <c r="C796" s="58">
        <v>62</v>
      </c>
      <c r="D796" s="58" t="s">
        <v>333</v>
      </c>
      <c r="E796" s="58" t="s">
        <v>2439</v>
      </c>
      <c r="F796" s="58" t="s">
        <v>274</v>
      </c>
      <c r="G796" s="58"/>
      <c r="H796" s="58"/>
      <c r="I796" s="58" t="s">
        <v>274</v>
      </c>
      <c r="J796" s="58"/>
      <c r="K796" s="58"/>
      <c r="L796" s="58" t="s">
        <v>288</v>
      </c>
      <c r="M796" s="58" t="s">
        <v>2272</v>
      </c>
      <c r="N796" s="58"/>
      <c r="O796" s="58" t="s">
        <v>335</v>
      </c>
      <c r="P796" s="58" t="s">
        <v>119</v>
      </c>
      <c r="Q796" s="58"/>
      <c r="R796" s="58" t="s">
        <v>2440</v>
      </c>
      <c r="S796" s="58" t="s">
        <v>2441</v>
      </c>
      <c r="T796" s="58" t="s">
        <v>2412</v>
      </c>
    </row>
    <row r="797" spans="1:20" ht="25.95" customHeight="1">
      <c r="A797" s="58" t="s">
        <v>115</v>
      </c>
      <c r="B797" s="58" t="s">
        <v>48</v>
      </c>
      <c r="C797" s="58">
        <v>63</v>
      </c>
      <c r="D797" s="58" t="s">
        <v>333</v>
      </c>
      <c r="E797" s="58" t="s">
        <v>2442</v>
      </c>
      <c r="F797" s="58" t="s">
        <v>274</v>
      </c>
      <c r="G797" s="58"/>
      <c r="H797" s="58"/>
      <c r="I797" s="58" t="s">
        <v>274</v>
      </c>
      <c r="J797" s="58"/>
      <c r="K797" s="58"/>
      <c r="L797" s="58" t="s">
        <v>288</v>
      </c>
      <c r="M797" s="58" t="s">
        <v>2272</v>
      </c>
      <c r="N797" s="58"/>
      <c r="O797" s="58" t="s">
        <v>335</v>
      </c>
      <c r="P797" s="58" t="s">
        <v>119</v>
      </c>
      <c r="Q797" s="58"/>
      <c r="R797" s="58" t="s">
        <v>2443</v>
      </c>
      <c r="S797" s="58" t="s">
        <v>2444</v>
      </c>
      <c r="T797" s="58" t="s">
        <v>2412</v>
      </c>
    </row>
    <row r="798" spans="1:20" ht="25.95" customHeight="1">
      <c r="A798" s="58" t="s">
        <v>115</v>
      </c>
      <c r="B798" s="58" t="s">
        <v>48</v>
      </c>
      <c r="C798" s="58">
        <v>64</v>
      </c>
      <c r="D798" s="58" t="s">
        <v>333</v>
      </c>
      <c r="E798" s="58" t="s">
        <v>2407</v>
      </c>
      <c r="F798" s="58" t="s">
        <v>274</v>
      </c>
      <c r="G798" s="58"/>
      <c r="H798" s="58"/>
      <c r="I798" s="58" t="s">
        <v>274</v>
      </c>
      <c r="J798" s="58"/>
      <c r="K798" s="58"/>
      <c r="L798" s="58" t="s">
        <v>288</v>
      </c>
      <c r="M798" s="58" t="s">
        <v>2272</v>
      </c>
      <c r="N798" s="58"/>
      <c r="O798" s="58" t="s">
        <v>335</v>
      </c>
      <c r="P798" s="58" t="s">
        <v>119</v>
      </c>
      <c r="Q798" s="58"/>
      <c r="R798" s="58" t="s">
        <v>2445</v>
      </c>
      <c r="S798" s="58" t="s">
        <v>2446</v>
      </c>
      <c r="T798" s="58" t="s">
        <v>2412</v>
      </c>
    </row>
    <row r="799" spans="1:20" ht="25.95" customHeight="1">
      <c r="A799" s="58" t="s">
        <v>115</v>
      </c>
      <c r="B799" s="58" t="s">
        <v>48</v>
      </c>
      <c r="C799" s="58">
        <v>65</v>
      </c>
      <c r="D799" s="58" t="s">
        <v>333</v>
      </c>
      <c r="E799" s="58" t="s">
        <v>2447</v>
      </c>
      <c r="F799" s="58" t="s">
        <v>274</v>
      </c>
      <c r="G799" s="58"/>
      <c r="H799" s="58"/>
      <c r="I799" s="58" t="s">
        <v>274</v>
      </c>
      <c r="J799" s="58"/>
      <c r="K799" s="58"/>
      <c r="L799" s="58" t="s">
        <v>288</v>
      </c>
      <c r="M799" s="58" t="s">
        <v>2272</v>
      </c>
      <c r="N799" s="58"/>
      <c r="O799" s="58" t="s">
        <v>335</v>
      </c>
      <c r="P799" s="58" t="s">
        <v>119</v>
      </c>
      <c r="Q799" s="58"/>
      <c r="R799" s="58" t="s">
        <v>2448</v>
      </c>
      <c r="S799" s="58" t="s">
        <v>2449</v>
      </c>
      <c r="T799" s="58" t="s">
        <v>2412</v>
      </c>
    </row>
    <row r="800" spans="1:20" ht="25.95" customHeight="1">
      <c r="A800" s="58" t="s">
        <v>115</v>
      </c>
      <c r="B800" s="58" t="s">
        <v>48</v>
      </c>
      <c r="C800" s="58">
        <v>66</v>
      </c>
      <c r="D800" s="58" t="s">
        <v>333</v>
      </c>
      <c r="E800" s="58" t="s">
        <v>2349</v>
      </c>
      <c r="F800" s="58" t="s">
        <v>274</v>
      </c>
      <c r="G800" s="58"/>
      <c r="H800" s="58"/>
      <c r="I800" s="58" t="s">
        <v>274</v>
      </c>
      <c r="J800" s="58"/>
      <c r="K800" s="58"/>
      <c r="L800" s="58" t="s">
        <v>288</v>
      </c>
      <c r="M800" s="58" t="s">
        <v>2272</v>
      </c>
      <c r="N800" s="58"/>
      <c r="O800" s="58" t="s">
        <v>335</v>
      </c>
      <c r="P800" s="58" t="s">
        <v>119</v>
      </c>
      <c r="Q800" s="58"/>
      <c r="R800" s="58" t="s">
        <v>2450</v>
      </c>
      <c r="S800" s="58" t="s">
        <v>2451</v>
      </c>
      <c r="T800" s="58" t="s">
        <v>2412</v>
      </c>
    </row>
    <row r="801" spans="1:20" ht="25.95" customHeight="1">
      <c r="A801" s="58" t="s">
        <v>115</v>
      </c>
      <c r="B801" s="58" t="s">
        <v>48</v>
      </c>
      <c r="C801" s="58">
        <v>67</v>
      </c>
      <c r="D801" s="58" t="s">
        <v>333</v>
      </c>
      <c r="E801" s="58" t="s">
        <v>2452</v>
      </c>
      <c r="F801" s="58" t="s">
        <v>274</v>
      </c>
      <c r="G801" s="58"/>
      <c r="H801" s="58"/>
      <c r="I801" s="58" t="s">
        <v>274</v>
      </c>
      <c r="J801" s="58"/>
      <c r="K801" s="58"/>
      <c r="L801" s="58" t="s">
        <v>288</v>
      </c>
      <c r="M801" s="58" t="s">
        <v>2272</v>
      </c>
      <c r="N801" s="58"/>
      <c r="O801" s="58" t="s">
        <v>335</v>
      </c>
      <c r="P801" s="58" t="s">
        <v>119</v>
      </c>
      <c r="Q801" s="58"/>
      <c r="R801" s="58" t="s">
        <v>2453</v>
      </c>
      <c r="S801" s="58" t="s">
        <v>2454</v>
      </c>
      <c r="T801" s="58" t="s">
        <v>2412</v>
      </c>
    </row>
    <row r="802" spans="1:20" ht="25.95" customHeight="1">
      <c r="A802" s="58" t="s">
        <v>115</v>
      </c>
      <c r="B802" s="58" t="s">
        <v>48</v>
      </c>
      <c r="C802" s="58">
        <v>68</v>
      </c>
      <c r="D802" s="58" t="s">
        <v>333</v>
      </c>
      <c r="E802" s="58" t="s">
        <v>2394</v>
      </c>
      <c r="F802" s="58" t="s">
        <v>274</v>
      </c>
      <c r="G802" s="58"/>
      <c r="H802" s="58"/>
      <c r="I802" s="58" t="s">
        <v>274</v>
      </c>
      <c r="J802" s="58"/>
      <c r="K802" s="58"/>
      <c r="L802" s="58" t="s">
        <v>288</v>
      </c>
      <c r="M802" s="58" t="s">
        <v>2272</v>
      </c>
      <c r="N802" s="58"/>
      <c r="O802" s="58" t="s">
        <v>335</v>
      </c>
      <c r="P802" s="58" t="s">
        <v>119</v>
      </c>
      <c r="Q802" s="58"/>
      <c r="R802" s="58" t="s">
        <v>2455</v>
      </c>
      <c r="S802" s="58" t="s">
        <v>2456</v>
      </c>
      <c r="T802" s="58" t="s">
        <v>2412</v>
      </c>
    </row>
    <row r="803" spans="1:20" ht="25.95" customHeight="1">
      <c r="A803" s="58" t="s">
        <v>115</v>
      </c>
      <c r="B803" s="58" t="s">
        <v>48</v>
      </c>
      <c r="C803" s="58">
        <v>69</v>
      </c>
      <c r="D803" s="58" t="s">
        <v>333</v>
      </c>
      <c r="E803" s="58" t="s">
        <v>2457</v>
      </c>
      <c r="F803" s="58" t="s">
        <v>274</v>
      </c>
      <c r="G803" s="58"/>
      <c r="H803" s="58"/>
      <c r="I803" s="58" t="s">
        <v>274</v>
      </c>
      <c r="J803" s="58"/>
      <c r="K803" s="58"/>
      <c r="L803" s="58" t="s">
        <v>288</v>
      </c>
      <c r="M803" s="58" t="s">
        <v>2272</v>
      </c>
      <c r="N803" s="58"/>
      <c r="O803" s="58" t="s">
        <v>335</v>
      </c>
      <c r="P803" s="58" t="s">
        <v>119</v>
      </c>
      <c r="Q803" s="58"/>
      <c r="R803" s="58" t="s">
        <v>2458</v>
      </c>
      <c r="S803" s="58" t="s">
        <v>2459</v>
      </c>
      <c r="T803" s="58" t="s">
        <v>2412</v>
      </c>
    </row>
    <row r="804" spans="1:20" ht="25.95" customHeight="1">
      <c r="A804" s="58" t="s">
        <v>115</v>
      </c>
      <c r="B804" s="58" t="s">
        <v>48</v>
      </c>
      <c r="C804" s="58">
        <v>70</v>
      </c>
      <c r="D804" s="58" t="s">
        <v>333</v>
      </c>
      <c r="E804" s="58" t="s">
        <v>2349</v>
      </c>
      <c r="F804" s="58" t="s">
        <v>274</v>
      </c>
      <c r="G804" s="58"/>
      <c r="H804" s="58"/>
      <c r="I804" s="58" t="s">
        <v>274</v>
      </c>
      <c r="J804" s="58"/>
      <c r="K804" s="58"/>
      <c r="L804" s="58" t="s">
        <v>288</v>
      </c>
      <c r="M804" s="58" t="s">
        <v>2272</v>
      </c>
      <c r="N804" s="58"/>
      <c r="O804" s="58" t="s">
        <v>335</v>
      </c>
      <c r="P804" s="58" t="s">
        <v>119</v>
      </c>
      <c r="Q804" s="58"/>
      <c r="R804" s="58" t="s">
        <v>2460</v>
      </c>
      <c r="S804" s="58" t="s">
        <v>2461</v>
      </c>
      <c r="T804" s="58" t="s">
        <v>2412</v>
      </c>
    </row>
    <row r="805" spans="1:20" ht="25.95" customHeight="1">
      <c r="A805" s="58" t="s">
        <v>115</v>
      </c>
      <c r="B805" s="58" t="s">
        <v>48</v>
      </c>
      <c r="C805" s="58">
        <v>71</v>
      </c>
      <c r="D805" s="58" t="s">
        <v>333</v>
      </c>
      <c r="E805" s="58" t="s">
        <v>2452</v>
      </c>
      <c r="F805" s="58" t="s">
        <v>274</v>
      </c>
      <c r="G805" s="58"/>
      <c r="H805" s="58"/>
      <c r="I805" s="58" t="s">
        <v>274</v>
      </c>
      <c r="J805" s="58"/>
      <c r="K805" s="58"/>
      <c r="L805" s="58" t="s">
        <v>288</v>
      </c>
      <c r="M805" s="58" t="s">
        <v>2272</v>
      </c>
      <c r="N805" s="58"/>
      <c r="O805" s="58" t="s">
        <v>335</v>
      </c>
      <c r="P805" s="58" t="s">
        <v>119</v>
      </c>
      <c r="Q805" s="58"/>
      <c r="R805" s="58" t="s">
        <v>2462</v>
      </c>
      <c r="S805" s="58" t="s">
        <v>2463</v>
      </c>
      <c r="T805" s="58" t="s">
        <v>2412</v>
      </c>
    </row>
    <row r="806" spans="1:20" ht="25.95" customHeight="1">
      <c r="A806" s="58" t="s">
        <v>115</v>
      </c>
      <c r="B806" s="58" t="s">
        <v>48</v>
      </c>
      <c r="C806" s="58">
        <v>72</v>
      </c>
      <c r="D806" s="58" t="s">
        <v>333</v>
      </c>
      <c r="E806" s="58" t="s">
        <v>2399</v>
      </c>
      <c r="F806" s="58" t="s">
        <v>274</v>
      </c>
      <c r="G806" s="58"/>
      <c r="H806" s="58"/>
      <c r="I806" s="58" t="s">
        <v>274</v>
      </c>
      <c r="J806" s="58"/>
      <c r="K806" s="58"/>
      <c r="L806" s="58" t="s">
        <v>288</v>
      </c>
      <c r="M806" s="58" t="s">
        <v>2272</v>
      </c>
      <c r="N806" s="58"/>
      <c r="O806" s="58" t="s">
        <v>335</v>
      </c>
      <c r="P806" s="58" t="s">
        <v>119</v>
      </c>
      <c r="Q806" s="58"/>
      <c r="R806" s="58" t="s">
        <v>2464</v>
      </c>
      <c r="S806" s="58" t="s">
        <v>2465</v>
      </c>
      <c r="T806" s="58" t="s">
        <v>2412</v>
      </c>
    </row>
    <row r="807" spans="1:20" ht="25.95" customHeight="1">
      <c r="A807" s="58" t="s">
        <v>115</v>
      </c>
      <c r="B807" s="58" t="s">
        <v>48</v>
      </c>
      <c r="C807" s="58">
        <v>73</v>
      </c>
      <c r="D807" s="58" t="s">
        <v>333</v>
      </c>
      <c r="E807" s="58" t="s">
        <v>2375</v>
      </c>
      <c r="F807" s="58" t="s">
        <v>274</v>
      </c>
      <c r="G807" s="58"/>
      <c r="H807" s="58"/>
      <c r="I807" s="58" t="s">
        <v>274</v>
      </c>
      <c r="J807" s="58"/>
      <c r="K807" s="58"/>
      <c r="L807" s="58" t="s">
        <v>288</v>
      </c>
      <c r="M807" s="58" t="s">
        <v>2272</v>
      </c>
      <c r="N807" s="58"/>
      <c r="O807" s="58" t="s">
        <v>335</v>
      </c>
      <c r="P807" s="58" t="s">
        <v>119</v>
      </c>
      <c r="Q807" s="58"/>
      <c r="R807" s="58" t="s">
        <v>2466</v>
      </c>
      <c r="S807" s="58" t="s">
        <v>2467</v>
      </c>
      <c r="T807" s="58" t="s">
        <v>2412</v>
      </c>
    </row>
    <row r="808" spans="1:20" ht="25.95" customHeight="1">
      <c r="A808" s="58" t="s">
        <v>115</v>
      </c>
      <c r="B808" s="58" t="s">
        <v>48</v>
      </c>
      <c r="C808" s="58">
        <v>74</v>
      </c>
      <c r="D808" s="58" t="s">
        <v>333</v>
      </c>
      <c r="E808" s="58" t="s">
        <v>2468</v>
      </c>
      <c r="F808" s="58" t="s">
        <v>274</v>
      </c>
      <c r="G808" s="58"/>
      <c r="H808" s="58"/>
      <c r="I808" s="58" t="s">
        <v>274</v>
      </c>
      <c r="J808" s="58"/>
      <c r="K808" s="58"/>
      <c r="L808" s="58" t="s">
        <v>288</v>
      </c>
      <c r="M808" s="58" t="s">
        <v>2272</v>
      </c>
      <c r="N808" s="58"/>
      <c r="O808" s="58" t="s">
        <v>335</v>
      </c>
      <c r="P808" s="58" t="s">
        <v>119</v>
      </c>
      <c r="Q808" s="58"/>
      <c r="R808" s="58" t="s">
        <v>2469</v>
      </c>
      <c r="S808" s="58" t="s">
        <v>2470</v>
      </c>
      <c r="T808" s="58" t="s">
        <v>2412</v>
      </c>
    </row>
    <row r="809" spans="1:20" ht="25.95" customHeight="1">
      <c r="A809" s="58" t="s">
        <v>115</v>
      </c>
      <c r="B809" s="58" t="s">
        <v>48</v>
      </c>
      <c r="C809" s="58">
        <v>75</v>
      </c>
      <c r="D809" s="58" t="s">
        <v>333</v>
      </c>
      <c r="E809" s="58" t="s">
        <v>2471</v>
      </c>
      <c r="F809" s="58" t="s">
        <v>274</v>
      </c>
      <c r="G809" s="58"/>
      <c r="H809" s="58"/>
      <c r="I809" s="58" t="s">
        <v>274</v>
      </c>
      <c r="J809" s="58"/>
      <c r="K809" s="58"/>
      <c r="L809" s="58" t="s">
        <v>288</v>
      </c>
      <c r="M809" s="58" t="s">
        <v>2272</v>
      </c>
      <c r="N809" s="58"/>
      <c r="O809" s="58" t="s">
        <v>335</v>
      </c>
      <c r="P809" s="58" t="s">
        <v>119</v>
      </c>
      <c r="Q809" s="58"/>
      <c r="R809" s="58" t="s">
        <v>2472</v>
      </c>
      <c r="S809" s="58" t="s">
        <v>2473</v>
      </c>
      <c r="T809" s="58" t="s">
        <v>2412</v>
      </c>
    </row>
    <row r="810" spans="1:20" ht="25.95" customHeight="1">
      <c r="A810" s="58" t="s">
        <v>115</v>
      </c>
      <c r="B810" s="58" t="s">
        <v>48</v>
      </c>
      <c r="C810" s="58">
        <v>76</v>
      </c>
      <c r="D810" s="58" t="s">
        <v>333</v>
      </c>
      <c r="E810" s="58" t="s">
        <v>2474</v>
      </c>
      <c r="F810" s="58" t="s">
        <v>274</v>
      </c>
      <c r="G810" s="58"/>
      <c r="H810" s="58"/>
      <c r="I810" s="58" t="s">
        <v>274</v>
      </c>
      <c r="J810" s="58"/>
      <c r="K810" s="58"/>
      <c r="L810" s="58" t="s">
        <v>288</v>
      </c>
      <c r="M810" s="58" t="s">
        <v>2272</v>
      </c>
      <c r="N810" s="58"/>
      <c r="O810" s="58" t="s">
        <v>335</v>
      </c>
      <c r="P810" s="58" t="s">
        <v>119</v>
      </c>
      <c r="Q810" s="58"/>
      <c r="R810" s="58" t="s">
        <v>2475</v>
      </c>
      <c r="S810" s="58" t="s">
        <v>2476</v>
      </c>
      <c r="T810" s="58" t="s">
        <v>2412</v>
      </c>
    </row>
    <row r="811" spans="1:20" ht="25.95" customHeight="1">
      <c r="A811" s="58" t="s">
        <v>115</v>
      </c>
      <c r="B811" s="58" t="s">
        <v>48</v>
      </c>
      <c r="C811" s="58">
        <v>77</v>
      </c>
      <c r="D811" s="58" t="s">
        <v>479</v>
      </c>
      <c r="E811" s="58" t="s">
        <v>2427</v>
      </c>
      <c r="F811" s="58" t="s">
        <v>274</v>
      </c>
      <c r="G811" s="58"/>
      <c r="H811" s="58"/>
      <c r="I811" s="58" t="s">
        <v>273</v>
      </c>
      <c r="J811" s="58"/>
      <c r="K811" s="58"/>
      <c r="L811" s="58" t="s">
        <v>288</v>
      </c>
      <c r="M811" s="58" t="s">
        <v>2272</v>
      </c>
      <c r="N811" s="58"/>
      <c r="O811" s="58" t="s">
        <v>480</v>
      </c>
      <c r="P811" s="58" t="s">
        <v>119</v>
      </c>
      <c r="Q811" s="58"/>
      <c r="R811" s="58" t="s">
        <v>2477</v>
      </c>
      <c r="S811" s="58" t="s">
        <v>2478</v>
      </c>
      <c r="T811" s="58" t="s">
        <v>2412</v>
      </c>
    </row>
    <row r="812" spans="1:20" ht="25.95" customHeight="1">
      <c r="A812" s="58" t="s">
        <v>115</v>
      </c>
      <c r="B812" s="58" t="s">
        <v>48</v>
      </c>
      <c r="C812" s="58">
        <v>78</v>
      </c>
      <c r="D812" s="58" t="s">
        <v>479</v>
      </c>
      <c r="E812" s="58" t="s">
        <v>2427</v>
      </c>
      <c r="F812" s="58" t="s">
        <v>274</v>
      </c>
      <c r="G812" s="58"/>
      <c r="H812" s="58"/>
      <c r="I812" s="58" t="s">
        <v>273</v>
      </c>
      <c r="J812" s="58"/>
      <c r="K812" s="58"/>
      <c r="L812" s="58" t="s">
        <v>288</v>
      </c>
      <c r="M812" s="58" t="s">
        <v>2272</v>
      </c>
      <c r="N812" s="58"/>
      <c r="O812" s="58" t="s">
        <v>480</v>
      </c>
      <c r="P812" s="58" t="s">
        <v>119</v>
      </c>
      <c r="Q812" s="58"/>
      <c r="R812" s="58" t="s">
        <v>2479</v>
      </c>
      <c r="S812" s="58" t="s">
        <v>2480</v>
      </c>
      <c r="T812" s="58" t="s">
        <v>2412</v>
      </c>
    </row>
    <row r="813" spans="1:20" ht="25.95" customHeight="1">
      <c r="A813" s="58" t="s">
        <v>115</v>
      </c>
      <c r="B813" s="58" t="s">
        <v>48</v>
      </c>
      <c r="C813" s="58">
        <v>79</v>
      </c>
      <c r="D813" s="58" t="s">
        <v>333</v>
      </c>
      <c r="E813" s="58" t="s">
        <v>2427</v>
      </c>
      <c r="F813" s="58" t="s">
        <v>274</v>
      </c>
      <c r="G813" s="58"/>
      <c r="H813" s="58"/>
      <c r="I813" s="58" t="s">
        <v>274</v>
      </c>
      <c r="J813" s="58"/>
      <c r="K813" s="58"/>
      <c r="L813" s="58" t="s">
        <v>288</v>
      </c>
      <c r="M813" s="58" t="s">
        <v>2272</v>
      </c>
      <c r="N813" s="58"/>
      <c r="O813" s="58" t="s">
        <v>335</v>
      </c>
      <c r="P813" s="58" t="s">
        <v>119</v>
      </c>
      <c r="Q813" s="58"/>
      <c r="R813" s="58" t="s">
        <v>2481</v>
      </c>
      <c r="S813" s="58" t="s">
        <v>2482</v>
      </c>
      <c r="T813" s="58" t="s">
        <v>2412</v>
      </c>
    </row>
    <row r="814" spans="1:20" ht="25.95" customHeight="1">
      <c r="A814" s="58" t="s">
        <v>115</v>
      </c>
      <c r="B814" s="58" t="s">
        <v>48</v>
      </c>
      <c r="C814" s="58">
        <v>80</v>
      </c>
      <c r="D814" s="58" t="s">
        <v>361</v>
      </c>
      <c r="E814" s="58" t="s">
        <v>2483</v>
      </c>
      <c r="F814" s="58" t="s">
        <v>274</v>
      </c>
      <c r="G814" s="58"/>
      <c r="H814" s="58"/>
      <c r="I814" s="58" t="s">
        <v>274</v>
      </c>
      <c r="J814" s="58"/>
      <c r="K814" s="58"/>
      <c r="L814" s="58" t="s">
        <v>288</v>
      </c>
      <c r="M814" s="58" t="s">
        <v>2272</v>
      </c>
      <c r="N814" s="58"/>
      <c r="O814" s="58" t="s">
        <v>363</v>
      </c>
      <c r="P814" s="58" t="s">
        <v>119</v>
      </c>
      <c r="Q814" s="58"/>
      <c r="R814" s="58" t="s">
        <v>2484</v>
      </c>
      <c r="S814" s="58" t="s">
        <v>2485</v>
      </c>
      <c r="T814" s="58" t="s">
        <v>2412</v>
      </c>
    </row>
    <row r="815" spans="1:20" ht="25.95" customHeight="1">
      <c r="A815" s="58" t="s">
        <v>115</v>
      </c>
      <c r="B815" s="58" t="s">
        <v>48</v>
      </c>
      <c r="C815" s="58">
        <v>81</v>
      </c>
      <c r="D815" s="58" t="s">
        <v>361</v>
      </c>
      <c r="E815" s="58" t="s">
        <v>2486</v>
      </c>
      <c r="F815" s="58" t="s">
        <v>274</v>
      </c>
      <c r="G815" s="58"/>
      <c r="H815" s="58"/>
      <c r="I815" s="58" t="s">
        <v>274</v>
      </c>
      <c r="J815" s="58"/>
      <c r="K815" s="58"/>
      <c r="L815" s="58" t="s">
        <v>288</v>
      </c>
      <c r="M815" s="58" t="s">
        <v>2272</v>
      </c>
      <c r="N815" s="58"/>
      <c r="O815" s="58" t="s">
        <v>363</v>
      </c>
      <c r="P815" s="58" t="s">
        <v>119</v>
      </c>
      <c r="Q815" s="58"/>
      <c r="R815" s="58" t="s">
        <v>2487</v>
      </c>
      <c r="S815" s="58" t="s">
        <v>2488</v>
      </c>
      <c r="T815" s="58" t="s">
        <v>2412</v>
      </c>
    </row>
    <row r="816" spans="1:20" ht="25.95" customHeight="1">
      <c r="A816" s="58" t="s">
        <v>115</v>
      </c>
      <c r="B816" s="58" t="s">
        <v>48</v>
      </c>
      <c r="C816" s="58">
        <v>82</v>
      </c>
      <c r="D816" s="58" t="s">
        <v>2489</v>
      </c>
      <c r="E816" s="58" t="s">
        <v>2490</v>
      </c>
      <c r="F816" s="58" t="s">
        <v>274</v>
      </c>
      <c r="G816" s="58"/>
      <c r="H816" s="58"/>
      <c r="I816" s="58" t="s">
        <v>274</v>
      </c>
      <c r="J816" s="58"/>
      <c r="K816" s="58"/>
      <c r="L816" s="58" t="s">
        <v>288</v>
      </c>
      <c r="M816" s="58" t="s">
        <v>2272</v>
      </c>
      <c r="N816" s="58"/>
      <c r="O816" s="58" t="s">
        <v>2491</v>
      </c>
      <c r="P816" s="58" t="s">
        <v>119</v>
      </c>
      <c r="Q816" s="58"/>
      <c r="R816" s="58" t="s">
        <v>2492</v>
      </c>
      <c r="S816" s="58" t="s">
        <v>2493</v>
      </c>
      <c r="T816" s="58" t="s">
        <v>2412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295"/>
  <sheetViews>
    <sheetView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4"/>
  <cols>
    <col min="1" max="1" width="13.77734375" customWidth="1"/>
    <col min="2" max="2" width="12.77734375" customWidth="1"/>
    <col min="3" max="3" width="18.77734375" customWidth="1"/>
    <col min="4" max="4" width="48.77734375" customWidth="1"/>
    <col min="5" max="8" width="18.77734375" customWidth="1"/>
    <col min="9" max="9" width="12.77734375" customWidth="1"/>
    <col min="10" max="10" width="18.77734375" customWidth="1"/>
    <col min="11" max="11" width="22.77734375" customWidth="1"/>
    <col min="12" max="12" width="18.77734375" customWidth="1"/>
    <col min="13" max="13" width="43.77734375" customWidth="1"/>
    <col min="14" max="15" width="36.77734375" customWidth="1"/>
    <col min="16" max="16" width="43.77734375" customWidth="1"/>
    <col min="17" max="17" width="18.77734375" customWidth="1"/>
    <col min="18" max="19" width="48.77734375" customWidth="1"/>
    <col min="20" max="21" width="30.77734375" customWidth="1"/>
    <col min="22" max="22" width="18.77734375" customWidth="1"/>
    <col min="23" max="23" width="22.77734375" customWidth="1"/>
  </cols>
  <sheetData>
    <row r="1" spans="1:23" ht="36" customHeight="1">
      <c r="A1" s="57" t="s">
        <v>36</v>
      </c>
      <c r="B1" s="57" t="s">
        <v>37</v>
      </c>
      <c r="C1" s="57" t="s">
        <v>2494</v>
      </c>
      <c r="D1" s="57" t="s">
        <v>2495</v>
      </c>
      <c r="E1" s="57" t="s">
        <v>2496</v>
      </c>
      <c r="F1" s="57" t="s">
        <v>2497</v>
      </c>
      <c r="G1" s="57" t="s">
        <v>2498</v>
      </c>
      <c r="H1" s="57" t="s">
        <v>2499</v>
      </c>
      <c r="I1" s="57" t="s">
        <v>128</v>
      </c>
      <c r="J1" s="57" t="s">
        <v>2500</v>
      </c>
      <c r="K1" s="57" t="s">
        <v>2501</v>
      </c>
      <c r="L1" s="57" t="s">
        <v>2502</v>
      </c>
      <c r="M1" s="57" t="s">
        <v>45</v>
      </c>
      <c r="N1" s="57" t="s">
        <v>46</v>
      </c>
      <c r="O1" s="57" t="s">
        <v>2503</v>
      </c>
      <c r="P1" s="57" t="s">
        <v>47</v>
      </c>
      <c r="Q1" s="57" t="s">
        <v>2504</v>
      </c>
      <c r="R1" s="57" t="s">
        <v>2505</v>
      </c>
      <c r="S1" s="57" t="s">
        <v>2506</v>
      </c>
      <c r="T1" s="57" t="s">
        <v>2507</v>
      </c>
      <c r="U1" s="57" t="s">
        <v>2508</v>
      </c>
      <c r="V1" s="57" t="s">
        <v>2509</v>
      </c>
      <c r="W1" s="57" t="s">
        <v>3468</v>
      </c>
    </row>
    <row r="2" spans="1:23" ht="25.95" customHeight="1">
      <c r="A2" s="58" t="s">
        <v>34</v>
      </c>
      <c r="B2" s="58" t="s">
        <v>48</v>
      </c>
      <c r="C2" s="58" t="s">
        <v>2510</v>
      </c>
      <c r="D2" s="58" t="s">
        <v>2511</v>
      </c>
      <c r="E2" s="58" t="s">
        <v>2512</v>
      </c>
      <c r="F2" s="58">
        <v>47709</v>
      </c>
      <c r="G2" s="58">
        <v>47709</v>
      </c>
      <c r="H2" s="58"/>
      <c r="I2" s="58" t="s">
        <v>2513</v>
      </c>
      <c r="J2" s="58"/>
      <c r="K2" s="58"/>
      <c r="L2" s="58"/>
      <c r="M2" s="58" t="s">
        <v>54</v>
      </c>
      <c r="N2" s="58" t="s">
        <v>55</v>
      </c>
      <c r="O2" s="58" t="s">
        <v>2514</v>
      </c>
      <c r="P2" s="58" t="s">
        <v>2515</v>
      </c>
      <c r="Q2" s="58"/>
      <c r="R2" s="58"/>
      <c r="S2" s="58"/>
      <c r="T2" s="58" t="s">
        <v>2516</v>
      </c>
      <c r="U2" s="58" t="s">
        <v>2517</v>
      </c>
      <c r="V2" s="58"/>
      <c r="W2" s="58">
        <f t="shared" ref="W2:W65" si="0">IF(COUNT(F2:G2)=2,G2-F2,"")</f>
        <v>0</v>
      </c>
    </row>
    <row r="3" spans="1:23" ht="25.95" customHeight="1">
      <c r="A3" s="58" t="s">
        <v>34</v>
      </c>
      <c r="B3" s="58" t="s">
        <v>48</v>
      </c>
      <c r="C3" s="58" t="s">
        <v>2510</v>
      </c>
      <c r="D3" s="58" t="s">
        <v>2518</v>
      </c>
      <c r="E3" s="58" t="s">
        <v>2512</v>
      </c>
      <c r="F3" s="58">
        <v>119051</v>
      </c>
      <c r="G3" s="58">
        <v>119051</v>
      </c>
      <c r="H3" s="58"/>
      <c r="I3" s="58" t="s">
        <v>2513</v>
      </c>
      <c r="J3" s="58"/>
      <c r="K3" s="58"/>
      <c r="L3" s="58"/>
      <c r="M3" s="58" t="s">
        <v>54</v>
      </c>
      <c r="N3" s="58" t="s">
        <v>55</v>
      </c>
      <c r="O3" s="58" t="s">
        <v>2519</v>
      </c>
      <c r="P3" s="58" t="s">
        <v>2520</v>
      </c>
      <c r="Q3" s="58"/>
      <c r="R3" s="58"/>
      <c r="S3" s="58"/>
      <c r="T3" s="58" t="s">
        <v>2516</v>
      </c>
      <c r="U3" s="58" t="s">
        <v>2517</v>
      </c>
      <c r="V3" s="58"/>
      <c r="W3" s="58">
        <f t="shared" si="0"/>
        <v>0</v>
      </c>
    </row>
    <row r="4" spans="1:23" ht="25.95" customHeight="1">
      <c r="A4" s="58" t="s">
        <v>34</v>
      </c>
      <c r="B4" s="58" t="s">
        <v>48</v>
      </c>
      <c r="C4" s="58" t="s">
        <v>2521</v>
      </c>
      <c r="D4" s="58" t="s">
        <v>2522</v>
      </c>
      <c r="E4" s="58" t="s">
        <v>2523</v>
      </c>
      <c r="F4" s="58"/>
      <c r="G4" s="58"/>
      <c r="H4" s="58"/>
      <c r="I4" s="58"/>
      <c r="J4" s="58"/>
      <c r="K4" s="58"/>
      <c r="L4" s="58"/>
      <c r="M4" s="58" t="s">
        <v>54</v>
      </c>
      <c r="N4" s="58" t="s">
        <v>55</v>
      </c>
      <c r="O4" s="58" t="s">
        <v>2524</v>
      </c>
      <c r="P4" s="58" t="s">
        <v>2525</v>
      </c>
      <c r="Q4" s="58"/>
      <c r="R4" s="58"/>
      <c r="S4" s="58"/>
      <c r="T4" s="58"/>
      <c r="U4" s="58" t="s">
        <v>2517</v>
      </c>
      <c r="V4" s="58"/>
      <c r="W4" s="58" t="str">
        <f t="shared" si="0"/>
        <v/>
      </c>
    </row>
    <row r="5" spans="1:23" ht="25.95" customHeight="1">
      <c r="A5" s="58" t="s">
        <v>34</v>
      </c>
      <c r="B5" s="58" t="s">
        <v>48</v>
      </c>
      <c r="C5" s="58" t="s">
        <v>2510</v>
      </c>
      <c r="D5" s="58" t="s">
        <v>2526</v>
      </c>
      <c r="E5" s="58" t="s">
        <v>2512</v>
      </c>
      <c r="F5" s="58">
        <v>47240</v>
      </c>
      <c r="G5" s="58">
        <v>47240</v>
      </c>
      <c r="H5" s="58"/>
      <c r="I5" s="58" t="s">
        <v>2513</v>
      </c>
      <c r="J5" s="58"/>
      <c r="K5" s="58"/>
      <c r="L5" s="58"/>
      <c r="M5" s="58" t="s">
        <v>54</v>
      </c>
      <c r="N5" s="58" t="s">
        <v>55</v>
      </c>
      <c r="O5" s="58" t="s">
        <v>2527</v>
      </c>
      <c r="P5" s="58" t="s">
        <v>2528</v>
      </c>
      <c r="Q5" s="58"/>
      <c r="R5" s="58"/>
      <c r="S5" s="58"/>
      <c r="T5" s="58" t="s">
        <v>2516</v>
      </c>
      <c r="U5" s="58" t="s">
        <v>2517</v>
      </c>
      <c r="V5" s="58"/>
      <c r="W5" s="58">
        <f t="shared" si="0"/>
        <v>0</v>
      </c>
    </row>
    <row r="6" spans="1:23" ht="25.95" customHeight="1">
      <c r="A6" s="58" t="s">
        <v>34</v>
      </c>
      <c r="B6" s="58" t="s">
        <v>48</v>
      </c>
      <c r="C6" s="58" t="s">
        <v>2510</v>
      </c>
      <c r="D6" s="58" t="s">
        <v>2529</v>
      </c>
      <c r="E6" s="58" t="s">
        <v>2512</v>
      </c>
      <c r="F6" s="58">
        <v>2378736</v>
      </c>
      <c r="G6" s="58">
        <v>2378736</v>
      </c>
      <c r="H6" s="58"/>
      <c r="I6" s="58" t="s">
        <v>2513</v>
      </c>
      <c r="J6" s="58"/>
      <c r="K6" s="58"/>
      <c r="L6" s="58"/>
      <c r="M6" s="58" t="s">
        <v>54</v>
      </c>
      <c r="N6" s="58" t="s">
        <v>55</v>
      </c>
      <c r="O6" s="58" t="s">
        <v>2530</v>
      </c>
      <c r="P6" s="58" t="s">
        <v>2531</v>
      </c>
      <c r="Q6" s="58"/>
      <c r="R6" s="58"/>
      <c r="S6" s="58"/>
      <c r="T6" s="58" t="s">
        <v>2516</v>
      </c>
      <c r="U6" s="58" t="s">
        <v>2517</v>
      </c>
      <c r="V6" s="58"/>
      <c r="W6" s="58">
        <f t="shared" si="0"/>
        <v>0</v>
      </c>
    </row>
    <row r="7" spans="1:23" ht="25.95" customHeight="1">
      <c r="A7" s="58" t="s">
        <v>34</v>
      </c>
      <c r="B7" s="58" t="s">
        <v>48</v>
      </c>
      <c r="C7" s="58" t="s">
        <v>2510</v>
      </c>
      <c r="D7" s="58" t="s">
        <v>2532</v>
      </c>
      <c r="E7" s="58" t="s">
        <v>2512</v>
      </c>
      <c r="F7" s="58">
        <v>41874</v>
      </c>
      <c r="G7" s="58">
        <v>41874</v>
      </c>
      <c r="H7" s="58"/>
      <c r="I7" s="58" t="s">
        <v>2513</v>
      </c>
      <c r="J7" s="58"/>
      <c r="K7" s="58"/>
      <c r="L7" s="58"/>
      <c r="M7" s="58" t="s">
        <v>54</v>
      </c>
      <c r="N7" s="58" t="s">
        <v>55</v>
      </c>
      <c r="O7" s="58" t="s">
        <v>2533</v>
      </c>
      <c r="P7" s="58" t="s">
        <v>2534</v>
      </c>
      <c r="Q7" s="58"/>
      <c r="R7" s="58"/>
      <c r="S7" s="58"/>
      <c r="T7" s="58" t="s">
        <v>2516</v>
      </c>
      <c r="U7" s="58" t="s">
        <v>2517</v>
      </c>
      <c r="V7" s="58"/>
      <c r="W7" s="58">
        <f t="shared" si="0"/>
        <v>0</v>
      </c>
    </row>
    <row r="8" spans="1:23" ht="25.95" customHeight="1">
      <c r="A8" s="58" t="s">
        <v>34</v>
      </c>
      <c r="B8" s="58" t="s">
        <v>48</v>
      </c>
      <c r="C8" s="58" t="s">
        <v>2521</v>
      </c>
      <c r="D8" s="58" t="s">
        <v>2535</v>
      </c>
      <c r="E8" s="58" t="s">
        <v>2523</v>
      </c>
      <c r="F8" s="58"/>
      <c r="G8" s="58"/>
      <c r="H8" s="58"/>
      <c r="I8" s="58"/>
      <c r="J8" s="58"/>
      <c r="K8" s="58"/>
      <c r="L8" s="58"/>
      <c r="M8" s="58" t="s">
        <v>54</v>
      </c>
      <c r="N8" s="58" t="s">
        <v>55</v>
      </c>
      <c r="O8" s="58" t="s">
        <v>2536</v>
      </c>
      <c r="P8" s="58" t="s">
        <v>2537</v>
      </c>
      <c r="Q8" s="58"/>
      <c r="R8" s="58"/>
      <c r="S8" s="58"/>
      <c r="T8" s="58"/>
      <c r="U8" s="58" t="s">
        <v>2517</v>
      </c>
      <c r="V8" s="58"/>
      <c r="W8" s="58" t="str">
        <f t="shared" si="0"/>
        <v/>
      </c>
    </row>
    <row r="9" spans="1:23" ht="25.95" customHeight="1">
      <c r="A9" s="58" t="s">
        <v>34</v>
      </c>
      <c r="B9" s="58" t="s">
        <v>48</v>
      </c>
      <c r="C9" s="58" t="s">
        <v>2538</v>
      </c>
      <c r="D9" s="58" t="s">
        <v>2539</v>
      </c>
      <c r="E9" s="58" t="s">
        <v>2540</v>
      </c>
      <c r="F9" s="58">
        <v>7525498</v>
      </c>
      <c r="G9" s="58"/>
      <c r="H9" s="58"/>
      <c r="I9" s="58" t="s">
        <v>2513</v>
      </c>
      <c r="J9" s="58"/>
      <c r="K9" s="58"/>
      <c r="L9" s="58"/>
      <c r="M9" s="58" t="s">
        <v>54</v>
      </c>
      <c r="N9" s="58" t="s">
        <v>55</v>
      </c>
      <c r="O9" s="58" t="s">
        <v>2541</v>
      </c>
      <c r="P9" s="58" t="s">
        <v>2542</v>
      </c>
      <c r="Q9" s="58"/>
      <c r="R9" s="58"/>
      <c r="S9" s="58"/>
      <c r="T9" s="58"/>
      <c r="U9" s="58" t="s">
        <v>2543</v>
      </c>
      <c r="V9" s="58"/>
      <c r="W9" s="58" t="str">
        <f t="shared" si="0"/>
        <v/>
      </c>
    </row>
    <row r="10" spans="1:23" ht="25.95" customHeight="1">
      <c r="A10" s="58" t="s">
        <v>34</v>
      </c>
      <c r="B10" s="58" t="s">
        <v>48</v>
      </c>
      <c r="C10" s="58" t="s">
        <v>2538</v>
      </c>
      <c r="D10" s="58" t="s">
        <v>2544</v>
      </c>
      <c r="E10" s="58" t="s">
        <v>2540</v>
      </c>
      <c r="F10" s="58">
        <v>2378736</v>
      </c>
      <c r="G10" s="58"/>
      <c r="H10" s="58"/>
      <c r="I10" s="58" t="s">
        <v>2513</v>
      </c>
      <c r="J10" s="58"/>
      <c r="K10" s="58"/>
      <c r="L10" s="58"/>
      <c r="M10" s="58" t="s">
        <v>54</v>
      </c>
      <c r="N10" s="58" t="s">
        <v>55</v>
      </c>
      <c r="O10" s="58" t="s">
        <v>2545</v>
      </c>
      <c r="P10" s="58" t="s">
        <v>2546</v>
      </c>
      <c r="Q10" s="58"/>
      <c r="R10" s="58"/>
      <c r="S10" s="58"/>
      <c r="T10" s="58"/>
      <c r="U10" s="58" t="s">
        <v>2543</v>
      </c>
      <c r="V10" s="58"/>
      <c r="W10" s="58" t="str">
        <f t="shared" si="0"/>
        <v/>
      </c>
    </row>
    <row r="11" spans="1:23" ht="25.95" customHeight="1">
      <c r="A11" s="58" t="s">
        <v>34</v>
      </c>
      <c r="B11" s="58" t="s">
        <v>48</v>
      </c>
      <c r="C11" s="58" t="s">
        <v>2538</v>
      </c>
      <c r="D11" s="58" t="s">
        <v>2547</v>
      </c>
      <c r="E11" s="58" t="s">
        <v>2540</v>
      </c>
      <c r="F11" s="58">
        <v>2666078</v>
      </c>
      <c r="G11" s="58"/>
      <c r="H11" s="58"/>
      <c r="I11" s="58" t="s">
        <v>2513</v>
      </c>
      <c r="J11" s="58"/>
      <c r="K11" s="58"/>
      <c r="L11" s="58"/>
      <c r="M11" s="58" t="s">
        <v>54</v>
      </c>
      <c r="N11" s="58" t="s">
        <v>55</v>
      </c>
      <c r="O11" s="58" t="s">
        <v>2548</v>
      </c>
      <c r="P11" s="58" t="s">
        <v>2549</v>
      </c>
      <c r="Q11" s="58"/>
      <c r="R11" s="58"/>
      <c r="S11" s="58"/>
      <c r="T11" s="58"/>
      <c r="U11" s="58" t="s">
        <v>2543</v>
      </c>
      <c r="V11" s="58"/>
      <c r="W11" s="58" t="str">
        <f t="shared" si="0"/>
        <v/>
      </c>
    </row>
    <row r="12" spans="1:23" ht="25.95" customHeight="1">
      <c r="A12" s="58" t="s">
        <v>34</v>
      </c>
      <c r="B12" s="58" t="s">
        <v>48</v>
      </c>
      <c r="C12" s="58" t="s">
        <v>2538</v>
      </c>
      <c r="D12" s="58" t="s">
        <v>2550</v>
      </c>
      <c r="E12" s="58" t="s">
        <v>2540</v>
      </c>
      <c r="F12" s="58">
        <v>884</v>
      </c>
      <c r="G12" s="58"/>
      <c r="H12" s="58"/>
      <c r="I12" s="58" t="s">
        <v>2551</v>
      </c>
      <c r="J12" s="58"/>
      <c r="K12" s="58"/>
      <c r="L12" s="58"/>
      <c r="M12" s="58" t="s">
        <v>54</v>
      </c>
      <c r="N12" s="58" t="s">
        <v>55</v>
      </c>
      <c r="O12" s="58" t="s">
        <v>2552</v>
      </c>
      <c r="P12" s="58" t="s">
        <v>2553</v>
      </c>
      <c r="Q12" s="58"/>
      <c r="R12" s="58"/>
      <c r="S12" s="58"/>
      <c r="T12" s="58"/>
      <c r="U12" s="58" t="s">
        <v>2543</v>
      </c>
      <c r="V12" s="58"/>
      <c r="W12" s="58" t="str">
        <f t="shared" si="0"/>
        <v/>
      </c>
    </row>
    <row r="13" spans="1:23" ht="25.95" customHeight="1">
      <c r="A13" s="58" t="s">
        <v>34</v>
      </c>
      <c r="B13" s="58" t="s">
        <v>48</v>
      </c>
      <c r="C13" s="58" t="s">
        <v>2538</v>
      </c>
      <c r="D13" s="58" t="s">
        <v>2554</v>
      </c>
      <c r="E13" s="58" t="s">
        <v>2540</v>
      </c>
      <c r="F13" s="58">
        <v>4</v>
      </c>
      <c r="G13" s="58"/>
      <c r="H13" s="58"/>
      <c r="I13" s="58" t="s">
        <v>2555</v>
      </c>
      <c r="J13" s="58"/>
      <c r="K13" s="58"/>
      <c r="L13" s="58"/>
      <c r="M13" s="58" t="s">
        <v>54</v>
      </c>
      <c r="N13" s="58" t="s">
        <v>55</v>
      </c>
      <c r="O13" s="58" t="s">
        <v>2556</v>
      </c>
      <c r="P13" s="58" t="s">
        <v>2557</v>
      </c>
      <c r="Q13" s="58"/>
      <c r="R13" s="58"/>
      <c r="S13" s="58"/>
      <c r="T13" s="58"/>
      <c r="U13" s="58" t="s">
        <v>2543</v>
      </c>
      <c r="V13" s="58"/>
      <c r="W13" s="58" t="str">
        <f t="shared" si="0"/>
        <v/>
      </c>
    </row>
    <row r="14" spans="1:23" ht="25.95" customHeight="1">
      <c r="A14" s="58" t="s">
        <v>34</v>
      </c>
      <c r="B14" s="58" t="s">
        <v>48</v>
      </c>
      <c r="C14" s="58" t="s">
        <v>2538</v>
      </c>
      <c r="D14" s="58" t="s">
        <v>2558</v>
      </c>
      <c r="E14" s="58" t="s">
        <v>2540</v>
      </c>
      <c r="F14" s="58">
        <v>876.76800000000003</v>
      </c>
      <c r="G14" s="58"/>
      <c r="H14" s="58"/>
      <c r="I14" s="58" t="s">
        <v>166</v>
      </c>
      <c r="J14" s="58"/>
      <c r="K14" s="58"/>
      <c r="L14" s="58"/>
      <c r="M14" s="58" t="s">
        <v>54</v>
      </c>
      <c r="N14" s="58" t="s">
        <v>55</v>
      </c>
      <c r="O14" s="58" t="s">
        <v>2559</v>
      </c>
      <c r="P14" s="58" t="s">
        <v>2560</v>
      </c>
      <c r="Q14" s="58"/>
      <c r="R14" s="58"/>
      <c r="S14" s="58"/>
      <c r="T14" s="58"/>
      <c r="U14" s="58" t="s">
        <v>2543</v>
      </c>
      <c r="V14" s="58"/>
      <c r="W14" s="58" t="str">
        <f t="shared" si="0"/>
        <v/>
      </c>
    </row>
    <row r="15" spans="1:23" ht="25.95" customHeight="1">
      <c r="A15" s="58" t="s">
        <v>34</v>
      </c>
      <c r="B15" s="58" t="s">
        <v>48</v>
      </c>
      <c r="C15" s="58" t="s">
        <v>2538</v>
      </c>
      <c r="D15" s="58" t="s">
        <v>2561</v>
      </c>
      <c r="E15" s="58" t="s">
        <v>2540</v>
      </c>
      <c r="F15" s="58">
        <v>27</v>
      </c>
      <c r="G15" s="58"/>
      <c r="H15" s="58"/>
      <c r="I15" s="58" t="s">
        <v>165</v>
      </c>
      <c r="J15" s="58"/>
      <c r="K15" s="58"/>
      <c r="L15" s="58"/>
      <c r="M15" s="58" t="s">
        <v>54</v>
      </c>
      <c r="N15" s="58" t="s">
        <v>55</v>
      </c>
      <c r="O15" s="58" t="s">
        <v>2562</v>
      </c>
      <c r="P15" s="58" t="s">
        <v>2563</v>
      </c>
      <c r="Q15" s="58"/>
      <c r="R15" s="58"/>
      <c r="S15" s="58"/>
      <c r="T15" s="58"/>
      <c r="U15" s="58" t="s">
        <v>2543</v>
      </c>
      <c r="V15" s="58"/>
      <c r="W15" s="58" t="str">
        <f t="shared" si="0"/>
        <v/>
      </c>
    </row>
    <row r="16" spans="1:23" ht="25.95" customHeight="1">
      <c r="A16" s="58" t="s">
        <v>34</v>
      </c>
      <c r="B16" s="58" t="s">
        <v>48</v>
      </c>
      <c r="C16" s="58" t="s">
        <v>2538</v>
      </c>
      <c r="D16" s="58" t="s">
        <v>2564</v>
      </c>
      <c r="E16" s="58" t="s">
        <v>2540</v>
      </c>
      <c r="F16" s="58"/>
      <c r="G16" s="58"/>
      <c r="H16" s="58"/>
      <c r="I16" s="58"/>
      <c r="J16" s="58"/>
      <c r="K16" s="58"/>
      <c r="L16" s="58"/>
      <c r="M16" s="58" t="s">
        <v>54</v>
      </c>
      <c r="N16" s="58" t="s">
        <v>55</v>
      </c>
      <c r="O16" s="58" t="s">
        <v>2565</v>
      </c>
      <c r="P16" s="58" t="s">
        <v>2566</v>
      </c>
      <c r="Q16" s="58"/>
      <c r="R16" s="58"/>
      <c r="S16" s="58"/>
      <c r="T16" s="58"/>
      <c r="U16" s="58" t="s">
        <v>2543</v>
      </c>
      <c r="V16" s="58"/>
      <c r="W16" s="58" t="str">
        <f t="shared" si="0"/>
        <v/>
      </c>
    </row>
    <row r="17" spans="1:23" ht="25.95" customHeight="1">
      <c r="A17" s="58" t="s">
        <v>34</v>
      </c>
      <c r="B17" s="58" t="s">
        <v>48</v>
      </c>
      <c r="C17" s="58" t="s">
        <v>2538</v>
      </c>
      <c r="D17" s="58" t="s">
        <v>2564</v>
      </c>
      <c r="E17" s="58" t="s">
        <v>2540</v>
      </c>
      <c r="F17" s="58"/>
      <c r="G17" s="58"/>
      <c r="H17" s="58"/>
      <c r="I17" s="58"/>
      <c r="J17" s="58"/>
      <c r="K17" s="58"/>
      <c r="L17" s="58"/>
      <c r="M17" s="58" t="s">
        <v>54</v>
      </c>
      <c r="N17" s="58" t="s">
        <v>55</v>
      </c>
      <c r="O17" s="58" t="s">
        <v>2567</v>
      </c>
      <c r="P17" s="58" t="s">
        <v>2568</v>
      </c>
      <c r="Q17" s="58"/>
      <c r="R17" s="58"/>
      <c r="S17" s="58"/>
      <c r="T17" s="58"/>
      <c r="U17" s="58" t="s">
        <v>2543</v>
      </c>
      <c r="V17" s="58"/>
      <c r="W17" s="58" t="str">
        <f t="shared" si="0"/>
        <v/>
      </c>
    </row>
    <row r="18" spans="1:23" ht="25.95" customHeight="1">
      <c r="A18" s="58" t="s">
        <v>34</v>
      </c>
      <c r="B18" s="58" t="s">
        <v>48</v>
      </c>
      <c r="C18" s="58" t="s">
        <v>2538</v>
      </c>
      <c r="D18" s="58" t="s">
        <v>2564</v>
      </c>
      <c r="E18" s="58" t="s">
        <v>2540</v>
      </c>
      <c r="F18" s="58"/>
      <c r="G18" s="58"/>
      <c r="H18" s="58"/>
      <c r="I18" s="58"/>
      <c r="J18" s="58"/>
      <c r="K18" s="58"/>
      <c r="L18" s="58"/>
      <c r="M18" s="58" t="s">
        <v>54</v>
      </c>
      <c r="N18" s="58" t="s">
        <v>55</v>
      </c>
      <c r="O18" s="58" t="s">
        <v>2569</v>
      </c>
      <c r="P18" s="58" t="s">
        <v>2570</v>
      </c>
      <c r="Q18" s="58"/>
      <c r="R18" s="58"/>
      <c r="S18" s="58"/>
      <c r="T18" s="58"/>
      <c r="U18" s="58" t="s">
        <v>2543</v>
      </c>
      <c r="V18" s="58"/>
      <c r="W18" s="58" t="str">
        <f t="shared" si="0"/>
        <v/>
      </c>
    </row>
    <row r="19" spans="1:23" ht="25.95" customHeight="1">
      <c r="A19" s="58" t="s">
        <v>34</v>
      </c>
      <c r="B19" s="58" t="s">
        <v>48</v>
      </c>
      <c r="C19" s="58" t="s">
        <v>2538</v>
      </c>
      <c r="D19" s="58" t="s">
        <v>2564</v>
      </c>
      <c r="E19" s="58" t="s">
        <v>2540</v>
      </c>
      <c r="F19" s="58"/>
      <c r="G19" s="58"/>
      <c r="H19" s="58"/>
      <c r="I19" s="58"/>
      <c r="J19" s="58"/>
      <c r="K19" s="58"/>
      <c r="L19" s="58"/>
      <c r="M19" s="58" t="s">
        <v>54</v>
      </c>
      <c r="N19" s="58" t="s">
        <v>55</v>
      </c>
      <c r="O19" s="58" t="s">
        <v>2571</v>
      </c>
      <c r="P19" s="58" t="s">
        <v>2572</v>
      </c>
      <c r="Q19" s="58"/>
      <c r="R19" s="58"/>
      <c r="S19" s="58"/>
      <c r="T19" s="58"/>
      <c r="U19" s="58" t="s">
        <v>2543</v>
      </c>
      <c r="V19" s="58"/>
      <c r="W19" s="58" t="str">
        <f t="shared" si="0"/>
        <v/>
      </c>
    </row>
    <row r="20" spans="1:23" ht="25.95" customHeight="1">
      <c r="A20" s="58" t="s">
        <v>34</v>
      </c>
      <c r="B20" s="58" t="s">
        <v>48</v>
      </c>
      <c r="C20" s="58" t="s">
        <v>2538</v>
      </c>
      <c r="D20" s="58" t="s">
        <v>2564</v>
      </c>
      <c r="E20" s="58" t="s">
        <v>2540</v>
      </c>
      <c r="F20" s="58"/>
      <c r="G20" s="58"/>
      <c r="H20" s="58"/>
      <c r="I20" s="58"/>
      <c r="J20" s="58"/>
      <c r="K20" s="58"/>
      <c r="L20" s="58"/>
      <c r="M20" s="58" t="s">
        <v>54</v>
      </c>
      <c r="N20" s="58" t="s">
        <v>55</v>
      </c>
      <c r="O20" s="58" t="s">
        <v>2573</v>
      </c>
      <c r="P20" s="58" t="s">
        <v>2574</v>
      </c>
      <c r="Q20" s="58"/>
      <c r="R20" s="58"/>
      <c r="S20" s="58"/>
      <c r="T20" s="58"/>
      <c r="U20" s="58" t="s">
        <v>2543</v>
      </c>
      <c r="V20" s="58"/>
      <c r="W20" s="58" t="str">
        <f t="shared" si="0"/>
        <v/>
      </c>
    </row>
    <row r="21" spans="1:23" ht="25.95" customHeight="1">
      <c r="A21" s="58" t="s">
        <v>34</v>
      </c>
      <c r="B21" s="58" t="s">
        <v>48</v>
      </c>
      <c r="C21" s="58" t="s">
        <v>2538</v>
      </c>
      <c r="D21" s="58" t="s">
        <v>2564</v>
      </c>
      <c r="E21" s="58" t="s">
        <v>2540</v>
      </c>
      <c r="F21" s="58">
        <v>0</v>
      </c>
      <c r="G21" s="58"/>
      <c r="H21" s="58"/>
      <c r="I21" s="58" t="s">
        <v>2575</v>
      </c>
      <c r="J21" s="58"/>
      <c r="K21" s="58"/>
      <c r="L21" s="58"/>
      <c r="M21" s="58" t="s">
        <v>54</v>
      </c>
      <c r="N21" s="58" t="s">
        <v>55</v>
      </c>
      <c r="O21" s="58" t="s">
        <v>2576</v>
      </c>
      <c r="P21" s="58" t="s">
        <v>2577</v>
      </c>
      <c r="Q21" s="58"/>
      <c r="R21" s="58"/>
      <c r="S21" s="58"/>
      <c r="T21" s="58"/>
      <c r="U21" s="58" t="s">
        <v>2543</v>
      </c>
      <c r="V21" s="58"/>
      <c r="W21" s="58" t="str">
        <f t="shared" si="0"/>
        <v/>
      </c>
    </row>
    <row r="22" spans="1:23" ht="25.95" customHeight="1">
      <c r="A22" s="58" t="s">
        <v>34</v>
      </c>
      <c r="B22" s="58" t="s">
        <v>48</v>
      </c>
      <c r="C22" s="58" t="s">
        <v>2538</v>
      </c>
      <c r="D22" s="58" t="s">
        <v>2564</v>
      </c>
      <c r="E22" s="58" t="s">
        <v>2540</v>
      </c>
      <c r="F22" s="58"/>
      <c r="G22" s="58"/>
      <c r="H22" s="58"/>
      <c r="I22" s="58"/>
      <c r="J22" s="58"/>
      <c r="K22" s="58"/>
      <c r="L22" s="58"/>
      <c r="M22" s="58" t="s">
        <v>54</v>
      </c>
      <c r="N22" s="58" t="s">
        <v>55</v>
      </c>
      <c r="O22" s="58" t="s">
        <v>2578</v>
      </c>
      <c r="P22" s="58" t="s">
        <v>2579</v>
      </c>
      <c r="Q22" s="58"/>
      <c r="R22" s="58"/>
      <c r="S22" s="58"/>
      <c r="T22" s="58"/>
      <c r="U22" s="58" t="s">
        <v>2543</v>
      </c>
      <c r="V22" s="58"/>
      <c r="W22" s="58" t="str">
        <f t="shared" si="0"/>
        <v/>
      </c>
    </row>
    <row r="23" spans="1:23" ht="25.95" customHeight="1">
      <c r="A23" s="58" t="s">
        <v>34</v>
      </c>
      <c r="B23" s="58" t="s">
        <v>48</v>
      </c>
      <c r="C23" s="58" t="s">
        <v>2580</v>
      </c>
      <c r="D23" s="58" t="s">
        <v>2581</v>
      </c>
      <c r="E23" s="58" t="s">
        <v>2582</v>
      </c>
      <c r="F23" s="58"/>
      <c r="G23" s="58"/>
      <c r="H23" s="58"/>
      <c r="I23" s="58"/>
      <c r="J23" s="58"/>
      <c r="K23" s="58" t="s">
        <v>273</v>
      </c>
      <c r="L23" s="58" t="s">
        <v>273</v>
      </c>
      <c r="M23" s="58" t="s">
        <v>54</v>
      </c>
      <c r="N23" s="58" t="s">
        <v>55</v>
      </c>
      <c r="O23" s="58" t="s">
        <v>2583</v>
      </c>
      <c r="P23" s="58" t="s">
        <v>2584</v>
      </c>
      <c r="Q23" s="58" t="s">
        <v>44</v>
      </c>
      <c r="R23" s="58"/>
      <c r="S23" s="58"/>
      <c r="T23" s="58"/>
      <c r="U23" s="58" t="s">
        <v>2585</v>
      </c>
      <c r="V23" s="58"/>
      <c r="W23" s="58" t="str">
        <f t="shared" si="0"/>
        <v/>
      </c>
    </row>
    <row r="24" spans="1:23" ht="25.95" customHeight="1">
      <c r="A24" s="58" t="s">
        <v>34</v>
      </c>
      <c r="B24" s="58" t="s">
        <v>48</v>
      </c>
      <c r="C24" s="58" t="s">
        <v>2510</v>
      </c>
      <c r="D24" s="58" t="s">
        <v>2586</v>
      </c>
      <c r="E24" s="58" t="s">
        <v>2512</v>
      </c>
      <c r="F24" s="58">
        <v>86463</v>
      </c>
      <c r="G24" s="58">
        <v>86463</v>
      </c>
      <c r="H24" s="58"/>
      <c r="I24" s="58" t="s">
        <v>2513</v>
      </c>
      <c r="J24" s="58"/>
      <c r="K24" s="58"/>
      <c r="L24" s="58"/>
      <c r="M24" s="58" t="s">
        <v>54</v>
      </c>
      <c r="N24" s="58" t="s">
        <v>55</v>
      </c>
      <c r="O24" s="58" t="s">
        <v>2587</v>
      </c>
      <c r="P24" s="58" t="s">
        <v>2588</v>
      </c>
      <c r="Q24" s="58"/>
      <c r="R24" s="58"/>
      <c r="S24" s="58"/>
      <c r="T24" s="58" t="s">
        <v>2516</v>
      </c>
      <c r="U24" s="58" t="s">
        <v>2517</v>
      </c>
      <c r="V24" s="58"/>
      <c r="W24" s="58">
        <f t="shared" si="0"/>
        <v>0</v>
      </c>
    </row>
    <row r="25" spans="1:23" ht="25.95" customHeight="1">
      <c r="A25" s="58" t="s">
        <v>34</v>
      </c>
      <c r="B25" s="58" t="s">
        <v>48</v>
      </c>
      <c r="C25" s="58" t="s">
        <v>2521</v>
      </c>
      <c r="D25" s="58" t="s">
        <v>2589</v>
      </c>
      <c r="E25" s="58" t="s">
        <v>2523</v>
      </c>
      <c r="F25" s="58"/>
      <c r="G25" s="58"/>
      <c r="H25" s="58"/>
      <c r="I25" s="58"/>
      <c r="J25" s="58"/>
      <c r="K25" s="58"/>
      <c r="L25" s="58"/>
      <c r="M25" s="58" t="s">
        <v>54</v>
      </c>
      <c r="N25" s="58" t="s">
        <v>55</v>
      </c>
      <c r="O25" s="58" t="s">
        <v>2590</v>
      </c>
      <c r="P25" s="58" t="s">
        <v>2591</v>
      </c>
      <c r="Q25" s="58"/>
      <c r="R25" s="58"/>
      <c r="S25" s="58"/>
      <c r="T25" s="58"/>
      <c r="U25" s="58" t="s">
        <v>2517</v>
      </c>
      <c r="V25" s="58"/>
      <c r="W25" s="58" t="str">
        <f t="shared" si="0"/>
        <v/>
      </c>
    </row>
    <row r="26" spans="1:23" ht="25.95" customHeight="1">
      <c r="A26" s="58" t="s">
        <v>34</v>
      </c>
      <c r="B26" s="58" t="s">
        <v>48</v>
      </c>
      <c r="C26" s="58" t="s">
        <v>2510</v>
      </c>
      <c r="D26" s="58" t="s">
        <v>2592</v>
      </c>
      <c r="E26" s="58" t="s">
        <v>2512</v>
      </c>
      <c r="F26" s="58">
        <v>2666078</v>
      </c>
      <c r="G26" s="58">
        <v>2666078</v>
      </c>
      <c r="H26" s="58"/>
      <c r="I26" s="58" t="s">
        <v>2513</v>
      </c>
      <c r="J26" s="58"/>
      <c r="K26" s="58"/>
      <c r="L26" s="58"/>
      <c r="M26" s="58" t="s">
        <v>54</v>
      </c>
      <c r="N26" s="58" t="s">
        <v>55</v>
      </c>
      <c r="O26" s="58" t="s">
        <v>2593</v>
      </c>
      <c r="P26" s="58" t="s">
        <v>2594</v>
      </c>
      <c r="Q26" s="58"/>
      <c r="R26" s="58"/>
      <c r="S26" s="58"/>
      <c r="T26" s="58" t="s">
        <v>2516</v>
      </c>
      <c r="U26" s="58" t="s">
        <v>2517</v>
      </c>
      <c r="V26" s="58"/>
      <c r="W26" s="58">
        <f t="shared" si="0"/>
        <v>0</v>
      </c>
    </row>
    <row r="27" spans="1:23" ht="25.95" customHeight="1">
      <c r="A27" s="58" t="s">
        <v>34</v>
      </c>
      <c r="B27" s="58" t="s">
        <v>48</v>
      </c>
      <c r="C27" s="58" t="s">
        <v>2510</v>
      </c>
      <c r="D27" s="58" t="s">
        <v>2595</v>
      </c>
      <c r="E27" s="58" t="s">
        <v>2512</v>
      </c>
      <c r="F27" s="58">
        <v>7525498</v>
      </c>
      <c r="G27" s="58">
        <v>7525498</v>
      </c>
      <c r="H27" s="58"/>
      <c r="I27" s="58" t="s">
        <v>2513</v>
      </c>
      <c r="J27" s="58"/>
      <c r="K27" s="58"/>
      <c r="L27" s="58"/>
      <c r="M27" s="58" t="s">
        <v>54</v>
      </c>
      <c r="N27" s="58" t="s">
        <v>55</v>
      </c>
      <c r="O27" s="58" t="s">
        <v>2596</v>
      </c>
      <c r="P27" s="58" t="s">
        <v>2597</v>
      </c>
      <c r="Q27" s="58"/>
      <c r="R27" s="58"/>
      <c r="S27" s="58"/>
      <c r="T27" s="58" t="s">
        <v>2598</v>
      </c>
      <c r="U27" s="58" t="s">
        <v>2517</v>
      </c>
      <c r="V27" s="58"/>
      <c r="W27" s="58">
        <f t="shared" si="0"/>
        <v>0</v>
      </c>
    </row>
    <row r="28" spans="1:23" ht="25.95" customHeight="1">
      <c r="A28" s="58" t="s">
        <v>57</v>
      </c>
      <c r="B28" s="58" t="s">
        <v>48</v>
      </c>
      <c r="C28" s="58" t="s">
        <v>2521</v>
      </c>
      <c r="D28" s="58" t="s">
        <v>2599</v>
      </c>
      <c r="E28" s="58" t="s">
        <v>2600</v>
      </c>
      <c r="F28" s="58"/>
      <c r="G28" s="58"/>
      <c r="H28" s="58"/>
      <c r="I28" s="58"/>
      <c r="J28" s="58"/>
      <c r="K28" s="58"/>
      <c r="L28" s="58"/>
      <c r="M28" s="58" t="s">
        <v>60</v>
      </c>
      <c r="N28" s="58" t="s">
        <v>61</v>
      </c>
      <c r="O28" s="58" t="s">
        <v>2601</v>
      </c>
      <c r="P28" s="58" t="s">
        <v>2602</v>
      </c>
      <c r="Q28" s="58"/>
      <c r="R28" s="58"/>
      <c r="S28" s="58"/>
      <c r="T28" s="58"/>
      <c r="U28" s="58" t="s">
        <v>2517</v>
      </c>
      <c r="V28" s="58"/>
      <c r="W28" s="58" t="str">
        <f t="shared" si="0"/>
        <v/>
      </c>
    </row>
    <row r="29" spans="1:23" ht="25.95" customHeight="1">
      <c r="A29" s="58" t="s">
        <v>57</v>
      </c>
      <c r="B29" s="58" t="s">
        <v>48</v>
      </c>
      <c r="C29" s="58" t="s">
        <v>2510</v>
      </c>
      <c r="D29" s="58" t="s">
        <v>2603</v>
      </c>
      <c r="E29" s="58" t="s">
        <v>2512</v>
      </c>
      <c r="F29" s="58">
        <v>23731</v>
      </c>
      <c r="G29" s="58">
        <v>23731</v>
      </c>
      <c r="H29" s="58"/>
      <c r="I29" s="58" t="s">
        <v>2513</v>
      </c>
      <c r="J29" s="58"/>
      <c r="K29" s="58"/>
      <c r="L29" s="58"/>
      <c r="M29" s="58" t="s">
        <v>60</v>
      </c>
      <c r="N29" s="58" t="s">
        <v>61</v>
      </c>
      <c r="O29" s="58" t="s">
        <v>2604</v>
      </c>
      <c r="P29" s="58" t="s">
        <v>2605</v>
      </c>
      <c r="Q29" s="58"/>
      <c r="R29" s="58"/>
      <c r="S29" s="58"/>
      <c r="T29" s="58" t="s">
        <v>2606</v>
      </c>
      <c r="U29" s="58" t="s">
        <v>2517</v>
      </c>
      <c r="V29" s="58"/>
      <c r="W29" s="58">
        <f t="shared" si="0"/>
        <v>0</v>
      </c>
    </row>
    <row r="30" spans="1:23" ht="25.95" customHeight="1">
      <c r="A30" s="58" t="s">
        <v>57</v>
      </c>
      <c r="B30" s="58" t="s">
        <v>48</v>
      </c>
      <c r="C30" s="58" t="s">
        <v>2607</v>
      </c>
      <c r="D30" s="58" t="s">
        <v>2608</v>
      </c>
      <c r="E30" s="58" t="s">
        <v>2609</v>
      </c>
      <c r="F30" s="58"/>
      <c r="G30" s="58"/>
      <c r="H30" s="58"/>
      <c r="I30" s="58"/>
      <c r="J30" s="58"/>
      <c r="K30" s="58"/>
      <c r="L30" s="58" t="s">
        <v>2610</v>
      </c>
      <c r="M30" s="58" t="s">
        <v>60</v>
      </c>
      <c r="N30" s="58" t="s">
        <v>61</v>
      </c>
      <c r="O30" s="58" t="s">
        <v>2611</v>
      </c>
      <c r="P30" s="58" t="s">
        <v>2612</v>
      </c>
      <c r="Q30" s="58" t="s">
        <v>2613</v>
      </c>
      <c r="R30" s="58"/>
      <c r="S30" s="58"/>
      <c r="T30" s="58"/>
      <c r="U30" s="58" t="s">
        <v>2517</v>
      </c>
      <c r="V30" s="58" t="s">
        <v>2614</v>
      </c>
      <c r="W30" s="58" t="str">
        <f t="shared" si="0"/>
        <v/>
      </c>
    </row>
    <row r="31" spans="1:23" ht="25.95" customHeight="1">
      <c r="A31" s="58" t="s">
        <v>57</v>
      </c>
      <c r="B31" s="58" t="s">
        <v>48</v>
      </c>
      <c r="C31" s="58" t="s">
        <v>2510</v>
      </c>
      <c r="D31" s="58" t="s">
        <v>2615</v>
      </c>
      <c r="E31" s="58" t="s">
        <v>2512</v>
      </c>
      <c r="F31" s="58">
        <v>11370</v>
      </c>
      <c r="G31" s="58">
        <v>11370</v>
      </c>
      <c r="H31" s="58"/>
      <c r="I31" s="58" t="s">
        <v>2513</v>
      </c>
      <c r="J31" s="58"/>
      <c r="K31" s="58"/>
      <c r="L31" s="58"/>
      <c r="M31" s="58" t="s">
        <v>60</v>
      </c>
      <c r="N31" s="58" t="s">
        <v>61</v>
      </c>
      <c r="O31" s="58" t="s">
        <v>2616</v>
      </c>
      <c r="P31" s="58" t="s">
        <v>2617</v>
      </c>
      <c r="Q31" s="58"/>
      <c r="R31" s="58"/>
      <c r="S31" s="58"/>
      <c r="T31" s="58" t="s">
        <v>2598</v>
      </c>
      <c r="U31" s="58" t="s">
        <v>2517</v>
      </c>
      <c r="V31" s="58"/>
      <c r="W31" s="58">
        <f t="shared" si="0"/>
        <v>0</v>
      </c>
    </row>
    <row r="32" spans="1:23" ht="25.95" customHeight="1">
      <c r="A32" s="58" t="s">
        <v>57</v>
      </c>
      <c r="B32" s="58" t="s">
        <v>48</v>
      </c>
      <c r="C32" s="58" t="s">
        <v>2510</v>
      </c>
      <c r="D32" s="58" t="s">
        <v>2618</v>
      </c>
      <c r="E32" s="58" t="s">
        <v>2512</v>
      </c>
      <c r="F32" s="58">
        <v>3639698</v>
      </c>
      <c r="G32" s="58">
        <v>3639698</v>
      </c>
      <c r="H32" s="58"/>
      <c r="I32" s="58" t="s">
        <v>2513</v>
      </c>
      <c r="J32" s="58"/>
      <c r="K32" s="58"/>
      <c r="L32" s="58"/>
      <c r="M32" s="58" t="s">
        <v>60</v>
      </c>
      <c r="N32" s="58" t="s">
        <v>61</v>
      </c>
      <c r="O32" s="58" t="s">
        <v>2619</v>
      </c>
      <c r="P32" s="58" t="s">
        <v>2620</v>
      </c>
      <c r="Q32" s="58"/>
      <c r="R32" s="58"/>
      <c r="S32" s="58"/>
      <c r="T32" s="58" t="s">
        <v>2606</v>
      </c>
      <c r="U32" s="58" t="s">
        <v>2517</v>
      </c>
      <c r="V32" s="58"/>
      <c r="W32" s="58">
        <f t="shared" si="0"/>
        <v>0</v>
      </c>
    </row>
    <row r="33" spans="1:23" ht="25.95" customHeight="1">
      <c r="A33" s="58" t="s">
        <v>57</v>
      </c>
      <c r="B33" s="58" t="s">
        <v>48</v>
      </c>
      <c r="C33" s="58" t="s">
        <v>2521</v>
      </c>
      <c r="D33" s="58" t="s">
        <v>2621</v>
      </c>
      <c r="E33" s="58" t="s">
        <v>2622</v>
      </c>
      <c r="F33" s="58"/>
      <c r="G33" s="58"/>
      <c r="H33" s="58"/>
      <c r="I33" s="58"/>
      <c r="J33" s="58"/>
      <c r="K33" s="58"/>
      <c r="L33" s="58"/>
      <c r="M33" s="58" t="s">
        <v>60</v>
      </c>
      <c r="N33" s="58" t="s">
        <v>61</v>
      </c>
      <c r="O33" s="58" t="s">
        <v>2623</v>
      </c>
      <c r="P33" s="58" t="s">
        <v>2624</v>
      </c>
      <c r="Q33" s="58"/>
      <c r="R33" s="58"/>
      <c r="S33" s="58"/>
      <c r="T33" s="58"/>
      <c r="U33" s="58" t="s">
        <v>2517</v>
      </c>
      <c r="V33" s="58"/>
      <c r="W33" s="58" t="str">
        <f t="shared" si="0"/>
        <v/>
      </c>
    </row>
    <row r="34" spans="1:23" ht="25.95" customHeight="1">
      <c r="A34" s="58" t="s">
        <v>57</v>
      </c>
      <c r="B34" s="58" t="s">
        <v>48</v>
      </c>
      <c r="C34" s="58" t="s">
        <v>2510</v>
      </c>
      <c r="D34" s="58" t="s">
        <v>2625</v>
      </c>
      <c r="E34" s="58" t="s">
        <v>2512</v>
      </c>
      <c r="F34" s="58">
        <v>63644</v>
      </c>
      <c r="G34" s="58">
        <v>63644</v>
      </c>
      <c r="H34" s="58"/>
      <c r="I34" s="58" t="s">
        <v>2513</v>
      </c>
      <c r="J34" s="58"/>
      <c r="K34" s="58"/>
      <c r="L34" s="58"/>
      <c r="M34" s="58" t="s">
        <v>60</v>
      </c>
      <c r="N34" s="58" t="s">
        <v>61</v>
      </c>
      <c r="O34" s="58" t="s">
        <v>2626</v>
      </c>
      <c r="P34" s="58" t="s">
        <v>2627</v>
      </c>
      <c r="Q34" s="58"/>
      <c r="R34" s="58"/>
      <c r="S34" s="58"/>
      <c r="T34" s="58" t="s">
        <v>2606</v>
      </c>
      <c r="U34" s="58" t="s">
        <v>2517</v>
      </c>
      <c r="V34" s="58"/>
      <c r="W34" s="58">
        <f t="shared" si="0"/>
        <v>0</v>
      </c>
    </row>
    <row r="35" spans="1:23" ht="25.95" customHeight="1">
      <c r="A35" s="58" t="s">
        <v>57</v>
      </c>
      <c r="B35" s="58" t="s">
        <v>48</v>
      </c>
      <c r="C35" s="58" t="s">
        <v>2510</v>
      </c>
      <c r="D35" s="58" t="s">
        <v>2628</v>
      </c>
      <c r="E35" s="58" t="s">
        <v>2512</v>
      </c>
      <c r="F35" s="58">
        <v>48302</v>
      </c>
      <c r="G35" s="58">
        <v>48302</v>
      </c>
      <c r="H35" s="58"/>
      <c r="I35" s="58" t="s">
        <v>2513</v>
      </c>
      <c r="J35" s="58"/>
      <c r="K35" s="58"/>
      <c r="L35" s="58"/>
      <c r="M35" s="58" t="s">
        <v>60</v>
      </c>
      <c r="N35" s="58" t="s">
        <v>61</v>
      </c>
      <c r="O35" s="58" t="s">
        <v>2629</v>
      </c>
      <c r="P35" s="58" t="s">
        <v>2630</v>
      </c>
      <c r="Q35" s="58"/>
      <c r="R35" s="58"/>
      <c r="S35" s="58"/>
      <c r="T35" s="58" t="s">
        <v>2606</v>
      </c>
      <c r="U35" s="58" t="s">
        <v>2517</v>
      </c>
      <c r="V35" s="58"/>
      <c r="W35" s="58">
        <f t="shared" si="0"/>
        <v>0</v>
      </c>
    </row>
    <row r="36" spans="1:23" ht="25.95" customHeight="1">
      <c r="A36" s="58" t="s">
        <v>57</v>
      </c>
      <c r="B36" s="58" t="s">
        <v>48</v>
      </c>
      <c r="C36" s="58" t="s">
        <v>2510</v>
      </c>
      <c r="D36" s="58" t="s">
        <v>2631</v>
      </c>
      <c r="E36" s="58" t="s">
        <v>2512</v>
      </c>
      <c r="F36" s="58">
        <v>3293003</v>
      </c>
      <c r="G36" s="58">
        <v>3293003</v>
      </c>
      <c r="H36" s="58"/>
      <c r="I36" s="58" t="s">
        <v>2513</v>
      </c>
      <c r="J36" s="58"/>
      <c r="K36" s="58"/>
      <c r="L36" s="58"/>
      <c r="M36" s="58" t="s">
        <v>60</v>
      </c>
      <c r="N36" s="58" t="s">
        <v>61</v>
      </c>
      <c r="O36" s="58" t="s">
        <v>2632</v>
      </c>
      <c r="P36" s="58" t="s">
        <v>2633</v>
      </c>
      <c r="Q36" s="58"/>
      <c r="R36" s="58"/>
      <c r="S36" s="58"/>
      <c r="T36" s="58" t="s">
        <v>2606</v>
      </c>
      <c r="U36" s="58" t="s">
        <v>2517</v>
      </c>
      <c r="V36" s="58"/>
      <c r="W36" s="58">
        <f t="shared" si="0"/>
        <v>0</v>
      </c>
    </row>
    <row r="37" spans="1:23" ht="25.95" customHeight="1">
      <c r="A37" s="58" t="s">
        <v>57</v>
      </c>
      <c r="B37" s="58" t="s">
        <v>48</v>
      </c>
      <c r="C37" s="58" t="s">
        <v>2510</v>
      </c>
      <c r="D37" s="58" t="s">
        <v>2634</v>
      </c>
      <c r="E37" s="58" t="s">
        <v>2512</v>
      </c>
      <c r="F37" s="58">
        <v>54955</v>
      </c>
      <c r="G37" s="58">
        <v>54955</v>
      </c>
      <c r="H37" s="58"/>
      <c r="I37" s="58" t="s">
        <v>2513</v>
      </c>
      <c r="J37" s="58"/>
      <c r="K37" s="58"/>
      <c r="L37" s="58"/>
      <c r="M37" s="58" t="s">
        <v>60</v>
      </c>
      <c r="N37" s="58" t="s">
        <v>61</v>
      </c>
      <c r="O37" s="58" t="s">
        <v>2635</v>
      </c>
      <c r="P37" s="58" t="s">
        <v>2636</v>
      </c>
      <c r="Q37" s="58"/>
      <c r="R37" s="58"/>
      <c r="S37" s="58"/>
      <c r="T37" s="58" t="s">
        <v>2606</v>
      </c>
      <c r="U37" s="58" t="s">
        <v>2517</v>
      </c>
      <c r="V37" s="58"/>
      <c r="W37" s="58">
        <f t="shared" si="0"/>
        <v>0</v>
      </c>
    </row>
    <row r="38" spans="1:23" ht="25.95" customHeight="1">
      <c r="A38" s="58" t="s">
        <v>57</v>
      </c>
      <c r="B38" s="58" t="s">
        <v>48</v>
      </c>
      <c r="C38" s="58" t="s">
        <v>2510</v>
      </c>
      <c r="D38" s="58" t="s">
        <v>2637</v>
      </c>
      <c r="E38" s="58" t="s">
        <v>2638</v>
      </c>
      <c r="F38" s="58">
        <v>1.3</v>
      </c>
      <c r="G38" s="58">
        <v>1.341388888888889</v>
      </c>
      <c r="H38" s="58"/>
      <c r="I38" s="58" t="s">
        <v>2639</v>
      </c>
      <c r="J38" s="58"/>
      <c r="K38" s="58"/>
      <c r="L38" s="58"/>
      <c r="M38" s="58" t="s">
        <v>60</v>
      </c>
      <c r="N38" s="58" t="s">
        <v>61</v>
      </c>
      <c r="O38" s="58" t="s">
        <v>2640</v>
      </c>
      <c r="P38" s="58" t="s">
        <v>2641</v>
      </c>
      <c r="Q38" s="58"/>
      <c r="R38" s="58"/>
      <c r="S38" s="58"/>
      <c r="T38" s="58" t="s">
        <v>2598</v>
      </c>
      <c r="U38" s="58" t="s">
        <v>2517</v>
      </c>
      <c r="V38" s="58"/>
      <c r="W38" s="58">
        <f t="shared" si="0"/>
        <v>4.1388888888888919E-2</v>
      </c>
    </row>
    <row r="39" spans="1:23" ht="25.95" customHeight="1">
      <c r="A39" s="58" t="s">
        <v>57</v>
      </c>
      <c r="B39" s="58" t="s">
        <v>48</v>
      </c>
      <c r="C39" s="58" t="s">
        <v>2510</v>
      </c>
      <c r="D39" s="58" t="s">
        <v>2642</v>
      </c>
      <c r="E39" s="58" t="s">
        <v>2512</v>
      </c>
      <c r="F39" s="58">
        <v>55130</v>
      </c>
      <c r="G39" s="58">
        <v>55130</v>
      </c>
      <c r="H39" s="58"/>
      <c r="I39" s="58" t="s">
        <v>2513</v>
      </c>
      <c r="J39" s="58"/>
      <c r="K39" s="58"/>
      <c r="L39" s="58"/>
      <c r="M39" s="58" t="s">
        <v>60</v>
      </c>
      <c r="N39" s="58" t="s">
        <v>61</v>
      </c>
      <c r="O39" s="58" t="s">
        <v>2643</v>
      </c>
      <c r="P39" s="58" t="s">
        <v>2644</v>
      </c>
      <c r="Q39" s="58"/>
      <c r="R39" s="58"/>
      <c r="S39" s="58"/>
      <c r="T39" s="58" t="s">
        <v>2606</v>
      </c>
      <c r="U39" s="58" t="s">
        <v>2517</v>
      </c>
      <c r="V39" s="58"/>
      <c r="W39" s="58">
        <f t="shared" si="0"/>
        <v>0</v>
      </c>
    </row>
    <row r="40" spans="1:23" ht="25.95" customHeight="1">
      <c r="A40" s="58" t="s">
        <v>57</v>
      </c>
      <c r="B40" s="58" t="s">
        <v>48</v>
      </c>
      <c r="C40" s="58" t="s">
        <v>2510</v>
      </c>
      <c r="D40" s="58" t="s">
        <v>2595</v>
      </c>
      <c r="E40" s="58" t="s">
        <v>2512</v>
      </c>
      <c r="F40" s="58">
        <v>7525498</v>
      </c>
      <c r="G40" s="58">
        <v>7525498</v>
      </c>
      <c r="H40" s="58"/>
      <c r="I40" s="58" t="s">
        <v>2513</v>
      </c>
      <c r="J40" s="58"/>
      <c r="K40" s="58"/>
      <c r="L40" s="58"/>
      <c r="M40" s="58" t="s">
        <v>60</v>
      </c>
      <c r="N40" s="58" t="s">
        <v>61</v>
      </c>
      <c r="O40" s="58" t="s">
        <v>2645</v>
      </c>
      <c r="P40" s="58" t="s">
        <v>2646</v>
      </c>
      <c r="Q40" s="58"/>
      <c r="R40" s="58"/>
      <c r="S40" s="58"/>
      <c r="T40" s="58" t="s">
        <v>2598</v>
      </c>
      <c r="U40" s="58" t="s">
        <v>2517</v>
      </c>
      <c r="V40" s="58"/>
      <c r="W40" s="58">
        <f t="shared" si="0"/>
        <v>0</v>
      </c>
    </row>
    <row r="41" spans="1:23" ht="25.95" customHeight="1">
      <c r="A41" s="58" t="s">
        <v>57</v>
      </c>
      <c r="B41" s="58" t="s">
        <v>48</v>
      </c>
      <c r="C41" s="58" t="s">
        <v>2580</v>
      </c>
      <c r="D41" s="58" t="s">
        <v>2647</v>
      </c>
      <c r="E41" s="58" t="s">
        <v>2582</v>
      </c>
      <c r="F41" s="58"/>
      <c r="G41" s="58"/>
      <c r="H41" s="58"/>
      <c r="I41" s="58"/>
      <c r="J41" s="58"/>
      <c r="K41" s="58"/>
      <c r="L41" s="58"/>
      <c r="M41" s="58" t="s">
        <v>60</v>
      </c>
      <c r="N41" s="58" t="s">
        <v>61</v>
      </c>
      <c r="O41" s="58" t="s">
        <v>2648</v>
      </c>
      <c r="P41" s="58" t="s">
        <v>2649</v>
      </c>
      <c r="Q41" s="58" t="s">
        <v>44</v>
      </c>
      <c r="R41" s="58"/>
      <c r="S41" s="58"/>
      <c r="T41" s="58"/>
      <c r="U41" s="58" t="s">
        <v>2585</v>
      </c>
      <c r="V41" s="58"/>
      <c r="W41" s="58" t="str">
        <f t="shared" si="0"/>
        <v/>
      </c>
    </row>
    <row r="42" spans="1:23" ht="25.95" customHeight="1">
      <c r="A42" s="58" t="s">
        <v>57</v>
      </c>
      <c r="B42" s="58" t="s">
        <v>48</v>
      </c>
      <c r="C42" s="58" t="s">
        <v>2521</v>
      </c>
      <c r="D42" s="58" t="s">
        <v>2650</v>
      </c>
      <c r="E42" s="58" t="s">
        <v>2523</v>
      </c>
      <c r="F42" s="58"/>
      <c r="G42" s="58"/>
      <c r="H42" s="58"/>
      <c r="I42" s="58"/>
      <c r="J42" s="58"/>
      <c r="K42" s="58"/>
      <c r="L42" s="58"/>
      <c r="M42" s="58" t="s">
        <v>60</v>
      </c>
      <c r="N42" s="58" t="s">
        <v>61</v>
      </c>
      <c r="O42" s="58" t="s">
        <v>2651</v>
      </c>
      <c r="P42" s="58" t="s">
        <v>2652</v>
      </c>
      <c r="Q42" s="58"/>
      <c r="R42" s="58"/>
      <c r="S42" s="58"/>
      <c r="T42" s="58"/>
      <c r="U42" s="58" t="s">
        <v>2517</v>
      </c>
      <c r="V42" s="58"/>
      <c r="W42" s="58" t="str">
        <f t="shared" si="0"/>
        <v/>
      </c>
    </row>
    <row r="43" spans="1:23" ht="25.95" customHeight="1">
      <c r="A43" s="58" t="s">
        <v>57</v>
      </c>
      <c r="B43" s="58" t="s">
        <v>48</v>
      </c>
      <c r="C43" s="58" t="s">
        <v>2510</v>
      </c>
      <c r="D43" s="58" t="s">
        <v>2653</v>
      </c>
      <c r="E43" s="58" t="s">
        <v>2512</v>
      </c>
      <c r="F43" s="58">
        <v>22805</v>
      </c>
      <c r="G43" s="58">
        <v>22805</v>
      </c>
      <c r="H43" s="58"/>
      <c r="I43" s="58" t="s">
        <v>2513</v>
      </c>
      <c r="J43" s="58"/>
      <c r="K43" s="58"/>
      <c r="L43" s="58"/>
      <c r="M43" s="58" t="s">
        <v>60</v>
      </c>
      <c r="N43" s="58" t="s">
        <v>61</v>
      </c>
      <c r="O43" s="58" t="s">
        <v>2654</v>
      </c>
      <c r="P43" s="58" t="s">
        <v>2655</v>
      </c>
      <c r="Q43" s="58"/>
      <c r="R43" s="58"/>
      <c r="S43" s="58"/>
      <c r="T43" s="58" t="s">
        <v>2598</v>
      </c>
      <c r="U43" s="58" t="s">
        <v>2517</v>
      </c>
      <c r="V43" s="58"/>
      <c r="W43" s="58">
        <f t="shared" si="0"/>
        <v>0</v>
      </c>
    </row>
    <row r="44" spans="1:23" ht="25.95" customHeight="1">
      <c r="A44" s="58" t="s">
        <v>57</v>
      </c>
      <c r="B44" s="58" t="s">
        <v>48</v>
      </c>
      <c r="C44" s="58" t="s">
        <v>2521</v>
      </c>
      <c r="D44" s="58" t="s">
        <v>2656</v>
      </c>
      <c r="E44" s="58" t="s">
        <v>2523</v>
      </c>
      <c r="F44" s="58"/>
      <c r="G44" s="58"/>
      <c r="H44" s="58"/>
      <c r="I44" s="58"/>
      <c r="J44" s="58"/>
      <c r="K44" s="58"/>
      <c r="L44" s="58"/>
      <c r="M44" s="58" t="s">
        <v>60</v>
      </c>
      <c r="N44" s="58" t="s">
        <v>61</v>
      </c>
      <c r="O44" s="58" t="s">
        <v>2657</v>
      </c>
      <c r="P44" s="58" t="s">
        <v>2658</v>
      </c>
      <c r="Q44" s="58"/>
      <c r="R44" s="58"/>
      <c r="S44" s="58"/>
      <c r="T44" s="58"/>
      <c r="U44" s="58" t="s">
        <v>2517</v>
      </c>
      <c r="V44" s="58"/>
      <c r="W44" s="58" t="str">
        <f t="shared" si="0"/>
        <v/>
      </c>
    </row>
    <row r="45" spans="1:23" ht="25.95" customHeight="1">
      <c r="A45" s="58" t="s">
        <v>57</v>
      </c>
      <c r="B45" s="58" t="s">
        <v>48</v>
      </c>
      <c r="C45" s="58" t="s">
        <v>2510</v>
      </c>
      <c r="D45" s="58" t="s">
        <v>2659</v>
      </c>
      <c r="E45" s="58" t="s">
        <v>2638</v>
      </c>
      <c r="F45" s="58">
        <v>87.5</v>
      </c>
      <c r="G45" s="58">
        <v>87.53</v>
      </c>
      <c r="H45" s="58"/>
      <c r="I45" s="58" t="s">
        <v>2639</v>
      </c>
      <c r="J45" s="58"/>
      <c r="K45" s="58"/>
      <c r="L45" s="58"/>
      <c r="M45" s="58" t="s">
        <v>60</v>
      </c>
      <c r="N45" s="58" t="s">
        <v>61</v>
      </c>
      <c r="O45" s="58" t="s">
        <v>2660</v>
      </c>
      <c r="P45" s="58" t="s">
        <v>2661</v>
      </c>
      <c r="Q45" s="58"/>
      <c r="R45" s="58"/>
      <c r="S45" s="58"/>
      <c r="T45" s="58" t="s">
        <v>2598</v>
      </c>
      <c r="U45" s="58" t="s">
        <v>2517</v>
      </c>
      <c r="V45" s="58"/>
      <c r="W45" s="58">
        <f t="shared" si="0"/>
        <v>3.0000000000001137E-2</v>
      </c>
    </row>
    <row r="46" spans="1:23" ht="31.2">
      <c r="A46" s="58" t="s">
        <v>63</v>
      </c>
      <c r="B46" s="58" t="s">
        <v>48</v>
      </c>
      <c r="C46" s="58" t="s">
        <v>2521</v>
      </c>
      <c r="D46" s="58" t="s">
        <v>2662</v>
      </c>
      <c r="E46" s="58" t="s">
        <v>2622</v>
      </c>
      <c r="F46" s="58"/>
      <c r="G46" s="58"/>
      <c r="H46" s="58"/>
      <c r="I46" s="58"/>
      <c r="J46" s="58"/>
      <c r="K46" s="58"/>
      <c r="L46" s="58"/>
      <c r="M46" s="58" t="s">
        <v>67</v>
      </c>
      <c r="N46" s="58" t="s">
        <v>68</v>
      </c>
      <c r="O46" s="58" t="s">
        <v>2663</v>
      </c>
      <c r="P46" s="58" t="s">
        <v>2664</v>
      </c>
      <c r="Q46" s="58"/>
      <c r="R46" s="58"/>
      <c r="S46" s="58"/>
      <c r="T46" s="58"/>
      <c r="U46" s="58" t="s">
        <v>2517</v>
      </c>
      <c r="V46" s="58"/>
      <c r="W46" s="58" t="str">
        <f t="shared" si="0"/>
        <v/>
      </c>
    </row>
    <row r="47" spans="1:23" ht="31.2">
      <c r="A47" s="58" t="s">
        <v>63</v>
      </c>
      <c r="B47" s="58" t="s">
        <v>48</v>
      </c>
      <c r="C47" s="58" t="s">
        <v>2510</v>
      </c>
      <c r="D47" s="58" t="s">
        <v>2618</v>
      </c>
      <c r="E47" s="58" t="s">
        <v>2512</v>
      </c>
      <c r="F47" s="58">
        <v>3639698</v>
      </c>
      <c r="G47" s="58">
        <v>3639698</v>
      </c>
      <c r="H47" s="58"/>
      <c r="I47" s="58" t="s">
        <v>2513</v>
      </c>
      <c r="J47" s="58"/>
      <c r="K47" s="58"/>
      <c r="L47" s="58"/>
      <c r="M47" s="58" t="s">
        <v>67</v>
      </c>
      <c r="N47" s="58" t="s">
        <v>68</v>
      </c>
      <c r="O47" s="58" t="s">
        <v>2665</v>
      </c>
      <c r="P47" s="58" t="s">
        <v>2666</v>
      </c>
      <c r="Q47" s="58"/>
      <c r="R47" s="58"/>
      <c r="S47" s="58"/>
      <c r="T47" s="58" t="s">
        <v>2606</v>
      </c>
      <c r="U47" s="58" t="s">
        <v>2517</v>
      </c>
      <c r="V47" s="58"/>
      <c r="W47" s="58">
        <f t="shared" si="0"/>
        <v>0</v>
      </c>
    </row>
    <row r="48" spans="1:23" ht="31.2">
      <c r="A48" s="58" t="s">
        <v>63</v>
      </c>
      <c r="B48" s="58" t="s">
        <v>48</v>
      </c>
      <c r="C48" s="58" t="s">
        <v>2510</v>
      </c>
      <c r="D48" s="58" t="s">
        <v>2667</v>
      </c>
      <c r="E48" s="58" t="s">
        <v>2512</v>
      </c>
      <c r="F48" s="58">
        <v>22790</v>
      </c>
      <c r="G48" s="58">
        <v>22790</v>
      </c>
      <c r="H48" s="58"/>
      <c r="I48" s="58" t="s">
        <v>2513</v>
      </c>
      <c r="J48" s="58"/>
      <c r="K48" s="58"/>
      <c r="L48" s="58"/>
      <c r="M48" s="58" t="s">
        <v>67</v>
      </c>
      <c r="N48" s="58" t="s">
        <v>68</v>
      </c>
      <c r="O48" s="58" t="s">
        <v>2668</v>
      </c>
      <c r="P48" s="58" t="s">
        <v>2669</v>
      </c>
      <c r="Q48" s="58"/>
      <c r="R48" s="58"/>
      <c r="S48" s="58"/>
      <c r="T48" s="58" t="s">
        <v>2598</v>
      </c>
      <c r="U48" s="58" t="s">
        <v>2517</v>
      </c>
      <c r="V48" s="58"/>
      <c r="W48" s="58">
        <f t="shared" si="0"/>
        <v>0</v>
      </c>
    </row>
    <row r="49" spans="1:23" ht="31.2">
      <c r="A49" s="58" t="s">
        <v>63</v>
      </c>
      <c r="B49" s="58" t="s">
        <v>48</v>
      </c>
      <c r="C49" s="58" t="s">
        <v>2510</v>
      </c>
      <c r="D49" s="58" t="s">
        <v>2659</v>
      </c>
      <c r="E49" s="58" t="s">
        <v>2638</v>
      </c>
      <c r="F49" s="58">
        <v>87.5</v>
      </c>
      <c r="G49" s="58">
        <v>87.530833333333334</v>
      </c>
      <c r="H49" s="58"/>
      <c r="I49" s="58" t="s">
        <v>2639</v>
      </c>
      <c r="J49" s="58"/>
      <c r="K49" s="58"/>
      <c r="L49" s="58"/>
      <c r="M49" s="58" t="s">
        <v>67</v>
      </c>
      <c r="N49" s="58" t="s">
        <v>68</v>
      </c>
      <c r="O49" s="58" t="s">
        <v>2670</v>
      </c>
      <c r="P49" s="58" t="s">
        <v>2671</v>
      </c>
      <c r="Q49" s="58"/>
      <c r="R49" s="58"/>
      <c r="S49" s="58"/>
      <c r="T49" s="58" t="s">
        <v>2598</v>
      </c>
      <c r="U49" s="58" t="s">
        <v>2517</v>
      </c>
      <c r="V49" s="58"/>
      <c r="W49" s="58">
        <f t="shared" si="0"/>
        <v>3.0833333333333712E-2</v>
      </c>
    </row>
    <row r="50" spans="1:23" ht="31.2">
      <c r="A50" s="58" t="s">
        <v>63</v>
      </c>
      <c r="B50" s="58" t="s">
        <v>48</v>
      </c>
      <c r="C50" s="58" t="s">
        <v>2521</v>
      </c>
      <c r="D50" s="58" t="s">
        <v>2672</v>
      </c>
      <c r="E50" s="58" t="s">
        <v>2673</v>
      </c>
      <c r="F50" s="58"/>
      <c r="G50" s="58"/>
      <c r="H50" s="58"/>
      <c r="I50" s="58"/>
      <c r="J50" s="58"/>
      <c r="K50" s="58"/>
      <c r="L50" s="58"/>
      <c r="M50" s="58" t="s">
        <v>67</v>
      </c>
      <c r="N50" s="58" t="s">
        <v>68</v>
      </c>
      <c r="O50" s="58" t="s">
        <v>2674</v>
      </c>
      <c r="P50" s="58" t="s">
        <v>2675</v>
      </c>
      <c r="Q50" s="58"/>
      <c r="R50" s="58"/>
      <c r="S50" s="58"/>
      <c r="T50" s="58"/>
      <c r="U50" s="58" t="s">
        <v>2517</v>
      </c>
      <c r="V50" s="58"/>
      <c r="W50" s="58" t="str">
        <f t="shared" si="0"/>
        <v/>
      </c>
    </row>
    <row r="51" spans="1:23" ht="31.2">
      <c r="A51" s="58" t="s">
        <v>63</v>
      </c>
      <c r="B51" s="58" t="s">
        <v>48</v>
      </c>
      <c r="C51" s="58" t="s">
        <v>2510</v>
      </c>
      <c r="D51" s="58" t="s">
        <v>2676</v>
      </c>
      <c r="E51" s="58" t="s">
        <v>2512</v>
      </c>
      <c r="F51" s="58">
        <v>79928</v>
      </c>
      <c r="G51" s="58">
        <v>79928</v>
      </c>
      <c r="H51" s="58"/>
      <c r="I51" s="58" t="s">
        <v>2513</v>
      </c>
      <c r="J51" s="58"/>
      <c r="K51" s="58"/>
      <c r="L51" s="58"/>
      <c r="M51" s="58" t="s">
        <v>67</v>
      </c>
      <c r="N51" s="58" t="s">
        <v>68</v>
      </c>
      <c r="O51" s="58" t="s">
        <v>2677</v>
      </c>
      <c r="P51" s="58" t="s">
        <v>2678</v>
      </c>
      <c r="Q51" s="58"/>
      <c r="R51" s="58"/>
      <c r="S51" s="58"/>
      <c r="T51" s="58" t="s">
        <v>2598</v>
      </c>
      <c r="U51" s="58" t="s">
        <v>2517</v>
      </c>
      <c r="V51" s="58"/>
      <c r="W51" s="58">
        <f t="shared" si="0"/>
        <v>0</v>
      </c>
    </row>
    <row r="52" spans="1:23" ht="31.2">
      <c r="A52" s="58" t="s">
        <v>63</v>
      </c>
      <c r="B52" s="58" t="s">
        <v>48</v>
      </c>
      <c r="C52" s="58" t="s">
        <v>2510</v>
      </c>
      <c r="D52" s="58" t="s">
        <v>2637</v>
      </c>
      <c r="E52" s="58" t="s">
        <v>2638</v>
      </c>
      <c r="F52" s="58">
        <v>1.3</v>
      </c>
      <c r="G52" s="58">
        <v>1.3411111111111109</v>
      </c>
      <c r="H52" s="58"/>
      <c r="I52" s="58" t="s">
        <v>2639</v>
      </c>
      <c r="J52" s="58"/>
      <c r="K52" s="58"/>
      <c r="L52" s="58"/>
      <c r="M52" s="58" t="s">
        <v>67</v>
      </c>
      <c r="N52" s="58" t="s">
        <v>68</v>
      </c>
      <c r="O52" s="58" t="s">
        <v>2679</v>
      </c>
      <c r="P52" s="58" t="s">
        <v>2680</v>
      </c>
      <c r="Q52" s="58"/>
      <c r="R52" s="58"/>
      <c r="S52" s="58"/>
      <c r="T52" s="58" t="s">
        <v>2598</v>
      </c>
      <c r="U52" s="58" t="s">
        <v>2517</v>
      </c>
      <c r="V52" s="58"/>
      <c r="W52" s="58">
        <f t="shared" si="0"/>
        <v>4.1111111111110876E-2</v>
      </c>
    </row>
    <row r="53" spans="1:23" ht="31.2">
      <c r="A53" s="58" t="s">
        <v>63</v>
      </c>
      <c r="B53" s="58" t="s">
        <v>48</v>
      </c>
      <c r="C53" s="58" t="s">
        <v>2510</v>
      </c>
      <c r="D53" s="58" t="s">
        <v>2681</v>
      </c>
      <c r="E53" s="58" t="s">
        <v>2638</v>
      </c>
      <c r="F53" s="58">
        <v>1.23</v>
      </c>
      <c r="G53" s="58">
        <v>1.2261623693440009</v>
      </c>
      <c r="H53" s="58"/>
      <c r="I53" s="58" t="s">
        <v>2682</v>
      </c>
      <c r="J53" s="58"/>
      <c r="K53" s="58"/>
      <c r="L53" s="58"/>
      <c r="M53" s="58" t="s">
        <v>67</v>
      </c>
      <c r="N53" s="58" t="s">
        <v>68</v>
      </c>
      <c r="O53" s="58" t="s">
        <v>2683</v>
      </c>
      <c r="P53" s="58" t="s">
        <v>2684</v>
      </c>
      <c r="Q53" s="58"/>
      <c r="R53" s="58"/>
      <c r="S53" s="58"/>
      <c r="T53" s="58" t="s">
        <v>2598</v>
      </c>
      <c r="U53" s="58" t="s">
        <v>2517</v>
      </c>
      <c r="V53" s="58"/>
      <c r="W53" s="58">
        <f t="shared" si="0"/>
        <v>-3.8376306559990692E-3</v>
      </c>
    </row>
    <row r="54" spans="1:23" ht="31.2">
      <c r="A54" s="58" t="s">
        <v>63</v>
      </c>
      <c r="B54" s="58" t="s">
        <v>48</v>
      </c>
      <c r="C54" s="58" t="s">
        <v>2510</v>
      </c>
      <c r="D54" s="58" t="s">
        <v>2685</v>
      </c>
      <c r="E54" s="58" t="s">
        <v>2686</v>
      </c>
      <c r="F54" s="58">
        <v>189</v>
      </c>
      <c r="G54" s="58">
        <v>882</v>
      </c>
      <c r="H54" s="58"/>
      <c r="I54" s="58" t="s">
        <v>2513</v>
      </c>
      <c r="J54" s="58"/>
      <c r="K54" s="58"/>
      <c r="L54" s="58"/>
      <c r="M54" s="58" t="s">
        <v>67</v>
      </c>
      <c r="N54" s="58" t="s">
        <v>68</v>
      </c>
      <c r="O54" s="58" t="s">
        <v>2687</v>
      </c>
      <c r="P54" s="58" t="s">
        <v>2688</v>
      </c>
      <c r="Q54" s="58"/>
      <c r="R54" s="58"/>
      <c r="S54" s="58"/>
      <c r="T54" s="58" t="s">
        <v>2598</v>
      </c>
      <c r="U54" s="58" t="s">
        <v>2517</v>
      </c>
      <c r="V54" s="58"/>
      <c r="W54" s="58">
        <f t="shared" si="0"/>
        <v>693</v>
      </c>
    </row>
    <row r="55" spans="1:23" ht="31.2">
      <c r="A55" s="58" t="s">
        <v>63</v>
      </c>
      <c r="B55" s="58" t="s">
        <v>48</v>
      </c>
      <c r="C55" s="58" t="s">
        <v>2521</v>
      </c>
      <c r="D55" s="58" t="s">
        <v>2689</v>
      </c>
      <c r="E55" s="58" t="s">
        <v>2600</v>
      </c>
      <c r="F55" s="58"/>
      <c r="G55" s="58"/>
      <c r="H55" s="58"/>
      <c r="I55" s="58"/>
      <c r="J55" s="58"/>
      <c r="K55" s="58"/>
      <c r="L55" s="58"/>
      <c r="M55" s="58" t="s">
        <v>67</v>
      </c>
      <c r="N55" s="58" t="s">
        <v>68</v>
      </c>
      <c r="O55" s="58" t="s">
        <v>2690</v>
      </c>
      <c r="P55" s="58" t="s">
        <v>2691</v>
      </c>
      <c r="Q55" s="58"/>
      <c r="R55" s="58"/>
      <c r="S55" s="58"/>
      <c r="T55" s="58"/>
      <c r="U55" s="58" t="s">
        <v>2517</v>
      </c>
      <c r="V55" s="58"/>
      <c r="W55" s="58" t="str">
        <f t="shared" si="0"/>
        <v/>
      </c>
    </row>
    <row r="56" spans="1:23" ht="31.2">
      <c r="A56" s="58" t="s">
        <v>63</v>
      </c>
      <c r="B56" s="58" t="s">
        <v>48</v>
      </c>
      <c r="C56" s="58" t="s">
        <v>2510</v>
      </c>
      <c r="D56" s="58" t="s">
        <v>2692</v>
      </c>
      <c r="E56" s="58" t="s">
        <v>2512</v>
      </c>
      <c r="F56" s="58">
        <v>4313</v>
      </c>
      <c r="G56" s="58">
        <v>4313</v>
      </c>
      <c r="H56" s="58"/>
      <c r="I56" s="58" t="s">
        <v>2513</v>
      </c>
      <c r="J56" s="58"/>
      <c r="K56" s="58"/>
      <c r="L56" s="58"/>
      <c r="M56" s="58" t="s">
        <v>67</v>
      </c>
      <c r="N56" s="58" t="s">
        <v>68</v>
      </c>
      <c r="O56" s="58" t="s">
        <v>2693</v>
      </c>
      <c r="P56" s="58" t="s">
        <v>2694</v>
      </c>
      <c r="Q56" s="58"/>
      <c r="R56" s="58"/>
      <c r="S56" s="58"/>
      <c r="T56" s="58" t="s">
        <v>2598</v>
      </c>
      <c r="U56" s="58" t="s">
        <v>2517</v>
      </c>
      <c r="V56" s="58"/>
      <c r="W56" s="58">
        <f t="shared" si="0"/>
        <v>0</v>
      </c>
    </row>
    <row r="57" spans="1:23" ht="31.2">
      <c r="A57" s="58" t="s">
        <v>63</v>
      </c>
      <c r="B57" s="58" t="s">
        <v>48</v>
      </c>
      <c r="C57" s="58" t="s">
        <v>2510</v>
      </c>
      <c r="D57" s="58" t="s">
        <v>2695</v>
      </c>
      <c r="E57" s="58" t="s">
        <v>2512</v>
      </c>
      <c r="F57" s="58">
        <v>63722</v>
      </c>
      <c r="G57" s="58">
        <v>63722</v>
      </c>
      <c r="H57" s="58"/>
      <c r="I57" s="58" t="s">
        <v>2513</v>
      </c>
      <c r="J57" s="58"/>
      <c r="K57" s="58"/>
      <c r="L57" s="58"/>
      <c r="M57" s="58" t="s">
        <v>67</v>
      </c>
      <c r="N57" s="58" t="s">
        <v>68</v>
      </c>
      <c r="O57" s="58" t="s">
        <v>2696</v>
      </c>
      <c r="P57" s="58" t="s">
        <v>2697</v>
      </c>
      <c r="Q57" s="58"/>
      <c r="R57" s="58"/>
      <c r="S57" s="58"/>
      <c r="T57" s="58" t="s">
        <v>2598</v>
      </c>
      <c r="U57" s="58" t="s">
        <v>2517</v>
      </c>
      <c r="V57" s="58"/>
      <c r="W57" s="58">
        <f t="shared" si="0"/>
        <v>0</v>
      </c>
    </row>
    <row r="58" spans="1:23" ht="31.2">
      <c r="A58" s="58" t="s">
        <v>63</v>
      </c>
      <c r="B58" s="58" t="s">
        <v>48</v>
      </c>
      <c r="C58" s="58" t="s">
        <v>2521</v>
      </c>
      <c r="D58" s="58" t="s">
        <v>2698</v>
      </c>
      <c r="E58" s="58" t="s">
        <v>2622</v>
      </c>
      <c r="F58" s="58"/>
      <c r="G58" s="58"/>
      <c r="H58" s="58"/>
      <c r="I58" s="58"/>
      <c r="J58" s="58"/>
      <c r="K58" s="58"/>
      <c r="L58" s="58"/>
      <c r="M58" s="58" t="s">
        <v>67</v>
      </c>
      <c r="N58" s="58" t="s">
        <v>68</v>
      </c>
      <c r="O58" s="58" t="s">
        <v>2699</v>
      </c>
      <c r="P58" s="58" t="s">
        <v>2700</v>
      </c>
      <c r="Q58" s="58"/>
      <c r="R58" s="58"/>
      <c r="S58" s="58"/>
      <c r="T58" s="58"/>
      <c r="U58" s="58" t="s">
        <v>2517</v>
      </c>
      <c r="V58" s="58"/>
      <c r="W58" s="58" t="str">
        <f t="shared" si="0"/>
        <v/>
      </c>
    </row>
    <row r="59" spans="1:23" ht="31.2">
      <c r="A59" s="58" t="s">
        <v>63</v>
      </c>
      <c r="B59" s="58" t="s">
        <v>48</v>
      </c>
      <c r="C59" s="58" t="s">
        <v>2510</v>
      </c>
      <c r="D59" s="58" t="s">
        <v>2631</v>
      </c>
      <c r="E59" s="58" t="s">
        <v>2512</v>
      </c>
      <c r="F59" s="58">
        <v>3293003</v>
      </c>
      <c r="G59" s="58">
        <v>3293003</v>
      </c>
      <c r="H59" s="58"/>
      <c r="I59" s="58" t="s">
        <v>2513</v>
      </c>
      <c r="J59" s="58"/>
      <c r="K59" s="58"/>
      <c r="L59" s="58"/>
      <c r="M59" s="58" t="s">
        <v>67</v>
      </c>
      <c r="N59" s="58" t="s">
        <v>68</v>
      </c>
      <c r="O59" s="58" t="s">
        <v>2701</v>
      </c>
      <c r="P59" s="58" t="s">
        <v>2702</v>
      </c>
      <c r="Q59" s="58"/>
      <c r="R59" s="58"/>
      <c r="S59" s="58"/>
      <c r="T59" s="58" t="s">
        <v>2606</v>
      </c>
      <c r="U59" s="58" t="s">
        <v>2517</v>
      </c>
      <c r="V59" s="58"/>
      <c r="W59" s="58">
        <f t="shared" si="0"/>
        <v>0</v>
      </c>
    </row>
    <row r="60" spans="1:23" ht="31.2">
      <c r="A60" s="58" t="s">
        <v>63</v>
      </c>
      <c r="B60" s="58" t="s">
        <v>48</v>
      </c>
      <c r="C60" s="58" t="s">
        <v>2521</v>
      </c>
      <c r="D60" s="58" t="s">
        <v>2703</v>
      </c>
      <c r="E60" s="58" t="s">
        <v>2600</v>
      </c>
      <c r="F60" s="58"/>
      <c r="G60" s="58"/>
      <c r="H60" s="58"/>
      <c r="I60" s="58"/>
      <c r="J60" s="58"/>
      <c r="K60" s="58"/>
      <c r="L60" s="58"/>
      <c r="M60" s="58" t="s">
        <v>67</v>
      </c>
      <c r="N60" s="58" t="s">
        <v>68</v>
      </c>
      <c r="O60" s="58" t="s">
        <v>2704</v>
      </c>
      <c r="P60" s="58" t="s">
        <v>2705</v>
      </c>
      <c r="Q60" s="58"/>
      <c r="R60" s="58"/>
      <c r="S60" s="58"/>
      <c r="T60" s="58"/>
      <c r="U60" s="58" t="s">
        <v>2517</v>
      </c>
      <c r="V60" s="58"/>
      <c r="W60" s="58" t="str">
        <f t="shared" si="0"/>
        <v/>
      </c>
    </row>
    <row r="61" spans="1:23" ht="31.2">
      <c r="A61" s="58" t="s">
        <v>63</v>
      </c>
      <c r="B61" s="58" t="s">
        <v>48</v>
      </c>
      <c r="C61" s="58" t="s">
        <v>2521</v>
      </c>
      <c r="D61" s="58" t="s">
        <v>2706</v>
      </c>
      <c r="E61" s="58" t="s">
        <v>2673</v>
      </c>
      <c r="F61" s="58"/>
      <c r="G61" s="58"/>
      <c r="H61" s="58"/>
      <c r="I61" s="58"/>
      <c r="J61" s="58"/>
      <c r="K61" s="58"/>
      <c r="L61" s="58"/>
      <c r="M61" s="58" t="s">
        <v>67</v>
      </c>
      <c r="N61" s="58" t="s">
        <v>68</v>
      </c>
      <c r="O61" s="58" t="s">
        <v>2707</v>
      </c>
      <c r="P61" s="58" t="s">
        <v>2708</v>
      </c>
      <c r="Q61" s="58"/>
      <c r="R61" s="58"/>
      <c r="S61" s="58"/>
      <c r="T61" s="58"/>
      <c r="U61" s="58" t="s">
        <v>2517</v>
      </c>
      <c r="V61" s="58"/>
      <c r="W61" s="58" t="str">
        <f t="shared" si="0"/>
        <v/>
      </c>
    </row>
    <row r="62" spans="1:23" ht="31.2">
      <c r="A62" s="58" t="s">
        <v>63</v>
      </c>
      <c r="B62" s="58" t="s">
        <v>48</v>
      </c>
      <c r="C62" s="58" t="s">
        <v>2510</v>
      </c>
      <c r="D62" s="58" t="s">
        <v>2709</v>
      </c>
      <c r="E62" s="58" t="s">
        <v>2638</v>
      </c>
      <c r="F62" s="58">
        <v>3.87</v>
      </c>
      <c r="G62" s="58">
        <v>3.866720048886874</v>
      </c>
      <c r="H62" s="58"/>
      <c r="I62" s="58" t="s">
        <v>2682</v>
      </c>
      <c r="J62" s="58"/>
      <c r="K62" s="58"/>
      <c r="L62" s="58"/>
      <c r="M62" s="58" t="s">
        <v>67</v>
      </c>
      <c r="N62" s="58" t="s">
        <v>68</v>
      </c>
      <c r="O62" s="58" t="s">
        <v>2710</v>
      </c>
      <c r="P62" s="58" t="s">
        <v>2711</v>
      </c>
      <c r="Q62" s="58"/>
      <c r="R62" s="58"/>
      <c r="S62" s="58"/>
      <c r="T62" s="58" t="s">
        <v>2598</v>
      </c>
      <c r="U62" s="58" t="s">
        <v>2517</v>
      </c>
      <c r="V62" s="58"/>
      <c r="W62" s="58">
        <f t="shared" si="0"/>
        <v>-3.2799511131260672E-3</v>
      </c>
    </row>
    <row r="63" spans="1:23" ht="31.2">
      <c r="A63" s="58" t="s">
        <v>63</v>
      </c>
      <c r="B63" s="58" t="s">
        <v>48</v>
      </c>
      <c r="C63" s="58" t="s">
        <v>2510</v>
      </c>
      <c r="D63" s="58" t="s">
        <v>2712</v>
      </c>
      <c r="E63" s="58" t="s">
        <v>2686</v>
      </c>
      <c r="F63" s="58">
        <v>1533142</v>
      </c>
      <c r="G63" s="58">
        <v>1000893</v>
      </c>
      <c r="H63" s="58"/>
      <c r="I63" s="58" t="s">
        <v>2513</v>
      </c>
      <c r="J63" s="58"/>
      <c r="K63" s="58"/>
      <c r="L63" s="58"/>
      <c r="M63" s="58" t="s">
        <v>67</v>
      </c>
      <c r="N63" s="58" t="s">
        <v>68</v>
      </c>
      <c r="O63" s="58" t="s">
        <v>2713</v>
      </c>
      <c r="P63" s="58" t="s">
        <v>2714</v>
      </c>
      <c r="Q63" s="58"/>
      <c r="R63" s="58"/>
      <c r="S63" s="58"/>
      <c r="T63" s="58" t="s">
        <v>2598</v>
      </c>
      <c r="U63" s="58" t="s">
        <v>2517</v>
      </c>
      <c r="V63" s="58"/>
      <c r="W63" s="58">
        <f t="shared" si="0"/>
        <v>-532249</v>
      </c>
    </row>
    <row r="64" spans="1:23" ht="31.2">
      <c r="A64" s="58" t="s">
        <v>63</v>
      </c>
      <c r="B64" s="58" t="s">
        <v>48</v>
      </c>
      <c r="C64" s="58" t="s">
        <v>2607</v>
      </c>
      <c r="D64" s="58" t="s">
        <v>2715</v>
      </c>
      <c r="E64" s="58" t="s">
        <v>2609</v>
      </c>
      <c r="F64" s="58"/>
      <c r="G64" s="58"/>
      <c r="H64" s="58"/>
      <c r="I64" s="58"/>
      <c r="J64" s="58"/>
      <c r="K64" s="58"/>
      <c r="L64" s="58" t="s">
        <v>274</v>
      </c>
      <c r="M64" s="58" t="s">
        <v>67</v>
      </c>
      <c r="N64" s="58" t="s">
        <v>68</v>
      </c>
      <c r="O64" s="58" t="s">
        <v>2716</v>
      </c>
      <c r="P64" s="58" t="s">
        <v>2717</v>
      </c>
      <c r="Q64" s="58" t="s">
        <v>44</v>
      </c>
      <c r="R64" s="58"/>
      <c r="S64" s="58"/>
      <c r="T64" s="58"/>
      <c r="U64" s="58" t="s">
        <v>2517</v>
      </c>
      <c r="V64" s="58" t="s">
        <v>2718</v>
      </c>
      <c r="W64" s="58" t="str">
        <f t="shared" si="0"/>
        <v/>
      </c>
    </row>
    <row r="65" spans="1:23" ht="31.2">
      <c r="A65" s="58" t="s">
        <v>63</v>
      </c>
      <c r="B65" s="58" t="s">
        <v>48</v>
      </c>
      <c r="C65" s="58" t="s">
        <v>2510</v>
      </c>
      <c r="D65" s="58" t="s">
        <v>2719</v>
      </c>
      <c r="E65" s="58" t="s">
        <v>2512</v>
      </c>
      <c r="F65" s="58">
        <v>4981</v>
      </c>
      <c r="G65" s="58">
        <v>4981</v>
      </c>
      <c r="H65" s="58"/>
      <c r="I65" s="58" t="s">
        <v>2513</v>
      </c>
      <c r="J65" s="58"/>
      <c r="K65" s="58"/>
      <c r="L65" s="58"/>
      <c r="M65" s="58" t="s">
        <v>67</v>
      </c>
      <c r="N65" s="58" t="s">
        <v>68</v>
      </c>
      <c r="O65" s="58" t="s">
        <v>2720</v>
      </c>
      <c r="P65" s="58" t="s">
        <v>2721</v>
      </c>
      <c r="Q65" s="58"/>
      <c r="R65" s="58"/>
      <c r="S65" s="58"/>
      <c r="T65" s="58" t="s">
        <v>2598</v>
      </c>
      <c r="U65" s="58" t="s">
        <v>2517</v>
      </c>
      <c r="V65" s="58"/>
      <c r="W65" s="58">
        <f t="shared" si="0"/>
        <v>0</v>
      </c>
    </row>
    <row r="66" spans="1:23" ht="31.2">
      <c r="A66" s="58" t="s">
        <v>63</v>
      </c>
      <c r="B66" s="58" t="s">
        <v>48</v>
      </c>
      <c r="C66" s="58" t="s">
        <v>2510</v>
      </c>
      <c r="D66" s="58" t="s">
        <v>2722</v>
      </c>
      <c r="E66" s="58" t="s">
        <v>2638</v>
      </c>
      <c r="F66" s="58">
        <v>1.1499999999999999</v>
      </c>
      <c r="G66" s="58">
        <v>1.1536573361279689</v>
      </c>
      <c r="H66" s="58"/>
      <c r="I66" s="58" t="s">
        <v>2682</v>
      </c>
      <c r="J66" s="58"/>
      <c r="K66" s="58"/>
      <c r="L66" s="58"/>
      <c r="M66" s="58" t="s">
        <v>67</v>
      </c>
      <c r="N66" s="58" t="s">
        <v>68</v>
      </c>
      <c r="O66" s="58" t="s">
        <v>2723</v>
      </c>
      <c r="P66" s="58" t="s">
        <v>2724</v>
      </c>
      <c r="Q66" s="58"/>
      <c r="R66" s="58"/>
      <c r="S66" s="58"/>
      <c r="T66" s="58" t="s">
        <v>2598</v>
      </c>
      <c r="U66" s="58" t="s">
        <v>2517</v>
      </c>
      <c r="V66" s="58"/>
      <c r="W66" s="58">
        <f t="shared" ref="W66:W129" si="1">IF(COUNT(F66:G66)=2,G66-F66,"")</f>
        <v>3.6573361279690353E-3</v>
      </c>
    </row>
    <row r="67" spans="1:23" ht="31.2">
      <c r="A67" s="58" t="s">
        <v>63</v>
      </c>
      <c r="B67" s="58" t="s">
        <v>48</v>
      </c>
      <c r="C67" s="58" t="s">
        <v>2580</v>
      </c>
      <c r="D67" s="58" t="s">
        <v>2725</v>
      </c>
      <c r="E67" s="58" t="s">
        <v>2582</v>
      </c>
      <c r="F67" s="58"/>
      <c r="G67" s="58"/>
      <c r="H67" s="58"/>
      <c r="I67" s="58"/>
      <c r="J67" s="58"/>
      <c r="K67" s="58" t="s">
        <v>273</v>
      </c>
      <c r="L67" s="58" t="s">
        <v>273</v>
      </c>
      <c r="M67" s="58" t="s">
        <v>67</v>
      </c>
      <c r="N67" s="58" t="s">
        <v>68</v>
      </c>
      <c r="O67" s="58" t="s">
        <v>2726</v>
      </c>
      <c r="P67" s="58" t="s">
        <v>2727</v>
      </c>
      <c r="Q67" s="58" t="s">
        <v>44</v>
      </c>
      <c r="R67" s="58"/>
      <c r="S67" s="58"/>
      <c r="T67" s="58"/>
      <c r="U67" s="58" t="s">
        <v>2585</v>
      </c>
      <c r="V67" s="58"/>
      <c r="W67" s="58" t="str">
        <f t="shared" si="1"/>
        <v/>
      </c>
    </row>
    <row r="68" spans="1:23" ht="31.2">
      <c r="A68" s="58" t="s">
        <v>63</v>
      </c>
      <c r="B68" s="58" t="s">
        <v>48</v>
      </c>
      <c r="C68" s="58" t="s">
        <v>2510</v>
      </c>
      <c r="D68" s="58" t="s">
        <v>2595</v>
      </c>
      <c r="E68" s="58" t="s">
        <v>2512</v>
      </c>
      <c r="F68" s="58">
        <v>7525498</v>
      </c>
      <c r="G68" s="58">
        <v>7525498</v>
      </c>
      <c r="H68" s="58"/>
      <c r="I68" s="58" t="s">
        <v>2513</v>
      </c>
      <c r="J68" s="58"/>
      <c r="K68" s="58"/>
      <c r="L68" s="58"/>
      <c r="M68" s="58" t="s">
        <v>67</v>
      </c>
      <c r="N68" s="58" t="s">
        <v>68</v>
      </c>
      <c r="O68" s="58" t="s">
        <v>2728</v>
      </c>
      <c r="P68" s="58" t="s">
        <v>2729</v>
      </c>
      <c r="Q68" s="58"/>
      <c r="R68" s="58"/>
      <c r="S68" s="58"/>
      <c r="T68" s="58" t="s">
        <v>2598</v>
      </c>
      <c r="U68" s="58" t="s">
        <v>2517</v>
      </c>
      <c r="V68" s="58"/>
      <c r="W68" s="58">
        <f t="shared" si="1"/>
        <v>0</v>
      </c>
    </row>
    <row r="69" spans="1:23" ht="31.2">
      <c r="A69" s="58" t="s">
        <v>63</v>
      </c>
      <c r="B69" s="58" t="s">
        <v>48</v>
      </c>
      <c r="C69" s="58" t="s">
        <v>2510</v>
      </c>
      <c r="D69" s="58" t="s">
        <v>2730</v>
      </c>
      <c r="E69" s="58" t="s">
        <v>2512</v>
      </c>
      <c r="F69" s="58">
        <v>8794</v>
      </c>
      <c r="G69" s="58">
        <v>8794</v>
      </c>
      <c r="H69" s="58"/>
      <c r="I69" s="58" t="s">
        <v>2513</v>
      </c>
      <c r="J69" s="58"/>
      <c r="K69" s="58"/>
      <c r="L69" s="58"/>
      <c r="M69" s="58" t="s">
        <v>67</v>
      </c>
      <c r="N69" s="58" t="s">
        <v>68</v>
      </c>
      <c r="O69" s="58" t="s">
        <v>2731</v>
      </c>
      <c r="P69" s="58" t="s">
        <v>2732</v>
      </c>
      <c r="Q69" s="58"/>
      <c r="R69" s="58"/>
      <c r="S69" s="58"/>
      <c r="T69" s="58" t="s">
        <v>2598</v>
      </c>
      <c r="U69" s="58" t="s">
        <v>2517</v>
      </c>
      <c r="V69" s="58"/>
      <c r="W69" s="58">
        <f t="shared" si="1"/>
        <v>0</v>
      </c>
    </row>
    <row r="70" spans="1:23" ht="31.2">
      <c r="A70" s="58" t="s">
        <v>63</v>
      </c>
      <c r="B70" s="58" t="s">
        <v>48</v>
      </c>
      <c r="C70" s="58" t="s">
        <v>2521</v>
      </c>
      <c r="D70" s="58" t="s">
        <v>2733</v>
      </c>
      <c r="E70" s="58" t="s">
        <v>2600</v>
      </c>
      <c r="F70" s="58"/>
      <c r="G70" s="58"/>
      <c r="H70" s="58"/>
      <c r="I70" s="58"/>
      <c r="J70" s="58"/>
      <c r="K70" s="58"/>
      <c r="L70" s="58"/>
      <c r="M70" s="58" t="s">
        <v>67</v>
      </c>
      <c r="N70" s="58" t="s">
        <v>68</v>
      </c>
      <c r="O70" s="58" t="s">
        <v>2734</v>
      </c>
      <c r="P70" s="58" t="s">
        <v>2735</v>
      </c>
      <c r="Q70" s="58"/>
      <c r="R70" s="58"/>
      <c r="S70" s="58"/>
      <c r="T70" s="58"/>
      <c r="U70" s="58" t="s">
        <v>2517</v>
      </c>
      <c r="V70" s="58"/>
      <c r="W70" s="58" t="str">
        <f t="shared" si="1"/>
        <v/>
      </c>
    </row>
    <row r="71" spans="1:23" ht="31.2">
      <c r="A71" s="58" t="s">
        <v>63</v>
      </c>
      <c r="B71" s="58" t="s">
        <v>48</v>
      </c>
      <c r="C71" s="58" t="s">
        <v>2607</v>
      </c>
      <c r="D71" s="58" t="s">
        <v>2736</v>
      </c>
      <c r="E71" s="58" t="s">
        <v>2609</v>
      </c>
      <c r="F71" s="58"/>
      <c r="G71" s="58"/>
      <c r="H71" s="58"/>
      <c r="I71" s="58"/>
      <c r="J71" s="58"/>
      <c r="K71" s="58"/>
      <c r="L71" s="58" t="s">
        <v>274</v>
      </c>
      <c r="M71" s="58" t="s">
        <v>67</v>
      </c>
      <c r="N71" s="58" t="s">
        <v>68</v>
      </c>
      <c r="O71" s="58" t="s">
        <v>2737</v>
      </c>
      <c r="P71" s="58" t="s">
        <v>2738</v>
      </c>
      <c r="Q71" s="58" t="s">
        <v>44</v>
      </c>
      <c r="R71" s="58"/>
      <c r="S71" s="58"/>
      <c r="T71" s="58"/>
      <c r="U71" s="58" t="s">
        <v>2517</v>
      </c>
      <c r="V71" s="58" t="s">
        <v>2718</v>
      </c>
      <c r="W71" s="58" t="str">
        <f t="shared" si="1"/>
        <v/>
      </c>
    </row>
    <row r="72" spans="1:23" ht="31.2">
      <c r="A72" s="58" t="s">
        <v>63</v>
      </c>
      <c r="B72" s="58" t="s">
        <v>48</v>
      </c>
      <c r="C72" s="58" t="s">
        <v>2510</v>
      </c>
      <c r="D72" s="58" t="s">
        <v>2739</v>
      </c>
      <c r="E72" s="58" t="s">
        <v>2512</v>
      </c>
      <c r="F72" s="58">
        <v>167703</v>
      </c>
      <c r="G72" s="58">
        <v>167703</v>
      </c>
      <c r="H72" s="58"/>
      <c r="I72" s="58" t="s">
        <v>2513</v>
      </c>
      <c r="J72" s="58"/>
      <c r="K72" s="58"/>
      <c r="L72" s="58"/>
      <c r="M72" s="58" t="s">
        <v>67</v>
      </c>
      <c r="N72" s="58" t="s">
        <v>68</v>
      </c>
      <c r="O72" s="58" t="s">
        <v>2740</v>
      </c>
      <c r="P72" s="58" t="s">
        <v>2741</v>
      </c>
      <c r="Q72" s="58"/>
      <c r="R72" s="58"/>
      <c r="S72" s="58"/>
      <c r="T72" s="58" t="s">
        <v>2598</v>
      </c>
      <c r="U72" s="58" t="s">
        <v>2517</v>
      </c>
      <c r="V72" s="58"/>
      <c r="W72" s="58">
        <f t="shared" si="1"/>
        <v>0</v>
      </c>
    </row>
    <row r="73" spans="1:23" ht="31.2">
      <c r="A73" s="58" t="s">
        <v>70</v>
      </c>
      <c r="B73" s="58" t="s">
        <v>48</v>
      </c>
      <c r="C73" s="58" t="s">
        <v>2510</v>
      </c>
      <c r="D73" s="58" t="s">
        <v>2637</v>
      </c>
      <c r="E73" s="58" t="s">
        <v>2638</v>
      </c>
      <c r="F73" s="58">
        <v>1.3</v>
      </c>
      <c r="G73" s="58">
        <v>1.3411111111111109</v>
      </c>
      <c r="H73" s="58"/>
      <c r="I73" s="58" t="s">
        <v>2639</v>
      </c>
      <c r="J73" s="58"/>
      <c r="K73" s="58"/>
      <c r="L73" s="58"/>
      <c r="M73" s="58" t="s">
        <v>73</v>
      </c>
      <c r="N73" s="58" t="s">
        <v>74</v>
      </c>
      <c r="O73" s="58" t="s">
        <v>2742</v>
      </c>
      <c r="P73" s="58" t="s">
        <v>2743</v>
      </c>
      <c r="Q73" s="58"/>
      <c r="R73" s="58"/>
      <c r="S73" s="58"/>
      <c r="T73" s="58" t="s">
        <v>2598</v>
      </c>
      <c r="U73" s="58" t="s">
        <v>2517</v>
      </c>
      <c r="V73" s="58"/>
      <c r="W73" s="58">
        <f t="shared" si="1"/>
        <v>4.1111111111110876E-2</v>
      </c>
    </row>
    <row r="74" spans="1:23" ht="31.2">
      <c r="A74" s="58" t="s">
        <v>70</v>
      </c>
      <c r="B74" s="58" t="s">
        <v>48</v>
      </c>
      <c r="C74" s="58" t="s">
        <v>2607</v>
      </c>
      <c r="D74" s="58" t="s">
        <v>2744</v>
      </c>
      <c r="E74" s="58" t="s">
        <v>2609</v>
      </c>
      <c r="F74" s="58"/>
      <c r="G74" s="58"/>
      <c r="H74" s="58"/>
      <c r="I74" s="58"/>
      <c r="J74" s="58"/>
      <c r="K74" s="58"/>
      <c r="L74" s="58" t="s">
        <v>274</v>
      </c>
      <c r="M74" s="58" t="s">
        <v>73</v>
      </c>
      <c r="N74" s="58" t="s">
        <v>74</v>
      </c>
      <c r="O74" s="58" t="s">
        <v>2745</v>
      </c>
      <c r="P74" s="58" t="s">
        <v>2746</v>
      </c>
      <c r="Q74" s="58" t="s">
        <v>44</v>
      </c>
      <c r="R74" s="58"/>
      <c r="S74" s="58"/>
      <c r="T74" s="58"/>
      <c r="U74" s="58" t="s">
        <v>2517</v>
      </c>
      <c r="V74" s="58" t="s">
        <v>2747</v>
      </c>
      <c r="W74" s="58" t="str">
        <f t="shared" si="1"/>
        <v/>
      </c>
    </row>
    <row r="75" spans="1:23" ht="31.2">
      <c r="A75" s="58" t="s">
        <v>70</v>
      </c>
      <c r="B75" s="58" t="s">
        <v>48</v>
      </c>
      <c r="C75" s="58" t="s">
        <v>2510</v>
      </c>
      <c r="D75" s="58" t="s">
        <v>2748</v>
      </c>
      <c r="E75" s="58" t="s">
        <v>2686</v>
      </c>
      <c r="F75" s="58">
        <v>100</v>
      </c>
      <c r="G75" s="58">
        <v>99.631849116205601</v>
      </c>
      <c r="H75" s="58"/>
      <c r="I75" s="58" t="s">
        <v>2749</v>
      </c>
      <c r="J75" s="58"/>
      <c r="K75" s="58"/>
      <c r="L75" s="58"/>
      <c r="M75" s="58" t="s">
        <v>73</v>
      </c>
      <c r="N75" s="58" t="s">
        <v>74</v>
      </c>
      <c r="O75" s="58" t="s">
        <v>2750</v>
      </c>
      <c r="P75" s="58" t="s">
        <v>2751</v>
      </c>
      <c r="Q75" s="58"/>
      <c r="R75" s="58"/>
      <c r="S75" s="58"/>
      <c r="T75" s="58" t="s">
        <v>2598</v>
      </c>
      <c r="U75" s="58" t="s">
        <v>2517</v>
      </c>
      <c r="V75" s="58"/>
      <c r="W75" s="58">
        <f t="shared" si="1"/>
        <v>-0.36815088379439942</v>
      </c>
    </row>
    <row r="76" spans="1:23" ht="31.2">
      <c r="A76" s="58" t="s">
        <v>70</v>
      </c>
      <c r="B76" s="58" t="s">
        <v>48</v>
      </c>
      <c r="C76" s="58" t="s">
        <v>2510</v>
      </c>
      <c r="D76" s="58" t="s">
        <v>2752</v>
      </c>
      <c r="E76" s="58" t="s">
        <v>2686</v>
      </c>
      <c r="F76" s="58">
        <v>823956</v>
      </c>
      <c r="G76" s="58">
        <v>553473</v>
      </c>
      <c r="H76" s="58"/>
      <c r="I76" s="58" t="s">
        <v>2513</v>
      </c>
      <c r="J76" s="58"/>
      <c r="K76" s="58"/>
      <c r="L76" s="58"/>
      <c r="M76" s="58" t="s">
        <v>73</v>
      </c>
      <c r="N76" s="58" t="s">
        <v>74</v>
      </c>
      <c r="O76" s="58" t="s">
        <v>2753</v>
      </c>
      <c r="P76" s="58" t="s">
        <v>2754</v>
      </c>
      <c r="Q76" s="58"/>
      <c r="R76" s="58"/>
      <c r="S76" s="58"/>
      <c r="T76" s="58" t="s">
        <v>2598</v>
      </c>
      <c r="U76" s="58" t="s">
        <v>2517</v>
      </c>
      <c r="V76" s="58"/>
      <c r="W76" s="58">
        <f t="shared" si="1"/>
        <v>-270483</v>
      </c>
    </row>
    <row r="77" spans="1:23" ht="31.2">
      <c r="A77" s="58" t="s">
        <v>70</v>
      </c>
      <c r="B77" s="58" t="s">
        <v>48</v>
      </c>
      <c r="C77" s="58" t="s">
        <v>2510</v>
      </c>
      <c r="D77" s="58" t="s">
        <v>2595</v>
      </c>
      <c r="E77" s="58" t="s">
        <v>2512</v>
      </c>
      <c r="F77" s="58">
        <v>7525498</v>
      </c>
      <c r="G77" s="58">
        <v>7525498</v>
      </c>
      <c r="H77" s="58"/>
      <c r="I77" s="58" t="s">
        <v>2513</v>
      </c>
      <c r="J77" s="58"/>
      <c r="K77" s="58"/>
      <c r="L77" s="58"/>
      <c r="M77" s="58" t="s">
        <v>73</v>
      </c>
      <c r="N77" s="58" t="s">
        <v>74</v>
      </c>
      <c r="O77" s="58" t="s">
        <v>2755</v>
      </c>
      <c r="P77" s="58" t="s">
        <v>2756</v>
      </c>
      <c r="Q77" s="58"/>
      <c r="R77" s="58"/>
      <c r="S77" s="58"/>
      <c r="T77" s="58" t="s">
        <v>2598</v>
      </c>
      <c r="U77" s="58" t="s">
        <v>2517</v>
      </c>
      <c r="V77" s="58"/>
      <c r="W77" s="58">
        <f t="shared" si="1"/>
        <v>0</v>
      </c>
    </row>
    <row r="78" spans="1:23" ht="31.2">
      <c r="A78" s="58" t="s">
        <v>70</v>
      </c>
      <c r="B78" s="58" t="s">
        <v>48</v>
      </c>
      <c r="C78" s="58" t="s">
        <v>2510</v>
      </c>
      <c r="D78" s="58" t="s">
        <v>2757</v>
      </c>
      <c r="E78" s="58" t="s">
        <v>2686</v>
      </c>
      <c r="F78" s="58">
        <v>2808280</v>
      </c>
      <c r="G78" s="58">
        <v>2537797</v>
      </c>
      <c r="H78" s="58"/>
      <c r="I78" s="58" t="s">
        <v>2513</v>
      </c>
      <c r="J78" s="58"/>
      <c r="K78" s="58"/>
      <c r="L78" s="58"/>
      <c r="M78" s="58" t="s">
        <v>73</v>
      </c>
      <c r="N78" s="58" t="s">
        <v>74</v>
      </c>
      <c r="O78" s="58" t="s">
        <v>2758</v>
      </c>
      <c r="P78" s="58" t="s">
        <v>2759</v>
      </c>
      <c r="Q78" s="58"/>
      <c r="R78" s="58"/>
      <c r="S78" s="58"/>
      <c r="T78" s="58" t="s">
        <v>2598</v>
      </c>
      <c r="U78" s="58" t="s">
        <v>2517</v>
      </c>
      <c r="V78" s="58"/>
      <c r="W78" s="58">
        <f t="shared" si="1"/>
        <v>-270483</v>
      </c>
    </row>
    <row r="79" spans="1:23" ht="31.2">
      <c r="A79" s="58" t="s">
        <v>70</v>
      </c>
      <c r="B79" s="58" t="s">
        <v>48</v>
      </c>
      <c r="C79" s="58" t="s">
        <v>2510</v>
      </c>
      <c r="D79" s="58" t="s">
        <v>2760</v>
      </c>
      <c r="E79" s="58" t="s">
        <v>2686</v>
      </c>
      <c r="F79" s="58">
        <v>151</v>
      </c>
      <c r="G79" s="58">
        <v>150</v>
      </c>
      <c r="H79" s="58"/>
      <c r="I79" s="58" t="s">
        <v>2761</v>
      </c>
      <c r="J79" s="58"/>
      <c r="K79" s="58"/>
      <c r="L79" s="58"/>
      <c r="M79" s="58" t="s">
        <v>73</v>
      </c>
      <c r="N79" s="58" t="s">
        <v>74</v>
      </c>
      <c r="O79" s="58" t="s">
        <v>2762</v>
      </c>
      <c r="P79" s="58" t="s">
        <v>2763</v>
      </c>
      <c r="Q79" s="58"/>
      <c r="R79" s="58"/>
      <c r="S79" s="58"/>
      <c r="T79" s="58" t="s">
        <v>2598</v>
      </c>
      <c r="U79" s="58" t="s">
        <v>2517</v>
      </c>
      <c r="V79" s="58"/>
      <c r="W79" s="58">
        <f t="shared" si="1"/>
        <v>-1</v>
      </c>
    </row>
    <row r="80" spans="1:23" ht="31.2">
      <c r="A80" s="58" t="s">
        <v>70</v>
      </c>
      <c r="B80" s="58" t="s">
        <v>48</v>
      </c>
      <c r="C80" s="58" t="s">
        <v>2510</v>
      </c>
      <c r="D80" s="58" t="s">
        <v>2764</v>
      </c>
      <c r="E80" s="58" t="s">
        <v>2686</v>
      </c>
      <c r="F80" s="58">
        <v>74042</v>
      </c>
      <c r="G80" s="58">
        <v>75487</v>
      </c>
      <c r="H80" s="58"/>
      <c r="I80" s="58" t="s">
        <v>2513</v>
      </c>
      <c r="J80" s="58"/>
      <c r="K80" s="58"/>
      <c r="L80" s="58"/>
      <c r="M80" s="58" t="s">
        <v>73</v>
      </c>
      <c r="N80" s="58" t="s">
        <v>74</v>
      </c>
      <c r="O80" s="58" t="s">
        <v>2765</v>
      </c>
      <c r="P80" s="58" t="s">
        <v>2766</v>
      </c>
      <c r="Q80" s="58"/>
      <c r="R80" s="58"/>
      <c r="S80" s="58"/>
      <c r="T80" s="58" t="s">
        <v>2598</v>
      </c>
      <c r="U80" s="58" t="s">
        <v>2517</v>
      </c>
      <c r="V80" s="58"/>
      <c r="W80" s="58">
        <f t="shared" si="1"/>
        <v>1445</v>
      </c>
    </row>
    <row r="81" spans="1:23" ht="31.2">
      <c r="A81" s="58" t="s">
        <v>70</v>
      </c>
      <c r="B81" s="58" t="s">
        <v>48</v>
      </c>
      <c r="C81" s="58" t="s">
        <v>2510</v>
      </c>
      <c r="D81" s="58" t="s">
        <v>2659</v>
      </c>
      <c r="E81" s="58" t="s">
        <v>2638</v>
      </c>
      <c r="F81" s="58">
        <v>87.5</v>
      </c>
      <c r="G81" s="58">
        <v>87.530833333333334</v>
      </c>
      <c r="H81" s="58"/>
      <c r="I81" s="58" t="s">
        <v>2639</v>
      </c>
      <c r="J81" s="58"/>
      <c r="K81" s="58"/>
      <c r="L81" s="58"/>
      <c r="M81" s="58" t="s">
        <v>73</v>
      </c>
      <c r="N81" s="58" t="s">
        <v>74</v>
      </c>
      <c r="O81" s="58" t="s">
        <v>2767</v>
      </c>
      <c r="P81" s="58" t="s">
        <v>2768</v>
      </c>
      <c r="Q81" s="58"/>
      <c r="R81" s="58"/>
      <c r="S81" s="58"/>
      <c r="T81" s="58" t="s">
        <v>2598</v>
      </c>
      <c r="U81" s="58" t="s">
        <v>2517</v>
      </c>
      <c r="V81" s="58"/>
      <c r="W81" s="58">
        <f t="shared" si="1"/>
        <v>3.0833333333333712E-2</v>
      </c>
    </row>
    <row r="82" spans="1:23" ht="31.2">
      <c r="A82" s="58" t="s">
        <v>70</v>
      </c>
      <c r="B82" s="58" t="s">
        <v>48</v>
      </c>
      <c r="C82" s="58" t="s">
        <v>2521</v>
      </c>
      <c r="D82" s="58" t="s">
        <v>2769</v>
      </c>
      <c r="E82" s="58" t="s">
        <v>2673</v>
      </c>
      <c r="F82" s="58"/>
      <c r="G82" s="58"/>
      <c r="H82" s="58"/>
      <c r="I82" s="58"/>
      <c r="J82" s="58"/>
      <c r="K82" s="58"/>
      <c r="L82" s="58"/>
      <c r="M82" s="58" t="s">
        <v>73</v>
      </c>
      <c r="N82" s="58" t="s">
        <v>74</v>
      </c>
      <c r="O82" s="58" t="s">
        <v>2770</v>
      </c>
      <c r="P82" s="58" t="s">
        <v>2771</v>
      </c>
      <c r="Q82" s="58"/>
      <c r="R82" s="58"/>
      <c r="S82" s="58"/>
      <c r="T82" s="58"/>
      <c r="U82" s="58" t="s">
        <v>2517</v>
      </c>
      <c r="V82" s="58"/>
      <c r="W82" s="58" t="str">
        <f t="shared" si="1"/>
        <v/>
      </c>
    </row>
    <row r="83" spans="1:23" ht="31.2">
      <c r="A83" s="58" t="s">
        <v>70</v>
      </c>
      <c r="B83" s="58" t="s">
        <v>48</v>
      </c>
      <c r="C83" s="58" t="s">
        <v>2580</v>
      </c>
      <c r="D83" s="58" t="s">
        <v>2772</v>
      </c>
      <c r="E83" s="58" t="s">
        <v>2582</v>
      </c>
      <c r="F83" s="58"/>
      <c r="G83" s="58"/>
      <c r="H83" s="58"/>
      <c r="I83" s="58"/>
      <c r="J83" s="58"/>
      <c r="K83" s="58" t="s">
        <v>273</v>
      </c>
      <c r="L83" s="58" t="s">
        <v>273</v>
      </c>
      <c r="M83" s="58" t="s">
        <v>73</v>
      </c>
      <c r="N83" s="58" t="s">
        <v>74</v>
      </c>
      <c r="O83" s="58" t="s">
        <v>2773</v>
      </c>
      <c r="P83" s="58" t="s">
        <v>2774</v>
      </c>
      <c r="Q83" s="58" t="s">
        <v>44</v>
      </c>
      <c r="R83" s="58"/>
      <c r="S83" s="58"/>
      <c r="T83" s="58"/>
      <c r="U83" s="58" t="s">
        <v>2585</v>
      </c>
      <c r="V83" s="58"/>
      <c r="W83" s="58" t="str">
        <f t="shared" si="1"/>
        <v/>
      </c>
    </row>
    <row r="84" spans="1:23" ht="31.2">
      <c r="A84" s="58" t="s">
        <v>70</v>
      </c>
      <c r="B84" s="58" t="s">
        <v>48</v>
      </c>
      <c r="C84" s="58" t="s">
        <v>2521</v>
      </c>
      <c r="D84" s="58" t="s">
        <v>2775</v>
      </c>
      <c r="E84" s="58" t="s">
        <v>2622</v>
      </c>
      <c r="F84" s="58"/>
      <c r="G84" s="58"/>
      <c r="H84" s="58"/>
      <c r="I84" s="58"/>
      <c r="J84" s="58"/>
      <c r="K84" s="58"/>
      <c r="L84" s="58"/>
      <c r="M84" s="58" t="s">
        <v>73</v>
      </c>
      <c r="N84" s="58" t="s">
        <v>74</v>
      </c>
      <c r="O84" s="58" t="s">
        <v>2776</v>
      </c>
      <c r="P84" s="58" t="s">
        <v>2777</v>
      </c>
      <c r="Q84" s="58"/>
      <c r="R84" s="58"/>
      <c r="S84" s="58"/>
      <c r="T84" s="58"/>
      <c r="U84" s="58" t="s">
        <v>2517</v>
      </c>
      <c r="V84" s="58"/>
      <c r="W84" s="58" t="str">
        <f t="shared" si="1"/>
        <v/>
      </c>
    </row>
    <row r="85" spans="1:23" ht="31.2">
      <c r="A85" s="58" t="s">
        <v>70</v>
      </c>
      <c r="B85" s="58" t="s">
        <v>48</v>
      </c>
      <c r="C85" s="58" t="s">
        <v>2510</v>
      </c>
      <c r="D85" s="58" t="s">
        <v>2676</v>
      </c>
      <c r="E85" s="58" t="s">
        <v>2512</v>
      </c>
      <c r="F85" s="58">
        <v>79928</v>
      </c>
      <c r="G85" s="58">
        <v>79928</v>
      </c>
      <c r="H85" s="58"/>
      <c r="I85" s="58" t="s">
        <v>2513</v>
      </c>
      <c r="J85" s="58"/>
      <c r="K85" s="58"/>
      <c r="L85" s="58"/>
      <c r="M85" s="58" t="s">
        <v>73</v>
      </c>
      <c r="N85" s="58" t="s">
        <v>74</v>
      </c>
      <c r="O85" s="58" t="s">
        <v>2778</v>
      </c>
      <c r="P85" s="58" t="s">
        <v>2779</v>
      </c>
      <c r="Q85" s="58"/>
      <c r="R85" s="58"/>
      <c r="S85" s="58"/>
      <c r="T85" s="58" t="s">
        <v>2598</v>
      </c>
      <c r="U85" s="58" t="s">
        <v>2517</v>
      </c>
      <c r="V85" s="58"/>
      <c r="W85" s="58">
        <f t="shared" si="1"/>
        <v>0</v>
      </c>
    </row>
    <row r="86" spans="1:23" ht="31.2">
      <c r="A86" s="58" t="s">
        <v>70</v>
      </c>
      <c r="B86" s="58" t="s">
        <v>48</v>
      </c>
      <c r="C86" s="58" t="s">
        <v>2510</v>
      </c>
      <c r="D86" s="58" t="s">
        <v>2780</v>
      </c>
      <c r="E86" s="58" t="s">
        <v>2686</v>
      </c>
      <c r="F86" s="58">
        <v>155.1</v>
      </c>
      <c r="G86" s="58">
        <v>1551.450646248202</v>
      </c>
      <c r="H86" s="58"/>
      <c r="I86" s="58" t="s">
        <v>2781</v>
      </c>
      <c r="J86" s="58"/>
      <c r="K86" s="58"/>
      <c r="L86" s="58"/>
      <c r="M86" s="58" t="s">
        <v>73</v>
      </c>
      <c r="N86" s="58" t="s">
        <v>74</v>
      </c>
      <c r="O86" s="58" t="s">
        <v>2782</v>
      </c>
      <c r="P86" s="58" t="s">
        <v>2783</v>
      </c>
      <c r="Q86" s="58"/>
      <c r="R86" s="58"/>
      <c r="S86" s="58"/>
      <c r="T86" s="58" t="s">
        <v>2784</v>
      </c>
      <c r="U86" s="58" t="s">
        <v>2517</v>
      </c>
      <c r="V86" s="58"/>
      <c r="W86" s="58">
        <f t="shared" si="1"/>
        <v>1396.3506462482021</v>
      </c>
    </row>
    <row r="87" spans="1:23" ht="31.2">
      <c r="A87" s="58" t="s">
        <v>70</v>
      </c>
      <c r="B87" s="58" t="s">
        <v>48</v>
      </c>
      <c r="C87" s="58" t="s">
        <v>2521</v>
      </c>
      <c r="D87" s="58" t="s">
        <v>2785</v>
      </c>
      <c r="E87" s="58" t="s">
        <v>2786</v>
      </c>
      <c r="F87" s="58"/>
      <c r="G87" s="58"/>
      <c r="H87" s="58"/>
      <c r="I87" s="58"/>
      <c r="J87" s="58"/>
      <c r="K87" s="58"/>
      <c r="L87" s="58"/>
      <c r="M87" s="58" t="s">
        <v>73</v>
      </c>
      <c r="N87" s="58" t="s">
        <v>74</v>
      </c>
      <c r="O87" s="58" t="s">
        <v>2787</v>
      </c>
      <c r="P87" s="58" t="s">
        <v>2788</v>
      </c>
      <c r="Q87" s="58"/>
      <c r="R87" s="58"/>
      <c r="S87" s="58"/>
      <c r="T87" s="58"/>
      <c r="U87" s="58" t="s">
        <v>2517</v>
      </c>
      <c r="V87" s="58"/>
      <c r="W87" s="58" t="str">
        <f t="shared" si="1"/>
        <v/>
      </c>
    </row>
    <row r="88" spans="1:23" ht="31.2">
      <c r="A88" s="58" t="s">
        <v>70</v>
      </c>
      <c r="B88" s="58" t="s">
        <v>48</v>
      </c>
      <c r="C88" s="58" t="s">
        <v>2607</v>
      </c>
      <c r="D88" s="58" t="s">
        <v>2789</v>
      </c>
      <c r="E88" s="58" t="s">
        <v>2609</v>
      </c>
      <c r="F88" s="58"/>
      <c r="G88" s="58"/>
      <c r="H88" s="58"/>
      <c r="I88" s="58"/>
      <c r="J88" s="58"/>
      <c r="K88" s="58"/>
      <c r="L88" s="58" t="s">
        <v>274</v>
      </c>
      <c r="M88" s="58" t="s">
        <v>73</v>
      </c>
      <c r="N88" s="58" t="s">
        <v>74</v>
      </c>
      <c r="O88" s="58" t="s">
        <v>2790</v>
      </c>
      <c r="P88" s="58" t="s">
        <v>2791</v>
      </c>
      <c r="Q88" s="58" t="s">
        <v>44</v>
      </c>
      <c r="R88" s="58"/>
      <c r="S88" s="58"/>
      <c r="T88" s="58"/>
      <c r="U88" s="58" t="s">
        <v>2517</v>
      </c>
      <c r="V88" s="58" t="s">
        <v>2792</v>
      </c>
      <c r="W88" s="58" t="str">
        <f t="shared" si="1"/>
        <v/>
      </c>
    </row>
    <row r="89" spans="1:23" ht="31.2">
      <c r="A89" s="58" t="s">
        <v>70</v>
      </c>
      <c r="B89" s="58" t="s">
        <v>48</v>
      </c>
      <c r="C89" s="58" t="s">
        <v>2607</v>
      </c>
      <c r="D89" s="58" t="s">
        <v>2793</v>
      </c>
      <c r="E89" s="58" t="s">
        <v>2609</v>
      </c>
      <c r="F89" s="58"/>
      <c r="G89" s="58"/>
      <c r="H89" s="58"/>
      <c r="I89" s="58"/>
      <c r="J89" s="58"/>
      <c r="K89" s="58"/>
      <c r="L89" s="58" t="s">
        <v>274</v>
      </c>
      <c r="M89" s="58" t="s">
        <v>73</v>
      </c>
      <c r="N89" s="58" t="s">
        <v>74</v>
      </c>
      <c r="O89" s="58" t="s">
        <v>2794</v>
      </c>
      <c r="P89" s="58" t="s">
        <v>2795</v>
      </c>
      <c r="Q89" s="58" t="s">
        <v>44</v>
      </c>
      <c r="R89" s="58"/>
      <c r="S89" s="58"/>
      <c r="T89" s="58"/>
      <c r="U89" s="58" t="s">
        <v>2517</v>
      </c>
      <c r="V89" s="58" t="s">
        <v>2718</v>
      </c>
      <c r="W89" s="58" t="str">
        <f t="shared" si="1"/>
        <v/>
      </c>
    </row>
    <row r="90" spans="1:23" ht="31.2">
      <c r="A90" s="58" t="s">
        <v>70</v>
      </c>
      <c r="B90" s="58" t="s">
        <v>48</v>
      </c>
      <c r="C90" s="58" t="s">
        <v>2521</v>
      </c>
      <c r="D90" s="58" t="s">
        <v>2796</v>
      </c>
      <c r="E90" s="58" t="s">
        <v>2622</v>
      </c>
      <c r="F90" s="58"/>
      <c r="G90" s="58"/>
      <c r="H90" s="58"/>
      <c r="I90" s="58"/>
      <c r="J90" s="58"/>
      <c r="K90" s="58"/>
      <c r="L90" s="58"/>
      <c r="M90" s="58" t="s">
        <v>73</v>
      </c>
      <c r="N90" s="58" t="s">
        <v>74</v>
      </c>
      <c r="O90" s="58" t="s">
        <v>2797</v>
      </c>
      <c r="P90" s="58" t="s">
        <v>2798</v>
      </c>
      <c r="Q90" s="58"/>
      <c r="R90" s="58"/>
      <c r="S90" s="58"/>
      <c r="T90" s="58"/>
      <c r="U90" s="58" t="s">
        <v>2517</v>
      </c>
      <c r="V90" s="58"/>
      <c r="W90" s="58" t="str">
        <f t="shared" si="1"/>
        <v/>
      </c>
    </row>
    <row r="91" spans="1:23" ht="31.2">
      <c r="A91" s="58" t="s">
        <v>76</v>
      </c>
      <c r="B91" s="58" t="s">
        <v>48</v>
      </c>
      <c r="C91" s="58" t="s">
        <v>2510</v>
      </c>
      <c r="D91" s="58" t="s">
        <v>2631</v>
      </c>
      <c r="E91" s="58" t="s">
        <v>2512</v>
      </c>
      <c r="F91" s="58">
        <v>3293003</v>
      </c>
      <c r="G91" s="58">
        <v>3293003</v>
      </c>
      <c r="H91" s="58"/>
      <c r="I91" s="58" t="s">
        <v>2513</v>
      </c>
      <c r="J91" s="58"/>
      <c r="K91" s="58"/>
      <c r="L91" s="58"/>
      <c r="M91" s="58" t="s">
        <v>79</v>
      </c>
      <c r="N91" s="58" t="s">
        <v>80</v>
      </c>
      <c r="O91" s="58" t="s">
        <v>2799</v>
      </c>
      <c r="P91" s="58" t="s">
        <v>2800</v>
      </c>
      <c r="Q91" s="58"/>
      <c r="R91" s="58"/>
      <c r="S91" s="58"/>
      <c r="T91" s="58" t="s">
        <v>2606</v>
      </c>
      <c r="U91" s="58" t="s">
        <v>2517</v>
      </c>
      <c r="V91" s="58"/>
      <c r="W91" s="58">
        <f t="shared" si="1"/>
        <v>0</v>
      </c>
    </row>
    <row r="92" spans="1:23" ht="31.2">
      <c r="A92" s="58" t="s">
        <v>76</v>
      </c>
      <c r="B92" s="58" t="s">
        <v>48</v>
      </c>
      <c r="C92" s="58" t="s">
        <v>2510</v>
      </c>
      <c r="D92" s="58" t="s">
        <v>2618</v>
      </c>
      <c r="E92" s="58" t="s">
        <v>2512</v>
      </c>
      <c r="F92" s="58">
        <v>3639698</v>
      </c>
      <c r="G92" s="58">
        <v>3639698</v>
      </c>
      <c r="H92" s="58"/>
      <c r="I92" s="58" t="s">
        <v>2513</v>
      </c>
      <c r="J92" s="58"/>
      <c r="K92" s="58"/>
      <c r="L92" s="58"/>
      <c r="M92" s="58" t="s">
        <v>79</v>
      </c>
      <c r="N92" s="58" t="s">
        <v>80</v>
      </c>
      <c r="O92" s="58" t="s">
        <v>2801</v>
      </c>
      <c r="P92" s="58" t="s">
        <v>2802</v>
      </c>
      <c r="Q92" s="58"/>
      <c r="R92" s="58"/>
      <c r="S92" s="58"/>
      <c r="T92" s="58" t="s">
        <v>2606</v>
      </c>
      <c r="U92" s="58" t="s">
        <v>2517</v>
      </c>
      <c r="V92" s="58"/>
      <c r="W92" s="58">
        <f t="shared" si="1"/>
        <v>0</v>
      </c>
    </row>
    <row r="93" spans="1:23" ht="31.2">
      <c r="A93" s="58" t="s">
        <v>76</v>
      </c>
      <c r="B93" s="58" t="s">
        <v>48</v>
      </c>
      <c r="C93" s="58" t="s">
        <v>2521</v>
      </c>
      <c r="D93" s="58" t="s">
        <v>2803</v>
      </c>
      <c r="E93" s="58" t="s">
        <v>2673</v>
      </c>
      <c r="F93" s="58"/>
      <c r="G93" s="58"/>
      <c r="H93" s="58"/>
      <c r="I93" s="58"/>
      <c r="J93" s="58"/>
      <c r="K93" s="58"/>
      <c r="L93" s="58"/>
      <c r="M93" s="58" t="s">
        <v>79</v>
      </c>
      <c r="N93" s="58" t="s">
        <v>80</v>
      </c>
      <c r="O93" s="58" t="s">
        <v>2804</v>
      </c>
      <c r="P93" s="58" t="s">
        <v>2805</v>
      </c>
      <c r="Q93" s="58"/>
      <c r="R93" s="58"/>
      <c r="S93" s="58"/>
      <c r="T93" s="58"/>
      <c r="U93" s="58" t="s">
        <v>2517</v>
      </c>
      <c r="V93" s="58"/>
      <c r="W93" s="58" t="str">
        <f t="shared" si="1"/>
        <v/>
      </c>
    </row>
    <row r="94" spans="1:23" ht="31.2">
      <c r="A94" s="58" t="s">
        <v>76</v>
      </c>
      <c r="B94" s="58" t="s">
        <v>48</v>
      </c>
      <c r="C94" s="58" t="s">
        <v>2510</v>
      </c>
      <c r="D94" s="58" t="s">
        <v>2595</v>
      </c>
      <c r="E94" s="58" t="s">
        <v>2512</v>
      </c>
      <c r="F94" s="58">
        <v>7525498</v>
      </c>
      <c r="G94" s="58">
        <v>7525498</v>
      </c>
      <c r="H94" s="58"/>
      <c r="I94" s="58" t="s">
        <v>2513</v>
      </c>
      <c r="J94" s="58"/>
      <c r="K94" s="58"/>
      <c r="L94" s="58"/>
      <c r="M94" s="58" t="s">
        <v>79</v>
      </c>
      <c r="N94" s="58" t="s">
        <v>80</v>
      </c>
      <c r="O94" s="58" t="s">
        <v>2806</v>
      </c>
      <c r="P94" s="58" t="s">
        <v>2807</v>
      </c>
      <c r="Q94" s="58"/>
      <c r="R94" s="58"/>
      <c r="S94" s="58"/>
      <c r="T94" s="58" t="s">
        <v>2598</v>
      </c>
      <c r="U94" s="58" t="s">
        <v>2517</v>
      </c>
      <c r="V94" s="58"/>
      <c r="W94" s="58">
        <f t="shared" si="1"/>
        <v>0</v>
      </c>
    </row>
    <row r="95" spans="1:23" ht="31.2">
      <c r="A95" s="58" t="s">
        <v>76</v>
      </c>
      <c r="B95" s="58" t="s">
        <v>48</v>
      </c>
      <c r="C95" s="58" t="s">
        <v>2510</v>
      </c>
      <c r="D95" s="58" t="s">
        <v>2695</v>
      </c>
      <c r="E95" s="58" t="s">
        <v>2512</v>
      </c>
      <c r="F95" s="58">
        <v>63722</v>
      </c>
      <c r="G95" s="58">
        <v>63722</v>
      </c>
      <c r="H95" s="58"/>
      <c r="I95" s="58" t="s">
        <v>2513</v>
      </c>
      <c r="J95" s="58"/>
      <c r="K95" s="58"/>
      <c r="L95" s="58"/>
      <c r="M95" s="58" t="s">
        <v>79</v>
      </c>
      <c r="N95" s="58" t="s">
        <v>80</v>
      </c>
      <c r="O95" s="58" t="s">
        <v>2808</v>
      </c>
      <c r="P95" s="58" t="s">
        <v>2809</v>
      </c>
      <c r="Q95" s="58"/>
      <c r="R95" s="58"/>
      <c r="S95" s="58"/>
      <c r="T95" s="58" t="s">
        <v>2598</v>
      </c>
      <c r="U95" s="58" t="s">
        <v>2517</v>
      </c>
      <c r="V95" s="58"/>
      <c r="W95" s="58">
        <f t="shared" si="1"/>
        <v>0</v>
      </c>
    </row>
    <row r="96" spans="1:23" ht="31.2">
      <c r="A96" s="58" t="s">
        <v>76</v>
      </c>
      <c r="B96" s="58" t="s">
        <v>48</v>
      </c>
      <c r="C96" s="58" t="s">
        <v>2521</v>
      </c>
      <c r="D96" s="58" t="s">
        <v>2810</v>
      </c>
      <c r="E96" s="58" t="s">
        <v>2600</v>
      </c>
      <c r="F96" s="58"/>
      <c r="G96" s="58"/>
      <c r="H96" s="58"/>
      <c r="I96" s="58"/>
      <c r="J96" s="58"/>
      <c r="K96" s="58"/>
      <c r="L96" s="58"/>
      <c r="M96" s="58" t="s">
        <v>79</v>
      </c>
      <c r="N96" s="58" t="s">
        <v>80</v>
      </c>
      <c r="O96" s="58" t="s">
        <v>2811</v>
      </c>
      <c r="P96" s="58" t="s">
        <v>2812</v>
      </c>
      <c r="Q96" s="58"/>
      <c r="R96" s="58"/>
      <c r="S96" s="58"/>
      <c r="T96" s="58"/>
      <c r="U96" s="58" t="s">
        <v>2517</v>
      </c>
      <c r="V96" s="58"/>
      <c r="W96" s="58" t="str">
        <f t="shared" si="1"/>
        <v/>
      </c>
    </row>
    <row r="97" spans="1:23" ht="31.2">
      <c r="A97" s="58" t="s">
        <v>76</v>
      </c>
      <c r="B97" s="58" t="s">
        <v>48</v>
      </c>
      <c r="C97" s="58" t="s">
        <v>2510</v>
      </c>
      <c r="D97" s="58" t="s">
        <v>2667</v>
      </c>
      <c r="E97" s="58" t="s">
        <v>2512</v>
      </c>
      <c r="F97" s="58">
        <v>22790</v>
      </c>
      <c r="G97" s="58">
        <v>22790</v>
      </c>
      <c r="H97" s="58"/>
      <c r="I97" s="58" t="s">
        <v>2513</v>
      </c>
      <c r="J97" s="58"/>
      <c r="K97" s="58"/>
      <c r="L97" s="58"/>
      <c r="M97" s="58" t="s">
        <v>79</v>
      </c>
      <c r="N97" s="58" t="s">
        <v>80</v>
      </c>
      <c r="O97" s="58" t="s">
        <v>2813</v>
      </c>
      <c r="P97" s="58" t="s">
        <v>2814</v>
      </c>
      <c r="Q97" s="58"/>
      <c r="R97" s="58"/>
      <c r="S97" s="58"/>
      <c r="T97" s="58" t="s">
        <v>2598</v>
      </c>
      <c r="U97" s="58" t="s">
        <v>2517</v>
      </c>
      <c r="V97" s="58"/>
      <c r="W97" s="58">
        <f t="shared" si="1"/>
        <v>0</v>
      </c>
    </row>
    <row r="98" spans="1:23" ht="31.2">
      <c r="A98" s="58" t="s">
        <v>76</v>
      </c>
      <c r="B98" s="58" t="s">
        <v>48</v>
      </c>
      <c r="C98" s="58" t="s">
        <v>2510</v>
      </c>
      <c r="D98" s="58" t="s">
        <v>2692</v>
      </c>
      <c r="E98" s="58" t="s">
        <v>2512</v>
      </c>
      <c r="F98" s="58">
        <v>4313</v>
      </c>
      <c r="G98" s="58">
        <v>4313</v>
      </c>
      <c r="H98" s="58"/>
      <c r="I98" s="58" t="s">
        <v>2513</v>
      </c>
      <c r="J98" s="58"/>
      <c r="K98" s="58"/>
      <c r="L98" s="58"/>
      <c r="M98" s="58" t="s">
        <v>79</v>
      </c>
      <c r="N98" s="58" t="s">
        <v>80</v>
      </c>
      <c r="O98" s="58" t="s">
        <v>2815</v>
      </c>
      <c r="P98" s="58" t="s">
        <v>2816</v>
      </c>
      <c r="Q98" s="58"/>
      <c r="R98" s="58"/>
      <c r="S98" s="58"/>
      <c r="T98" s="58" t="s">
        <v>2598</v>
      </c>
      <c r="U98" s="58" t="s">
        <v>2517</v>
      </c>
      <c r="V98" s="58"/>
      <c r="W98" s="58">
        <f t="shared" si="1"/>
        <v>0</v>
      </c>
    </row>
    <row r="99" spans="1:23" ht="31.2">
      <c r="A99" s="58" t="s">
        <v>76</v>
      </c>
      <c r="B99" s="58" t="s">
        <v>48</v>
      </c>
      <c r="C99" s="58" t="s">
        <v>2580</v>
      </c>
      <c r="D99" s="58" t="s">
        <v>2817</v>
      </c>
      <c r="E99" s="58" t="s">
        <v>2582</v>
      </c>
      <c r="F99" s="58"/>
      <c r="G99" s="58"/>
      <c r="H99" s="58"/>
      <c r="I99" s="58"/>
      <c r="J99" s="58" t="s">
        <v>273</v>
      </c>
      <c r="K99" s="58" t="s">
        <v>273</v>
      </c>
      <c r="L99" s="58"/>
      <c r="M99" s="58" t="s">
        <v>79</v>
      </c>
      <c r="N99" s="58" t="s">
        <v>80</v>
      </c>
      <c r="O99" s="58" t="s">
        <v>2818</v>
      </c>
      <c r="P99" s="58" t="s">
        <v>2819</v>
      </c>
      <c r="Q99" s="58" t="s">
        <v>44</v>
      </c>
      <c r="R99" s="58"/>
      <c r="S99" s="58"/>
      <c r="T99" s="58"/>
      <c r="U99" s="58" t="s">
        <v>2585</v>
      </c>
      <c r="V99" s="58"/>
      <c r="W99" s="58" t="str">
        <f t="shared" si="1"/>
        <v/>
      </c>
    </row>
    <row r="100" spans="1:23" ht="31.2">
      <c r="A100" s="58" t="s">
        <v>76</v>
      </c>
      <c r="B100" s="58" t="s">
        <v>48</v>
      </c>
      <c r="C100" s="58" t="s">
        <v>2510</v>
      </c>
      <c r="D100" s="58" t="s">
        <v>2820</v>
      </c>
      <c r="E100" s="58" t="s">
        <v>2686</v>
      </c>
      <c r="F100" s="58">
        <v>1488</v>
      </c>
      <c r="G100" s="58">
        <v>1877</v>
      </c>
      <c r="H100" s="58"/>
      <c r="I100" s="58" t="s">
        <v>2513</v>
      </c>
      <c r="J100" s="58"/>
      <c r="K100" s="58"/>
      <c r="L100" s="58"/>
      <c r="M100" s="58" t="s">
        <v>79</v>
      </c>
      <c r="N100" s="58" t="s">
        <v>80</v>
      </c>
      <c r="O100" s="58" t="s">
        <v>2821</v>
      </c>
      <c r="P100" s="58" t="s">
        <v>2822</v>
      </c>
      <c r="Q100" s="58"/>
      <c r="R100" s="58"/>
      <c r="S100" s="58"/>
      <c r="T100" s="58" t="s">
        <v>2598</v>
      </c>
      <c r="U100" s="58" t="s">
        <v>2517</v>
      </c>
      <c r="V100" s="58"/>
      <c r="W100" s="58">
        <f t="shared" si="1"/>
        <v>389</v>
      </c>
    </row>
    <row r="101" spans="1:23" ht="31.2">
      <c r="A101" s="58" t="s">
        <v>76</v>
      </c>
      <c r="B101" s="58" t="s">
        <v>48</v>
      </c>
      <c r="C101" s="58" t="s">
        <v>2521</v>
      </c>
      <c r="D101" s="58" t="s">
        <v>2823</v>
      </c>
      <c r="E101" s="58" t="s">
        <v>2673</v>
      </c>
      <c r="F101" s="58"/>
      <c r="G101" s="58"/>
      <c r="H101" s="58"/>
      <c r="I101" s="58"/>
      <c r="J101" s="58"/>
      <c r="K101" s="58"/>
      <c r="L101" s="58"/>
      <c r="M101" s="58" t="s">
        <v>79</v>
      </c>
      <c r="N101" s="58" t="s">
        <v>80</v>
      </c>
      <c r="O101" s="58" t="s">
        <v>2824</v>
      </c>
      <c r="P101" s="58" t="s">
        <v>2825</v>
      </c>
      <c r="Q101" s="58"/>
      <c r="R101" s="58"/>
      <c r="S101" s="58"/>
      <c r="T101" s="58"/>
      <c r="U101" s="58" t="s">
        <v>2517</v>
      </c>
      <c r="V101" s="58"/>
      <c r="W101" s="58" t="str">
        <f t="shared" si="1"/>
        <v/>
      </c>
    </row>
    <row r="102" spans="1:23" ht="31.2">
      <c r="A102" s="58" t="s">
        <v>76</v>
      </c>
      <c r="B102" s="58" t="s">
        <v>48</v>
      </c>
      <c r="C102" s="58" t="s">
        <v>2607</v>
      </c>
      <c r="D102" s="58" t="s">
        <v>2826</v>
      </c>
      <c r="E102" s="58" t="s">
        <v>2609</v>
      </c>
      <c r="F102" s="58"/>
      <c r="G102" s="58"/>
      <c r="H102" s="58"/>
      <c r="I102" s="58"/>
      <c r="J102" s="58"/>
      <c r="K102" s="58"/>
      <c r="L102" s="58" t="s">
        <v>274</v>
      </c>
      <c r="M102" s="58" t="s">
        <v>79</v>
      </c>
      <c r="N102" s="58" t="s">
        <v>80</v>
      </c>
      <c r="O102" s="58" t="s">
        <v>2827</v>
      </c>
      <c r="P102" s="58" t="s">
        <v>2828</v>
      </c>
      <c r="Q102" s="58" t="s">
        <v>44</v>
      </c>
      <c r="R102" s="58"/>
      <c r="S102" s="58"/>
      <c r="T102" s="58"/>
      <c r="U102" s="58" t="s">
        <v>2517</v>
      </c>
      <c r="V102" s="58" t="s">
        <v>2829</v>
      </c>
      <c r="W102" s="58" t="str">
        <f t="shared" si="1"/>
        <v/>
      </c>
    </row>
    <row r="103" spans="1:23" ht="31.2">
      <c r="A103" s="58" t="s">
        <v>76</v>
      </c>
      <c r="B103" s="58" t="s">
        <v>48</v>
      </c>
      <c r="C103" s="58" t="s">
        <v>2521</v>
      </c>
      <c r="D103" s="58" t="s">
        <v>2830</v>
      </c>
      <c r="E103" s="58" t="s">
        <v>2600</v>
      </c>
      <c r="F103" s="58"/>
      <c r="G103" s="58"/>
      <c r="H103" s="58"/>
      <c r="I103" s="58"/>
      <c r="J103" s="58"/>
      <c r="K103" s="58"/>
      <c r="L103" s="58"/>
      <c r="M103" s="58" t="s">
        <v>79</v>
      </c>
      <c r="N103" s="58" t="s">
        <v>80</v>
      </c>
      <c r="O103" s="58" t="s">
        <v>2831</v>
      </c>
      <c r="P103" s="58" t="s">
        <v>2832</v>
      </c>
      <c r="Q103" s="58"/>
      <c r="R103" s="58"/>
      <c r="S103" s="58"/>
      <c r="T103" s="58"/>
      <c r="U103" s="58" t="s">
        <v>2517</v>
      </c>
      <c r="V103" s="58"/>
      <c r="W103" s="58" t="str">
        <f t="shared" si="1"/>
        <v/>
      </c>
    </row>
    <row r="104" spans="1:23" ht="31.2">
      <c r="A104" s="58" t="s">
        <v>76</v>
      </c>
      <c r="B104" s="58" t="s">
        <v>48</v>
      </c>
      <c r="C104" s="58" t="s">
        <v>2510</v>
      </c>
      <c r="D104" s="58" t="s">
        <v>2730</v>
      </c>
      <c r="E104" s="58" t="s">
        <v>2512</v>
      </c>
      <c r="F104" s="58">
        <v>8794</v>
      </c>
      <c r="G104" s="58">
        <v>8794</v>
      </c>
      <c r="H104" s="58"/>
      <c r="I104" s="58" t="s">
        <v>2513</v>
      </c>
      <c r="J104" s="58"/>
      <c r="K104" s="58"/>
      <c r="L104" s="58"/>
      <c r="M104" s="58" t="s">
        <v>79</v>
      </c>
      <c r="N104" s="58" t="s">
        <v>80</v>
      </c>
      <c r="O104" s="58" t="s">
        <v>2833</v>
      </c>
      <c r="P104" s="58" t="s">
        <v>2834</v>
      </c>
      <c r="Q104" s="58"/>
      <c r="R104" s="58"/>
      <c r="S104" s="58"/>
      <c r="T104" s="58" t="s">
        <v>2598</v>
      </c>
      <c r="U104" s="58" t="s">
        <v>2517</v>
      </c>
      <c r="V104" s="58"/>
      <c r="W104" s="58">
        <f t="shared" si="1"/>
        <v>0</v>
      </c>
    </row>
    <row r="105" spans="1:23" ht="31.2">
      <c r="A105" s="58" t="s">
        <v>76</v>
      </c>
      <c r="B105" s="58" t="s">
        <v>48</v>
      </c>
      <c r="C105" s="58" t="s">
        <v>2521</v>
      </c>
      <c r="D105" s="58" t="s">
        <v>2835</v>
      </c>
      <c r="E105" s="58" t="s">
        <v>2622</v>
      </c>
      <c r="F105" s="58"/>
      <c r="G105" s="58"/>
      <c r="H105" s="58"/>
      <c r="I105" s="58"/>
      <c r="J105" s="58"/>
      <c r="K105" s="58"/>
      <c r="L105" s="58"/>
      <c r="M105" s="58" t="s">
        <v>79</v>
      </c>
      <c r="N105" s="58" t="s">
        <v>80</v>
      </c>
      <c r="O105" s="58" t="s">
        <v>2836</v>
      </c>
      <c r="P105" s="58" t="s">
        <v>2837</v>
      </c>
      <c r="Q105" s="58"/>
      <c r="R105" s="58"/>
      <c r="S105" s="58"/>
      <c r="T105" s="58"/>
      <c r="U105" s="58" t="s">
        <v>2517</v>
      </c>
      <c r="V105" s="58"/>
      <c r="W105" s="58" t="str">
        <f t="shared" si="1"/>
        <v/>
      </c>
    </row>
    <row r="106" spans="1:23" ht="31.2">
      <c r="A106" s="58" t="s">
        <v>76</v>
      </c>
      <c r="B106" s="58" t="s">
        <v>48</v>
      </c>
      <c r="C106" s="58" t="s">
        <v>2607</v>
      </c>
      <c r="D106" s="58" t="s">
        <v>2838</v>
      </c>
      <c r="E106" s="58" t="s">
        <v>2609</v>
      </c>
      <c r="F106" s="58"/>
      <c r="G106" s="58"/>
      <c r="H106" s="58"/>
      <c r="I106" s="58"/>
      <c r="J106" s="58"/>
      <c r="K106" s="58"/>
      <c r="L106" s="58" t="s">
        <v>274</v>
      </c>
      <c r="M106" s="58" t="s">
        <v>79</v>
      </c>
      <c r="N106" s="58" t="s">
        <v>80</v>
      </c>
      <c r="O106" s="58" t="s">
        <v>2839</v>
      </c>
      <c r="P106" s="58" t="s">
        <v>2840</v>
      </c>
      <c r="Q106" s="58" t="s">
        <v>44</v>
      </c>
      <c r="R106" s="58"/>
      <c r="S106" s="58"/>
      <c r="T106" s="58"/>
      <c r="U106" s="58" t="s">
        <v>2517</v>
      </c>
      <c r="V106" s="58" t="s">
        <v>2841</v>
      </c>
      <c r="W106" s="58" t="str">
        <f t="shared" si="1"/>
        <v/>
      </c>
    </row>
    <row r="107" spans="1:23" ht="31.2">
      <c r="A107" s="58" t="s">
        <v>76</v>
      </c>
      <c r="B107" s="58" t="s">
        <v>48</v>
      </c>
      <c r="C107" s="58" t="s">
        <v>2510</v>
      </c>
      <c r="D107" s="58" t="s">
        <v>2842</v>
      </c>
      <c r="E107" s="58" t="s">
        <v>2686</v>
      </c>
      <c r="F107" s="58"/>
      <c r="G107" s="58"/>
      <c r="H107" s="58"/>
      <c r="I107" s="58" t="s">
        <v>2843</v>
      </c>
      <c r="J107" s="58"/>
      <c r="K107" s="58"/>
      <c r="L107" s="58"/>
      <c r="M107" s="58" t="s">
        <v>79</v>
      </c>
      <c r="N107" s="58" t="s">
        <v>80</v>
      </c>
      <c r="O107" s="58" t="s">
        <v>2844</v>
      </c>
      <c r="P107" s="58" t="s">
        <v>2845</v>
      </c>
      <c r="Q107" s="58"/>
      <c r="R107" s="69" t="s">
        <v>2846</v>
      </c>
      <c r="S107" s="69" t="s">
        <v>2847</v>
      </c>
      <c r="T107" s="58" t="s">
        <v>2848</v>
      </c>
      <c r="U107" s="58" t="s">
        <v>2517</v>
      </c>
      <c r="V107" s="58"/>
      <c r="W107" s="58" t="str">
        <f t="shared" si="1"/>
        <v/>
      </c>
    </row>
    <row r="108" spans="1:23" ht="25.95" customHeight="1">
      <c r="A108" s="58" t="s">
        <v>82</v>
      </c>
      <c r="B108" s="58" t="s">
        <v>48</v>
      </c>
      <c r="C108" s="58" t="s">
        <v>2510</v>
      </c>
      <c r="D108" s="58" t="s">
        <v>2659</v>
      </c>
      <c r="E108" s="58" t="s">
        <v>2638</v>
      </c>
      <c r="F108" s="58">
        <v>87.5</v>
      </c>
      <c r="G108" s="58">
        <v>87.530833333333334</v>
      </c>
      <c r="H108" s="58"/>
      <c r="I108" s="58" t="s">
        <v>2639</v>
      </c>
      <c r="J108" s="58"/>
      <c r="K108" s="58"/>
      <c r="L108" s="58"/>
      <c r="M108" s="58" t="s">
        <v>85</v>
      </c>
      <c r="N108" s="58" t="s">
        <v>86</v>
      </c>
      <c r="O108" s="58" t="s">
        <v>2849</v>
      </c>
      <c r="P108" s="58" t="s">
        <v>2850</v>
      </c>
      <c r="Q108" s="58"/>
      <c r="R108" s="58"/>
      <c r="S108" s="58"/>
      <c r="T108" s="58" t="s">
        <v>2598</v>
      </c>
      <c r="U108" s="58" t="s">
        <v>2517</v>
      </c>
      <c r="V108" s="58"/>
      <c r="W108" s="58">
        <f t="shared" si="1"/>
        <v>3.0833333333333712E-2</v>
      </c>
    </row>
    <row r="109" spans="1:23" ht="25.95" customHeight="1">
      <c r="A109" s="58" t="s">
        <v>82</v>
      </c>
      <c r="B109" s="58" t="s">
        <v>48</v>
      </c>
      <c r="C109" s="58" t="s">
        <v>2510</v>
      </c>
      <c r="D109" s="58" t="s">
        <v>2595</v>
      </c>
      <c r="E109" s="58" t="s">
        <v>2512</v>
      </c>
      <c r="F109" s="58">
        <v>7525498</v>
      </c>
      <c r="G109" s="58">
        <v>7525498</v>
      </c>
      <c r="H109" s="58"/>
      <c r="I109" s="58" t="s">
        <v>2513</v>
      </c>
      <c r="J109" s="58"/>
      <c r="K109" s="58"/>
      <c r="L109" s="58"/>
      <c r="M109" s="58" t="s">
        <v>85</v>
      </c>
      <c r="N109" s="58" t="s">
        <v>86</v>
      </c>
      <c r="O109" s="58" t="s">
        <v>2851</v>
      </c>
      <c r="P109" s="58" t="s">
        <v>2852</v>
      </c>
      <c r="Q109" s="58"/>
      <c r="R109" s="58"/>
      <c r="S109" s="58"/>
      <c r="T109" s="58" t="s">
        <v>2598</v>
      </c>
      <c r="U109" s="58" t="s">
        <v>2517</v>
      </c>
      <c r="V109" s="58"/>
      <c r="W109" s="58">
        <f t="shared" si="1"/>
        <v>0</v>
      </c>
    </row>
    <row r="110" spans="1:23" ht="25.95" customHeight="1">
      <c r="A110" s="58" t="s">
        <v>82</v>
      </c>
      <c r="B110" s="58" t="s">
        <v>48</v>
      </c>
      <c r="C110" s="58" t="s">
        <v>2510</v>
      </c>
      <c r="D110" s="58" t="s">
        <v>2853</v>
      </c>
      <c r="E110" s="58" t="s">
        <v>2512</v>
      </c>
      <c r="F110" s="58">
        <v>7035</v>
      </c>
      <c r="G110" s="58">
        <v>7035</v>
      </c>
      <c r="H110" s="58"/>
      <c r="I110" s="58" t="s">
        <v>2513</v>
      </c>
      <c r="J110" s="58"/>
      <c r="K110" s="58"/>
      <c r="L110" s="58"/>
      <c r="M110" s="58" t="s">
        <v>85</v>
      </c>
      <c r="N110" s="58" t="s">
        <v>86</v>
      </c>
      <c r="O110" s="58" t="s">
        <v>2854</v>
      </c>
      <c r="P110" s="58" t="s">
        <v>2855</v>
      </c>
      <c r="Q110" s="58"/>
      <c r="R110" s="58"/>
      <c r="S110" s="58"/>
      <c r="T110" s="58" t="s">
        <v>2598</v>
      </c>
      <c r="U110" s="58" t="s">
        <v>2517</v>
      </c>
      <c r="V110" s="58"/>
      <c r="W110" s="58">
        <f t="shared" si="1"/>
        <v>0</v>
      </c>
    </row>
    <row r="111" spans="1:23" ht="25.95" customHeight="1">
      <c r="A111" s="58" t="s">
        <v>82</v>
      </c>
      <c r="B111" s="58" t="s">
        <v>48</v>
      </c>
      <c r="C111" s="58" t="s">
        <v>2510</v>
      </c>
      <c r="D111" s="58" t="s">
        <v>2856</v>
      </c>
      <c r="E111" s="58" t="s">
        <v>2512</v>
      </c>
      <c r="F111" s="58">
        <v>7283316</v>
      </c>
      <c r="G111" s="58">
        <v>7283316</v>
      </c>
      <c r="H111" s="58"/>
      <c r="I111" s="58" t="s">
        <v>2513</v>
      </c>
      <c r="J111" s="58"/>
      <c r="K111" s="58"/>
      <c r="L111" s="58"/>
      <c r="M111" s="58" t="s">
        <v>85</v>
      </c>
      <c r="N111" s="58" t="s">
        <v>86</v>
      </c>
      <c r="O111" s="58" t="s">
        <v>2857</v>
      </c>
      <c r="P111" s="58" t="s">
        <v>2858</v>
      </c>
      <c r="Q111" s="58"/>
      <c r="R111" s="58"/>
      <c r="S111" s="58"/>
      <c r="T111" s="58" t="s">
        <v>2598</v>
      </c>
      <c r="U111" s="58" t="s">
        <v>2517</v>
      </c>
      <c r="V111" s="58"/>
      <c r="W111" s="58">
        <f t="shared" si="1"/>
        <v>0</v>
      </c>
    </row>
    <row r="112" spans="1:23" ht="25.95" customHeight="1">
      <c r="A112" s="58" t="s">
        <v>82</v>
      </c>
      <c r="B112" s="58" t="s">
        <v>48</v>
      </c>
      <c r="C112" s="58" t="s">
        <v>2521</v>
      </c>
      <c r="D112" s="58" t="s">
        <v>2859</v>
      </c>
      <c r="E112" s="58" t="s">
        <v>2600</v>
      </c>
      <c r="F112" s="58"/>
      <c r="G112" s="58"/>
      <c r="H112" s="58"/>
      <c r="I112" s="58"/>
      <c r="J112" s="58"/>
      <c r="K112" s="58"/>
      <c r="L112" s="58"/>
      <c r="M112" s="58" t="s">
        <v>85</v>
      </c>
      <c r="N112" s="58" t="s">
        <v>86</v>
      </c>
      <c r="O112" s="58" t="s">
        <v>2860</v>
      </c>
      <c r="P112" s="58" t="s">
        <v>2861</v>
      </c>
      <c r="Q112" s="58"/>
      <c r="R112" s="58"/>
      <c r="S112" s="58"/>
      <c r="T112" s="58"/>
      <c r="U112" s="58" t="s">
        <v>2517</v>
      </c>
      <c r="V112" s="58"/>
      <c r="W112" s="58" t="str">
        <f t="shared" si="1"/>
        <v/>
      </c>
    </row>
    <row r="113" spans="1:23" ht="25.95" customHeight="1">
      <c r="A113" s="58" t="s">
        <v>82</v>
      </c>
      <c r="B113" s="58" t="s">
        <v>48</v>
      </c>
      <c r="C113" s="58" t="s">
        <v>2521</v>
      </c>
      <c r="D113" s="58" t="s">
        <v>2862</v>
      </c>
      <c r="E113" s="58" t="s">
        <v>2600</v>
      </c>
      <c r="F113" s="58"/>
      <c r="G113" s="58"/>
      <c r="H113" s="58"/>
      <c r="I113" s="58"/>
      <c r="J113" s="58"/>
      <c r="K113" s="58"/>
      <c r="L113" s="58"/>
      <c r="M113" s="58" t="s">
        <v>85</v>
      </c>
      <c r="N113" s="58" t="s">
        <v>86</v>
      </c>
      <c r="O113" s="58" t="s">
        <v>2863</v>
      </c>
      <c r="P113" s="58" t="s">
        <v>2864</v>
      </c>
      <c r="Q113" s="58"/>
      <c r="R113" s="58"/>
      <c r="S113" s="58"/>
      <c r="T113" s="58"/>
      <c r="U113" s="58" t="s">
        <v>2517</v>
      </c>
      <c r="V113" s="58"/>
      <c r="W113" s="58" t="str">
        <f t="shared" si="1"/>
        <v/>
      </c>
    </row>
    <row r="114" spans="1:23" ht="25.95" customHeight="1">
      <c r="A114" s="58" t="s">
        <v>82</v>
      </c>
      <c r="B114" s="58" t="s">
        <v>48</v>
      </c>
      <c r="C114" s="58" t="s">
        <v>2510</v>
      </c>
      <c r="D114" s="58" t="s">
        <v>2618</v>
      </c>
      <c r="E114" s="58" t="s">
        <v>2512</v>
      </c>
      <c r="F114" s="58">
        <v>3639698</v>
      </c>
      <c r="G114" s="58">
        <v>3639698</v>
      </c>
      <c r="H114" s="58"/>
      <c r="I114" s="58" t="s">
        <v>2513</v>
      </c>
      <c r="J114" s="58"/>
      <c r="K114" s="58"/>
      <c r="L114" s="58"/>
      <c r="M114" s="58" t="s">
        <v>85</v>
      </c>
      <c r="N114" s="58" t="s">
        <v>86</v>
      </c>
      <c r="O114" s="58" t="s">
        <v>2865</v>
      </c>
      <c r="P114" s="58" t="s">
        <v>2866</v>
      </c>
      <c r="Q114" s="58"/>
      <c r="R114" s="58"/>
      <c r="S114" s="58"/>
      <c r="T114" s="58" t="s">
        <v>2606</v>
      </c>
      <c r="U114" s="58" t="s">
        <v>2517</v>
      </c>
      <c r="V114" s="58"/>
      <c r="W114" s="58">
        <f t="shared" si="1"/>
        <v>0</v>
      </c>
    </row>
    <row r="115" spans="1:23" ht="25.95" customHeight="1">
      <c r="A115" s="58" t="s">
        <v>82</v>
      </c>
      <c r="B115" s="58" t="s">
        <v>48</v>
      </c>
      <c r="C115" s="58" t="s">
        <v>2510</v>
      </c>
      <c r="D115" s="58" t="s">
        <v>2867</v>
      </c>
      <c r="E115" s="58" t="s">
        <v>2512</v>
      </c>
      <c r="F115" s="58">
        <v>28690</v>
      </c>
      <c r="G115" s="58">
        <v>28690</v>
      </c>
      <c r="H115" s="58"/>
      <c r="I115" s="58" t="s">
        <v>2513</v>
      </c>
      <c r="J115" s="58"/>
      <c r="K115" s="58"/>
      <c r="L115" s="58"/>
      <c r="M115" s="58" t="s">
        <v>85</v>
      </c>
      <c r="N115" s="58" t="s">
        <v>86</v>
      </c>
      <c r="O115" s="58" t="s">
        <v>2868</v>
      </c>
      <c r="P115" s="58" t="s">
        <v>2869</v>
      </c>
      <c r="Q115" s="58"/>
      <c r="R115" s="58"/>
      <c r="S115" s="58"/>
      <c r="T115" s="58" t="s">
        <v>2598</v>
      </c>
      <c r="U115" s="58" t="s">
        <v>2517</v>
      </c>
      <c r="V115" s="58"/>
      <c r="W115" s="58">
        <f t="shared" si="1"/>
        <v>0</v>
      </c>
    </row>
    <row r="116" spans="1:23" ht="25.95" customHeight="1">
      <c r="A116" s="58" t="s">
        <v>82</v>
      </c>
      <c r="B116" s="58" t="s">
        <v>48</v>
      </c>
      <c r="C116" s="58" t="s">
        <v>2580</v>
      </c>
      <c r="D116" s="58" t="s">
        <v>2870</v>
      </c>
      <c r="E116" s="58" t="s">
        <v>2582</v>
      </c>
      <c r="F116" s="58"/>
      <c r="G116" s="58"/>
      <c r="H116" s="58"/>
      <c r="I116" s="58"/>
      <c r="J116" s="58"/>
      <c r="K116" s="58" t="s">
        <v>273</v>
      </c>
      <c r="L116" s="58" t="s">
        <v>273</v>
      </c>
      <c r="M116" s="58" t="s">
        <v>85</v>
      </c>
      <c r="N116" s="58" t="s">
        <v>86</v>
      </c>
      <c r="O116" s="58" t="s">
        <v>2871</v>
      </c>
      <c r="P116" s="58" t="s">
        <v>2872</v>
      </c>
      <c r="Q116" s="58" t="s">
        <v>44</v>
      </c>
      <c r="R116" s="58"/>
      <c r="S116" s="58"/>
      <c r="T116" s="58"/>
      <c r="U116" s="58" t="s">
        <v>2585</v>
      </c>
      <c r="V116" s="58"/>
      <c r="W116" s="58" t="str">
        <f t="shared" si="1"/>
        <v/>
      </c>
    </row>
    <row r="117" spans="1:23" ht="25.95" customHeight="1">
      <c r="A117" s="58" t="s">
        <v>82</v>
      </c>
      <c r="B117" s="58" t="s">
        <v>48</v>
      </c>
      <c r="C117" s="58" t="s">
        <v>2521</v>
      </c>
      <c r="D117" s="58" t="s">
        <v>2873</v>
      </c>
      <c r="E117" s="58" t="s">
        <v>2523</v>
      </c>
      <c r="F117" s="58"/>
      <c r="G117" s="58"/>
      <c r="H117" s="58"/>
      <c r="I117" s="58"/>
      <c r="J117" s="58"/>
      <c r="K117" s="58"/>
      <c r="L117" s="58"/>
      <c r="M117" s="58" t="s">
        <v>85</v>
      </c>
      <c r="N117" s="58" t="s">
        <v>86</v>
      </c>
      <c r="O117" s="58" t="s">
        <v>2874</v>
      </c>
      <c r="P117" s="58" t="s">
        <v>2875</v>
      </c>
      <c r="Q117" s="58"/>
      <c r="R117" s="58"/>
      <c r="S117" s="58"/>
      <c r="T117" s="58"/>
      <c r="U117" s="58" t="s">
        <v>2517</v>
      </c>
      <c r="V117" s="58"/>
      <c r="W117" s="58" t="str">
        <f t="shared" si="1"/>
        <v/>
      </c>
    </row>
    <row r="118" spans="1:23" ht="25.95" customHeight="1">
      <c r="A118" s="58" t="s">
        <v>82</v>
      </c>
      <c r="B118" s="58" t="s">
        <v>48</v>
      </c>
      <c r="C118" s="58" t="s">
        <v>2510</v>
      </c>
      <c r="D118" s="58" t="s">
        <v>2820</v>
      </c>
      <c r="E118" s="58" t="s">
        <v>2512</v>
      </c>
      <c r="F118" s="58">
        <v>1877</v>
      </c>
      <c r="G118" s="58">
        <v>1877</v>
      </c>
      <c r="H118" s="58"/>
      <c r="I118" s="58" t="s">
        <v>2513</v>
      </c>
      <c r="J118" s="58"/>
      <c r="K118" s="58"/>
      <c r="L118" s="58"/>
      <c r="M118" s="58" t="s">
        <v>85</v>
      </c>
      <c r="N118" s="58" t="s">
        <v>86</v>
      </c>
      <c r="O118" s="58" t="s">
        <v>2876</v>
      </c>
      <c r="P118" s="58" t="s">
        <v>2877</v>
      </c>
      <c r="Q118" s="58"/>
      <c r="R118" s="58"/>
      <c r="S118" s="58"/>
      <c r="T118" s="58" t="s">
        <v>2598</v>
      </c>
      <c r="U118" s="58" t="s">
        <v>2517</v>
      </c>
      <c r="V118" s="58"/>
      <c r="W118" s="58">
        <f t="shared" si="1"/>
        <v>0</v>
      </c>
    </row>
    <row r="119" spans="1:23" ht="25.95" customHeight="1">
      <c r="A119" s="58" t="s">
        <v>82</v>
      </c>
      <c r="B119" s="58" t="s">
        <v>48</v>
      </c>
      <c r="C119" s="58" t="s">
        <v>2521</v>
      </c>
      <c r="D119" s="58" t="s">
        <v>2878</v>
      </c>
      <c r="E119" s="58" t="s">
        <v>2622</v>
      </c>
      <c r="F119" s="58"/>
      <c r="G119" s="58"/>
      <c r="H119" s="58"/>
      <c r="I119" s="58"/>
      <c r="J119" s="58"/>
      <c r="K119" s="58"/>
      <c r="L119" s="58"/>
      <c r="M119" s="58" t="s">
        <v>85</v>
      </c>
      <c r="N119" s="58" t="s">
        <v>86</v>
      </c>
      <c r="O119" s="58" t="s">
        <v>2879</v>
      </c>
      <c r="P119" s="58" t="s">
        <v>2880</v>
      </c>
      <c r="Q119" s="58"/>
      <c r="R119" s="58"/>
      <c r="S119" s="58"/>
      <c r="T119" s="58"/>
      <c r="U119" s="58" t="s">
        <v>2517</v>
      </c>
      <c r="V119" s="58"/>
      <c r="W119" s="58" t="str">
        <f t="shared" si="1"/>
        <v/>
      </c>
    </row>
    <row r="120" spans="1:23" ht="25.95" customHeight="1">
      <c r="A120" s="58" t="s">
        <v>82</v>
      </c>
      <c r="B120" s="58" t="s">
        <v>48</v>
      </c>
      <c r="C120" s="58" t="s">
        <v>2521</v>
      </c>
      <c r="D120" s="58" t="s">
        <v>2881</v>
      </c>
      <c r="E120" s="58" t="s">
        <v>2523</v>
      </c>
      <c r="F120" s="58"/>
      <c r="G120" s="58"/>
      <c r="H120" s="58"/>
      <c r="I120" s="58"/>
      <c r="J120" s="58"/>
      <c r="K120" s="58"/>
      <c r="L120" s="58"/>
      <c r="M120" s="58" t="s">
        <v>85</v>
      </c>
      <c r="N120" s="58" t="s">
        <v>86</v>
      </c>
      <c r="O120" s="58" t="s">
        <v>2882</v>
      </c>
      <c r="P120" s="58" t="s">
        <v>2883</v>
      </c>
      <c r="Q120" s="58"/>
      <c r="R120" s="58"/>
      <c r="S120" s="58"/>
      <c r="T120" s="58"/>
      <c r="U120" s="58" t="s">
        <v>2517</v>
      </c>
      <c r="V120" s="58"/>
      <c r="W120" s="58" t="str">
        <f t="shared" si="1"/>
        <v/>
      </c>
    </row>
    <row r="121" spans="1:23" ht="25.95" customHeight="1">
      <c r="A121" s="58" t="s">
        <v>82</v>
      </c>
      <c r="B121" s="58" t="s">
        <v>48</v>
      </c>
      <c r="C121" s="58" t="s">
        <v>2510</v>
      </c>
      <c r="D121" s="58" t="s">
        <v>2631</v>
      </c>
      <c r="E121" s="58" t="s">
        <v>2512</v>
      </c>
      <c r="F121" s="58">
        <v>3293003</v>
      </c>
      <c r="G121" s="58">
        <v>3293003</v>
      </c>
      <c r="H121" s="58"/>
      <c r="I121" s="58" t="s">
        <v>2513</v>
      </c>
      <c r="J121" s="58"/>
      <c r="K121" s="58"/>
      <c r="L121" s="58"/>
      <c r="M121" s="58" t="s">
        <v>85</v>
      </c>
      <c r="N121" s="58" t="s">
        <v>86</v>
      </c>
      <c r="O121" s="58" t="s">
        <v>2884</v>
      </c>
      <c r="P121" s="58" t="s">
        <v>2885</v>
      </c>
      <c r="Q121" s="58"/>
      <c r="R121" s="58"/>
      <c r="S121" s="58"/>
      <c r="T121" s="58" t="s">
        <v>2606</v>
      </c>
      <c r="U121" s="58" t="s">
        <v>2517</v>
      </c>
      <c r="V121" s="58"/>
      <c r="W121" s="58">
        <f t="shared" si="1"/>
        <v>0</v>
      </c>
    </row>
    <row r="122" spans="1:23" ht="25.95" customHeight="1">
      <c r="A122" s="58" t="s">
        <v>82</v>
      </c>
      <c r="B122" s="58" t="s">
        <v>48</v>
      </c>
      <c r="C122" s="58" t="s">
        <v>2510</v>
      </c>
      <c r="D122" s="58" t="s">
        <v>2637</v>
      </c>
      <c r="E122" s="58" t="s">
        <v>2638</v>
      </c>
      <c r="F122" s="58">
        <v>1.3</v>
      </c>
      <c r="G122" s="58">
        <v>1.3411111111111109</v>
      </c>
      <c r="H122" s="58"/>
      <c r="I122" s="58" t="s">
        <v>2639</v>
      </c>
      <c r="J122" s="58"/>
      <c r="K122" s="58"/>
      <c r="L122" s="58"/>
      <c r="M122" s="58" t="s">
        <v>85</v>
      </c>
      <c r="N122" s="58" t="s">
        <v>86</v>
      </c>
      <c r="O122" s="58" t="s">
        <v>2886</v>
      </c>
      <c r="P122" s="58" t="s">
        <v>2887</v>
      </c>
      <c r="Q122" s="58"/>
      <c r="R122" s="58"/>
      <c r="S122" s="58"/>
      <c r="T122" s="58" t="s">
        <v>2598</v>
      </c>
      <c r="U122" s="58" t="s">
        <v>2517</v>
      </c>
      <c r="V122" s="58"/>
      <c r="W122" s="58">
        <f t="shared" si="1"/>
        <v>4.1111111111110876E-2</v>
      </c>
    </row>
    <row r="123" spans="1:23" ht="25.95" customHeight="1">
      <c r="A123" s="58" t="s">
        <v>82</v>
      </c>
      <c r="B123" s="58" t="s">
        <v>48</v>
      </c>
      <c r="C123" s="58" t="s">
        <v>2510</v>
      </c>
      <c r="D123" s="58" t="s">
        <v>2676</v>
      </c>
      <c r="E123" s="58" t="s">
        <v>2512</v>
      </c>
      <c r="F123" s="58">
        <v>79928</v>
      </c>
      <c r="G123" s="58">
        <v>79928</v>
      </c>
      <c r="H123" s="58"/>
      <c r="I123" s="58" t="s">
        <v>2513</v>
      </c>
      <c r="J123" s="58"/>
      <c r="K123" s="58"/>
      <c r="L123" s="58"/>
      <c r="M123" s="58" t="s">
        <v>85</v>
      </c>
      <c r="N123" s="58" t="s">
        <v>86</v>
      </c>
      <c r="O123" s="58" t="s">
        <v>2888</v>
      </c>
      <c r="P123" s="58" t="s">
        <v>2889</v>
      </c>
      <c r="Q123" s="58"/>
      <c r="R123" s="58"/>
      <c r="S123" s="58"/>
      <c r="T123" s="58" t="s">
        <v>2598</v>
      </c>
      <c r="U123" s="58" t="s">
        <v>2517</v>
      </c>
      <c r="V123" s="58"/>
      <c r="W123" s="58">
        <f t="shared" si="1"/>
        <v>0</v>
      </c>
    </row>
    <row r="124" spans="1:23" ht="25.95" customHeight="1">
      <c r="A124" s="58" t="s">
        <v>82</v>
      </c>
      <c r="B124" s="58" t="s">
        <v>48</v>
      </c>
      <c r="C124" s="58" t="s">
        <v>2521</v>
      </c>
      <c r="D124" s="58" t="s">
        <v>2890</v>
      </c>
      <c r="E124" s="58" t="s">
        <v>2523</v>
      </c>
      <c r="F124" s="58"/>
      <c r="G124" s="58"/>
      <c r="H124" s="58"/>
      <c r="I124" s="58"/>
      <c r="J124" s="58"/>
      <c r="K124" s="58"/>
      <c r="L124" s="58"/>
      <c r="M124" s="58" t="s">
        <v>85</v>
      </c>
      <c r="N124" s="58" t="s">
        <v>86</v>
      </c>
      <c r="O124" s="58" t="s">
        <v>2891</v>
      </c>
      <c r="P124" s="58" t="s">
        <v>2892</v>
      </c>
      <c r="Q124" s="58"/>
      <c r="R124" s="58"/>
      <c r="S124" s="58"/>
      <c r="T124" s="58"/>
      <c r="U124" s="58" t="s">
        <v>2517</v>
      </c>
      <c r="V124" s="58"/>
      <c r="W124" s="58" t="str">
        <f t="shared" si="1"/>
        <v/>
      </c>
    </row>
    <row r="125" spans="1:23" ht="31.2">
      <c r="A125" s="58" t="s">
        <v>63</v>
      </c>
      <c r="B125" s="58" t="s">
        <v>35</v>
      </c>
      <c r="C125" s="58" t="s">
        <v>2510</v>
      </c>
      <c r="D125" s="58" t="s">
        <v>2893</v>
      </c>
      <c r="E125" s="58" t="s">
        <v>2512</v>
      </c>
      <c r="F125" s="58">
        <v>2666078</v>
      </c>
      <c r="G125" s="58">
        <v>2666078</v>
      </c>
      <c r="H125" s="58"/>
      <c r="I125" s="58" t="s">
        <v>2513</v>
      </c>
      <c r="J125" s="58"/>
      <c r="K125" s="58"/>
      <c r="L125" s="58"/>
      <c r="M125" s="58" t="s">
        <v>89</v>
      </c>
      <c r="N125" s="58" t="s">
        <v>90</v>
      </c>
      <c r="O125" s="58" t="s">
        <v>2894</v>
      </c>
      <c r="P125" s="58" t="s">
        <v>2895</v>
      </c>
      <c r="Q125" s="58"/>
      <c r="R125" s="58"/>
      <c r="S125" s="58"/>
      <c r="T125" s="58" t="s">
        <v>2896</v>
      </c>
      <c r="U125" s="58" t="s">
        <v>2517</v>
      </c>
      <c r="V125" s="58"/>
      <c r="W125" s="58">
        <f t="shared" si="1"/>
        <v>0</v>
      </c>
    </row>
    <row r="126" spans="1:23" ht="31.2">
      <c r="A126" s="58" t="s">
        <v>63</v>
      </c>
      <c r="B126" s="58" t="s">
        <v>35</v>
      </c>
      <c r="C126" s="58" t="s">
        <v>2510</v>
      </c>
      <c r="D126" s="58" t="s">
        <v>2897</v>
      </c>
      <c r="E126" s="58" t="s">
        <v>2686</v>
      </c>
      <c r="F126" s="58"/>
      <c r="G126" s="58"/>
      <c r="H126" s="58"/>
      <c r="I126" s="58" t="s">
        <v>2898</v>
      </c>
      <c r="J126" s="58"/>
      <c r="K126" s="58"/>
      <c r="L126" s="58"/>
      <c r="M126" s="58" t="s">
        <v>89</v>
      </c>
      <c r="N126" s="58" t="s">
        <v>90</v>
      </c>
      <c r="O126" s="58" t="s">
        <v>2899</v>
      </c>
      <c r="P126" s="58" t="s">
        <v>2900</v>
      </c>
      <c r="Q126" s="58"/>
      <c r="R126" s="69" t="s">
        <v>3655</v>
      </c>
      <c r="S126" s="69" t="s">
        <v>3656</v>
      </c>
      <c r="T126" s="58" t="s">
        <v>2901</v>
      </c>
      <c r="U126" s="58" t="s">
        <v>2517</v>
      </c>
      <c r="V126" s="58"/>
      <c r="W126" s="58" t="str">
        <f t="shared" si="1"/>
        <v/>
      </c>
    </row>
    <row r="127" spans="1:23" ht="31.2">
      <c r="A127" s="58" t="s">
        <v>63</v>
      </c>
      <c r="B127" s="58" t="s">
        <v>35</v>
      </c>
      <c r="C127" s="58" t="s">
        <v>2902</v>
      </c>
      <c r="D127" s="58" t="s">
        <v>2903</v>
      </c>
      <c r="E127" s="58" t="s">
        <v>2904</v>
      </c>
      <c r="F127" s="58"/>
      <c r="G127" s="58"/>
      <c r="H127" s="58"/>
      <c r="I127" s="58"/>
      <c r="J127" s="58"/>
      <c r="K127" s="58"/>
      <c r="L127" s="58"/>
      <c r="M127" s="58" t="s">
        <v>89</v>
      </c>
      <c r="N127" s="58" t="s">
        <v>90</v>
      </c>
      <c r="O127" s="58" t="s">
        <v>2905</v>
      </c>
      <c r="P127" s="58" t="s">
        <v>2906</v>
      </c>
      <c r="Q127" s="58"/>
      <c r="R127" s="58"/>
      <c r="S127" s="58"/>
      <c r="T127" s="58"/>
      <c r="U127" s="58" t="s">
        <v>2517</v>
      </c>
      <c r="V127" s="58"/>
      <c r="W127" s="58" t="str">
        <f t="shared" si="1"/>
        <v/>
      </c>
    </row>
    <row r="128" spans="1:23" ht="31.2">
      <c r="A128" s="58" t="s">
        <v>63</v>
      </c>
      <c r="B128" s="58" t="s">
        <v>35</v>
      </c>
      <c r="C128" s="58" t="s">
        <v>2902</v>
      </c>
      <c r="D128" s="58" t="s">
        <v>2907</v>
      </c>
      <c r="E128" s="58" t="s">
        <v>2904</v>
      </c>
      <c r="F128" s="58"/>
      <c r="G128" s="58"/>
      <c r="H128" s="58"/>
      <c r="I128" s="58"/>
      <c r="J128" s="58"/>
      <c r="K128" s="58"/>
      <c r="L128" s="58"/>
      <c r="M128" s="58" t="s">
        <v>89</v>
      </c>
      <c r="N128" s="58" t="s">
        <v>90</v>
      </c>
      <c r="O128" s="58" t="s">
        <v>2908</v>
      </c>
      <c r="P128" s="58" t="s">
        <v>2909</v>
      </c>
      <c r="Q128" s="58"/>
      <c r="R128" s="58"/>
      <c r="S128" s="58"/>
      <c r="T128" s="58"/>
      <c r="U128" s="58" t="s">
        <v>2517</v>
      </c>
      <c r="V128" s="58"/>
      <c r="W128" s="58" t="str">
        <f t="shared" si="1"/>
        <v/>
      </c>
    </row>
    <row r="129" spans="1:23" ht="31.2">
      <c r="A129" s="58" t="s">
        <v>63</v>
      </c>
      <c r="B129" s="58" t="s">
        <v>35</v>
      </c>
      <c r="C129" s="58" t="s">
        <v>2607</v>
      </c>
      <c r="D129" s="58" t="s">
        <v>2910</v>
      </c>
      <c r="E129" s="58" t="s">
        <v>2609</v>
      </c>
      <c r="F129" s="58"/>
      <c r="G129" s="58"/>
      <c r="H129" s="58"/>
      <c r="I129" s="58"/>
      <c r="J129" s="58"/>
      <c r="K129" s="58"/>
      <c r="L129" s="58" t="s">
        <v>274</v>
      </c>
      <c r="M129" s="58" t="s">
        <v>89</v>
      </c>
      <c r="N129" s="58" t="s">
        <v>90</v>
      </c>
      <c r="O129" s="58" t="s">
        <v>2911</v>
      </c>
      <c r="P129" s="58" t="s">
        <v>2912</v>
      </c>
      <c r="Q129" s="58" t="s">
        <v>44</v>
      </c>
      <c r="R129" s="58"/>
      <c r="S129" s="58"/>
      <c r="T129" s="58"/>
      <c r="U129" s="58" t="s">
        <v>2517</v>
      </c>
      <c r="V129" s="58" t="s">
        <v>2841</v>
      </c>
      <c r="W129" s="58" t="str">
        <f t="shared" si="1"/>
        <v/>
      </c>
    </row>
    <row r="130" spans="1:23" ht="31.2">
      <c r="A130" s="58" t="s">
        <v>63</v>
      </c>
      <c r="B130" s="58" t="s">
        <v>35</v>
      </c>
      <c r="C130" s="58" t="s">
        <v>2913</v>
      </c>
      <c r="D130" s="58" t="s">
        <v>2914</v>
      </c>
      <c r="E130" s="58" t="s">
        <v>2915</v>
      </c>
      <c r="F130" s="58"/>
      <c r="G130" s="58"/>
      <c r="H130" s="58"/>
      <c r="I130" s="58"/>
      <c r="J130" s="58"/>
      <c r="K130" s="58"/>
      <c r="L130" s="58"/>
      <c r="M130" s="58" t="s">
        <v>89</v>
      </c>
      <c r="N130" s="58" t="s">
        <v>90</v>
      </c>
      <c r="O130" s="58" t="s">
        <v>2916</v>
      </c>
      <c r="P130" s="58" t="s">
        <v>2917</v>
      </c>
      <c r="Q130" s="58"/>
      <c r="R130" s="69" t="s">
        <v>2918</v>
      </c>
      <c r="S130" s="69" t="s">
        <v>2919</v>
      </c>
      <c r="T130" s="58"/>
      <c r="U130" s="58" t="s">
        <v>2913</v>
      </c>
      <c r="V130" s="58"/>
      <c r="W130" s="58" t="str">
        <f t="shared" ref="W130:W193" si="2">IF(COUNT(F130:G130)=2,G130-F130,"")</f>
        <v/>
      </c>
    </row>
    <row r="131" spans="1:23" ht="31.2">
      <c r="A131" s="58" t="s">
        <v>63</v>
      </c>
      <c r="B131" s="58" t="s">
        <v>35</v>
      </c>
      <c r="C131" s="58" t="s">
        <v>2913</v>
      </c>
      <c r="D131" s="58" t="s">
        <v>2920</v>
      </c>
      <c r="E131" s="58" t="s">
        <v>2915</v>
      </c>
      <c r="F131" s="58"/>
      <c r="G131" s="58"/>
      <c r="H131" s="58"/>
      <c r="I131" s="58"/>
      <c r="J131" s="58"/>
      <c r="K131" s="58"/>
      <c r="L131" s="58"/>
      <c r="M131" s="58" t="s">
        <v>89</v>
      </c>
      <c r="N131" s="58" t="s">
        <v>90</v>
      </c>
      <c r="O131" s="58" t="s">
        <v>2921</v>
      </c>
      <c r="P131" s="58" t="s">
        <v>2922</v>
      </c>
      <c r="Q131" s="58"/>
      <c r="R131" s="69" t="s">
        <v>2923</v>
      </c>
      <c r="S131" s="69" t="s">
        <v>2924</v>
      </c>
      <c r="T131" s="58"/>
      <c r="U131" s="58" t="s">
        <v>2913</v>
      </c>
      <c r="V131" s="58"/>
      <c r="W131" s="58" t="str">
        <f t="shared" si="2"/>
        <v/>
      </c>
    </row>
    <row r="132" spans="1:23" ht="31.2">
      <c r="A132" s="58" t="s">
        <v>63</v>
      </c>
      <c r="B132" s="58" t="s">
        <v>35</v>
      </c>
      <c r="C132" s="58" t="s">
        <v>2913</v>
      </c>
      <c r="D132" s="58" t="s">
        <v>2925</v>
      </c>
      <c r="E132" s="58" t="s">
        <v>2915</v>
      </c>
      <c r="F132" s="58"/>
      <c r="G132" s="58"/>
      <c r="H132" s="58"/>
      <c r="I132" s="58"/>
      <c r="J132" s="58"/>
      <c r="K132" s="58"/>
      <c r="L132" s="58"/>
      <c r="M132" s="58" t="s">
        <v>89</v>
      </c>
      <c r="N132" s="58" t="s">
        <v>90</v>
      </c>
      <c r="O132" s="58" t="s">
        <v>2926</v>
      </c>
      <c r="P132" s="58" t="s">
        <v>2927</v>
      </c>
      <c r="Q132" s="58"/>
      <c r="R132" s="69" t="s">
        <v>2928</v>
      </c>
      <c r="S132" s="69" t="s">
        <v>2929</v>
      </c>
      <c r="T132" s="58"/>
      <c r="U132" s="58" t="s">
        <v>2913</v>
      </c>
      <c r="V132" s="58"/>
      <c r="W132" s="58" t="str">
        <f t="shared" si="2"/>
        <v/>
      </c>
    </row>
    <row r="133" spans="1:23" ht="31.2">
      <c r="A133" s="58" t="s">
        <v>63</v>
      </c>
      <c r="B133" s="58" t="s">
        <v>35</v>
      </c>
      <c r="C133" s="58" t="s">
        <v>2913</v>
      </c>
      <c r="D133" s="58" t="s">
        <v>2930</v>
      </c>
      <c r="E133" s="58" t="s">
        <v>2915</v>
      </c>
      <c r="F133" s="58"/>
      <c r="G133" s="58"/>
      <c r="H133" s="58"/>
      <c r="I133" s="58"/>
      <c r="J133" s="58"/>
      <c r="K133" s="58"/>
      <c r="L133" s="58"/>
      <c r="M133" s="58" t="s">
        <v>89</v>
      </c>
      <c r="N133" s="58" t="s">
        <v>90</v>
      </c>
      <c r="O133" s="58" t="s">
        <v>2931</v>
      </c>
      <c r="P133" s="58" t="s">
        <v>2932</v>
      </c>
      <c r="Q133" s="58"/>
      <c r="R133" s="69" t="s">
        <v>2933</v>
      </c>
      <c r="S133" s="69" t="s">
        <v>2934</v>
      </c>
      <c r="T133" s="58"/>
      <c r="U133" s="58" t="s">
        <v>2913</v>
      </c>
      <c r="V133" s="58"/>
      <c r="W133" s="58" t="str">
        <f t="shared" si="2"/>
        <v/>
      </c>
    </row>
    <row r="134" spans="1:23" ht="31.2">
      <c r="A134" s="58" t="s">
        <v>63</v>
      </c>
      <c r="B134" s="58" t="s">
        <v>35</v>
      </c>
      <c r="C134" s="58" t="s">
        <v>2913</v>
      </c>
      <c r="D134" s="58" t="s">
        <v>2935</v>
      </c>
      <c r="E134" s="58" t="s">
        <v>2936</v>
      </c>
      <c r="F134" s="58"/>
      <c r="G134" s="58"/>
      <c r="H134" s="58"/>
      <c r="I134" s="58"/>
      <c r="J134" s="58"/>
      <c r="K134" s="58"/>
      <c r="L134" s="58"/>
      <c r="M134" s="58" t="s">
        <v>89</v>
      </c>
      <c r="N134" s="58" t="s">
        <v>90</v>
      </c>
      <c r="O134" s="58" t="s">
        <v>2937</v>
      </c>
      <c r="P134" s="58" t="s">
        <v>2938</v>
      </c>
      <c r="Q134" s="58"/>
      <c r="R134" s="69" t="s">
        <v>2939</v>
      </c>
      <c r="S134" s="69" t="s">
        <v>2940</v>
      </c>
      <c r="T134" s="58"/>
      <c r="U134" s="58" t="s">
        <v>2913</v>
      </c>
      <c r="V134" s="58"/>
      <c r="W134" s="58" t="str">
        <f t="shared" si="2"/>
        <v/>
      </c>
    </row>
    <row r="135" spans="1:23" ht="31.2">
      <c r="A135" s="58" t="s">
        <v>63</v>
      </c>
      <c r="B135" s="58" t="s">
        <v>35</v>
      </c>
      <c r="C135" s="58" t="s">
        <v>2913</v>
      </c>
      <c r="D135" s="58" t="s">
        <v>2941</v>
      </c>
      <c r="E135" s="58" t="s">
        <v>2936</v>
      </c>
      <c r="F135" s="58"/>
      <c r="G135" s="58"/>
      <c r="H135" s="58"/>
      <c r="I135" s="58"/>
      <c r="J135" s="58"/>
      <c r="K135" s="58"/>
      <c r="L135" s="58"/>
      <c r="M135" s="58" t="s">
        <v>89</v>
      </c>
      <c r="N135" s="58" t="s">
        <v>90</v>
      </c>
      <c r="O135" s="58" t="s">
        <v>2942</v>
      </c>
      <c r="P135" s="58" t="s">
        <v>2943</v>
      </c>
      <c r="Q135" s="58"/>
      <c r="R135" s="69" t="s">
        <v>2944</v>
      </c>
      <c r="S135" s="69" t="s">
        <v>2945</v>
      </c>
      <c r="T135" s="58"/>
      <c r="U135" s="58" t="s">
        <v>2913</v>
      </c>
      <c r="V135" s="58"/>
      <c r="W135" s="58" t="str">
        <f t="shared" si="2"/>
        <v/>
      </c>
    </row>
    <row r="136" spans="1:23" ht="31.2">
      <c r="A136" s="58" t="s">
        <v>63</v>
      </c>
      <c r="B136" s="58" t="s">
        <v>35</v>
      </c>
      <c r="C136" s="58" t="s">
        <v>2580</v>
      </c>
      <c r="D136" s="58" t="s">
        <v>2946</v>
      </c>
      <c r="E136" s="58" t="s">
        <v>2582</v>
      </c>
      <c r="F136" s="58"/>
      <c r="G136" s="58"/>
      <c r="H136" s="58"/>
      <c r="I136" s="58"/>
      <c r="J136" s="58" t="s">
        <v>273</v>
      </c>
      <c r="K136" s="58" t="s">
        <v>273</v>
      </c>
      <c r="L136" s="58" t="s">
        <v>273</v>
      </c>
      <c r="M136" s="58" t="s">
        <v>89</v>
      </c>
      <c r="N136" s="58" t="s">
        <v>90</v>
      </c>
      <c r="O136" s="58" t="s">
        <v>2947</v>
      </c>
      <c r="P136" s="58" t="s">
        <v>2948</v>
      </c>
      <c r="Q136" s="58" t="s">
        <v>44</v>
      </c>
      <c r="R136" s="58"/>
      <c r="S136" s="58"/>
      <c r="T136" s="58"/>
      <c r="U136" s="58" t="s">
        <v>2585</v>
      </c>
      <c r="V136" s="58"/>
      <c r="W136" s="58" t="str">
        <f t="shared" si="2"/>
        <v/>
      </c>
    </row>
    <row r="137" spans="1:23" ht="31.2">
      <c r="A137" s="58" t="s">
        <v>63</v>
      </c>
      <c r="B137" s="58" t="s">
        <v>35</v>
      </c>
      <c r="C137" s="58" t="s">
        <v>2902</v>
      </c>
      <c r="D137" s="58" t="s">
        <v>2949</v>
      </c>
      <c r="E137" s="58" t="s">
        <v>2686</v>
      </c>
      <c r="F137" s="58"/>
      <c r="G137" s="58"/>
      <c r="H137" s="58"/>
      <c r="I137" s="58"/>
      <c r="J137" s="58"/>
      <c r="K137" s="58"/>
      <c r="L137" s="58"/>
      <c r="M137" s="58" t="s">
        <v>89</v>
      </c>
      <c r="N137" s="58" t="s">
        <v>90</v>
      </c>
      <c r="O137" s="58" t="s">
        <v>2950</v>
      </c>
      <c r="P137" s="58" t="s">
        <v>2951</v>
      </c>
      <c r="Q137" s="58"/>
      <c r="R137" s="58"/>
      <c r="S137" s="58"/>
      <c r="T137" s="58"/>
      <c r="U137" s="58" t="s">
        <v>2517</v>
      </c>
      <c r="V137" s="58"/>
      <c r="W137" s="58" t="str">
        <f t="shared" si="2"/>
        <v/>
      </c>
    </row>
    <row r="138" spans="1:23" ht="31.2">
      <c r="A138" s="58" t="s">
        <v>63</v>
      </c>
      <c r="B138" s="58" t="s">
        <v>35</v>
      </c>
      <c r="C138" s="58" t="s">
        <v>2902</v>
      </c>
      <c r="D138" s="58" t="s">
        <v>2952</v>
      </c>
      <c r="E138" s="58" t="s">
        <v>2904</v>
      </c>
      <c r="F138" s="58"/>
      <c r="G138" s="58"/>
      <c r="H138" s="58"/>
      <c r="I138" s="58"/>
      <c r="J138" s="58"/>
      <c r="K138" s="58"/>
      <c r="L138" s="58"/>
      <c r="M138" s="58" t="s">
        <v>89</v>
      </c>
      <c r="N138" s="58" t="s">
        <v>90</v>
      </c>
      <c r="O138" s="58" t="s">
        <v>2953</v>
      </c>
      <c r="P138" s="58" t="s">
        <v>2954</v>
      </c>
      <c r="Q138" s="58"/>
      <c r="R138" s="58"/>
      <c r="S138" s="58"/>
      <c r="T138" s="58"/>
      <c r="U138" s="58" t="s">
        <v>2517</v>
      </c>
      <c r="V138" s="58"/>
      <c r="W138" s="58" t="str">
        <f t="shared" si="2"/>
        <v/>
      </c>
    </row>
    <row r="139" spans="1:23" ht="31.2">
      <c r="A139" s="58" t="s">
        <v>63</v>
      </c>
      <c r="B139" s="58" t="s">
        <v>35</v>
      </c>
      <c r="C139" s="58" t="s">
        <v>2902</v>
      </c>
      <c r="D139" s="58" t="s">
        <v>2955</v>
      </c>
      <c r="E139" s="58" t="s">
        <v>2956</v>
      </c>
      <c r="F139" s="58"/>
      <c r="G139" s="58"/>
      <c r="H139" s="58"/>
      <c r="I139" s="58"/>
      <c r="J139" s="58"/>
      <c r="K139" s="58"/>
      <c r="L139" s="58"/>
      <c r="M139" s="58" t="s">
        <v>89</v>
      </c>
      <c r="N139" s="58" t="s">
        <v>90</v>
      </c>
      <c r="O139" s="58" t="s">
        <v>2957</v>
      </c>
      <c r="P139" s="58" t="s">
        <v>2958</v>
      </c>
      <c r="Q139" s="58"/>
      <c r="R139" s="58"/>
      <c r="S139" s="58"/>
      <c r="T139" s="58"/>
      <c r="U139" s="58" t="s">
        <v>2517</v>
      </c>
      <c r="V139" s="58"/>
      <c r="W139" s="58" t="str">
        <f t="shared" si="2"/>
        <v/>
      </c>
    </row>
    <row r="140" spans="1:23" ht="25.95" customHeight="1">
      <c r="A140" s="58" t="s">
        <v>34</v>
      </c>
      <c r="B140" s="58" t="s">
        <v>35</v>
      </c>
      <c r="C140" s="58" t="s">
        <v>2902</v>
      </c>
      <c r="D140" s="58" t="s">
        <v>2907</v>
      </c>
      <c r="E140" s="58" t="s">
        <v>2904</v>
      </c>
      <c r="F140" s="58"/>
      <c r="G140" s="58"/>
      <c r="H140" s="58"/>
      <c r="I140" s="58"/>
      <c r="J140" s="58"/>
      <c r="K140" s="58"/>
      <c r="L140" s="58"/>
      <c r="M140" s="58" t="s">
        <v>92</v>
      </c>
      <c r="N140" s="58" t="s">
        <v>93</v>
      </c>
      <c r="O140" s="58" t="s">
        <v>2959</v>
      </c>
      <c r="P140" s="58" t="s">
        <v>2960</v>
      </c>
      <c r="Q140" s="58"/>
      <c r="R140" s="58"/>
      <c r="S140" s="58"/>
      <c r="T140" s="58"/>
      <c r="U140" s="58" t="s">
        <v>2517</v>
      </c>
      <c r="V140" s="58"/>
      <c r="W140" s="58" t="str">
        <f t="shared" si="2"/>
        <v/>
      </c>
    </row>
    <row r="141" spans="1:23" ht="25.95" customHeight="1">
      <c r="A141" s="58" t="s">
        <v>34</v>
      </c>
      <c r="B141" s="58" t="s">
        <v>35</v>
      </c>
      <c r="C141" s="58" t="s">
        <v>2902</v>
      </c>
      <c r="D141" s="58" t="s">
        <v>2955</v>
      </c>
      <c r="E141" s="58" t="s">
        <v>2961</v>
      </c>
      <c r="F141" s="58"/>
      <c r="G141" s="58"/>
      <c r="H141" s="58"/>
      <c r="I141" s="58"/>
      <c r="J141" s="58"/>
      <c r="K141" s="58"/>
      <c r="L141" s="58"/>
      <c r="M141" s="58" t="s">
        <v>92</v>
      </c>
      <c r="N141" s="58" t="s">
        <v>93</v>
      </c>
      <c r="O141" s="58" t="s">
        <v>2962</v>
      </c>
      <c r="P141" s="58" t="s">
        <v>2963</v>
      </c>
      <c r="Q141" s="58"/>
      <c r="R141" s="58"/>
      <c r="S141" s="58"/>
      <c r="T141" s="58"/>
      <c r="U141" s="58" t="s">
        <v>2517</v>
      </c>
      <c r="V141" s="58"/>
      <c r="W141" s="58" t="str">
        <f t="shared" si="2"/>
        <v/>
      </c>
    </row>
    <row r="142" spans="1:23" ht="31.2">
      <c r="A142" s="58" t="s">
        <v>34</v>
      </c>
      <c r="B142" s="58" t="s">
        <v>35</v>
      </c>
      <c r="C142" s="58" t="s">
        <v>2510</v>
      </c>
      <c r="D142" s="58" t="s">
        <v>2964</v>
      </c>
      <c r="E142" s="58" t="s">
        <v>2638</v>
      </c>
      <c r="F142" s="58">
        <v>49.3</v>
      </c>
      <c r="G142" s="58">
        <v>49.300654255771029</v>
      </c>
      <c r="H142" s="58"/>
      <c r="I142" s="58" t="s">
        <v>2749</v>
      </c>
      <c r="J142" s="58"/>
      <c r="K142" s="58"/>
      <c r="L142" s="58"/>
      <c r="M142" s="58" t="s">
        <v>92</v>
      </c>
      <c r="N142" s="58" t="s">
        <v>93</v>
      </c>
      <c r="O142" s="58" t="s">
        <v>2965</v>
      </c>
      <c r="P142" s="58" t="s">
        <v>2966</v>
      </c>
      <c r="Q142" s="58"/>
      <c r="R142" s="58"/>
      <c r="S142" s="58"/>
      <c r="T142" s="58" t="s">
        <v>2967</v>
      </c>
      <c r="U142" s="58" t="s">
        <v>2517</v>
      </c>
      <c r="V142" s="58"/>
      <c r="W142" s="58">
        <f t="shared" si="2"/>
        <v>6.5425577103184196E-4</v>
      </c>
    </row>
    <row r="143" spans="1:23" ht="25.95" customHeight="1">
      <c r="A143" s="58" t="s">
        <v>34</v>
      </c>
      <c r="B143" s="58" t="s">
        <v>35</v>
      </c>
      <c r="C143" s="58" t="s">
        <v>2902</v>
      </c>
      <c r="D143" s="58" t="s">
        <v>2952</v>
      </c>
      <c r="E143" s="58" t="s">
        <v>2904</v>
      </c>
      <c r="F143" s="58"/>
      <c r="G143" s="58"/>
      <c r="H143" s="58"/>
      <c r="I143" s="58"/>
      <c r="J143" s="58"/>
      <c r="K143" s="58"/>
      <c r="L143" s="58"/>
      <c r="M143" s="58" t="s">
        <v>92</v>
      </c>
      <c r="N143" s="58" t="s">
        <v>93</v>
      </c>
      <c r="O143" s="58" t="s">
        <v>2968</v>
      </c>
      <c r="P143" s="58" t="s">
        <v>2969</v>
      </c>
      <c r="Q143" s="58"/>
      <c r="R143" s="58"/>
      <c r="S143" s="58"/>
      <c r="T143" s="58"/>
      <c r="U143" s="58" t="s">
        <v>2517</v>
      </c>
      <c r="V143" s="58"/>
      <c r="W143" s="58" t="str">
        <f t="shared" si="2"/>
        <v/>
      </c>
    </row>
    <row r="144" spans="1:23" ht="25.95" customHeight="1">
      <c r="A144" s="58" t="s">
        <v>34</v>
      </c>
      <c r="B144" s="58" t="s">
        <v>35</v>
      </c>
      <c r="C144" s="58" t="s">
        <v>2510</v>
      </c>
      <c r="D144" s="58" t="s">
        <v>2970</v>
      </c>
      <c r="E144" s="58" t="s">
        <v>2512</v>
      </c>
      <c r="F144" s="58">
        <v>32819</v>
      </c>
      <c r="G144" s="58">
        <v>32819</v>
      </c>
      <c r="H144" s="58"/>
      <c r="I144" s="58" t="s">
        <v>2513</v>
      </c>
      <c r="J144" s="58"/>
      <c r="K144" s="58"/>
      <c r="L144" s="58"/>
      <c r="M144" s="58" t="s">
        <v>92</v>
      </c>
      <c r="N144" s="58" t="s">
        <v>93</v>
      </c>
      <c r="O144" s="58" t="s">
        <v>2971</v>
      </c>
      <c r="P144" s="58" t="s">
        <v>2972</v>
      </c>
      <c r="Q144" s="58"/>
      <c r="R144" s="58"/>
      <c r="S144" s="58"/>
      <c r="T144" s="58" t="s">
        <v>2973</v>
      </c>
      <c r="U144" s="58" t="s">
        <v>2517</v>
      </c>
      <c r="V144" s="58"/>
      <c r="W144" s="58">
        <f t="shared" si="2"/>
        <v>0</v>
      </c>
    </row>
    <row r="145" spans="1:23" ht="25.95" customHeight="1">
      <c r="A145" s="58" t="s">
        <v>34</v>
      </c>
      <c r="B145" s="58" t="s">
        <v>35</v>
      </c>
      <c r="C145" s="58" t="s">
        <v>2902</v>
      </c>
      <c r="D145" s="58" t="s">
        <v>2903</v>
      </c>
      <c r="E145" s="58" t="s">
        <v>2904</v>
      </c>
      <c r="F145" s="58"/>
      <c r="G145" s="58"/>
      <c r="H145" s="58"/>
      <c r="I145" s="58"/>
      <c r="J145" s="58"/>
      <c r="K145" s="58"/>
      <c r="L145" s="58"/>
      <c r="M145" s="58" t="s">
        <v>92</v>
      </c>
      <c r="N145" s="58" t="s">
        <v>93</v>
      </c>
      <c r="O145" s="58" t="s">
        <v>2974</v>
      </c>
      <c r="P145" s="58" t="s">
        <v>2975</v>
      </c>
      <c r="Q145" s="58"/>
      <c r="R145" s="58"/>
      <c r="S145" s="58"/>
      <c r="T145" s="58"/>
      <c r="U145" s="58" t="s">
        <v>2517</v>
      </c>
      <c r="V145" s="58"/>
      <c r="W145" s="58" t="str">
        <f t="shared" si="2"/>
        <v/>
      </c>
    </row>
    <row r="146" spans="1:23" ht="25.95" customHeight="1">
      <c r="A146" s="58" t="s">
        <v>34</v>
      </c>
      <c r="B146" s="58" t="s">
        <v>35</v>
      </c>
      <c r="C146" s="58" t="s">
        <v>2510</v>
      </c>
      <c r="D146" s="58" t="s">
        <v>2893</v>
      </c>
      <c r="E146" s="58" t="s">
        <v>2512</v>
      </c>
      <c r="F146" s="58">
        <v>2666078</v>
      </c>
      <c r="G146" s="58">
        <v>2666078</v>
      </c>
      <c r="H146" s="58"/>
      <c r="I146" s="58" t="s">
        <v>2513</v>
      </c>
      <c r="J146" s="58"/>
      <c r="K146" s="58"/>
      <c r="L146" s="58"/>
      <c r="M146" s="58" t="s">
        <v>92</v>
      </c>
      <c r="N146" s="58" t="s">
        <v>93</v>
      </c>
      <c r="O146" s="58" t="s">
        <v>2976</v>
      </c>
      <c r="P146" s="58" t="s">
        <v>2977</v>
      </c>
      <c r="Q146" s="58"/>
      <c r="R146" s="58"/>
      <c r="S146" s="58"/>
      <c r="T146" s="58" t="s">
        <v>2896</v>
      </c>
      <c r="U146" s="58" t="s">
        <v>2517</v>
      </c>
      <c r="V146" s="58"/>
      <c r="W146" s="58">
        <f t="shared" si="2"/>
        <v>0</v>
      </c>
    </row>
    <row r="147" spans="1:23" ht="25.95" customHeight="1">
      <c r="A147" s="58" t="s">
        <v>34</v>
      </c>
      <c r="B147" s="58" t="s">
        <v>35</v>
      </c>
      <c r="C147" s="58" t="s">
        <v>2538</v>
      </c>
      <c r="D147" s="58" t="s">
        <v>2539</v>
      </c>
      <c r="E147" s="58" t="s">
        <v>2540</v>
      </c>
      <c r="F147" s="58">
        <v>7525498</v>
      </c>
      <c r="G147" s="58"/>
      <c r="H147" s="58"/>
      <c r="I147" s="58" t="s">
        <v>2513</v>
      </c>
      <c r="J147" s="58"/>
      <c r="K147" s="58"/>
      <c r="L147" s="58"/>
      <c r="M147" s="58" t="s">
        <v>92</v>
      </c>
      <c r="N147" s="58" t="s">
        <v>93</v>
      </c>
      <c r="O147" s="58" t="s">
        <v>2978</v>
      </c>
      <c r="P147" s="58" t="s">
        <v>2979</v>
      </c>
      <c r="Q147" s="58"/>
      <c r="R147" s="58"/>
      <c r="S147" s="58"/>
      <c r="T147" s="58"/>
      <c r="U147" s="58" t="s">
        <v>2543</v>
      </c>
      <c r="V147" s="58"/>
      <c r="W147" s="58" t="str">
        <f t="shared" si="2"/>
        <v/>
      </c>
    </row>
    <row r="148" spans="1:23" ht="25.95" customHeight="1">
      <c r="A148" s="58" t="s">
        <v>34</v>
      </c>
      <c r="B148" s="58" t="s">
        <v>35</v>
      </c>
      <c r="C148" s="58" t="s">
        <v>2538</v>
      </c>
      <c r="D148" s="58" t="s">
        <v>2544</v>
      </c>
      <c r="E148" s="58" t="s">
        <v>2540</v>
      </c>
      <c r="F148" s="58">
        <v>2378736</v>
      </c>
      <c r="G148" s="58"/>
      <c r="H148" s="58"/>
      <c r="I148" s="58" t="s">
        <v>2513</v>
      </c>
      <c r="J148" s="58"/>
      <c r="K148" s="58"/>
      <c r="L148" s="58"/>
      <c r="M148" s="58" t="s">
        <v>92</v>
      </c>
      <c r="N148" s="58" t="s">
        <v>93</v>
      </c>
      <c r="O148" s="58" t="s">
        <v>2980</v>
      </c>
      <c r="P148" s="58" t="s">
        <v>2981</v>
      </c>
      <c r="Q148" s="58"/>
      <c r="R148" s="58"/>
      <c r="S148" s="58"/>
      <c r="T148" s="58"/>
      <c r="U148" s="58" t="s">
        <v>2543</v>
      </c>
      <c r="V148" s="58"/>
      <c r="W148" s="58" t="str">
        <f t="shared" si="2"/>
        <v/>
      </c>
    </row>
    <row r="149" spans="1:23" ht="25.95" customHeight="1">
      <c r="A149" s="58" t="s">
        <v>34</v>
      </c>
      <c r="B149" s="58" t="s">
        <v>35</v>
      </c>
      <c r="C149" s="58" t="s">
        <v>2538</v>
      </c>
      <c r="D149" s="58" t="s">
        <v>2547</v>
      </c>
      <c r="E149" s="58" t="s">
        <v>2540</v>
      </c>
      <c r="F149" s="58">
        <v>2666078</v>
      </c>
      <c r="G149" s="58"/>
      <c r="H149" s="58"/>
      <c r="I149" s="58" t="s">
        <v>2513</v>
      </c>
      <c r="J149" s="58"/>
      <c r="K149" s="58"/>
      <c r="L149" s="58"/>
      <c r="M149" s="58" t="s">
        <v>92</v>
      </c>
      <c r="N149" s="58" t="s">
        <v>93</v>
      </c>
      <c r="O149" s="58" t="s">
        <v>2982</v>
      </c>
      <c r="P149" s="58" t="s">
        <v>2983</v>
      </c>
      <c r="Q149" s="58"/>
      <c r="R149" s="58"/>
      <c r="S149" s="58"/>
      <c r="T149" s="58"/>
      <c r="U149" s="58" t="s">
        <v>2543</v>
      </c>
      <c r="V149" s="58"/>
      <c r="W149" s="58" t="str">
        <f t="shared" si="2"/>
        <v/>
      </c>
    </row>
    <row r="150" spans="1:23" ht="25.95" customHeight="1">
      <c r="A150" s="58" t="s">
        <v>34</v>
      </c>
      <c r="B150" s="58" t="s">
        <v>35</v>
      </c>
      <c r="C150" s="58" t="s">
        <v>2538</v>
      </c>
      <c r="D150" s="58" t="s">
        <v>2984</v>
      </c>
      <c r="E150" s="58" t="s">
        <v>2540</v>
      </c>
      <c r="F150" s="58">
        <v>7990</v>
      </c>
      <c r="G150" s="58"/>
      <c r="H150" s="58"/>
      <c r="I150" s="58" t="s">
        <v>2513</v>
      </c>
      <c r="J150" s="58"/>
      <c r="K150" s="58"/>
      <c r="L150" s="58"/>
      <c r="M150" s="58" t="s">
        <v>92</v>
      </c>
      <c r="N150" s="58" t="s">
        <v>93</v>
      </c>
      <c r="O150" s="58" t="s">
        <v>2985</v>
      </c>
      <c r="P150" s="58" t="s">
        <v>2986</v>
      </c>
      <c r="Q150" s="58"/>
      <c r="R150" s="58"/>
      <c r="S150" s="58"/>
      <c r="T150" s="58"/>
      <c r="U150" s="58" t="s">
        <v>2543</v>
      </c>
      <c r="V150" s="58"/>
      <c r="W150" s="58" t="str">
        <f t="shared" si="2"/>
        <v/>
      </c>
    </row>
    <row r="151" spans="1:23" ht="25.95" customHeight="1">
      <c r="A151" s="58" t="s">
        <v>34</v>
      </c>
      <c r="B151" s="58" t="s">
        <v>35</v>
      </c>
      <c r="C151" s="58" t="s">
        <v>2538</v>
      </c>
      <c r="D151" s="58" t="s">
        <v>2987</v>
      </c>
      <c r="E151" s="58" t="s">
        <v>2540</v>
      </c>
      <c r="F151" s="58">
        <v>55230</v>
      </c>
      <c r="G151" s="58"/>
      <c r="H151" s="58"/>
      <c r="I151" s="58" t="s">
        <v>2513</v>
      </c>
      <c r="J151" s="58"/>
      <c r="K151" s="58"/>
      <c r="L151" s="58"/>
      <c r="M151" s="58" t="s">
        <v>92</v>
      </c>
      <c r="N151" s="58" t="s">
        <v>93</v>
      </c>
      <c r="O151" s="58" t="s">
        <v>2988</v>
      </c>
      <c r="P151" s="58" t="s">
        <v>2989</v>
      </c>
      <c r="Q151" s="58"/>
      <c r="R151" s="58"/>
      <c r="S151" s="58"/>
      <c r="T151" s="58"/>
      <c r="U151" s="58" t="s">
        <v>2543</v>
      </c>
      <c r="V151" s="58"/>
      <c r="W151" s="58" t="str">
        <f t="shared" si="2"/>
        <v/>
      </c>
    </row>
    <row r="152" spans="1:23" ht="25.95" customHeight="1">
      <c r="A152" s="58" t="s">
        <v>34</v>
      </c>
      <c r="B152" s="58" t="s">
        <v>35</v>
      </c>
      <c r="C152" s="58" t="s">
        <v>2538</v>
      </c>
      <c r="D152" s="58" t="s">
        <v>2990</v>
      </c>
      <c r="E152" s="58" t="s">
        <v>2540</v>
      </c>
      <c r="F152" s="58">
        <v>32819</v>
      </c>
      <c r="G152" s="58"/>
      <c r="H152" s="58"/>
      <c r="I152" s="58" t="s">
        <v>2513</v>
      </c>
      <c r="J152" s="58"/>
      <c r="K152" s="58"/>
      <c r="L152" s="58"/>
      <c r="M152" s="58" t="s">
        <v>92</v>
      </c>
      <c r="N152" s="58" t="s">
        <v>93</v>
      </c>
      <c r="O152" s="58" t="s">
        <v>2991</v>
      </c>
      <c r="P152" s="58" t="s">
        <v>2992</v>
      </c>
      <c r="Q152" s="58"/>
      <c r="R152" s="58"/>
      <c r="S152" s="58"/>
      <c r="T152" s="58"/>
      <c r="U152" s="58" t="s">
        <v>2543</v>
      </c>
      <c r="V152" s="58"/>
      <c r="W152" s="58" t="str">
        <f t="shared" si="2"/>
        <v/>
      </c>
    </row>
    <row r="153" spans="1:23" ht="25.95" customHeight="1">
      <c r="A153" s="58" t="s">
        <v>34</v>
      </c>
      <c r="B153" s="58" t="s">
        <v>35</v>
      </c>
      <c r="C153" s="58" t="s">
        <v>2538</v>
      </c>
      <c r="D153" s="58" t="s">
        <v>2993</v>
      </c>
      <c r="E153" s="58" t="s">
        <v>2540</v>
      </c>
      <c r="F153" s="58">
        <v>22411</v>
      </c>
      <c r="G153" s="58"/>
      <c r="H153" s="58"/>
      <c r="I153" s="58" t="s">
        <v>2513</v>
      </c>
      <c r="J153" s="58"/>
      <c r="K153" s="58"/>
      <c r="L153" s="58"/>
      <c r="M153" s="58" t="s">
        <v>92</v>
      </c>
      <c r="N153" s="58" t="s">
        <v>93</v>
      </c>
      <c r="O153" s="58" t="s">
        <v>2994</v>
      </c>
      <c r="P153" s="58" t="s">
        <v>2995</v>
      </c>
      <c r="Q153" s="58"/>
      <c r="R153" s="58"/>
      <c r="S153" s="58"/>
      <c r="T153" s="58"/>
      <c r="U153" s="58" t="s">
        <v>2543</v>
      </c>
      <c r="V153" s="58"/>
      <c r="W153" s="58" t="str">
        <f t="shared" si="2"/>
        <v/>
      </c>
    </row>
    <row r="154" spans="1:23" ht="25.95" customHeight="1">
      <c r="A154" s="58" t="s">
        <v>34</v>
      </c>
      <c r="B154" s="58" t="s">
        <v>35</v>
      </c>
      <c r="C154" s="58" t="s">
        <v>2538</v>
      </c>
      <c r="D154" s="58" t="s">
        <v>2996</v>
      </c>
      <c r="E154" s="58" t="s">
        <v>2540</v>
      </c>
      <c r="F154" s="58">
        <v>3</v>
      </c>
      <c r="G154" s="58"/>
      <c r="H154" s="58"/>
      <c r="I154" s="58" t="s">
        <v>2997</v>
      </c>
      <c r="J154" s="58"/>
      <c r="K154" s="58"/>
      <c r="L154" s="58"/>
      <c r="M154" s="58" t="s">
        <v>92</v>
      </c>
      <c r="N154" s="58" t="s">
        <v>93</v>
      </c>
      <c r="O154" s="58" t="s">
        <v>2998</v>
      </c>
      <c r="P154" s="58" t="s">
        <v>2999</v>
      </c>
      <c r="Q154" s="58"/>
      <c r="R154" s="58"/>
      <c r="S154" s="58"/>
      <c r="T154" s="58"/>
      <c r="U154" s="58" t="s">
        <v>2543</v>
      </c>
      <c r="V154" s="58"/>
      <c r="W154" s="58" t="str">
        <f t="shared" si="2"/>
        <v/>
      </c>
    </row>
    <row r="155" spans="1:23" ht="25.95" customHeight="1">
      <c r="A155" s="58" t="s">
        <v>34</v>
      </c>
      <c r="B155" s="58" t="s">
        <v>35</v>
      </c>
      <c r="C155" s="58" t="s">
        <v>2538</v>
      </c>
      <c r="D155" s="58" t="s">
        <v>3000</v>
      </c>
      <c r="E155" s="58" t="s">
        <v>2540</v>
      </c>
      <c r="F155" s="58">
        <v>7723</v>
      </c>
      <c r="G155" s="58"/>
      <c r="H155" s="58"/>
      <c r="I155" s="58" t="s">
        <v>2513</v>
      </c>
      <c r="J155" s="58"/>
      <c r="K155" s="58"/>
      <c r="L155" s="58"/>
      <c r="M155" s="58" t="s">
        <v>92</v>
      </c>
      <c r="N155" s="58" t="s">
        <v>93</v>
      </c>
      <c r="O155" s="58" t="s">
        <v>3001</v>
      </c>
      <c r="P155" s="58" t="s">
        <v>3002</v>
      </c>
      <c r="Q155" s="58"/>
      <c r="R155" s="58"/>
      <c r="S155" s="58"/>
      <c r="T155" s="58"/>
      <c r="U155" s="58" t="s">
        <v>2543</v>
      </c>
      <c r="V155" s="58"/>
      <c r="W155" s="58" t="str">
        <f t="shared" si="2"/>
        <v/>
      </c>
    </row>
    <row r="156" spans="1:23" ht="25.95" customHeight="1">
      <c r="A156" s="58" t="s">
        <v>34</v>
      </c>
      <c r="B156" s="58" t="s">
        <v>35</v>
      </c>
      <c r="C156" s="58" t="s">
        <v>2538</v>
      </c>
      <c r="D156" s="58" t="s">
        <v>3003</v>
      </c>
      <c r="E156" s="58" t="s">
        <v>2540</v>
      </c>
      <c r="F156" s="58">
        <v>40651</v>
      </c>
      <c r="G156" s="58"/>
      <c r="H156" s="58"/>
      <c r="I156" s="58" t="s">
        <v>2513</v>
      </c>
      <c r="J156" s="58"/>
      <c r="K156" s="58"/>
      <c r="L156" s="58"/>
      <c r="M156" s="58" t="s">
        <v>92</v>
      </c>
      <c r="N156" s="58" t="s">
        <v>93</v>
      </c>
      <c r="O156" s="58" t="s">
        <v>3004</v>
      </c>
      <c r="P156" s="58" t="s">
        <v>3005</v>
      </c>
      <c r="Q156" s="58"/>
      <c r="R156" s="58"/>
      <c r="S156" s="58"/>
      <c r="T156" s="58"/>
      <c r="U156" s="58" t="s">
        <v>2543</v>
      </c>
      <c r="V156" s="58"/>
      <c r="W156" s="58" t="str">
        <f t="shared" si="2"/>
        <v/>
      </c>
    </row>
    <row r="157" spans="1:23" ht="25.95" customHeight="1">
      <c r="A157" s="58" t="s">
        <v>34</v>
      </c>
      <c r="B157" s="58" t="s">
        <v>35</v>
      </c>
      <c r="C157" s="58" t="s">
        <v>2538</v>
      </c>
      <c r="D157" s="58" t="s">
        <v>3006</v>
      </c>
      <c r="E157" s="58" t="s">
        <v>2540</v>
      </c>
      <c r="F157" s="58">
        <v>35310</v>
      </c>
      <c r="G157" s="58"/>
      <c r="H157" s="58"/>
      <c r="I157" s="58" t="s">
        <v>2513</v>
      </c>
      <c r="J157" s="58"/>
      <c r="K157" s="58"/>
      <c r="L157" s="58"/>
      <c r="M157" s="58" t="s">
        <v>92</v>
      </c>
      <c r="N157" s="58" t="s">
        <v>93</v>
      </c>
      <c r="O157" s="58" t="s">
        <v>3007</v>
      </c>
      <c r="P157" s="58" t="s">
        <v>3008</v>
      </c>
      <c r="Q157" s="58"/>
      <c r="R157" s="58"/>
      <c r="S157" s="58"/>
      <c r="T157" s="58"/>
      <c r="U157" s="58" t="s">
        <v>2543</v>
      </c>
      <c r="V157" s="58"/>
      <c r="W157" s="58" t="str">
        <f t="shared" si="2"/>
        <v/>
      </c>
    </row>
    <row r="158" spans="1:23" ht="25.95" customHeight="1">
      <c r="A158" s="58" t="s">
        <v>34</v>
      </c>
      <c r="B158" s="58" t="s">
        <v>35</v>
      </c>
      <c r="C158" s="58" t="s">
        <v>2538</v>
      </c>
      <c r="D158" s="58" t="s">
        <v>3009</v>
      </c>
      <c r="E158" s="58" t="s">
        <v>2540</v>
      </c>
      <c r="F158" s="58">
        <v>51211</v>
      </c>
      <c r="G158" s="58"/>
      <c r="H158" s="58"/>
      <c r="I158" s="58" t="s">
        <v>2513</v>
      </c>
      <c r="J158" s="58"/>
      <c r="K158" s="58"/>
      <c r="L158" s="58"/>
      <c r="M158" s="58" t="s">
        <v>92</v>
      </c>
      <c r="N158" s="58" t="s">
        <v>93</v>
      </c>
      <c r="O158" s="58" t="s">
        <v>3010</v>
      </c>
      <c r="P158" s="58" t="s">
        <v>3011</v>
      </c>
      <c r="Q158" s="58"/>
      <c r="R158" s="58"/>
      <c r="S158" s="58"/>
      <c r="T158" s="58"/>
      <c r="U158" s="58" t="s">
        <v>2543</v>
      </c>
      <c r="V158" s="58"/>
      <c r="W158" s="58" t="str">
        <f t="shared" si="2"/>
        <v/>
      </c>
    </row>
    <row r="159" spans="1:23" ht="25.95" customHeight="1">
      <c r="A159" s="58" t="s">
        <v>34</v>
      </c>
      <c r="B159" s="58" t="s">
        <v>35</v>
      </c>
      <c r="C159" s="58" t="s">
        <v>2538</v>
      </c>
      <c r="D159" s="58" t="s">
        <v>3012</v>
      </c>
      <c r="E159" s="58" t="s">
        <v>2540</v>
      </c>
      <c r="F159" s="58">
        <v>98920</v>
      </c>
      <c r="G159" s="58"/>
      <c r="H159" s="58"/>
      <c r="I159" s="58" t="s">
        <v>2513</v>
      </c>
      <c r="J159" s="58"/>
      <c r="K159" s="58"/>
      <c r="L159" s="58"/>
      <c r="M159" s="58" t="s">
        <v>92</v>
      </c>
      <c r="N159" s="58" t="s">
        <v>93</v>
      </c>
      <c r="O159" s="58" t="s">
        <v>3013</v>
      </c>
      <c r="P159" s="58" t="s">
        <v>3014</v>
      </c>
      <c r="Q159" s="58"/>
      <c r="R159" s="58"/>
      <c r="S159" s="58"/>
      <c r="T159" s="58"/>
      <c r="U159" s="58" t="s">
        <v>2543</v>
      </c>
      <c r="V159" s="58"/>
      <c r="W159" s="58" t="str">
        <f t="shared" si="2"/>
        <v/>
      </c>
    </row>
    <row r="160" spans="1:23" ht="25.95" customHeight="1">
      <c r="A160" s="58" t="s">
        <v>34</v>
      </c>
      <c r="B160" s="58" t="s">
        <v>35</v>
      </c>
      <c r="C160" s="58" t="s">
        <v>2538</v>
      </c>
      <c r="D160" s="58" t="s">
        <v>3015</v>
      </c>
      <c r="E160" s="58" t="s">
        <v>2540</v>
      </c>
      <c r="F160" s="58">
        <v>7</v>
      </c>
      <c r="G160" s="58"/>
      <c r="H160" s="58"/>
      <c r="I160" s="58" t="s">
        <v>2997</v>
      </c>
      <c r="J160" s="58"/>
      <c r="K160" s="58"/>
      <c r="L160" s="58"/>
      <c r="M160" s="58" t="s">
        <v>92</v>
      </c>
      <c r="N160" s="58" t="s">
        <v>93</v>
      </c>
      <c r="O160" s="58" t="s">
        <v>3016</v>
      </c>
      <c r="P160" s="58" t="s">
        <v>3017</v>
      </c>
      <c r="Q160" s="58"/>
      <c r="R160" s="58"/>
      <c r="S160" s="58"/>
      <c r="T160" s="58"/>
      <c r="U160" s="58" t="s">
        <v>2543</v>
      </c>
      <c r="V160" s="58"/>
      <c r="W160" s="58" t="str">
        <f t="shared" si="2"/>
        <v/>
      </c>
    </row>
    <row r="161" spans="1:23" ht="25.95" customHeight="1">
      <c r="A161" s="58" t="s">
        <v>34</v>
      </c>
      <c r="B161" s="58" t="s">
        <v>35</v>
      </c>
      <c r="C161" s="58" t="s">
        <v>2538</v>
      </c>
      <c r="D161" s="58" t="s">
        <v>3018</v>
      </c>
      <c r="E161" s="58" t="s">
        <v>2540</v>
      </c>
      <c r="F161" s="58">
        <v>1011704</v>
      </c>
      <c r="G161" s="58"/>
      <c r="H161" s="58"/>
      <c r="I161" s="58" t="s">
        <v>2513</v>
      </c>
      <c r="J161" s="58"/>
      <c r="K161" s="58"/>
      <c r="L161" s="58"/>
      <c r="M161" s="58" t="s">
        <v>92</v>
      </c>
      <c r="N161" s="58" t="s">
        <v>93</v>
      </c>
      <c r="O161" s="58" t="s">
        <v>3019</v>
      </c>
      <c r="P161" s="58" t="s">
        <v>3020</v>
      </c>
      <c r="Q161" s="58"/>
      <c r="R161" s="58"/>
      <c r="S161" s="58"/>
      <c r="T161" s="58"/>
      <c r="U161" s="58" t="s">
        <v>2543</v>
      </c>
      <c r="V161" s="58"/>
      <c r="W161" s="58" t="str">
        <f t="shared" si="2"/>
        <v/>
      </c>
    </row>
    <row r="162" spans="1:23" ht="25.95" customHeight="1">
      <c r="A162" s="58" t="s">
        <v>34</v>
      </c>
      <c r="B162" s="58" t="s">
        <v>35</v>
      </c>
      <c r="C162" s="58" t="s">
        <v>2538</v>
      </c>
      <c r="D162" s="58" t="s">
        <v>3021</v>
      </c>
      <c r="E162" s="58" t="s">
        <v>2540</v>
      </c>
      <c r="F162" s="58">
        <v>1284422</v>
      </c>
      <c r="G162" s="58"/>
      <c r="H162" s="58"/>
      <c r="I162" s="58" t="s">
        <v>2513</v>
      </c>
      <c r="J162" s="58"/>
      <c r="K162" s="58"/>
      <c r="L162" s="58"/>
      <c r="M162" s="58" t="s">
        <v>92</v>
      </c>
      <c r="N162" s="58" t="s">
        <v>93</v>
      </c>
      <c r="O162" s="58" t="s">
        <v>3022</v>
      </c>
      <c r="P162" s="58" t="s">
        <v>3023</v>
      </c>
      <c r="Q162" s="58"/>
      <c r="R162" s="58"/>
      <c r="S162" s="58"/>
      <c r="T162" s="58"/>
      <c r="U162" s="58" t="s">
        <v>2543</v>
      </c>
      <c r="V162" s="58"/>
      <c r="W162" s="58" t="str">
        <f t="shared" si="2"/>
        <v/>
      </c>
    </row>
    <row r="163" spans="1:23" ht="25.95" customHeight="1">
      <c r="A163" s="58" t="s">
        <v>34</v>
      </c>
      <c r="B163" s="58" t="s">
        <v>35</v>
      </c>
      <c r="C163" s="58" t="s">
        <v>2538</v>
      </c>
      <c r="D163" s="58" t="s">
        <v>3024</v>
      </c>
      <c r="E163" s="58" t="s">
        <v>2540</v>
      </c>
      <c r="F163" s="58">
        <v>2366687</v>
      </c>
      <c r="G163" s="58"/>
      <c r="H163" s="58"/>
      <c r="I163" s="58" t="s">
        <v>2513</v>
      </c>
      <c r="J163" s="58"/>
      <c r="K163" s="58"/>
      <c r="L163" s="58"/>
      <c r="M163" s="58" t="s">
        <v>92</v>
      </c>
      <c r="N163" s="58" t="s">
        <v>93</v>
      </c>
      <c r="O163" s="58" t="s">
        <v>3025</v>
      </c>
      <c r="P163" s="58" t="s">
        <v>3026</v>
      </c>
      <c r="Q163" s="58"/>
      <c r="R163" s="58"/>
      <c r="S163" s="58"/>
      <c r="T163" s="58"/>
      <c r="U163" s="58" t="s">
        <v>2543</v>
      </c>
      <c r="V163" s="58"/>
      <c r="W163" s="58" t="str">
        <f t="shared" si="2"/>
        <v/>
      </c>
    </row>
    <row r="164" spans="1:23" ht="25.95" customHeight="1">
      <c r="A164" s="58" t="s">
        <v>34</v>
      </c>
      <c r="B164" s="58" t="s">
        <v>35</v>
      </c>
      <c r="C164" s="58" t="s">
        <v>2538</v>
      </c>
      <c r="D164" s="58" t="s">
        <v>3027</v>
      </c>
      <c r="E164" s="58" t="s">
        <v>2540</v>
      </c>
      <c r="F164" s="58">
        <v>2651235</v>
      </c>
      <c r="G164" s="58"/>
      <c r="H164" s="58"/>
      <c r="I164" s="58" t="s">
        <v>2513</v>
      </c>
      <c r="J164" s="58"/>
      <c r="K164" s="58"/>
      <c r="L164" s="58"/>
      <c r="M164" s="58" t="s">
        <v>92</v>
      </c>
      <c r="N164" s="58" t="s">
        <v>93</v>
      </c>
      <c r="O164" s="58" t="s">
        <v>3028</v>
      </c>
      <c r="P164" s="58" t="s">
        <v>3029</v>
      </c>
      <c r="Q164" s="58"/>
      <c r="R164" s="58"/>
      <c r="S164" s="58"/>
      <c r="T164" s="58"/>
      <c r="U164" s="58" t="s">
        <v>2543</v>
      </c>
      <c r="V164" s="58"/>
      <c r="W164" s="58" t="str">
        <f t="shared" si="2"/>
        <v/>
      </c>
    </row>
    <row r="165" spans="1:23" ht="31.2">
      <c r="A165" s="58" t="s">
        <v>34</v>
      </c>
      <c r="B165" s="58" t="s">
        <v>35</v>
      </c>
      <c r="C165" s="58" t="s">
        <v>2538</v>
      </c>
      <c r="D165" s="58" t="s">
        <v>3030</v>
      </c>
      <c r="E165" s="58" t="s">
        <v>2540</v>
      </c>
      <c r="F165" s="58">
        <v>0.42559197730836401</v>
      </c>
      <c r="G165" s="58"/>
      <c r="H165" s="58"/>
      <c r="I165" s="58" t="s">
        <v>3031</v>
      </c>
      <c r="J165" s="58"/>
      <c r="K165" s="58"/>
      <c r="L165" s="58"/>
      <c r="M165" s="58" t="s">
        <v>92</v>
      </c>
      <c r="N165" s="58" t="s">
        <v>93</v>
      </c>
      <c r="O165" s="58" t="s">
        <v>3032</v>
      </c>
      <c r="P165" s="58" t="s">
        <v>3033</v>
      </c>
      <c r="Q165" s="58"/>
      <c r="R165" s="58"/>
      <c r="S165" s="58"/>
      <c r="T165" s="58"/>
      <c r="U165" s="58" t="s">
        <v>2543</v>
      </c>
      <c r="V165" s="58"/>
      <c r="W165" s="58" t="str">
        <f t="shared" si="2"/>
        <v/>
      </c>
    </row>
    <row r="166" spans="1:23" ht="31.2">
      <c r="A166" s="58" t="s">
        <v>34</v>
      </c>
      <c r="B166" s="58" t="s">
        <v>35</v>
      </c>
      <c r="C166" s="58" t="s">
        <v>2538</v>
      </c>
      <c r="D166" s="58" t="s">
        <v>3034</v>
      </c>
      <c r="E166" s="58" t="s">
        <v>2540</v>
      </c>
      <c r="F166" s="58">
        <v>0.49300654255771043</v>
      </c>
      <c r="G166" s="58"/>
      <c r="H166" s="58"/>
      <c r="I166" s="58" t="s">
        <v>3031</v>
      </c>
      <c r="J166" s="58"/>
      <c r="K166" s="58"/>
      <c r="L166" s="58"/>
      <c r="M166" s="58" t="s">
        <v>92</v>
      </c>
      <c r="N166" s="58" t="s">
        <v>93</v>
      </c>
      <c r="O166" s="58" t="s">
        <v>3035</v>
      </c>
      <c r="P166" s="58" t="s">
        <v>3036</v>
      </c>
      <c r="Q166" s="58"/>
      <c r="R166" s="58"/>
      <c r="S166" s="58"/>
      <c r="T166" s="58"/>
      <c r="U166" s="58" t="s">
        <v>2543</v>
      </c>
      <c r="V166" s="58"/>
      <c r="W166" s="58" t="str">
        <f t="shared" si="2"/>
        <v/>
      </c>
    </row>
    <row r="167" spans="1:23" ht="25.95" customHeight="1">
      <c r="A167" s="58" t="s">
        <v>34</v>
      </c>
      <c r="B167" s="58" t="s">
        <v>35</v>
      </c>
      <c r="C167" s="58" t="s">
        <v>2538</v>
      </c>
      <c r="D167" s="58" t="s">
        <v>2550</v>
      </c>
      <c r="E167" s="58" t="s">
        <v>2540</v>
      </c>
      <c r="F167" s="58">
        <v>7391</v>
      </c>
      <c r="G167" s="58"/>
      <c r="H167" s="58"/>
      <c r="I167" s="58" t="s">
        <v>2551</v>
      </c>
      <c r="J167" s="58"/>
      <c r="K167" s="58"/>
      <c r="L167" s="58"/>
      <c r="M167" s="58" t="s">
        <v>92</v>
      </c>
      <c r="N167" s="58" t="s">
        <v>93</v>
      </c>
      <c r="O167" s="58" t="s">
        <v>3037</v>
      </c>
      <c r="P167" s="58" t="s">
        <v>3038</v>
      </c>
      <c r="Q167" s="58"/>
      <c r="R167" s="58"/>
      <c r="S167" s="58"/>
      <c r="T167" s="58"/>
      <c r="U167" s="58" t="s">
        <v>2543</v>
      </c>
      <c r="V167" s="58"/>
      <c r="W167" s="58" t="str">
        <f t="shared" si="2"/>
        <v/>
      </c>
    </row>
    <row r="168" spans="1:23" ht="25.95" customHeight="1">
      <c r="A168" s="58" t="s">
        <v>34</v>
      </c>
      <c r="B168" s="58" t="s">
        <v>35</v>
      </c>
      <c r="C168" s="58" t="s">
        <v>2538</v>
      </c>
      <c r="D168" s="58" t="s">
        <v>2554</v>
      </c>
      <c r="E168" s="58" t="s">
        <v>2540</v>
      </c>
      <c r="F168" s="58">
        <v>7</v>
      </c>
      <c r="G168" s="58"/>
      <c r="H168" s="58"/>
      <c r="I168" s="58" t="s">
        <v>2555</v>
      </c>
      <c r="J168" s="58"/>
      <c r="K168" s="58"/>
      <c r="L168" s="58"/>
      <c r="M168" s="58" t="s">
        <v>92</v>
      </c>
      <c r="N168" s="58" t="s">
        <v>93</v>
      </c>
      <c r="O168" s="58" t="s">
        <v>3039</v>
      </c>
      <c r="P168" s="58" t="s">
        <v>3040</v>
      </c>
      <c r="Q168" s="58"/>
      <c r="R168" s="58"/>
      <c r="S168" s="58"/>
      <c r="T168" s="58"/>
      <c r="U168" s="58" t="s">
        <v>2543</v>
      </c>
      <c r="V168" s="58"/>
      <c r="W168" s="58" t="str">
        <f t="shared" si="2"/>
        <v/>
      </c>
    </row>
    <row r="169" spans="1:23" ht="25.95" customHeight="1">
      <c r="A169" s="58" t="s">
        <v>34</v>
      </c>
      <c r="B169" s="58" t="s">
        <v>35</v>
      </c>
      <c r="C169" s="58" t="s">
        <v>2538</v>
      </c>
      <c r="D169" s="58" t="s">
        <v>2558</v>
      </c>
      <c r="E169" s="58" t="s">
        <v>2540</v>
      </c>
      <c r="F169" s="58">
        <v>1066.884</v>
      </c>
      <c r="G169" s="58"/>
      <c r="H169" s="58"/>
      <c r="I169" s="58" t="s">
        <v>166</v>
      </c>
      <c r="J169" s="58"/>
      <c r="K169" s="58"/>
      <c r="L169" s="58"/>
      <c r="M169" s="58" t="s">
        <v>92</v>
      </c>
      <c r="N169" s="58" t="s">
        <v>93</v>
      </c>
      <c r="O169" s="58" t="s">
        <v>3041</v>
      </c>
      <c r="P169" s="58" t="s">
        <v>3042</v>
      </c>
      <c r="Q169" s="58"/>
      <c r="R169" s="58"/>
      <c r="S169" s="58"/>
      <c r="T169" s="58"/>
      <c r="U169" s="58" t="s">
        <v>2543</v>
      </c>
      <c r="V169" s="58"/>
      <c r="W169" s="58" t="str">
        <f t="shared" si="2"/>
        <v/>
      </c>
    </row>
    <row r="170" spans="1:23" ht="25.95" customHeight="1">
      <c r="A170" s="58" t="s">
        <v>34</v>
      </c>
      <c r="B170" s="58" t="s">
        <v>35</v>
      </c>
      <c r="C170" s="58" t="s">
        <v>2538</v>
      </c>
      <c r="D170" s="58" t="s">
        <v>2561</v>
      </c>
      <c r="E170" s="58" t="s">
        <v>2540</v>
      </c>
      <c r="F170" s="58">
        <v>36</v>
      </c>
      <c r="G170" s="58"/>
      <c r="H170" s="58"/>
      <c r="I170" s="58" t="s">
        <v>165</v>
      </c>
      <c r="J170" s="58"/>
      <c r="K170" s="58"/>
      <c r="L170" s="58"/>
      <c r="M170" s="58" t="s">
        <v>92</v>
      </c>
      <c r="N170" s="58" t="s">
        <v>93</v>
      </c>
      <c r="O170" s="58" t="s">
        <v>3043</v>
      </c>
      <c r="P170" s="58" t="s">
        <v>3044</v>
      </c>
      <c r="Q170" s="58"/>
      <c r="R170" s="58"/>
      <c r="S170" s="58"/>
      <c r="T170" s="58"/>
      <c r="U170" s="58" t="s">
        <v>2543</v>
      </c>
      <c r="V170" s="58"/>
      <c r="W170" s="58" t="str">
        <f t="shared" si="2"/>
        <v/>
      </c>
    </row>
    <row r="171" spans="1:23" ht="25.95" customHeight="1">
      <c r="A171" s="58" t="s">
        <v>34</v>
      </c>
      <c r="B171" s="58" t="s">
        <v>35</v>
      </c>
      <c r="C171" s="58" t="s">
        <v>2538</v>
      </c>
      <c r="D171" s="58" t="s">
        <v>2564</v>
      </c>
      <c r="E171" s="58" t="s">
        <v>2540</v>
      </c>
      <c r="F171" s="58"/>
      <c r="G171" s="58"/>
      <c r="H171" s="58"/>
      <c r="I171" s="58"/>
      <c r="J171" s="58"/>
      <c r="K171" s="58"/>
      <c r="L171" s="58"/>
      <c r="M171" s="58" t="s">
        <v>92</v>
      </c>
      <c r="N171" s="58" t="s">
        <v>93</v>
      </c>
      <c r="O171" s="58" t="s">
        <v>3045</v>
      </c>
      <c r="P171" s="58" t="s">
        <v>3046</v>
      </c>
      <c r="Q171" s="58"/>
      <c r="R171" s="58"/>
      <c r="S171" s="58"/>
      <c r="T171" s="58"/>
      <c r="U171" s="58" t="s">
        <v>2543</v>
      </c>
      <c r="V171" s="58"/>
      <c r="W171" s="58" t="str">
        <f t="shared" si="2"/>
        <v/>
      </c>
    </row>
    <row r="172" spans="1:23" ht="25.95" customHeight="1">
      <c r="A172" s="58" t="s">
        <v>34</v>
      </c>
      <c r="B172" s="58" t="s">
        <v>35</v>
      </c>
      <c r="C172" s="58" t="s">
        <v>2538</v>
      </c>
      <c r="D172" s="58" t="s">
        <v>2564</v>
      </c>
      <c r="E172" s="58" t="s">
        <v>2540</v>
      </c>
      <c r="F172" s="58"/>
      <c r="G172" s="58"/>
      <c r="H172" s="58"/>
      <c r="I172" s="58"/>
      <c r="J172" s="58"/>
      <c r="K172" s="58"/>
      <c r="L172" s="58"/>
      <c r="M172" s="58" t="s">
        <v>92</v>
      </c>
      <c r="N172" s="58" t="s">
        <v>93</v>
      </c>
      <c r="O172" s="58" t="s">
        <v>3047</v>
      </c>
      <c r="P172" s="58" t="s">
        <v>3048</v>
      </c>
      <c r="Q172" s="58"/>
      <c r="R172" s="58"/>
      <c r="S172" s="58"/>
      <c r="T172" s="58"/>
      <c r="U172" s="58" t="s">
        <v>2543</v>
      </c>
      <c r="V172" s="58"/>
      <c r="W172" s="58" t="str">
        <f t="shared" si="2"/>
        <v/>
      </c>
    </row>
    <row r="173" spans="1:23" ht="25.95" customHeight="1">
      <c r="A173" s="58" t="s">
        <v>34</v>
      </c>
      <c r="B173" s="58" t="s">
        <v>35</v>
      </c>
      <c r="C173" s="58" t="s">
        <v>2538</v>
      </c>
      <c r="D173" s="58" t="s">
        <v>2564</v>
      </c>
      <c r="E173" s="58" t="s">
        <v>2540</v>
      </c>
      <c r="F173" s="58"/>
      <c r="G173" s="58"/>
      <c r="H173" s="58"/>
      <c r="I173" s="58"/>
      <c r="J173" s="58"/>
      <c r="K173" s="58"/>
      <c r="L173" s="58"/>
      <c r="M173" s="58" t="s">
        <v>92</v>
      </c>
      <c r="N173" s="58" t="s">
        <v>93</v>
      </c>
      <c r="O173" s="58" t="s">
        <v>3049</v>
      </c>
      <c r="P173" s="58" t="s">
        <v>3050</v>
      </c>
      <c r="Q173" s="58"/>
      <c r="R173" s="58"/>
      <c r="S173" s="58"/>
      <c r="T173" s="58"/>
      <c r="U173" s="58" t="s">
        <v>2543</v>
      </c>
      <c r="V173" s="58"/>
      <c r="W173" s="58" t="str">
        <f t="shared" si="2"/>
        <v/>
      </c>
    </row>
    <row r="174" spans="1:23" ht="25.95" customHeight="1">
      <c r="A174" s="58" t="s">
        <v>34</v>
      </c>
      <c r="B174" s="58" t="s">
        <v>35</v>
      </c>
      <c r="C174" s="58" t="s">
        <v>2538</v>
      </c>
      <c r="D174" s="58" t="s">
        <v>2564</v>
      </c>
      <c r="E174" s="58" t="s">
        <v>2540</v>
      </c>
      <c r="F174" s="58"/>
      <c r="G174" s="58"/>
      <c r="H174" s="58"/>
      <c r="I174" s="58"/>
      <c r="J174" s="58"/>
      <c r="K174" s="58"/>
      <c r="L174" s="58"/>
      <c r="M174" s="58" t="s">
        <v>92</v>
      </c>
      <c r="N174" s="58" t="s">
        <v>93</v>
      </c>
      <c r="O174" s="58" t="s">
        <v>3051</v>
      </c>
      <c r="P174" s="58" t="s">
        <v>3052</v>
      </c>
      <c r="Q174" s="58"/>
      <c r="R174" s="58"/>
      <c r="S174" s="58"/>
      <c r="T174" s="58"/>
      <c r="U174" s="58" t="s">
        <v>2543</v>
      </c>
      <c r="V174" s="58"/>
      <c r="W174" s="58" t="str">
        <f t="shared" si="2"/>
        <v/>
      </c>
    </row>
    <row r="175" spans="1:23" ht="25.95" customHeight="1">
      <c r="A175" s="58" t="s">
        <v>34</v>
      </c>
      <c r="B175" s="58" t="s">
        <v>35</v>
      </c>
      <c r="C175" s="58" t="s">
        <v>2538</v>
      </c>
      <c r="D175" s="58" t="s">
        <v>2564</v>
      </c>
      <c r="E175" s="58" t="s">
        <v>2540</v>
      </c>
      <c r="F175" s="58"/>
      <c r="G175" s="58"/>
      <c r="H175" s="58"/>
      <c r="I175" s="58"/>
      <c r="J175" s="58"/>
      <c r="K175" s="58"/>
      <c r="L175" s="58"/>
      <c r="M175" s="58" t="s">
        <v>92</v>
      </c>
      <c r="N175" s="58" t="s">
        <v>93</v>
      </c>
      <c r="O175" s="58" t="s">
        <v>3053</v>
      </c>
      <c r="P175" s="58" t="s">
        <v>3054</v>
      </c>
      <c r="Q175" s="58"/>
      <c r="R175" s="58"/>
      <c r="S175" s="58"/>
      <c r="T175" s="58"/>
      <c r="U175" s="58" t="s">
        <v>2543</v>
      </c>
      <c r="V175" s="58"/>
      <c r="W175" s="58" t="str">
        <f t="shared" si="2"/>
        <v/>
      </c>
    </row>
    <row r="176" spans="1:23" ht="25.95" customHeight="1">
      <c r="A176" s="58" t="s">
        <v>34</v>
      </c>
      <c r="B176" s="58" t="s">
        <v>35</v>
      </c>
      <c r="C176" s="58" t="s">
        <v>2538</v>
      </c>
      <c r="D176" s="58" t="s">
        <v>2564</v>
      </c>
      <c r="E176" s="58" t="s">
        <v>2540</v>
      </c>
      <c r="F176" s="58">
        <v>1</v>
      </c>
      <c r="G176" s="58"/>
      <c r="H176" s="58"/>
      <c r="I176" s="58" t="s">
        <v>2575</v>
      </c>
      <c r="J176" s="58"/>
      <c r="K176" s="58"/>
      <c r="L176" s="58"/>
      <c r="M176" s="58" t="s">
        <v>92</v>
      </c>
      <c r="N176" s="58" t="s">
        <v>93</v>
      </c>
      <c r="O176" s="58" t="s">
        <v>3055</v>
      </c>
      <c r="P176" s="58" t="s">
        <v>3056</v>
      </c>
      <c r="Q176" s="58"/>
      <c r="R176" s="58"/>
      <c r="S176" s="58"/>
      <c r="T176" s="58"/>
      <c r="U176" s="58" t="s">
        <v>2543</v>
      </c>
      <c r="V176" s="58"/>
      <c r="W176" s="58" t="str">
        <f t="shared" si="2"/>
        <v/>
      </c>
    </row>
    <row r="177" spans="1:23" ht="25.95" customHeight="1">
      <c r="A177" s="58" t="s">
        <v>34</v>
      </c>
      <c r="B177" s="58" t="s">
        <v>35</v>
      </c>
      <c r="C177" s="58" t="s">
        <v>2538</v>
      </c>
      <c r="D177" s="58" t="s">
        <v>2564</v>
      </c>
      <c r="E177" s="58" t="s">
        <v>2540</v>
      </c>
      <c r="F177" s="58"/>
      <c r="G177" s="58"/>
      <c r="H177" s="58"/>
      <c r="I177" s="58"/>
      <c r="J177" s="58"/>
      <c r="K177" s="58"/>
      <c r="L177" s="58"/>
      <c r="M177" s="58" t="s">
        <v>92</v>
      </c>
      <c r="N177" s="58" t="s">
        <v>93</v>
      </c>
      <c r="O177" s="58" t="s">
        <v>3057</v>
      </c>
      <c r="P177" s="58" t="s">
        <v>3058</v>
      </c>
      <c r="Q177" s="58"/>
      <c r="R177" s="58"/>
      <c r="S177" s="58"/>
      <c r="T177" s="58"/>
      <c r="U177" s="58" t="s">
        <v>2543</v>
      </c>
      <c r="V177" s="58"/>
      <c r="W177" s="58" t="str">
        <f t="shared" si="2"/>
        <v/>
      </c>
    </row>
    <row r="178" spans="1:23" ht="25.95" customHeight="1">
      <c r="A178" s="58" t="s">
        <v>34</v>
      </c>
      <c r="B178" s="58" t="s">
        <v>35</v>
      </c>
      <c r="C178" s="58" t="s">
        <v>2913</v>
      </c>
      <c r="D178" s="58" t="s">
        <v>2914</v>
      </c>
      <c r="E178" s="58" t="s">
        <v>2915</v>
      </c>
      <c r="F178" s="58"/>
      <c r="G178" s="58"/>
      <c r="H178" s="58"/>
      <c r="I178" s="58"/>
      <c r="J178" s="58"/>
      <c r="K178" s="58"/>
      <c r="L178" s="58"/>
      <c r="M178" s="58" t="s">
        <v>92</v>
      </c>
      <c r="N178" s="58" t="s">
        <v>93</v>
      </c>
      <c r="O178" s="58" t="s">
        <v>3059</v>
      </c>
      <c r="P178" s="58" t="s">
        <v>3060</v>
      </c>
      <c r="Q178" s="58"/>
      <c r="R178" s="69" t="s">
        <v>3061</v>
      </c>
      <c r="S178" s="69" t="s">
        <v>3062</v>
      </c>
      <c r="T178" s="58"/>
      <c r="U178" s="58" t="s">
        <v>2913</v>
      </c>
      <c r="V178" s="58"/>
      <c r="W178" s="58" t="str">
        <f t="shared" si="2"/>
        <v/>
      </c>
    </row>
    <row r="179" spans="1:23" ht="25.95" customHeight="1">
      <c r="A179" s="58" t="s">
        <v>34</v>
      </c>
      <c r="B179" s="58" t="s">
        <v>35</v>
      </c>
      <c r="C179" s="58" t="s">
        <v>2913</v>
      </c>
      <c r="D179" s="58" t="s">
        <v>2920</v>
      </c>
      <c r="E179" s="58" t="s">
        <v>2915</v>
      </c>
      <c r="F179" s="58"/>
      <c r="G179" s="58"/>
      <c r="H179" s="58"/>
      <c r="I179" s="58"/>
      <c r="J179" s="58"/>
      <c r="K179" s="58"/>
      <c r="L179" s="58"/>
      <c r="M179" s="58" t="s">
        <v>92</v>
      </c>
      <c r="N179" s="58" t="s">
        <v>93</v>
      </c>
      <c r="O179" s="58" t="s">
        <v>3063</v>
      </c>
      <c r="P179" s="58" t="s">
        <v>3064</v>
      </c>
      <c r="Q179" s="58"/>
      <c r="R179" s="69" t="s">
        <v>3065</v>
      </c>
      <c r="S179" s="69" t="s">
        <v>3066</v>
      </c>
      <c r="T179" s="58"/>
      <c r="U179" s="58" t="s">
        <v>2913</v>
      </c>
      <c r="V179" s="58"/>
      <c r="W179" s="58" t="str">
        <f t="shared" si="2"/>
        <v/>
      </c>
    </row>
    <row r="180" spans="1:23" ht="25.95" customHeight="1">
      <c r="A180" s="58" t="s">
        <v>34</v>
      </c>
      <c r="B180" s="58" t="s">
        <v>35</v>
      </c>
      <c r="C180" s="58" t="s">
        <v>2913</v>
      </c>
      <c r="D180" s="58" t="s">
        <v>2925</v>
      </c>
      <c r="E180" s="58" t="s">
        <v>2915</v>
      </c>
      <c r="F180" s="58"/>
      <c r="G180" s="58"/>
      <c r="H180" s="58"/>
      <c r="I180" s="58"/>
      <c r="J180" s="58"/>
      <c r="K180" s="58"/>
      <c r="L180" s="58"/>
      <c r="M180" s="58" t="s">
        <v>92</v>
      </c>
      <c r="N180" s="58" t="s">
        <v>93</v>
      </c>
      <c r="O180" s="58" t="s">
        <v>3067</v>
      </c>
      <c r="P180" s="58" t="s">
        <v>3068</v>
      </c>
      <c r="Q180" s="58"/>
      <c r="R180" s="69" t="s">
        <v>3069</v>
      </c>
      <c r="S180" s="69" t="s">
        <v>3070</v>
      </c>
      <c r="T180" s="58"/>
      <c r="U180" s="58" t="s">
        <v>2913</v>
      </c>
      <c r="V180" s="58"/>
      <c r="W180" s="58" t="str">
        <f t="shared" si="2"/>
        <v/>
      </c>
    </row>
    <row r="181" spans="1:23" ht="31.2">
      <c r="A181" s="58" t="s">
        <v>34</v>
      </c>
      <c r="B181" s="58" t="s">
        <v>35</v>
      </c>
      <c r="C181" s="58" t="s">
        <v>2913</v>
      </c>
      <c r="D181" s="58" t="s">
        <v>2930</v>
      </c>
      <c r="E181" s="58" t="s">
        <v>2915</v>
      </c>
      <c r="F181" s="58"/>
      <c r="G181" s="58"/>
      <c r="H181" s="58"/>
      <c r="I181" s="58"/>
      <c r="J181" s="58"/>
      <c r="K181" s="58"/>
      <c r="L181" s="58"/>
      <c r="M181" s="58" t="s">
        <v>92</v>
      </c>
      <c r="N181" s="58" t="s">
        <v>93</v>
      </c>
      <c r="O181" s="58" t="s">
        <v>3071</v>
      </c>
      <c r="P181" s="58" t="s">
        <v>3072</v>
      </c>
      <c r="Q181" s="58"/>
      <c r="R181" s="69" t="s">
        <v>3073</v>
      </c>
      <c r="S181" s="69" t="s">
        <v>3074</v>
      </c>
      <c r="T181" s="58"/>
      <c r="U181" s="58" t="s">
        <v>2913</v>
      </c>
      <c r="V181" s="58"/>
      <c r="W181" s="58" t="str">
        <f t="shared" si="2"/>
        <v/>
      </c>
    </row>
    <row r="182" spans="1:23" ht="25.95" customHeight="1">
      <c r="A182" s="58" t="s">
        <v>34</v>
      </c>
      <c r="B182" s="58" t="s">
        <v>35</v>
      </c>
      <c r="C182" s="58" t="s">
        <v>2913</v>
      </c>
      <c r="D182" s="58" t="s">
        <v>2935</v>
      </c>
      <c r="E182" s="58" t="s">
        <v>2915</v>
      </c>
      <c r="F182" s="58"/>
      <c r="G182" s="58"/>
      <c r="H182" s="58"/>
      <c r="I182" s="58"/>
      <c r="J182" s="58"/>
      <c r="K182" s="58"/>
      <c r="L182" s="58"/>
      <c r="M182" s="58" t="s">
        <v>92</v>
      </c>
      <c r="N182" s="58" t="s">
        <v>93</v>
      </c>
      <c r="O182" s="58" t="s">
        <v>3075</v>
      </c>
      <c r="P182" s="58" t="s">
        <v>3076</v>
      </c>
      <c r="Q182" s="58"/>
      <c r="R182" s="69" t="s">
        <v>3077</v>
      </c>
      <c r="S182" s="69" t="s">
        <v>3078</v>
      </c>
      <c r="T182" s="58"/>
      <c r="U182" s="58" t="s">
        <v>2913</v>
      </c>
      <c r="V182" s="58"/>
      <c r="W182" s="58" t="str">
        <f t="shared" si="2"/>
        <v/>
      </c>
    </row>
    <row r="183" spans="1:23" ht="31.2">
      <c r="A183" s="58" t="s">
        <v>34</v>
      </c>
      <c r="B183" s="58" t="s">
        <v>35</v>
      </c>
      <c r="C183" s="58" t="s">
        <v>2913</v>
      </c>
      <c r="D183" s="58" t="s">
        <v>2941</v>
      </c>
      <c r="E183" s="58" t="s">
        <v>2915</v>
      </c>
      <c r="F183" s="58"/>
      <c r="G183" s="58"/>
      <c r="H183" s="58"/>
      <c r="I183" s="58"/>
      <c r="J183" s="58"/>
      <c r="K183" s="58"/>
      <c r="L183" s="58"/>
      <c r="M183" s="58" t="s">
        <v>92</v>
      </c>
      <c r="N183" s="58" t="s">
        <v>93</v>
      </c>
      <c r="O183" s="58" t="s">
        <v>3079</v>
      </c>
      <c r="P183" s="58" t="s">
        <v>3080</v>
      </c>
      <c r="Q183" s="58"/>
      <c r="R183" s="69" t="s">
        <v>3081</v>
      </c>
      <c r="S183" s="69" t="s">
        <v>3082</v>
      </c>
      <c r="T183" s="58"/>
      <c r="U183" s="58" t="s">
        <v>2913</v>
      </c>
      <c r="V183" s="58"/>
      <c r="W183" s="58" t="str">
        <f t="shared" si="2"/>
        <v/>
      </c>
    </row>
    <row r="184" spans="1:23" ht="25.95" customHeight="1">
      <c r="A184" s="58" t="s">
        <v>34</v>
      </c>
      <c r="B184" s="58" t="s">
        <v>35</v>
      </c>
      <c r="C184" s="58" t="s">
        <v>2580</v>
      </c>
      <c r="D184" s="58" t="s">
        <v>3083</v>
      </c>
      <c r="E184" s="58" t="s">
        <v>2582</v>
      </c>
      <c r="F184" s="58"/>
      <c r="G184" s="58"/>
      <c r="H184" s="58"/>
      <c r="I184" s="58"/>
      <c r="J184" s="58"/>
      <c r="K184" s="58" t="s">
        <v>273</v>
      </c>
      <c r="L184" s="58" t="s">
        <v>273</v>
      </c>
      <c r="M184" s="58" t="s">
        <v>92</v>
      </c>
      <c r="N184" s="58" t="s">
        <v>93</v>
      </c>
      <c r="O184" s="58" t="s">
        <v>3084</v>
      </c>
      <c r="P184" s="58" t="s">
        <v>3085</v>
      </c>
      <c r="Q184" s="58" t="s">
        <v>44</v>
      </c>
      <c r="R184" s="58"/>
      <c r="S184" s="58"/>
      <c r="T184" s="58"/>
      <c r="U184" s="58" t="s">
        <v>2585</v>
      </c>
      <c r="V184" s="58"/>
      <c r="W184" s="58" t="str">
        <f t="shared" si="2"/>
        <v/>
      </c>
    </row>
    <row r="185" spans="1:23" ht="25.95" customHeight="1">
      <c r="A185" s="58" t="s">
        <v>34</v>
      </c>
      <c r="B185" s="58" t="s">
        <v>35</v>
      </c>
      <c r="C185" s="58" t="s">
        <v>2902</v>
      </c>
      <c r="D185" s="58" t="s">
        <v>2949</v>
      </c>
      <c r="E185" s="58" t="s">
        <v>3086</v>
      </c>
      <c r="F185" s="58"/>
      <c r="G185" s="58"/>
      <c r="H185" s="58"/>
      <c r="I185" s="58"/>
      <c r="J185" s="58"/>
      <c r="K185" s="58"/>
      <c r="L185" s="58"/>
      <c r="M185" s="58" t="s">
        <v>92</v>
      </c>
      <c r="N185" s="58" t="s">
        <v>93</v>
      </c>
      <c r="O185" s="58" t="s">
        <v>3087</v>
      </c>
      <c r="P185" s="58" t="s">
        <v>3088</v>
      </c>
      <c r="Q185" s="58"/>
      <c r="R185" s="58"/>
      <c r="S185" s="58"/>
      <c r="T185" s="58"/>
      <c r="U185" s="58" t="s">
        <v>2517</v>
      </c>
      <c r="V185" s="58"/>
      <c r="W185" s="58" t="str">
        <f t="shared" si="2"/>
        <v/>
      </c>
    </row>
    <row r="186" spans="1:23" ht="25.95" customHeight="1">
      <c r="A186" s="58" t="s">
        <v>34</v>
      </c>
      <c r="B186" s="58" t="s">
        <v>35</v>
      </c>
      <c r="C186" s="58" t="s">
        <v>2510</v>
      </c>
      <c r="D186" s="58" t="s">
        <v>2897</v>
      </c>
      <c r="E186" s="58" t="s">
        <v>2512</v>
      </c>
      <c r="F186" s="58"/>
      <c r="G186" s="58"/>
      <c r="H186" s="58"/>
      <c r="I186" s="58" t="s">
        <v>2898</v>
      </c>
      <c r="J186" s="58"/>
      <c r="K186" s="58"/>
      <c r="L186" s="58"/>
      <c r="M186" s="58" t="s">
        <v>92</v>
      </c>
      <c r="N186" s="58" t="s">
        <v>93</v>
      </c>
      <c r="O186" s="58" t="s">
        <v>3089</v>
      </c>
      <c r="P186" s="58" t="s">
        <v>3090</v>
      </c>
      <c r="Q186" s="58"/>
      <c r="R186" s="69" t="s">
        <v>3656</v>
      </c>
      <c r="S186" s="69" t="s">
        <v>3656</v>
      </c>
      <c r="T186" s="58" t="s">
        <v>2901</v>
      </c>
      <c r="U186" s="58" t="s">
        <v>2517</v>
      </c>
      <c r="V186" s="58"/>
      <c r="W186" s="58" t="str">
        <f t="shared" si="2"/>
        <v/>
      </c>
    </row>
    <row r="187" spans="1:23" ht="25.95" customHeight="1">
      <c r="A187" s="58" t="s">
        <v>82</v>
      </c>
      <c r="B187" s="58" t="s">
        <v>35</v>
      </c>
      <c r="C187" s="58" t="s">
        <v>2902</v>
      </c>
      <c r="D187" s="58" t="s">
        <v>2903</v>
      </c>
      <c r="E187" s="58" t="s">
        <v>2904</v>
      </c>
      <c r="F187" s="58"/>
      <c r="G187" s="58"/>
      <c r="H187" s="58"/>
      <c r="I187" s="58"/>
      <c r="J187" s="58"/>
      <c r="K187" s="58"/>
      <c r="L187" s="58"/>
      <c r="M187" s="58" t="s">
        <v>95</v>
      </c>
      <c r="N187" s="58" t="s">
        <v>96</v>
      </c>
      <c r="O187" s="58" t="s">
        <v>3091</v>
      </c>
      <c r="P187" s="58" t="s">
        <v>3092</v>
      </c>
      <c r="Q187" s="58"/>
      <c r="R187" s="58"/>
      <c r="S187" s="58"/>
      <c r="T187" s="58"/>
      <c r="U187" s="58" t="s">
        <v>2517</v>
      </c>
      <c r="V187" s="58"/>
      <c r="W187" s="58" t="str">
        <f t="shared" si="2"/>
        <v/>
      </c>
    </row>
    <row r="188" spans="1:23" ht="25.95" customHeight="1">
      <c r="A188" s="58" t="s">
        <v>82</v>
      </c>
      <c r="B188" s="58" t="s">
        <v>35</v>
      </c>
      <c r="C188" s="58" t="s">
        <v>2902</v>
      </c>
      <c r="D188" s="58" t="s">
        <v>2907</v>
      </c>
      <c r="E188" s="58" t="s">
        <v>3093</v>
      </c>
      <c r="F188" s="58"/>
      <c r="G188" s="58"/>
      <c r="H188" s="58"/>
      <c r="I188" s="58"/>
      <c r="J188" s="58"/>
      <c r="K188" s="58"/>
      <c r="L188" s="58"/>
      <c r="M188" s="58" t="s">
        <v>95</v>
      </c>
      <c r="N188" s="58" t="s">
        <v>96</v>
      </c>
      <c r="O188" s="58" t="s">
        <v>3094</v>
      </c>
      <c r="P188" s="58" t="s">
        <v>3095</v>
      </c>
      <c r="Q188" s="58"/>
      <c r="R188" s="58"/>
      <c r="S188" s="58"/>
      <c r="T188" s="58"/>
      <c r="U188" s="58" t="s">
        <v>2517</v>
      </c>
      <c r="V188" s="58"/>
      <c r="W188" s="58" t="str">
        <f t="shared" si="2"/>
        <v/>
      </c>
    </row>
    <row r="189" spans="1:23" ht="25.95" customHeight="1">
      <c r="A189" s="58" t="s">
        <v>82</v>
      </c>
      <c r="B189" s="58" t="s">
        <v>35</v>
      </c>
      <c r="C189" s="58" t="s">
        <v>2510</v>
      </c>
      <c r="D189" s="58" t="s">
        <v>3096</v>
      </c>
      <c r="E189" s="58" t="s">
        <v>2512</v>
      </c>
      <c r="F189" s="58">
        <v>547</v>
      </c>
      <c r="G189" s="58">
        <v>547</v>
      </c>
      <c r="H189" s="58"/>
      <c r="I189" s="58" t="s">
        <v>2513</v>
      </c>
      <c r="J189" s="58"/>
      <c r="K189" s="58"/>
      <c r="L189" s="58"/>
      <c r="M189" s="58" t="s">
        <v>95</v>
      </c>
      <c r="N189" s="58" t="s">
        <v>96</v>
      </c>
      <c r="O189" s="58" t="s">
        <v>3097</v>
      </c>
      <c r="P189" s="58" t="s">
        <v>3098</v>
      </c>
      <c r="Q189" s="58"/>
      <c r="R189" s="58"/>
      <c r="S189" s="58"/>
      <c r="T189" s="58" t="s">
        <v>3099</v>
      </c>
      <c r="U189" s="58" t="s">
        <v>2517</v>
      </c>
      <c r="V189" s="58"/>
      <c r="W189" s="58">
        <f t="shared" si="2"/>
        <v>0</v>
      </c>
    </row>
    <row r="190" spans="1:23" ht="25.95" customHeight="1">
      <c r="A190" s="58" t="s">
        <v>82</v>
      </c>
      <c r="B190" s="58" t="s">
        <v>35</v>
      </c>
      <c r="C190" s="58" t="s">
        <v>2902</v>
      </c>
      <c r="D190" s="58" t="s">
        <v>2952</v>
      </c>
      <c r="E190" s="58" t="s">
        <v>2904</v>
      </c>
      <c r="F190" s="58"/>
      <c r="G190" s="58"/>
      <c r="H190" s="58"/>
      <c r="I190" s="58"/>
      <c r="J190" s="58"/>
      <c r="K190" s="58"/>
      <c r="L190" s="58"/>
      <c r="M190" s="58" t="s">
        <v>95</v>
      </c>
      <c r="N190" s="58" t="s">
        <v>96</v>
      </c>
      <c r="O190" s="58" t="s">
        <v>3100</v>
      </c>
      <c r="P190" s="58" t="s">
        <v>3101</v>
      </c>
      <c r="Q190" s="58"/>
      <c r="R190" s="58"/>
      <c r="S190" s="58"/>
      <c r="T190" s="58"/>
      <c r="U190" s="58" t="s">
        <v>2517</v>
      </c>
      <c r="V190" s="58"/>
      <c r="W190" s="58" t="str">
        <f t="shared" si="2"/>
        <v/>
      </c>
    </row>
    <row r="191" spans="1:23" ht="25.95" customHeight="1">
      <c r="A191" s="58" t="s">
        <v>82</v>
      </c>
      <c r="B191" s="58" t="s">
        <v>35</v>
      </c>
      <c r="C191" s="58" t="s">
        <v>2902</v>
      </c>
      <c r="D191" s="58" t="s">
        <v>2955</v>
      </c>
      <c r="E191" s="58" t="s">
        <v>3102</v>
      </c>
      <c r="F191" s="58"/>
      <c r="G191" s="58"/>
      <c r="H191" s="58"/>
      <c r="I191" s="58"/>
      <c r="J191" s="58"/>
      <c r="K191" s="58"/>
      <c r="L191" s="58"/>
      <c r="M191" s="58" t="s">
        <v>95</v>
      </c>
      <c r="N191" s="58" t="s">
        <v>96</v>
      </c>
      <c r="O191" s="58" t="s">
        <v>3103</v>
      </c>
      <c r="P191" s="58" t="s">
        <v>3104</v>
      </c>
      <c r="Q191" s="58"/>
      <c r="R191" s="58"/>
      <c r="S191" s="58"/>
      <c r="T191" s="58"/>
      <c r="U191" s="58" t="s">
        <v>2517</v>
      </c>
      <c r="V191" s="58"/>
      <c r="W191" s="58" t="str">
        <f t="shared" si="2"/>
        <v/>
      </c>
    </row>
    <row r="192" spans="1:23" ht="31.2">
      <c r="A192" s="58" t="s">
        <v>82</v>
      </c>
      <c r="B192" s="58" t="s">
        <v>35</v>
      </c>
      <c r="C192" s="58" t="s">
        <v>2607</v>
      </c>
      <c r="D192" s="58" t="s">
        <v>3105</v>
      </c>
      <c r="E192" s="58" t="s">
        <v>3106</v>
      </c>
      <c r="F192" s="58"/>
      <c r="G192" s="58"/>
      <c r="H192" s="58"/>
      <c r="I192" s="58"/>
      <c r="J192" s="58"/>
      <c r="K192" s="58"/>
      <c r="L192" s="58" t="s">
        <v>2610</v>
      </c>
      <c r="M192" s="58" t="s">
        <v>95</v>
      </c>
      <c r="N192" s="58" t="s">
        <v>96</v>
      </c>
      <c r="O192" s="58" t="s">
        <v>3107</v>
      </c>
      <c r="P192" s="58" t="s">
        <v>3108</v>
      </c>
      <c r="Q192" s="58" t="s">
        <v>3109</v>
      </c>
      <c r="R192" s="58"/>
      <c r="S192" s="58"/>
      <c r="T192" s="58"/>
      <c r="U192" s="58" t="s">
        <v>2517</v>
      </c>
      <c r="V192" s="58" t="s">
        <v>3110</v>
      </c>
      <c r="W192" s="58" t="str">
        <f t="shared" si="2"/>
        <v/>
      </c>
    </row>
    <row r="193" spans="1:23" ht="25.95" customHeight="1">
      <c r="A193" s="58" t="s">
        <v>82</v>
      </c>
      <c r="B193" s="58" t="s">
        <v>35</v>
      </c>
      <c r="C193" s="58" t="s">
        <v>2510</v>
      </c>
      <c r="D193" s="58" t="s">
        <v>3111</v>
      </c>
      <c r="E193" s="58" t="s">
        <v>2686</v>
      </c>
      <c r="F193" s="58">
        <v>43</v>
      </c>
      <c r="G193" s="58">
        <v>44</v>
      </c>
      <c r="H193" s="58"/>
      <c r="I193" s="58" t="s">
        <v>3112</v>
      </c>
      <c r="J193" s="58"/>
      <c r="K193" s="58"/>
      <c r="L193" s="58"/>
      <c r="M193" s="58" t="s">
        <v>95</v>
      </c>
      <c r="N193" s="58" t="s">
        <v>96</v>
      </c>
      <c r="O193" s="58" t="s">
        <v>3113</v>
      </c>
      <c r="P193" s="58" t="s">
        <v>3114</v>
      </c>
      <c r="Q193" s="58"/>
      <c r="R193" s="58"/>
      <c r="S193" s="58"/>
      <c r="T193" s="58" t="s">
        <v>3115</v>
      </c>
      <c r="U193" s="58" t="s">
        <v>2517</v>
      </c>
      <c r="V193" s="58"/>
      <c r="W193" s="58">
        <f t="shared" si="2"/>
        <v>1</v>
      </c>
    </row>
    <row r="194" spans="1:23" ht="25.95" customHeight="1">
      <c r="A194" s="58" t="s">
        <v>82</v>
      </c>
      <c r="B194" s="58" t="s">
        <v>35</v>
      </c>
      <c r="C194" s="58" t="s">
        <v>2902</v>
      </c>
      <c r="D194" s="58" t="s">
        <v>2949</v>
      </c>
      <c r="E194" s="58" t="s">
        <v>3086</v>
      </c>
      <c r="F194" s="58"/>
      <c r="G194" s="58"/>
      <c r="H194" s="58"/>
      <c r="I194" s="58"/>
      <c r="J194" s="58"/>
      <c r="K194" s="58"/>
      <c r="L194" s="58"/>
      <c r="M194" s="58" t="s">
        <v>95</v>
      </c>
      <c r="N194" s="58" t="s">
        <v>96</v>
      </c>
      <c r="O194" s="58" t="s">
        <v>3116</v>
      </c>
      <c r="P194" s="58" t="s">
        <v>3117</v>
      </c>
      <c r="Q194" s="58"/>
      <c r="R194" s="58"/>
      <c r="S194" s="58"/>
      <c r="T194" s="58"/>
      <c r="U194" s="58" t="s">
        <v>2517</v>
      </c>
      <c r="V194" s="58"/>
      <c r="W194" s="58" t="str">
        <f t="shared" ref="W194:W257" si="3">IF(COUNT(F194:G194)=2,G194-F194,"")</f>
        <v/>
      </c>
    </row>
    <row r="195" spans="1:23" ht="31.2">
      <c r="A195" s="58" t="s">
        <v>82</v>
      </c>
      <c r="B195" s="58" t="s">
        <v>35</v>
      </c>
      <c r="C195" s="58" t="s">
        <v>2913</v>
      </c>
      <c r="D195" s="58" t="s">
        <v>2914</v>
      </c>
      <c r="E195" s="58" t="s">
        <v>2915</v>
      </c>
      <c r="F195" s="58"/>
      <c r="G195" s="58"/>
      <c r="H195" s="58"/>
      <c r="I195" s="58"/>
      <c r="J195" s="58"/>
      <c r="K195" s="58"/>
      <c r="L195" s="58"/>
      <c r="M195" s="58" t="s">
        <v>95</v>
      </c>
      <c r="N195" s="58" t="s">
        <v>96</v>
      </c>
      <c r="O195" s="58" t="s">
        <v>3118</v>
      </c>
      <c r="P195" s="58" t="s">
        <v>3119</v>
      </c>
      <c r="Q195" s="58"/>
      <c r="R195" s="69" t="s">
        <v>3120</v>
      </c>
      <c r="S195" s="69" t="s">
        <v>3121</v>
      </c>
      <c r="T195" s="58"/>
      <c r="U195" s="58" t="s">
        <v>2913</v>
      </c>
      <c r="V195" s="58"/>
      <c r="W195" s="58" t="str">
        <f t="shared" si="3"/>
        <v/>
      </c>
    </row>
    <row r="196" spans="1:23" ht="25.95" customHeight="1">
      <c r="A196" s="58" t="s">
        <v>82</v>
      </c>
      <c r="B196" s="58" t="s">
        <v>35</v>
      </c>
      <c r="C196" s="58" t="s">
        <v>2913</v>
      </c>
      <c r="D196" s="58" t="s">
        <v>2920</v>
      </c>
      <c r="E196" s="58" t="s">
        <v>2915</v>
      </c>
      <c r="F196" s="58"/>
      <c r="G196" s="58"/>
      <c r="H196" s="58"/>
      <c r="I196" s="58"/>
      <c r="J196" s="58"/>
      <c r="K196" s="58"/>
      <c r="L196" s="58"/>
      <c r="M196" s="58" t="s">
        <v>95</v>
      </c>
      <c r="N196" s="58" t="s">
        <v>96</v>
      </c>
      <c r="O196" s="58" t="s">
        <v>3122</v>
      </c>
      <c r="P196" s="58" t="s">
        <v>3123</v>
      </c>
      <c r="Q196" s="58"/>
      <c r="R196" s="69" t="s">
        <v>3124</v>
      </c>
      <c r="S196" s="69" t="s">
        <v>3125</v>
      </c>
      <c r="T196" s="58"/>
      <c r="U196" s="58" t="s">
        <v>2913</v>
      </c>
      <c r="V196" s="58"/>
      <c r="W196" s="58" t="str">
        <f t="shared" si="3"/>
        <v/>
      </c>
    </row>
    <row r="197" spans="1:23" ht="25.95" customHeight="1">
      <c r="A197" s="58" t="s">
        <v>82</v>
      </c>
      <c r="B197" s="58" t="s">
        <v>35</v>
      </c>
      <c r="C197" s="58" t="s">
        <v>2913</v>
      </c>
      <c r="D197" s="58" t="s">
        <v>2925</v>
      </c>
      <c r="E197" s="58" t="s">
        <v>2915</v>
      </c>
      <c r="F197" s="58"/>
      <c r="G197" s="58"/>
      <c r="H197" s="58"/>
      <c r="I197" s="58"/>
      <c r="J197" s="58"/>
      <c r="K197" s="58"/>
      <c r="L197" s="58"/>
      <c r="M197" s="58" t="s">
        <v>95</v>
      </c>
      <c r="N197" s="58" t="s">
        <v>96</v>
      </c>
      <c r="O197" s="58" t="s">
        <v>3126</v>
      </c>
      <c r="P197" s="58" t="s">
        <v>3127</v>
      </c>
      <c r="Q197" s="58"/>
      <c r="R197" s="69" t="s">
        <v>3128</v>
      </c>
      <c r="S197" s="69" t="s">
        <v>3129</v>
      </c>
      <c r="T197" s="58"/>
      <c r="U197" s="58" t="s">
        <v>2913</v>
      </c>
      <c r="V197" s="58"/>
      <c r="W197" s="58" t="str">
        <f t="shared" si="3"/>
        <v/>
      </c>
    </row>
    <row r="198" spans="1:23" ht="31.2">
      <c r="A198" s="58" t="s">
        <v>82</v>
      </c>
      <c r="B198" s="58" t="s">
        <v>35</v>
      </c>
      <c r="C198" s="58" t="s">
        <v>2913</v>
      </c>
      <c r="D198" s="58" t="s">
        <v>2930</v>
      </c>
      <c r="E198" s="58" t="s">
        <v>3130</v>
      </c>
      <c r="F198" s="58"/>
      <c r="G198" s="58"/>
      <c r="H198" s="58"/>
      <c r="I198" s="58"/>
      <c r="J198" s="58"/>
      <c r="K198" s="58"/>
      <c r="L198" s="58"/>
      <c r="M198" s="58" t="s">
        <v>95</v>
      </c>
      <c r="N198" s="58" t="s">
        <v>96</v>
      </c>
      <c r="O198" s="58" t="s">
        <v>3131</v>
      </c>
      <c r="P198" s="58" t="s">
        <v>3132</v>
      </c>
      <c r="Q198" s="58"/>
      <c r="R198" s="69" t="s">
        <v>3133</v>
      </c>
      <c r="S198" s="69" t="s">
        <v>3134</v>
      </c>
      <c r="T198" s="58"/>
      <c r="U198" s="58" t="s">
        <v>2913</v>
      </c>
      <c r="V198" s="58"/>
      <c r="W198" s="58" t="str">
        <f t="shared" si="3"/>
        <v/>
      </c>
    </row>
    <row r="199" spans="1:23" ht="25.95" customHeight="1">
      <c r="A199" s="58" t="s">
        <v>82</v>
      </c>
      <c r="B199" s="58" t="s">
        <v>35</v>
      </c>
      <c r="C199" s="58" t="s">
        <v>2913</v>
      </c>
      <c r="D199" s="58" t="s">
        <v>2935</v>
      </c>
      <c r="E199" s="58" t="s">
        <v>2915</v>
      </c>
      <c r="F199" s="58"/>
      <c r="G199" s="58"/>
      <c r="H199" s="58"/>
      <c r="I199" s="58"/>
      <c r="J199" s="58"/>
      <c r="K199" s="58"/>
      <c r="L199" s="58"/>
      <c r="M199" s="58" t="s">
        <v>95</v>
      </c>
      <c r="N199" s="58" t="s">
        <v>96</v>
      </c>
      <c r="O199" s="58" t="s">
        <v>3135</v>
      </c>
      <c r="P199" s="58" t="s">
        <v>3136</v>
      </c>
      <c r="Q199" s="58"/>
      <c r="R199" s="69" t="s">
        <v>3137</v>
      </c>
      <c r="S199" s="69" t="s">
        <v>3138</v>
      </c>
      <c r="T199" s="58"/>
      <c r="U199" s="58" t="s">
        <v>2913</v>
      </c>
      <c r="V199" s="58"/>
      <c r="W199" s="58" t="str">
        <f t="shared" si="3"/>
        <v/>
      </c>
    </row>
    <row r="200" spans="1:23" ht="31.2">
      <c r="A200" s="58" t="s">
        <v>82</v>
      </c>
      <c r="B200" s="58" t="s">
        <v>35</v>
      </c>
      <c r="C200" s="58" t="s">
        <v>2913</v>
      </c>
      <c r="D200" s="58" t="s">
        <v>2941</v>
      </c>
      <c r="E200" s="58" t="s">
        <v>2915</v>
      </c>
      <c r="F200" s="58"/>
      <c r="G200" s="58"/>
      <c r="H200" s="58"/>
      <c r="I200" s="58"/>
      <c r="J200" s="58"/>
      <c r="K200" s="58"/>
      <c r="L200" s="58"/>
      <c r="M200" s="58" t="s">
        <v>95</v>
      </c>
      <c r="N200" s="58" t="s">
        <v>96</v>
      </c>
      <c r="O200" s="58" t="s">
        <v>3139</v>
      </c>
      <c r="P200" s="58" t="s">
        <v>3140</v>
      </c>
      <c r="Q200" s="58"/>
      <c r="R200" s="69" t="s">
        <v>3141</v>
      </c>
      <c r="S200" s="69" t="s">
        <v>3142</v>
      </c>
      <c r="T200" s="58"/>
      <c r="U200" s="58" t="s">
        <v>2913</v>
      </c>
      <c r="V200" s="58"/>
      <c r="W200" s="58" t="str">
        <f t="shared" si="3"/>
        <v/>
      </c>
    </row>
    <row r="201" spans="1:23" ht="25.95" customHeight="1">
      <c r="A201" s="58" t="s">
        <v>82</v>
      </c>
      <c r="B201" s="58" t="s">
        <v>35</v>
      </c>
      <c r="C201" s="58" t="s">
        <v>2580</v>
      </c>
      <c r="D201" s="58" t="s">
        <v>3143</v>
      </c>
      <c r="E201" s="58" t="s">
        <v>2582</v>
      </c>
      <c r="F201" s="58"/>
      <c r="G201" s="58"/>
      <c r="H201" s="58"/>
      <c r="I201" s="58"/>
      <c r="J201" s="58" t="s">
        <v>273</v>
      </c>
      <c r="K201" s="58" t="s">
        <v>273</v>
      </c>
      <c r="L201" s="58" t="s">
        <v>274</v>
      </c>
      <c r="M201" s="58" t="s">
        <v>95</v>
      </c>
      <c r="N201" s="58" t="s">
        <v>96</v>
      </c>
      <c r="O201" s="58" t="s">
        <v>3144</v>
      </c>
      <c r="P201" s="58" t="s">
        <v>3145</v>
      </c>
      <c r="Q201" s="58" t="s">
        <v>44</v>
      </c>
      <c r="R201" s="58"/>
      <c r="S201" s="58"/>
      <c r="T201" s="58"/>
      <c r="U201" s="58" t="s">
        <v>2585</v>
      </c>
      <c r="V201" s="58"/>
      <c r="W201" s="58" t="str">
        <f t="shared" si="3"/>
        <v/>
      </c>
    </row>
    <row r="202" spans="1:23" ht="25.95" customHeight="1">
      <c r="A202" s="58" t="s">
        <v>82</v>
      </c>
      <c r="B202" s="58" t="s">
        <v>35</v>
      </c>
      <c r="C202" s="58" t="s">
        <v>2607</v>
      </c>
      <c r="D202" s="58" t="s">
        <v>3146</v>
      </c>
      <c r="E202" s="58" t="s">
        <v>2609</v>
      </c>
      <c r="F202" s="58"/>
      <c r="G202" s="58"/>
      <c r="H202" s="58"/>
      <c r="I202" s="58"/>
      <c r="J202" s="58"/>
      <c r="K202" s="58"/>
      <c r="L202" s="58" t="s">
        <v>274</v>
      </c>
      <c r="M202" s="58" t="s">
        <v>95</v>
      </c>
      <c r="N202" s="58" t="s">
        <v>96</v>
      </c>
      <c r="O202" s="58" t="s">
        <v>3147</v>
      </c>
      <c r="P202" s="58" t="s">
        <v>3148</v>
      </c>
      <c r="Q202" s="58" t="s">
        <v>44</v>
      </c>
      <c r="R202" s="58"/>
      <c r="S202" s="58"/>
      <c r="T202" s="58"/>
      <c r="U202" s="58" t="s">
        <v>2517</v>
      </c>
      <c r="V202" s="58" t="s">
        <v>2718</v>
      </c>
      <c r="W202" s="58" t="str">
        <f t="shared" si="3"/>
        <v/>
      </c>
    </row>
    <row r="203" spans="1:23" ht="25.95" customHeight="1">
      <c r="A203" s="58" t="s">
        <v>98</v>
      </c>
      <c r="B203" s="58" t="s">
        <v>35</v>
      </c>
      <c r="C203" s="58" t="s">
        <v>2580</v>
      </c>
      <c r="D203" s="58" t="s">
        <v>3149</v>
      </c>
      <c r="E203" s="58" t="s">
        <v>2582</v>
      </c>
      <c r="F203" s="58"/>
      <c r="G203" s="58"/>
      <c r="H203" s="58"/>
      <c r="I203" s="58"/>
      <c r="J203" s="58" t="s">
        <v>274</v>
      </c>
      <c r="K203" s="58" t="s">
        <v>274</v>
      </c>
      <c r="L203" s="58" t="s">
        <v>274</v>
      </c>
      <c r="M203" s="58" t="s">
        <v>103</v>
      </c>
      <c r="N203" s="58" t="s">
        <v>104</v>
      </c>
      <c r="O203" s="58" t="s">
        <v>3150</v>
      </c>
      <c r="P203" s="58" t="s">
        <v>3151</v>
      </c>
      <c r="Q203" s="58" t="s">
        <v>44</v>
      </c>
      <c r="R203" s="58"/>
      <c r="S203" s="58"/>
      <c r="T203" s="58"/>
      <c r="U203" s="58" t="s">
        <v>2585</v>
      </c>
      <c r="V203" s="58"/>
      <c r="W203" s="58" t="str">
        <f t="shared" si="3"/>
        <v/>
      </c>
    </row>
    <row r="204" spans="1:23" ht="25.95" customHeight="1">
      <c r="A204" s="58" t="s">
        <v>76</v>
      </c>
      <c r="B204" s="58" t="s">
        <v>35</v>
      </c>
      <c r="C204" s="58" t="s">
        <v>2902</v>
      </c>
      <c r="D204" s="58" t="s">
        <v>2955</v>
      </c>
      <c r="E204" s="58" t="s">
        <v>3152</v>
      </c>
      <c r="F204" s="58"/>
      <c r="G204" s="58"/>
      <c r="H204" s="58"/>
      <c r="I204" s="58"/>
      <c r="J204" s="58"/>
      <c r="K204" s="58"/>
      <c r="L204" s="58"/>
      <c r="M204" s="58" t="s">
        <v>106</v>
      </c>
      <c r="N204" s="58" t="s">
        <v>107</v>
      </c>
      <c r="O204" s="58" t="s">
        <v>3153</v>
      </c>
      <c r="P204" s="58" t="s">
        <v>3154</v>
      </c>
      <c r="Q204" s="58"/>
      <c r="R204" s="58"/>
      <c r="S204" s="58"/>
      <c r="T204" s="58"/>
      <c r="U204" s="58" t="s">
        <v>2517</v>
      </c>
      <c r="V204" s="58"/>
      <c r="W204" s="58" t="str">
        <f t="shared" si="3"/>
        <v/>
      </c>
    </row>
    <row r="205" spans="1:23" ht="25.95" customHeight="1">
      <c r="A205" s="58" t="s">
        <v>76</v>
      </c>
      <c r="B205" s="58" t="s">
        <v>35</v>
      </c>
      <c r="C205" s="58" t="s">
        <v>2902</v>
      </c>
      <c r="D205" s="58" t="s">
        <v>2949</v>
      </c>
      <c r="E205" s="58" t="s">
        <v>3086</v>
      </c>
      <c r="F205" s="58"/>
      <c r="G205" s="58"/>
      <c r="H205" s="58"/>
      <c r="I205" s="58"/>
      <c r="J205" s="58"/>
      <c r="K205" s="58"/>
      <c r="L205" s="58"/>
      <c r="M205" s="58" t="s">
        <v>106</v>
      </c>
      <c r="N205" s="58" t="s">
        <v>107</v>
      </c>
      <c r="O205" s="58" t="s">
        <v>3155</v>
      </c>
      <c r="P205" s="58" t="s">
        <v>3156</v>
      </c>
      <c r="Q205" s="58"/>
      <c r="R205" s="58"/>
      <c r="S205" s="58"/>
      <c r="T205" s="58"/>
      <c r="U205" s="58" t="s">
        <v>2517</v>
      </c>
      <c r="V205" s="58"/>
      <c r="W205" s="58" t="str">
        <f t="shared" si="3"/>
        <v/>
      </c>
    </row>
    <row r="206" spans="1:23" ht="25.95" customHeight="1">
      <c r="A206" s="58" t="s">
        <v>76</v>
      </c>
      <c r="B206" s="58" t="s">
        <v>35</v>
      </c>
      <c r="C206" s="58" t="s">
        <v>2510</v>
      </c>
      <c r="D206" s="58" t="s">
        <v>3157</v>
      </c>
      <c r="E206" s="58" t="s">
        <v>2512</v>
      </c>
      <c r="F206" s="58">
        <v>6659866</v>
      </c>
      <c r="G206" s="58">
        <v>6659866</v>
      </c>
      <c r="H206" s="58"/>
      <c r="I206" s="58" t="s">
        <v>2513</v>
      </c>
      <c r="J206" s="58"/>
      <c r="K206" s="58"/>
      <c r="L206" s="58"/>
      <c r="M206" s="58" t="s">
        <v>106</v>
      </c>
      <c r="N206" s="58" t="s">
        <v>107</v>
      </c>
      <c r="O206" s="58" t="s">
        <v>3158</v>
      </c>
      <c r="P206" s="58" t="s">
        <v>3159</v>
      </c>
      <c r="Q206" s="58"/>
      <c r="R206" s="58"/>
      <c r="S206" s="58"/>
      <c r="T206" s="58" t="s">
        <v>3160</v>
      </c>
      <c r="U206" s="58" t="s">
        <v>2517</v>
      </c>
      <c r="V206" s="58"/>
      <c r="W206" s="58">
        <f t="shared" si="3"/>
        <v>0</v>
      </c>
    </row>
    <row r="207" spans="1:23" ht="25.95" customHeight="1">
      <c r="A207" s="58" t="s">
        <v>76</v>
      </c>
      <c r="B207" s="58" t="s">
        <v>35</v>
      </c>
      <c r="C207" s="58" t="s">
        <v>2607</v>
      </c>
      <c r="D207" s="58" t="s">
        <v>3161</v>
      </c>
      <c r="E207" s="58" t="s">
        <v>2609</v>
      </c>
      <c r="F207" s="58"/>
      <c r="G207" s="58"/>
      <c r="H207" s="58"/>
      <c r="I207" s="58"/>
      <c r="J207" s="58"/>
      <c r="K207" s="58"/>
      <c r="L207" s="58" t="s">
        <v>274</v>
      </c>
      <c r="M207" s="58" t="s">
        <v>106</v>
      </c>
      <c r="N207" s="58" t="s">
        <v>107</v>
      </c>
      <c r="O207" s="58" t="s">
        <v>3162</v>
      </c>
      <c r="P207" s="58" t="s">
        <v>3163</v>
      </c>
      <c r="Q207" s="58" t="s">
        <v>44</v>
      </c>
      <c r="R207" s="58"/>
      <c r="S207" s="58"/>
      <c r="T207" s="58"/>
      <c r="U207" s="58" t="s">
        <v>2517</v>
      </c>
      <c r="V207" s="58" t="s">
        <v>2829</v>
      </c>
      <c r="W207" s="58" t="str">
        <f t="shared" si="3"/>
        <v/>
      </c>
    </row>
    <row r="208" spans="1:23" ht="25.95" customHeight="1">
      <c r="A208" s="58" t="s">
        <v>76</v>
      </c>
      <c r="B208" s="58" t="s">
        <v>35</v>
      </c>
      <c r="C208" s="58" t="s">
        <v>2902</v>
      </c>
      <c r="D208" s="58" t="s">
        <v>2952</v>
      </c>
      <c r="E208" s="58" t="s">
        <v>2904</v>
      </c>
      <c r="F208" s="58"/>
      <c r="G208" s="58"/>
      <c r="H208" s="58"/>
      <c r="I208" s="58"/>
      <c r="J208" s="58"/>
      <c r="K208" s="58"/>
      <c r="L208" s="58"/>
      <c r="M208" s="58" t="s">
        <v>106</v>
      </c>
      <c r="N208" s="58" t="s">
        <v>107</v>
      </c>
      <c r="O208" s="58" t="s">
        <v>3164</v>
      </c>
      <c r="P208" s="58" t="s">
        <v>3165</v>
      </c>
      <c r="Q208" s="58"/>
      <c r="R208" s="58"/>
      <c r="S208" s="58"/>
      <c r="T208" s="58"/>
      <c r="U208" s="58" t="s">
        <v>2517</v>
      </c>
      <c r="V208" s="58"/>
      <c r="W208" s="58" t="str">
        <f t="shared" si="3"/>
        <v/>
      </c>
    </row>
    <row r="209" spans="1:23" ht="25.95" customHeight="1">
      <c r="A209" s="58" t="s">
        <v>76</v>
      </c>
      <c r="B209" s="58" t="s">
        <v>35</v>
      </c>
      <c r="C209" s="58" t="s">
        <v>2902</v>
      </c>
      <c r="D209" s="58" t="s">
        <v>2907</v>
      </c>
      <c r="E209" s="58" t="s">
        <v>2904</v>
      </c>
      <c r="F209" s="58"/>
      <c r="G209" s="58"/>
      <c r="H209" s="58"/>
      <c r="I209" s="58"/>
      <c r="J209" s="58"/>
      <c r="K209" s="58"/>
      <c r="L209" s="58"/>
      <c r="M209" s="58" t="s">
        <v>106</v>
      </c>
      <c r="N209" s="58" t="s">
        <v>107</v>
      </c>
      <c r="O209" s="58" t="s">
        <v>3166</v>
      </c>
      <c r="P209" s="58" t="s">
        <v>3167</v>
      </c>
      <c r="Q209" s="58"/>
      <c r="R209" s="58"/>
      <c r="S209" s="58"/>
      <c r="T209" s="58"/>
      <c r="U209" s="58" t="s">
        <v>2517</v>
      </c>
      <c r="V209" s="58"/>
      <c r="W209" s="58" t="str">
        <f t="shared" si="3"/>
        <v/>
      </c>
    </row>
    <row r="210" spans="1:23" ht="31.2">
      <c r="A210" s="58" t="s">
        <v>76</v>
      </c>
      <c r="B210" s="58" t="s">
        <v>35</v>
      </c>
      <c r="C210" s="58" t="s">
        <v>2913</v>
      </c>
      <c r="D210" s="58" t="s">
        <v>2914</v>
      </c>
      <c r="E210" s="58" t="s">
        <v>2915</v>
      </c>
      <c r="F210" s="58"/>
      <c r="G210" s="58"/>
      <c r="H210" s="58"/>
      <c r="I210" s="58"/>
      <c r="J210" s="58"/>
      <c r="K210" s="58"/>
      <c r="L210" s="58"/>
      <c r="M210" s="58" t="s">
        <v>106</v>
      </c>
      <c r="N210" s="58" t="s">
        <v>107</v>
      </c>
      <c r="O210" s="58" t="s">
        <v>3168</v>
      </c>
      <c r="P210" s="58" t="s">
        <v>3169</v>
      </c>
      <c r="Q210" s="58"/>
      <c r="R210" s="69" t="s">
        <v>3170</v>
      </c>
      <c r="S210" s="69" t="s">
        <v>3171</v>
      </c>
      <c r="T210" s="58"/>
      <c r="U210" s="58" t="s">
        <v>2913</v>
      </c>
      <c r="V210" s="58"/>
      <c r="W210" s="58" t="str">
        <f t="shared" si="3"/>
        <v/>
      </c>
    </row>
    <row r="211" spans="1:23" ht="31.2">
      <c r="A211" s="58" t="s">
        <v>76</v>
      </c>
      <c r="B211" s="58" t="s">
        <v>35</v>
      </c>
      <c r="C211" s="58" t="s">
        <v>2913</v>
      </c>
      <c r="D211" s="58" t="s">
        <v>2920</v>
      </c>
      <c r="E211" s="58" t="s">
        <v>2915</v>
      </c>
      <c r="F211" s="58"/>
      <c r="G211" s="58"/>
      <c r="H211" s="58"/>
      <c r="I211" s="58"/>
      <c r="J211" s="58"/>
      <c r="K211" s="58"/>
      <c r="L211" s="58"/>
      <c r="M211" s="58" t="s">
        <v>106</v>
      </c>
      <c r="N211" s="58" t="s">
        <v>107</v>
      </c>
      <c r="O211" s="58" t="s">
        <v>3172</v>
      </c>
      <c r="P211" s="58" t="s">
        <v>3173</v>
      </c>
      <c r="Q211" s="58"/>
      <c r="R211" s="69" t="s">
        <v>3174</v>
      </c>
      <c r="S211" s="69" t="s">
        <v>3175</v>
      </c>
      <c r="T211" s="58"/>
      <c r="U211" s="58" t="s">
        <v>2913</v>
      </c>
      <c r="V211" s="58"/>
      <c r="W211" s="58" t="str">
        <f t="shared" si="3"/>
        <v/>
      </c>
    </row>
    <row r="212" spans="1:23" ht="25.95" customHeight="1">
      <c r="A212" s="58" t="s">
        <v>76</v>
      </c>
      <c r="B212" s="58" t="s">
        <v>35</v>
      </c>
      <c r="C212" s="58" t="s">
        <v>2913</v>
      </c>
      <c r="D212" s="58" t="s">
        <v>2925</v>
      </c>
      <c r="E212" s="58" t="s">
        <v>2915</v>
      </c>
      <c r="F212" s="58"/>
      <c r="G212" s="58"/>
      <c r="H212" s="58"/>
      <c r="I212" s="58"/>
      <c r="J212" s="58"/>
      <c r="K212" s="58"/>
      <c r="L212" s="58"/>
      <c r="M212" s="58" t="s">
        <v>106</v>
      </c>
      <c r="N212" s="58" t="s">
        <v>107</v>
      </c>
      <c r="O212" s="58" t="s">
        <v>3176</v>
      </c>
      <c r="P212" s="58" t="s">
        <v>3177</v>
      </c>
      <c r="Q212" s="58"/>
      <c r="R212" s="69" t="s">
        <v>3178</v>
      </c>
      <c r="S212" s="69" t="s">
        <v>3179</v>
      </c>
      <c r="T212" s="58"/>
      <c r="U212" s="58" t="s">
        <v>2913</v>
      </c>
      <c r="V212" s="58"/>
      <c r="W212" s="58" t="str">
        <f t="shared" si="3"/>
        <v/>
      </c>
    </row>
    <row r="213" spans="1:23" ht="31.2">
      <c r="A213" s="58" t="s">
        <v>76</v>
      </c>
      <c r="B213" s="58" t="s">
        <v>35</v>
      </c>
      <c r="C213" s="58" t="s">
        <v>2913</v>
      </c>
      <c r="D213" s="58" t="s">
        <v>2930</v>
      </c>
      <c r="E213" s="58" t="s">
        <v>2936</v>
      </c>
      <c r="F213" s="58"/>
      <c r="G213" s="58"/>
      <c r="H213" s="58"/>
      <c r="I213" s="58"/>
      <c r="J213" s="58"/>
      <c r="K213" s="58"/>
      <c r="L213" s="58"/>
      <c r="M213" s="58" t="s">
        <v>106</v>
      </c>
      <c r="N213" s="58" t="s">
        <v>107</v>
      </c>
      <c r="O213" s="58" t="s">
        <v>3180</v>
      </c>
      <c r="P213" s="58" t="s">
        <v>3181</v>
      </c>
      <c r="Q213" s="58"/>
      <c r="R213" s="69" t="s">
        <v>3182</v>
      </c>
      <c r="S213" s="69" t="s">
        <v>3183</v>
      </c>
      <c r="T213" s="58"/>
      <c r="U213" s="58" t="s">
        <v>2913</v>
      </c>
      <c r="V213" s="58"/>
      <c r="W213" s="58" t="str">
        <f t="shared" si="3"/>
        <v/>
      </c>
    </row>
    <row r="214" spans="1:23" ht="25.95" customHeight="1">
      <c r="A214" s="58" t="s">
        <v>76</v>
      </c>
      <c r="B214" s="58" t="s">
        <v>35</v>
      </c>
      <c r="C214" s="58" t="s">
        <v>2913</v>
      </c>
      <c r="D214" s="58" t="s">
        <v>2935</v>
      </c>
      <c r="E214" s="58" t="s">
        <v>2915</v>
      </c>
      <c r="F214" s="58"/>
      <c r="G214" s="58"/>
      <c r="H214" s="58"/>
      <c r="I214" s="58"/>
      <c r="J214" s="58"/>
      <c r="K214" s="58"/>
      <c r="L214" s="58"/>
      <c r="M214" s="58" t="s">
        <v>106</v>
      </c>
      <c r="N214" s="58" t="s">
        <v>107</v>
      </c>
      <c r="O214" s="58" t="s">
        <v>3184</v>
      </c>
      <c r="P214" s="58" t="s">
        <v>3185</v>
      </c>
      <c r="Q214" s="58"/>
      <c r="R214" s="69" t="s">
        <v>3186</v>
      </c>
      <c r="S214" s="69" t="s">
        <v>3187</v>
      </c>
      <c r="T214" s="58"/>
      <c r="U214" s="58" t="s">
        <v>2913</v>
      </c>
      <c r="V214" s="58"/>
      <c r="W214" s="58" t="str">
        <f t="shared" si="3"/>
        <v/>
      </c>
    </row>
    <row r="215" spans="1:23" ht="31.2">
      <c r="A215" s="58" t="s">
        <v>76</v>
      </c>
      <c r="B215" s="58" t="s">
        <v>35</v>
      </c>
      <c r="C215" s="58" t="s">
        <v>2913</v>
      </c>
      <c r="D215" s="58" t="s">
        <v>2941</v>
      </c>
      <c r="E215" s="58" t="s">
        <v>2936</v>
      </c>
      <c r="F215" s="58"/>
      <c r="G215" s="58"/>
      <c r="H215" s="58"/>
      <c r="I215" s="58"/>
      <c r="J215" s="58"/>
      <c r="K215" s="58"/>
      <c r="L215" s="58"/>
      <c r="M215" s="58" t="s">
        <v>106</v>
      </c>
      <c r="N215" s="58" t="s">
        <v>107</v>
      </c>
      <c r="O215" s="58" t="s">
        <v>3188</v>
      </c>
      <c r="P215" s="58" t="s">
        <v>3189</v>
      </c>
      <c r="Q215" s="58"/>
      <c r="R215" s="69" t="s">
        <v>3190</v>
      </c>
      <c r="S215" s="69" t="s">
        <v>3191</v>
      </c>
      <c r="T215" s="58"/>
      <c r="U215" s="58" t="s">
        <v>2913</v>
      </c>
      <c r="V215" s="58"/>
      <c r="W215" s="58" t="str">
        <f t="shared" si="3"/>
        <v/>
      </c>
    </row>
    <row r="216" spans="1:23" ht="25.95" customHeight="1">
      <c r="A216" s="58" t="s">
        <v>76</v>
      </c>
      <c r="B216" s="58" t="s">
        <v>35</v>
      </c>
      <c r="C216" s="58" t="s">
        <v>2580</v>
      </c>
      <c r="D216" s="58" t="s">
        <v>3192</v>
      </c>
      <c r="E216" s="58" t="s">
        <v>2582</v>
      </c>
      <c r="F216" s="58"/>
      <c r="G216" s="58"/>
      <c r="H216" s="58"/>
      <c r="I216" s="58"/>
      <c r="J216" s="58" t="s">
        <v>273</v>
      </c>
      <c r="K216" s="58" t="s">
        <v>273</v>
      </c>
      <c r="L216" s="58" t="s">
        <v>273</v>
      </c>
      <c r="M216" s="58" t="s">
        <v>106</v>
      </c>
      <c r="N216" s="58" t="s">
        <v>107</v>
      </c>
      <c r="O216" s="58" t="s">
        <v>3193</v>
      </c>
      <c r="P216" s="58" t="s">
        <v>3194</v>
      </c>
      <c r="Q216" s="58" t="s">
        <v>44</v>
      </c>
      <c r="R216" s="58"/>
      <c r="S216" s="58"/>
      <c r="T216" s="58"/>
      <c r="U216" s="58" t="s">
        <v>2585</v>
      </c>
      <c r="V216" s="58"/>
      <c r="W216" s="58" t="str">
        <f t="shared" si="3"/>
        <v/>
      </c>
    </row>
    <row r="217" spans="1:23" ht="31.2">
      <c r="A217" s="58" t="s">
        <v>76</v>
      </c>
      <c r="B217" s="58" t="s">
        <v>35</v>
      </c>
      <c r="C217" s="58" t="s">
        <v>3195</v>
      </c>
      <c r="D217" s="58" t="s">
        <v>3196</v>
      </c>
      <c r="E217" s="58" t="s">
        <v>2540</v>
      </c>
      <c r="F217" s="58">
        <v>41.75333333333333</v>
      </c>
      <c r="G217" s="58">
        <v>41.957500000000003</v>
      </c>
      <c r="H217" s="58">
        <v>41.853194444444441</v>
      </c>
      <c r="I217" s="58" t="s">
        <v>2639</v>
      </c>
      <c r="J217" s="58"/>
      <c r="K217" s="58"/>
      <c r="L217" s="58"/>
      <c r="M217" s="58" t="s">
        <v>106</v>
      </c>
      <c r="N217" s="58" t="s">
        <v>107</v>
      </c>
      <c r="O217" s="58" t="s">
        <v>3197</v>
      </c>
      <c r="P217" s="58" t="s">
        <v>3198</v>
      </c>
      <c r="Q217" s="58" t="s">
        <v>3109</v>
      </c>
      <c r="R217" s="58"/>
      <c r="S217" s="58"/>
      <c r="T217" s="58" t="s">
        <v>3199</v>
      </c>
      <c r="U217" s="58" t="s">
        <v>3200</v>
      </c>
      <c r="V217" s="58"/>
      <c r="W217" s="58">
        <f t="shared" si="3"/>
        <v>0.20416666666667282</v>
      </c>
    </row>
    <row r="218" spans="1:23" ht="31.2">
      <c r="A218" s="58" t="s">
        <v>76</v>
      </c>
      <c r="B218" s="58" t="s">
        <v>35</v>
      </c>
      <c r="C218" s="58" t="s">
        <v>3195</v>
      </c>
      <c r="D218" s="58" t="s">
        <v>3201</v>
      </c>
      <c r="E218" s="58" t="s">
        <v>2540</v>
      </c>
      <c r="F218" s="58">
        <v>1.593055555555555</v>
      </c>
      <c r="G218" s="58">
        <v>1.4894444444444439</v>
      </c>
      <c r="H218" s="58">
        <v>1.6408333333333329</v>
      </c>
      <c r="I218" s="58" t="s">
        <v>2639</v>
      </c>
      <c r="J218" s="58"/>
      <c r="K218" s="58"/>
      <c r="L218" s="58"/>
      <c r="M218" s="58" t="s">
        <v>106</v>
      </c>
      <c r="N218" s="58" t="s">
        <v>107</v>
      </c>
      <c r="O218" s="58" t="s">
        <v>3202</v>
      </c>
      <c r="P218" s="58" t="s">
        <v>3203</v>
      </c>
      <c r="Q218" s="58" t="s">
        <v>3109</v>
      </c>
      <c r="R218" s="58"/>
      <c r="S218" s="58"/>
      <c r="T218" s="58" t="s">
        <v>3199</v>
      </c>
      <c r="U218" s="58" t="s">
        <v>3200</v>
      </c>
      <c r="V218" s="58"/>
      <c r="W218" s="58">
        <f t="shared" si="3"/>
        <v>-0.1036111111111111</v>
      </c>
    </row>
    <row r="219" spans="1:23" ht="31.2">
      <c r="A219" s="58" t="s">
        <v>76</v>
      </c>
      <c r="B219" s="58" t="s">
        <v>35</v>
      </c>
      <c r="C219" s="58" t="s">
        <v>3195</v>
      </c>
      <c r="D219" s="58" t="s">
        <v>3204</v>
      </c>
      <c r="E219" s="58" t="s">
        <v>2540</v>
      </c>
      <c r="F219" s="58">
        <v>1.45</v>
      </c>
      <c r="G219" s="58">
        <v>1.190555555555556</v>
      </c>
      <c r="H219" s="58">
        <v>1.6108333333333329</v>
      </c>
      <c r="I219" s="58" t="s">
        <v>2639</v>
      </c>
      <c r="J219" s="58"/>
      <c r="K219" s="58"/>
      <c r="L219" s="58"/>
      <c r="M219" s="58" t="s">
        <v>106</v>
      </c>
      <c r="N219" s="58" t="s">
        <v>107</v>
      </c>
      <c r="O219" s="58" t="s">
        <v>3205</v>
      </c>
      <c r="P219" s="58" t="s">
        <v>3206</v>
      </c>
      <c r="Q219" s="58" t="s">
        <v>3109</v>
      </c>
      <c r="R219" s="58"/>
      <c r="S219" s="58"/>
      <c r="T219" s="58" t="s">
        <v>3199</v>
      </c>
      <c r="U219" s="58" t="s">
        <v>3200</v>
      </c>
      <c r="V219" s="58"/>
      <c r="W219" s="58">
        <f t="shared" si="3"/>
        <v>-0.25944444444444392</v>
      </c>
    </row>
    <row r="220" spans="1:23" ht="31.2">
      <c r="A220" s="58" t="s">
        <v>76</v>
      </c>
      <c r="B220" s="58" t="s">
        <v>35</v>
      </c>
      <c r="C220" s="58" t="s">
        <v>3195</v>
      </c>
      <c r="D220" s="58" t="s">
        <v>3207</v>
      </c>
      <c r="E220" s="58" t="s">
        <v>2540</v>
      </c>
      <c r="F220" s="58">
        <v>170.01972222222221</v>
      </c>
      <c r="G220" s="58">
        <v>196.34625</v>
      </c>
      <c r="H220" s="58">
        <v>170.53</v>
      </c>
      <c r="I220" s="58" t="s">
        <v>2639</v>
      </c>
      <c r="J220" s="58"/>
      <c r="K220" s="58"/>
      <c r="L220" s="58"/>
      <c r="M220" s="58" t="s">
        <v>106</v>
      </c>
      <c r="N220" s="58" t="s">
        <v>107</v>
      </c>
      <c r="O220" s="58" t="s">
        <v>3208</v>
      </c>
      <c r="P220" s="58" t="s">
        <v>3209</v>
      </c>
      <c r="Q220" s="58" t="s">
        <v>3109</v>
      </c>
      <c r="R220" s="58"/>
      <c r="S220" s="58"/>
      <c r="T220" s="58" t="s">
        <v>3199</v>
      </c>
      <c r="U220" s="58" t="s">
        <v>3200</v>
      </c>
      <c r="V220" s="58"/>
      <c r="W220" s="58">
        <f t="shared" si="3"/>
        <v>26.326527777777784</v>
      </c>
    </row>
    <row r="221" spans="1:23" ht="31.2">
      <c r="A221" s="58" t="s">
        <v>76</v>
      </c>
      <c r="B221" s="58" t="s">
        <v>35</v>
      </c>
      <c r="C221" s="58" t="s">
        <v>3195</v>
      </c>
      <c r="D221" s="58" t="s">
        <v>3210</v>
      </c>
      <c r="E221" s="58" t="s">
        <v>2540</v>
      </c>
      <c r="F221" s="58">
        <v>192.07527777777781</v>
      </c>
      <c r="G221" s="58">
        <v>212.80861111111111</v>
      </c>
      <c r="H221" s="58">
        <v>190.57166666666669</v>
      </c>
      <c r="I221" s="58" t="s">
        <v>2639</v>
      </c>
      <c r="J221" s="58"/>
      <c r="K221" s="58"/>
      <c r="L221" s="58"/>
      <c r="M221" s="58" t="s">
        <v>106</v>
      </c>
      <c r="N221" s="58" t="s">
        <v>107</v>
      </c>
      <c r="O221" s="58" t="s">
        <v>3211</v>
      </c>
      <c r="P221" s="58" t="s">
        <v>3212</v>
      </c>
      <c r="Q221" s="58" t="s">
        <v>3109</v>
      </c>
      <c r="R221" s="58"/>
      <c r="S221" s="58"/>
      <c r="T221" s="58" t="s">
        <v>3199</v>
      </c>
      <c r="U221" s="58" t="s">
        <v>3200</v>
      </c>
      <c r="V221" s="58"/>
      <c r="W221" s="58">
        <f t="shared" si="3"/>
        <v>20.733333333333292</v>
      </c>
    </row>
    <row r="222" spans="1:23" ht="31.2">
      <c r="A222" s="58" t="s">
        <v>76</v>
      </c>
      <c r="B222" s="58" t="s">
        <v>35</v>
      </c>
      <c r="C222" s="58" t="s">
        <v>3195</v>
      </c>
      <c r="D222" s="58" t="s">
        <v>3213</v>
      </c>
      <c r="E222" s="58" t="s">
        <v>2540</v>
      </c>
      <c r="F222" s="58">
        <v>25.594999999999999</v>
      </c>
      <c r="G222" s="58">
        <v>28.709166666666668</v>
      </c>
      <c r="H222" s="58">
        <v>24.922916666666669</v>
      </c>
      <c r="I222" s="58" t="s">
        <v>2639</v>
      </c>
      <c r="J222" s="58"/>
      <c r="K222" s="58"/>
      <c r="L222" s="58"/>
      <c r="M222" s="58" t="s">
        <v>106</v>
      </c>
      <c r="N222" s="58" t="s">
        <v>107</v>
      </c>
      <c r="O222" s="58" t="s">
        <v>3214</v>
      </c>
      <c r="P222" s="58" t="s">
        <v>3215</v>
      </c>
      <c r="Q222" s="58" t="s">
        <v>3109</v>
      </c>
      <c r="R222" s="58"/>
      <c r="S222" s="58"/>
      <c r="T222" s="58" t="s">
        <v>3199</v>
      </c>
      <c r="U222" s="58" t="s">
        <v>3200</v>
      </c>
      <c r="V222" s="58"/>
      <c r="W222" s="58">
        <f t="shared" si="3"/>
        <v>3.1141666666666694</v>
      </c>
    </row>
    <row r="223" spans="1:23" ht="31.2">
      <c r="A223" s="58" t="s">
        <v>76</v>
      </c>
      <c r="B223" s="58" t="s">
        <v>35</v>
      </c>
      <c r="C223" s="58" t="s">
        <v>3195</v>
      </c>
      <c r="D223" s="58" t="s">
        <v>3216</v>
      </c>
      <c r="E223" s="58" t="s">
        <v>2540</v>
      </c>
      <c r="F223" s="58">
        <v>250.3388888888889</v>
      </c>
      <c r="G223" s="58">
        <v>296.01013888888889</v>
      </c>
      <c r="H223" s="58">
        <v>262.9686111111111</v>
      </c>
      <c r="I223" s="58" t="s">
        <v>2639</v>
      </c>
      <c r="J223" s="58"/>
      <c r="K223" s="58"/>
      <c r="L223" s="58"/>
      <c r="M223" s="58" t="s">
        <v>106</v>
      </c>
      <c r="N223" s="58" t="s">
        <v>107</v>
      </c>
      <c r="O223" s="58" t="s">
        <v>3217</v>
      </c>
      <c r="P223" s="58" t="s">
        <v>3218</v>
      </c>
      <c r="Q223" s="58" t="s">
        <v>3109</v>
      </c>
      <c r="R223" s="58"/>
      <c r="S223" s="58"/>
      <c r="T223" s="58" t="s">
        <v>3199</v>
      </c>
      <c r="U223" s="58" t="s">
        <v>3200</v>
      </c>
      <c r="V223" s="58"/>
      <c r="W223" s="58">
        <f t="shared" si="3"/>
        <v>45.671249999999986</v>
      </c>
    </row>
    <row r="224" spans="1:23" ht="25.95" customHeight="1">
      <c r="A224" s="58" t="s">
        <v>76</v>
      </c>
      <c r="B224" s="58" t="s">
        <v>35</v>
      </c>
      <c r="C224" s="58" t="s">
        <v>2510</v>
      </c>
      <c r="D224" s="58" t="s">
        <v>3219</v>
      </c>
      <c r="E224" s="58" t="s">
        <v>2512</v>
      </c>
      <c r="F224" s="58">
        <v>28690</v>
      </c>
      <c r="G224" s="58">
        <v>28690</v>
      </c>
      <c r="H224" s="58"/>
      <c r="I224" s="58" t="s">
        <v>2513</v>
      </c>
      <c r="J224" s="58"/>
      <c r="K224" s="58"/>
      <c r="L224" s="58"/>
      <c r="M224" s="58" t="s">
        <v>106</v>
      </c>
      <c r="N224" s="58" t="s">
        <v>107</v>
      </c>
      <c r="O224" s="58" t="s">
        <v>3220</v>
      </c>
      <c r="P224" s="58" t="s">
        <v>3221</v>
      </c>
      <c r="Q224" s="58"/>
      <c r="R224" s="58"/>
      <c r="S224" s="58"/>
      <c r="T224" s="58" t="s">
        <v>3222</v>
      </c>
      <c r="U224" s="58" t="s">
        <v>2517</v>
      </c>
      <c r="V224" s="58"/>
      <c r="W224" s="58">
        <f t="shared" si="3"/>
        <v>0</v>
      </c>
    </row>
    <row r="225" spans="1:23" ht="25.95" customHeight="1">
      <c r="A225" s="58" t="s">
        <v>76</v>
      </c>
      <c r="B225" s="58" t="s">
        <v>35</v>
      </c>
      <c r="C225" s="58" t="s">
        <v>2607</v>
      </c>
      <c r="D225" s="58" t="s">
        <v>3223</v>
      </c>
      <c r="E225" s="58" t="s">
        <v>2609</v>
      </c>
      <c r="F225" s="58"/>
      <c r="G225" s="58"/>
      <c r="H225" s="58"/>
      <c r="I225" s="58"/>
      <c r="J225" s="58"/>
      <c r="K225" s="58"/>
      <c r="L225" s="58" t="s">
        <v>274</v>
      </c>
      <c r="M225" s="58" t="s">
        <v>106</v>
      </c>
      <c r="N225" s="58" t="s">
        <v>107</v>
      </c>
      <c r="O225" s="58" t="s">
        <v>3224</v>
      </c>
      <c r="P225" s="58" t="s">
        <v>3225</v>
      </c>
      <c r="Q225" s="58" t="s">
        <v>44</v>
      </c>
      <c r="R225" s="58"/>
      <c r="S225" s="58"/>
      <c r="T225" s="58"/>
      <c r="U225" s="58" t="s">
        <v>2517</v>
      </c>
      <c r="V225" s="58" t="s">
        <v>2829</v>
      </c>
      <c r="W225" s="58" t="str">
        <f t="shared" si="3"/>
        <v/>
      </c>
    </row>
    <row r="226" spans="1:23" ht="25.95" customHeight="1">
      <c r="A226" s="58" t="s">
        <v>76</v>
      </c>
      <c r="B226" s="58" t="s">
        <v>35</v>
      </c>
      <c r="C226" s="58" t="s">
        <v>2902</v>
      </c>
      <c r="D226" s="58" t="s">
        <v>2903</v>
      </c>
      <c r="E226" s="58" t="s">
        <v>2904</v>
      </c>
      <c r="F226" s="58"/>
      <c r="G226" s="58"/>
      <c r="H226" s="58"/>
      <c r="I226" s="58"/>
      <c r="J226" s="58"/>
      <c r="K226" s="58"/>
      <c r="L226" s="58"/>
      <c r="M226" s="58" t="s">
        <v>106</v>
      </c>
      <c r="N226" s="58" t="s">
        <v>107</v>
      </c>
      <c r="O226" s="58" t="s">
        <v>3226</v>
      </c>
      <c r="P226" s="58" t="s">
        <v>3227</v>
      </c>
      <c r="Q226" s="58"/>
      <c r="R226" s="58"/>
      <c r="S226" s="58"/>
      <c r="T226" s="58"/>
      <c r="U226" s="58" t="s">
        <v>2517</v>
      </c>
      <c r="V226" s="58"/>
      <c r="W226" s="58" t="str">
        <f t="shared" si="3"/>
        <v/>
      </c>
    </row>
    <row r="227" spans="1:23" ht="31.2">
      <c r="A227" s="58" t="s">
        <v>70</v>
      </c>
      <c r="B227" s="58" t="s">
        <v>35</v>
      </c>
      <c r="C227" s="58" t="s">
        <v>2607</v>
      </c>
      <c r="D227" s="58" t="s">
        <v>3228</v>
      </c>
      <c r="E227" s="58" t="s">
        <v>2609</v>
      </c>
      <c r="F227" s="58"/>
      <c r="G227" s="58"/>
      <c r="H227" s="58"/>
      <c r="I227" s="58"/>
      <c r="J227" s="58"/>
      <c r="K227" s="58"/>
      <c r="L227" s="58" t="s">
        <v>274</v>
      </c>
      <c r="M227" s="58" t="s">
        <v>109</v>
      </c>
      <c r="N227" s="58" t="s">
        <v>110</v>
      </c>
      <c r="O227" s="58" t="s">
        <v>3229</v>
      </c>
      <c r="P227" s="58" t="s">
        <v>3230</v>
      </c>
      <c r="Q227" s="58" t="s">
        <v>44</v>
      </c>
      <c r="R227" s="58"/>
      <c r="S227" s="58"/>
      <c r="T227" s="58"/>
      <c r="U227" s="58" t="s">
        <v>2517</v>
      </c>
      <c r="V227" s="58" t="s">
        <v>2747</v>
      </c>
      <c r="W227" s="58" t="str">
        <f t="shared" si="3"/>
        <v/>
      </c>
    </row>
    <row r="228" spans="1:23" ht="31.2">
      <c r="A228" s="58" t="s">
        <v>70</v>
      </c>
      <c r="B228" s="58" t="s">
        <v>35</v>
      </c>
      <c r="C228" s="58" t="s">
        <v>2607</v>
      </c>
      <c r="D228" s="58" t="s">
        <v>3231</v>
      </c>
      <c r="E228" s="58" t="s">
        <v>2609</v>
      </c>
      <c r="F228" s="58"/>
      <c r="G228" s="58"/>
      <c r="H228" s="58"/>
      <c r="I228" s="58"/>
      <c r="J228" s="58"/>
      <c r="K228" s="58"/>
      <c r="L228" s="58" t="s">
        <v>274</v>
      </c>
      <c r="M228" s="58" t="s">
        <v>109</v>
      </c>
      <c r="N228" s="58" t="s">
        <v>110</v>
      </c>
      <c r="O228" s="58" t="s">
        <v>3232</v>
      </c>
      <c r="P228" s="58" t="s">
        <v>3233</v>
      </c>
      <c r="Q228" s="58" t="s">
        <v>44</v>
      </c>
      <c r="R228" s="58"/>
      <c r="S228" s="58"/>
      <c r="T228" s="58"/>
      <c r="U228" s="58" t="s">
        <v>2517</v>
      </c>
      <c r="V228" s="58" t="s">
        <v>2792</v>
      </c>
      <c r="W228" s="58" t="str">
        <f t="shared" si="3"/>
        <v/>
      </c>
    </row>
    <row r="229" spans="1:23" ht="31.2">
      <c r="A229" s="58" t="s">
        <v>70</v>
      </c>
      <c r="B229" s="58" t="s">
        <v>35</v>
      </c>
      <c r="C229" s="58" t="s">
        <v>2607</v>
      </c>
      <c r="D229" s="58" t="s">
        <v>3234</v>
      </c>
      <c r="E229" s="58" t="s">
        <v>2609</v>
      </c>
      <c r="F229" s="58"/>
      <c r="G229" s="58"/>
      <c r="H229" s="58"/>
      <c r="I229" s="58"/>
      <c r="J229" s="58"/>
      <c r="K229" s="58"/>
      <c r="L229" s="58" t="s">
        <v>274</v>
      </c>
      <c r="M229" s="58" t="s">
        <v>109</v>
      </c>
      <c r="N229" s="58" t="s">
        <v>110</v>
      </c>
      <c r="O229" s="58" t="s">
        <v>3235</v>
      </c>
      <c r="P229" s="58" t="s">
        <v>3236</v>
      </c>
      <c r="Q229" s="58" t="s">
        <v>44</v>
      </c>
      <c r="R229" s="58"/>
      <c r="S229" s="58"/>
      <c r="T229" s="58"/>
      <c r="U229" s="58" t="s">
        <v>2517</v>
      </c>
      <c r="V229" s="58" t="s">
        <v>2829</v>
      </c>
      <c r="W229" s="58" t="str">
        <f t="shared" si="3"/>
        <v/>
      </c>
    </row>
    <row r="230" spans="1:23" ht="31.2">
      <c r="A230" s="58" t="s">
        <v>70</v>
      </c>
      <c r="B230" s="58" t="s">
        <v>35</v>
      </c>
      <c r="C230" s="58" t="s">
        <v>2902</v>
      </c>
      <c r="D230" s="58" t="s">
        <v>2907</v>
      </c>
      <c r="E230" s="58" t="s">
        <v>3237</v>
      </c>
      <c r="F230" s="58"/>
      <c r="G230" s="58"/>
      <c r="H230" s="58"/>
      <c r="I230" s="58"/>
      <c r="J230" s="58"/>
      <c r="K230" s="58"/>
      <c r="L230" s="58"/>
      <c r="M230" s="58" t="s">
        <v>109</v>
      </c>
      <c r="N230" s="58" t="s">
        <v>110</v>
      </c>
      <c r="O230" s="58" t="s">
        <v>3238</v>
      </c>
      <c r="P230" s="58" t="s">
        <v>3239</v>
      </c>
      <c r="Q230" s="58"/>
      <c r="R230" s="58"/>
      <c r="S230" s="58"/>
      <c r="T230" s="58"/>
      <c r="U230" s="58" t="s">
        <v>2517</v>
      </c>
      <c r="V230" s="58"/>
      <c r="W230" s="58" t="str">
        <f t="shared" si="3"/>
        <v/>
      </c>
    </row>
    <row r="231" spans="1:23" ht="31.2">
      <c r="A231" s="58" t="s">
        <v>70</v>
      </c>
      <c r="B231" s="58" t="s">
        <v>35</v>
      </c>
      <c r="C231" s="58" t="s">
        <v>2607</v>
      </c>
      <c r="D231" s="58" t="s">
        <v>3240</v>
      </c>
      <c r="E231" s="58" t="s">
        <v>2609</v>
      </c>
      <c r="F231" s="58"/>
      <c r="G231" s="58"/>
      <c r="H231" s="58"/>
      <c r="I231" s="58"/>
      <c r="J231" s="58"/>
      <c r="K231" s="58"/>
      <c r="L231" s="58" t="s">
        <v>274</v>
      </c>
      <c r="M231" s="58" t="s">
        <v>109</v>
      </c>
      <c r="N231" s="58" t="s">
        <v>110</v>
      </c>
      <c r="O231" s="58" t="s">
        <v>3241</v>
      </c>
      <c r="P231" s="58" t="s">
        <v>3242</v>
      </c>
      <c r="Q231" s="58" t="s">
        <v>44</v>
      </c>
      <c r="R231" s="58"/>
      <c r="S231" s="58"/>
      <c r="T231" s="58"/>
      <c r="U231" s="58" t="s">
        <v>2517</v>
      </c>
      <c r="V231" s="58" t="s">
        <v>3243</v>
      </c>
      <c r="W231" s="58" t="str">
        <f t="shared" si="3"/>
        <v/>
      </c>
    </row>
    <row r="232" spans="1:23" ht="31.2">
      <c r="A232" s="58" t="s">
        <v>70</v>
      </c>
      <c r="B232" s="58" t="s">
        <v>35</v>
      </c>
      <c r="C232" s="58" t="s">
        <v>2902</v>
      </c>
      <c r="D232" s="58" t="s">
        <v>2955</v>
      </c>
      <c r="E232" s="58" t="s">
        <v>3244</v>
      </c>
      <c r="F232" s="58"/>
      <c r="G232" s="58"/>
      <c r="H232" s="58"/>
      <c r="I232" s="58"/>
      <c r="J232" s="58"/>
      <c r="K232" s="58"/>
      <c r="L232" s="58"/>
      <c r="M232" s="58" t="s">
        <v>109</v>
      </c>
      <c r="N232" s="58" t="s">
        <v>110</v>
      </c>
      <c r="O232" s="58" t="s">
        <v>3245</v>
      </c>
      <c r="P232" s="58" t="s">
        <v>3246</v>
      </c>
      <c r="Q232" s="58"/>
      <c r="R232" s="58"/>
      <c r="S232" s="58"/>
      <c r="T232" s="58"/>
      <c r="U232" s="58" t="s">
        <v>2517</v>
      </c>
      <c r="V232" s="58"/>
      <c r="W232" s="58" t="str">
        <f t="shared" si="3"/>
        <v/>
      </c>
    </row>
    <row r="233" spans="1:23" ht="31.2">
      <c r="A233" s="58" t="s">
        <v>70</v>
      </c>
      <c r="B233" s="58" t="s">
        <v>35</v>
      </c>
      <c r="C233" s="58" t="s">
        <v>2913</v>
      </c>
      <c r="D233" s="58" t="s">
        <v>2914</v>
      </c>
      <c r="E233" s="58" t="s">
        <v>2915</v>
      </c>
      <c r="F233" s="58"/>
      <c r="G233" s="58"/>
      <c r="H233" s="58"/>
      <c r="I233" s="58"/>
      <c r="J233" s="58"/>
      <c r="K233" s="58"/>
      <c r="L233" s="58"/>
      <c r="M233" s="58" t="s">
        <v>109</v>
      </c>
      <c r="N233" s="58" t="s">
        <v>110</v>
      </c>
      <c r="O233" s="58" t="s">
        <v>3247</v>
      </c>
      <c r="P233" s="58" t="s">
        <v>3248</v>
      </c>
      <c r="Q233" s="58"/>
      <c r="R233" s="69" t="s">
        <v>3249</v>
      </c>
      <c r="S233" s="69" t="s">
        <v>3250</v>
      </c>
      <c r="T233" s="58"/>
      <c r="U233" s="58" t="s">
        <v>2913</v>
      </c>
      <c r="V233" s="58"/>
      <c r="W233" s="58" t="str">
        <f t="shared" si="3"/>
        <v/>
      </c>
    </row>
    <row r="234" spans="1:23" ht="31.2">
      <c r="A234" s="58" t="s">
        <v>70</v>
      </c>
      <c r="B234" s="58" t="s">
        <v>35</v>
      </c>
      <c r="C234" s="58" t="s">
        <v>2913</v>
      </c>
      <c r="D234" s="58" t="s">
        <v>2920</v>
      </c>
      <c r="E234" s="58" t="s">
        <v>2915</v>
      </c>
      <c r="F234" s="58"/>
      <c r="G234" s="58"/>
      <c r="H234" s="58"/>
      <c r="I234" s="58"/>
      <c r="J234" s="58"/>
      <c r="K234" s="58"/>
      <c r="L234" s="58"/>
      <c r="M234" s="58" t="s">
        <v>109</v>
      </c>
      <c r="N234" s="58" t="s">
        <v>110</v>
      </c>
      <c r="O234" s="58" t="s">
        <v>3251</v>
      </c>
      <c r="P234" s="58" t="s">
        <v>3252</v>
      </c>
      <c r="Q234" s="58"/>
      <c r="R234" s="69" t="s">
        <v>3253</v>
      </c>
      <c r="S234" s="69" t="s">
        <v>3254</v>
      </c>
      <c r="T234" s="58"/>
      <c r="U234" s="58" t="s">
        <v>2913</v>
      </c>
      <c r="V234" s="58"/>
      <c r="W234" s="58" t="str">
        <f t="shared" si="3"/>
        <v/>
      </c>
    </row>
    <row r="235" spans="1:23" ht="31.2">
      <c r="A235" s="58" t="s">
        <v>70</v>
      </c>
      <c r="B235" s="58" t="s">
        <v>35</v>
      </c>
      <c r="C235" s="58" t="s">
        <v>2913</v>
      </c>
      <c r="D235" s="58" t="s">
        <v>2925</v>
      </c>
      <c r="E235" s="58" t="s">
        <v>2915</v>
      </c>
      <c r="F235" s="58"/>
      <c r="G235" s="58"/>
      <c r="H235" s="58"/>
      <c r="I235" s="58"/>
      <c r="J235" s="58"/>
      <c r="K235" s="58"/>
      <c r="L235" s="58"/>
      <c r="M235" s="58" t="s">
        <v>109</v>
      </c>
      <c r="N235" s="58" t="s">
        <v>110</v>
      </c>
      <c r="O235" s="58" t="s">
        <v>3255</v>
      </c>
      <c r="P235" s="58" t="s">
        <v>3256</v>
      </c>
      <c r="Q235" s="58"/>
      <c r="R235" s="69" t="s">
        <v>3257</v>
      </c>
      <c r="S235" s="69" t="s">
        <v>3258</v>
      </c>
      <c r="T235" s="58"/>
      <c r="U235" s="58" t="s">
        <v>2913</v>
      </c>
      <c r="V235" s="58"/>
      <c r="W235" s="58" t="str">
        <f t="shared" si="3"/>
        <v/>
      </c>
    </row>
    <row r="236" spans="1:23" ht="31.2">
      <c r="A236" s="58" t="s">
        <v>70</v>
      </c>
      <c r="B236" s="58" t="s">
        <v>35</v>
      </c>
      <c r="C236" s="58" t="s">
        <v>2913</v>
      </c>
      <c r="D236" s="58" t="s">
        <v>2930</v>
      </c>
      <c r="E236" s="58" t="s">
        <v>3130</v>
      </c>
      <c r="F236" s="58"/>
      <c r="G236" s="58"/>
      <c r="H236" s="58"/>
      <c r="I236" s="58"/>
      <c r="J236" s="58"/>
      <c r="K236" s="58"/>
      <c r="L236" s="58"/>
      <c r="M236" s="58" t="s">
        <v>109</v>
      </c>
      <c r="N236" s="58" t="s">
        <v>110</v>
      </c>
      <c r="O236" s="58" t="s">
        <v>3259</v>
      </c>
      <c r="P236" s="58" t="s">
        <v>3260</v>
      </c>
      <c r="Q236" s="58"/>
      <c r="R236" s="69" t="s">
        <v>3257</v>
      </c>
      <c r="S236" s="69" t="s">
        <v>3261</v>
      </c>
      <c r="T236" s="58"/>
      <c r="U236" s="58" t="s">
        <v>2913</v>
      </c>
      <c r="V236" s="58"/>
      <c r="W236" s="58" t="str">
        <f t="shared" si="3"/>
        <v/>
      </c>
    </row>
    <row r="237" spans="1:23" ht="31.2">
      <c r="A237" s="58" t="s">
        <v>70</v>
      </c>
      <c r="B237" s="58" t="s">
        <v>35</v>
      </c>
      <c r="C237" s="58" t="s">
        <v>2913</v>
      </c>
      <c r="D237" s="58" t="s">
        <v>2935</v>
      </c>
      <c r="E237" s="58" t="s">
        <v>3130</v>
      </c>
      <c r="F237" s="58"/>
      <c r="G237" s="58"/>
      <c r="H237" s="58"/>
      <c r="I237" s="58"/>
      <c r="J237" s="58"/>
      <c r="K237" s="58"/>
      <c r="L237" s="58"/>
      <c r="M237" s="58" t="s">
        <v>109</v>
      </c>
      <c r="N237" s="58" t="s">
        <v>110</v>
      </c>
      <c r="O237" s="58" t="s">
        <v>3262</v>
      </c>
      <c r="P237" s="58" t="s">
        <v>3263</v>
      </c>
      <c r="Q237" s="58"/>
      <c r="R237" s="69" t="s">
        <v>3264</v>
      </c>
      <c r="S237" s="69" t="s">
        <v>3265</v>
      </c>
      <c r="T237" s="58"/>
      <c r="U237" s="58" t="s">
        <v>2913</v>
      </c>
      <c r="V237" s="58"/>
      <c r="W237" s="58" t="str">
        <f t="shared" si="3"/>
        <v/>
      </c>
    </row>
    <row r="238" spans="1:23" ht="31.2">
      <c r="A238" s="58" t="s">
        <v>70</v>
      </c>
      <c r="B238" s="58" t="s">
        <v>35</v>
      </c>
      <c r="C238" s="58" t="s">
        <v>2913</v>
      </c>
      <c r="D238" s="58" t="s">
        <v>2941</v>
      </c>
      <c r="E238" s="58" t="s">
        <v>2936</v>
      </c>
      <c r="F238" s="58"/>
      <c r="G238" s="58"/>
      <c r="H238" s="58"/>
      <c r="I238" s="58"/>
      <c r="J238" s="58"/>
      <c r="K238" s="58"/>
      <c r="L238" s="58"/>
      <c r="M238" s="58" t="s">
        <v>109</v>
      </c>
      <c r="N238" s="58" t="s">
        <v>110</v>
      </c>
      <c r="O238" s="58" t="s">
        <v>3266</v>
      </c>
      <c r="P238" s="58" t="s">
        <v>3267</v>
      </c>
      <c r="Q238" s="58"/>
      <c r="R238" s="69" t="s">
        <v>3268</v>
      </c>
      <c r="S238" s="69" t="s">
        <v>3269</v>
      </c>
      <c r="T238" s="58"/>
      <c r="U238" s="58" t="s">
        <v>2913</v>
      </c>
      <c r="V238" s="58"/>
      <c r="W238" s="58" t="str">
        <f t="shared" si="3"/>
        <v/>
      </c>
    </row>
    <row r="239" spans="1:23" ht="31.2">
      <c r="A239" s="58" t="s">
        <v>70</v>
      </c>
      <c r="B239" s="58" t="s">
        <v>35</v>
      </c>
      <c r="C239" s="58" t="s">
        <v>2580</v>
      </c>
      <c r="D239" s="58" t="s">
        <v>3270</v>
      </c>
      <c r="E239" s="58" t="s">
        <v>2582</v>
      </c>
      <c r="F239" s="58"/>
      <c r="G239" s="58"/>
      <c r="H239" s="58"/>
      <c r="I239" s="58"/>
      <c r="J239" s="58"/>
      <c r="K239" s="58" t="s">
        <v>273</v>
      </c>
      <c r="L239" s="58" t="s">
        <v>273</v>
      </c>
      <c r="M239" s="58" t="s">
        <v>109</v>
      </c>
      <c r="N239" s="58" t="s">
        <v>110</v>
      </c>
      <c r="O239" s="58" t="s">
        <v>3271</v>
      </c>
      <c r="P239" s="58" t="s">
        <v>3272</v>
      </c>
      <c r="Q239" s="58" t="s">
        <v>44</v>
      </c>
      <c r="R239" s="58"/>
      <c r="S239" s="58"/>
      <c r="T239" s="58"/>
      <c r="U239" s="58" t="s">
        <v>2585</v>
      </c>
      <c r="V239" s="58"/>
      <c r="W239" s="58" t="str">
        <f t="shared" si="3"/>
        <v/>
      </c>
    </row>
    <row r="240" spans="1:23" ht="31.2">
      <c r="A240" s="58" t="s">
        <v>70</v>
      </c>
      <c r="B240" s="58" t="s">
        <v>35</v>
      </c>
      <c r="C240" s="58" t="s">
        <v>2510</v>
      </c>
      <c r="D240" s="58" t="s">
        <v>3273</v>
      </c>
      <c r="E240" s="58" t="s">
        <v>2686</v>
      </c>
      <c r="F240" s="58">
        <v>8.2799999999999994</v>
      </c>
      <c r="G240" s="58">
        <v>1.37180957212483E-2</v>
      </c>
      <c r="H240" s="58"/>
      <c r="I240" s="58" t="s">
        <v>2749</v>
      </c>
      <c r="J240" s="58"/>
      <c r="K240" s="58"/>
      <c r="L240" s="58"/>
      <c r="M240" s="58" t="s">
        <v>109</v>
      </c>
      <c r="N240" s="58" t="s">
        <v>110</v>
      </c>
      <c r="O240" s="58" t="s">
        <v>3274</v>
      </c>
      <c r="P240" s="58" t="s">
        <v>3275</v>
      </c>
      <c r="Q240" s="58"/>
      <c r="R240" s="58"/>
      <c r="S240" s="58"/>
      <c r="T240" s="58" t="s">
        <v>3276</v>
      </c>
      <c r="U240" s="58" t="s">
        <v>2517</v>
      </c>
      <c r="V240" s="58"/>
      <c r="W240" s="58">
        <f t="shared" si="3"/>
        <v>-8.2662819042787508</v>
      </c>
    </row>
    <row r="241" spans="1:23" ht="31.2">
      <c r="A241" s="58" t="s">
        <v>70</v>
      </c>
      <c r="B241" s="58" t="s">
        <v>35</v>
      </c>
      <c r="C241" s="58" t="s">
        <v>2902</v>
      </c>
      <c r="D241" s="58" t="s">
        <v>2949</v>
      </c>
      <c r="E241" s="58" t="s">
        <v>3086</v>
      </c>
      <c r="F241" s="58"/>
      <c r="G241" s="58"/>
      <c r="H241" s="58"/>
      <c r="I241" s="58"/>
      <c r="J241" s="58"/>
      <c r="K241" s="58"/>
      <c r="L241" s="58"/>
      <c r="M241" s="58" t="s">
        <v>109</v>
      </c>
      <c r="N241" s="58" t="s">
        <v>110</v>
      </c>
      <c r="O241" s="58" t="s">
        <v>3277</v>
      </c>
      <c r="P241" s="58" t="s">
        <v>3278</v>
      </c>
      <c r="Q241" s="58"/>
      <c r="R241" s="58"/>
      <c r="S241" s="58"/>
      <c r="T241" s="58"/>
      <c r="U241" s="58" t="s">
        <v>2517</v>
      </c>
      <c r="V241" s="58"/>
      <c r="W241" s="58" t="str">
        <f t="shared" si="3"/>
        <v/>
      </c>
    </row>
    <row r="242" spans="1:23" ht="31.2">
      <c r="A242" s="58" t="s">
        <v>70</v>
      </c>
      <c r="B242" s="58" t="s">
        <v>35</v>
      </c>
      <c r="C242" s="58" t="s">
        <v>2902</v>
      </c>
      <c r="D242" s="58" t="s">
        <v>2903</v>
      </c>
      <c r="E242" s="58" t="s">
        <v>2904</v>
      </c>
      <c r="F242" s="58"/>
      <c r="G242" s="58"/>
      <c r="H242" s="58"/>
      <c r="I242" s="58"/>
      <c r="J242" s="58"/>
      <c r="K242" s="58"/>
      <c r="L242" s="58"/>
      <c r="M242" s="58" t="s">
        <v>109</v>
      </c>
      <c r="N242" s="58" t="s">
        <v>110</v>
      </c>
      <c r="O242" s="58" t="s">
        <v>3279</v>
      </c>
      <c r="P242" s="58" t="s">
        <v>3280</v>
      </c>
      <c r="Q242" s="58"/>
      <c r="R242" s="58"/>
      <c r="S242" s="58"/>
      <c r="T242" s="58"/>
      <c r="U242" s="58" t="s">
        <v>2517</v>
      </c>
      <c r="V242" s="58"/>
      <c r="W242" s="58" t="str">
        <f t="shared" si="3"/>
        <v/>
      </c>
    </row>
    <row r="243" spans="1:23" ht="31.2">
      <c r="A243" s="58" t="s">
        <v>70</v>
      </c>
      <c r="B243" s="58" t="s">
        <v>35</v>
      </c>
      <c r="C243" s="58" t="s">
        <v>2607</v>
      </c>
      <c r="D243" s="58" t="s">
        <v>3281</v>
      </c>
      <c r="E243" s="58" t="s">
        <v>2609</v>
      </c>
      <c r="F243" s="58"/>
      <c r="G243" s="58"/>
      <c r="H243" s="58"/>
      <c r="I243" s="58"/>
      <c r="J243" s="58"/>
      <c r="K243" s="58"/>
      <c r="L243" s="58" t="s">
        <v>274</v>
      </c>
      <c r="M243" s="58" t="s">
        <v>109</v>
      </c>
      <c r="N243" s="58" t="s">
        <v>110</v>
      </c>
      <c r="O243" s="58" t="s">
        <v>3282</v>
      </c>
      <c r="P243" s="58" t="s">
        <v>3283</v>
      </c>
      <c r="Q243" s="58" t="s">
        <v>44</v>
      </c>
      <c r="R243" s="58"/>
      <c r="S243" s="58"/>
      <c r="T243" s="58"/>
      <c r="U243" s="58" t="s">
        <v>2517</v>
      </c>
      <c r="V243" s="58" t="s">
        <v>2792</v>
      </c>
      <c r="W243" s="58" t="str">
        <f t="shared" si="3"/>
        <v/>
      </c>
    </row>
    <row r="244" spans="1:23" ht="31.2">
      <c r="A244" s="58" t="s">
        <v>70</v>
      </c>
      <c r="B244" s="58" t="s">
        <v>35</v>
      </c>
      <c r="C244" s="58" t="s">
        <v>2902</v>
      </c>
      <c r="D244" s="58" t="s">
        <v>2952</v>
      </c>
      <c r="E244" s="58" t="s">
        <v>2904</v>
      </c>
      <c r="F244" s="58"/>
      <c r="G244" s="58"/>
      <c r="H244" s="58"/>
      <c r="I244" s="58"/>
      <c r="J244" s="58"/>
      <c r="K244" s="58"/>
      <c r="L244" s="58"/>
      <c r="M244" s="58" t="s">
        <v>109</v>
      </c>
      <c r="N244" s="58" t="s">
        <v>110</v>
      </c>
      <c r="O244" s="58" t="s">
        <v>3284</v>
      </c>
      <c r="P244" s="58" t="s">
        <v>3285</v>
      </c>
      <c r="Q244" s="58"/>
      <c r="R244" s="58"/>
      <c r="S244" s="58"/>
      <c r="T244" s="58"/>
      <c r="U244" s="58" t="s">
        <v>2517</v>
      </c>
      <c r="V244" s="58"/>
      <c r="W244" s="58" t="str">
        <f t="shared" si="3"/>
        <v/>
      </c>
    </row>
    <row r="245" spans="1:23" ht="31.2">
      <c r="A245" s="58" t="s">
        <v>57</v>
      </c>
      <c r="B245" s="58" t="s">
        <v>35</v>
      </c>
      <c r="C245" s="58" t="s">
        <v>2510</v>
      </c>
      <c r="D245" s="58" t="s">
        <v>3286</v>
      </c>
      <c r="E245" s="58" t="s">
        <v>2512</v>
      </c>
      <c r="F245" s="58">
        <v>51948</v>
      </c>
      <c r="G245" s="58">
        <v>51948</v>
      </c>
      <c r="H245" s="58"/>
      <c r="I245" s="58" t="s">
        <v>2513</v>
      </c>
      <c r="J245" s="58"/>
      <c r="K245" s="58"/>
      <c r="L245" s="58"/>
      <c r="M245" s="58" t="s">
        <v>112</v>
      </c>
      <c r="N245" s="58" t="s">
        <v>113</v>
      </c>
      <c r="O245" s="58" t="s">
        <v>3287</v>
      </c>
      <c r="P245" s="58" t="s">
        <v>3288</v>
      </c>
      <c r="Q245" s="58"/>
      <c r="R245" s="58"/>
      <c r="S245" s="58"/>
      <c r="T245" s="58" t="s">
        <v>3289</v>
      </c>
      <c r="U245" s="58" t="s">
        <v>2517</v>
      </c>
      <c r="V245" s="58"/>
      <c r="W245" s="58">
        <f t="shared" si="3"/>
        <v>0</v>
      </c>
    </row>
    <row r="246" spans="1:23" ht="31.2">
      <c r="A246" s="58" t="s">
        <v>57</v>
      </c>
      <c r="B246" s="58" t="s">
        <v>35</v>
      </c>
      <c r="C246" s="58" t="s">
        <v>2607</v>
      </c>
      <c r="D246" s="58" t="s">
        <v>3290</v>
      </c>
      <c r="E246" s="58" t="s">
        <v>3106</v>
      </c>
      <c r="F246" s="58"/>
      <c r="G246" s="58"/>
      <c r="H246" s="58"/>
      <c r="I246" s="58"/>
      <c r="J246" s="58"/>
      <c r="K246" s="58"/>
      <c r="L246" s="58" t="s">
        <v>2610</v>
      </c>
      <c r="M246" s="58" t="s">
        <v>112</v>
      </c>
      <c r="N246" s="58" t="s">
        <v>113</v>
      </c>
      <c r="O246" s="58" t="s">
        <v>3291</v>
      </c>
      <c r="P246" s="58" t="s">
        <v>3292</v>
      </c>
      <c r="Q246" s="58" t="s">
        <v>3293</v>
      </c>
      <c r="R246" s="58"/>
      <c r="S246" s="58"/>
      <c r="T246" s="58"/>
      <c r="U246" s="58" t="s">
        <v>2517</v>
      </c>
      <c r="V246" s="58" t="s">
        <v>3293</v>
      </c>
      <c r="W246" s="58" t="str">
        <f t="shared" si="3"/>
        <v/>
      </c>
    </row>
    <row r="247" spans="1:23" ht="31.2">
      <c r="A247" s="58" t="s">
        <v>57</v>
      </c>
      <c r="B247" s="58" t="s">
        <v>35</v>
      </c>
      <c r="C247" s="58" t="s">
        <v>2510</v>
      </c>
      <c r="D247" s="58" t="s">
        <v>3294</v>
      </c>
      <c r="E247" s="58" t="s">
        <v>2512</v>
      </c>
      <c r="F247" s="58">
        <v>941</v>
      </c>
      <c r="G247" s="58">
        <v>941</v>
      </c>
      <c r="H247" s="58"/>
      <c r="I247" s="58" t="s">
        <v>2639</v>
      </c>
      <c r="J247" s="58"/>
      <c r="K247" s="58"/>
      <c r="L247" s="58"/>
      <c r="M247" s="58" t="s">
        <v>112</v>
      </c>
      <c r="N247" s="58" t="s">
        <v>113</v>
      </c>
      <c r="O247" s="58" t="s">
        <v>3295</v>
      </c>
      <c r="P247" s="58" t="s">
        <v>3296</v>
      </c>
      <c r="Q247" s="58"/>
      <c r="R247" s="58"/>
      <c r="S247" s="58"/>
      <c r="T247" s="58" t="s">
        <v>3297</v>
      </c>
      <c r="U247" s="58" t="s">
        <v>2517</v>
      </c>
      <c r="V247" s="58"/>
      <c r="W247" s="58">
        <f t="shared" si="3"/>
        <v>0</v>
      </c>
    </row>
    <row r="248" spans="1:23" ht="31.2">
      <c r="A248" s="58" t="s">
        <v>57</v>
      </c>
      <c r="B248" s="58" t="s">
        <v>35</v>
      </c>
      <c r="C248" s="58" t="s">
        <v>2510</v>
      </c>
      <c r="D248" s="58" t="s">
        <v>3298</v>
      </c>
      <c r="E248" s="58" t="s">
        <v>2512</v>
      </c>
      <c r="F248" s="58">
        <v>321188</v>
      </c>
      <c r="G248" s="58">
        <v>321188</v>
      </c>
      <c r="H248" s="58"/>
      <c r="I248" s="58" t="s">
        <v>2513</v>
      </c>
      <c r="J248" s="58"/>
      <c r="K248" s="58"/>
      <c r="L248" s="58"/>
      <c r="M248" s="58" t="s">
        <v>112</v>
      </c>
      <c r="N248" s="58" t="s">
        <v>113</v>
      </c>
      <c r="O248" s="58" t="s">
        <v>3299</v>
      </c>
      <c r="P248" s="58" t="s">
        <v>3300</v>
      </c>
      <c r="Q248" s="58"/>
      <c r="R248" s="58"/>
      <c r="S248" s="58"/>
      <c r="T248" s="58" t="s">
        <v>3301</v>
      </c>
      <c r="U248" s="58" t="s">
        <v>2517</v>
      </c>
      <c r="V248" s="58"/>
      <c r="W248" s="58">
        <f t="shared" si="3"/>
        <v>0</v>
      </c>
    </row>
    <row r="249" spans="1:23" ht="31.2">
      <c r="A249" s="58" t="s">
        <v>57</v>
      </c>
      <c r="B249" s="58" t="s">
        <v>35</v>
      </c>
      <c r="C249" s="58" t="s">
        <v>2902</v>
      </c>
      <c r="D249" s="58" t="s">
        <v>2952</v>
      </c>
      <c r="E249" s="58" t="s">
        <v>2904</v>
      </c>
      <c r="F249" s="58"/>
      <c r="G249" s="58"/>
      <c r="H249" s="58"/>
      <c r="I249" s="58"/>
      <c r="J249" s="58"/>
      <c r="K249" s="58"/>
      <c r="L249" s="58"/>
      <c r="M249" s="58" t="s">
        <v>112</v>
      </c>
      <c r="N249" s="58" t="s">
        <v>113</v>
      </c>
      <c r="O249" s="58" t="s">
        <v>3302</v>
      </c>
      <c r="P249" s="58" t="s">
        <v>3303</v>
      </c>
      <c r="Q249" s="58"/>
      <c r="R249" s="58"/>
      <c r="S249" s="58"/>
      <c r="T249" s="58"/>
      <c r="U249" s="58" t="s">
        <v>2517</v>
      </c>
      <c r="V249" s="58"/>
      <c r="W249" s="58" t="str">
        <f t="shared" si="3"/>
        <v/>
      </c>
    </row>
    <row r="250" spans="1:23" ht="31.2">
      <c r="A250" s="58" t="s">
        <v>57</v>
      </c>
      <c r="B250" s="58" t="s">
        <v>35</v>
      </c>
      <c r="C250" s="58" t="s">
        <v>2510</v>
      </c>
      <c r="D250" s="58" t="s">
        <v>3304</v>
      </c>
      <c r="E250" s="58" t="s">
        <v>2512</v>
      </c>
      <c r="F250" s="58">
        <v>263359</v>
      </c>
      <c r="G250" s="58">
        <v>263359</v>
      </c>
      <c r="H250" s="58"/>
      <c r="I250" s="58" t="s">
        <v>2513</v>
      </c>
      <c r="J250" s="58"/>
      <c r="K250" s="58"/>
      <c r="L250" s="58"/>
      <c r="M250" s="58" t="s">
        <v>112</v>
      </c>
      <c r="N250" s="58" t="s">
        <v>113</v>
      </c>
      <c r="O250" s="58" t="s">
        <v>3305</v>
      </c>
      <c r="P250" s="58" t="s">
        <v>3306</v>
      </c>
      <c r="Q250" s="58"/>
      <c r="R250" s="58"/>
      <c r="S250" s="58"/>
      <c r="T250" s="58" t="s">
        <v>3301</v>
      </c>
      <c r="U250" s="58" t="s">
        <v>2517</v>
      </c>
      <c r="V250" s="58"/>
      <c r="W250" s="58">
        <f t="shared" si="3"/>
        <v>0</v>
      </c>
    </row>
    <row r="251" spans="1:23" ht="31.2">
      <c r="A251" s="58" t="s">
        <v>57</v>
      </c>
      <c r="B251" s="58" t="s">
        <v>35</v>
      </c>
      <c r="C251" s="58" t="s">
        <v>2902</v>
      </c>
      <c r="D251" s="58" t="s">
        <v>2907</v>
      </c>
      <c r="E251" s="58" t="s">
        <v>2904</v>
      </c>
      <c r="F251" s="58"/>
      <c r="G251" s="58"/>
      <c r="H251" s="58"/>
      <c r="I251" s="58"/>
      <c r="J251" s="58"/>
      <c r="K251" s="58"/>
      <c r="L251" s="58"/>
      <c r="M251" s="58" t="s">
        <v>112</v>
      </c>
      <c r="N251" s="58" t="s">
        <v>113</v>
      </c>
      <c r="O251" s="58" t="s">
        <v>3307</v>
      </c>
      <c r="P251" s="58" t="s">
        <v>3308</v>
      </c>
      <c r="Q251" s="58"/>
      <c r="R251" s="58"/>
      <c r="S251" s="58"/>
      <c r="T251" s="58"/>
      <c r="U251" s="58" t="s">
        <v>2517</v>
      </c>
      <c r="V251" s="58"/>
      <c r="W251" s="58" t="str">
        <f t="shared" si="3"/>
        <v/>
      </c>
    </row>
    <row r="252" spans="1:23" ht="31.2">
      <c r="A252" s="58" t="s">
        <v>57</v>
      </c>
      <c r="B252" s="58" t="s">
        <v>35</v>
      </c>
      <c r="C252" s="58" t="s">
        <v>2510</v>
      </c>
      <c r="D252" s="58" t="s">
        <v>3219</v>
      </c>
      <c r="E252" s="58" t="s">
        <v>2512</v>
      </c>
      <c r="F252" s="58">
        <v>28690</v>
      </c>
      <c r="G252" s="58">
        <v>28690</v>
      </c>
      <c r="H252" s="58"/>
      <c r="I252" s="58" t="s">
        <v>2513</v>
      </c>
      <c r="J252" s="58"/>
      <c r="K252" s="58"/>
      <c r="L252" s="58"/>
      <c r="M252" s="58" t="s">
        <v>112</v>
      </c>
      <c r="N252" s="58" t="s">
        <v>113</v>
      </c>
      <c r="O252" s="58" t="s">
        <v>3309</v>
      </c>
      <c r="P252" s="58" t="s">
        <v>3310</v>
      </c>
      <c r="Q252" s="58"/>
      <c r="R252" s="58"/>
      <c r="S252" s="58"/>
      <c r="T252" s="58" t="s">
        <v>3222</v>
      </c>
      <c r="U252" s="58" t="s">
        <v>2517</v>
      </c>
      <c r="V252" s="58"/>
      <c r="W252" s="58">
        <f t="shared" si="3"/>
        <v>0</v>
      </c>
    </row>
    <row r="253" spans="1:23" ht="31.2">
      <c r="A253" s="58" t="s">
        <v>57</v>
      </c>
      <c r="B253" s="58" t="s">
        <v>35</v>
      </c>
      <c r="C253" s="58" t="s">
        <v>2607</v>
      </c>
      <c r="D253" s="58" t="s">
        <v>3311</v>
      </c>
      <c r="E253" s="58" t="s">
        <v>2609</v>
      </c>
      <c r="F253" s="58"/>
      <c r="G253" s="58"/>
      <c r="H253" s="58"/>
      <c r="I253" s="58"/>
      <c r="J253" s="58"/>
      <c r="K253" s="58"/>
      <c r="L253" s="58" t="s">
        <v>274</v>
      </c>
      <c r="M253" s="58" t="s">
        <v>112</v>
      </c>
      <c r="N253" s="58" t="s">
        <v>113</v>
      </c>
      <c r="O253" s="58" t="s">
        <v>3312</v>
      </c>
      <c r="P253" s="58" t="s">
        <v>3313</v>
      </c>
      <c r="Q253" s="58" t="s">
        <v>44</v>
      </c>
      <c r="R253" s="58"/>
      <c r="S253" s="58"/>
      <c r="T253" s="58"/>
      <c r="U253" s="58" t="s">
        <v>2517</v>
      </c>
      <c r="V253" s="58" t="s">
        <v>2841</v>
      </c>
      <c r="W253" s="58" t="str">
        <f t="shared" si="3"/>
        <v/>
      </c>
    </row>
    <row r="254" spans="1:23" ht="31.2">
      <c r="A254" s="58" t="s">
        <v>57</v>
      </c>
      <c r="B254" s="58" t="s">
        <v>35</v>
      </c>
      <c r="C254" s="58" t="s">
        <v>2510</v>
      </c>
      <c r="D254" s="58" t="s">
        <v>3314</v>
      </c>
      <c r="E254" s="58" t="s">
        <v>2512</v>
      </c>
      <c r="F254" s="58">
        <v>80</v>
      </c>
      <c r="G254" s="58">
        <v>80</v>
      </c>
      <c r="H254" s="58"/>
      <c r="I254" s="58" t="s">
        <v>2639</v>
      </c>
      <c r="J254" s="58"/>
      <c r="K254" s="58"/>
      <c r="L254" s="58"/>
      <c r="M254" s="58" t="s">
        <v>112</v>
      </c>
      <c r="N254" s="58" t="s">
        <v>113</v>
      </c>
      <c r="O254" s="58" t="s">
        <v>3315</v>
      </c>
      <c r="P254" s="58" t="s">
        <v>3316</v>
      </c>
      <c r="Q254" s="58"/>
      <c r="R254" s="58"/>
      <c r="S254" s="58"/>
      <c r="T254" s="58" t="s">
        <v>3297</v>
      </c>
      <c r="U254" s="58" t="s">
        <v>2517</v>
      </c>
      <c r="V254" s="58"/>
      <c r="W254" s="58">
        <f t="shared" si="3"/>
        <v>0</v>
      </c>
    </row>
    <row r="255" spans="1:23" ht="31.2">
      <c r="A255" s="58" t="s">
        <v>57</v>
      </c>
      <c r="B255" s="58" t="s">
        <v>35</v>
      </c>
      <c r="C255" s="58" t="s">
        <v>2510</v>
      </c>
      <c r="D255" s="58" t="s">
        <v>3317</v>
      </c>
      <c r="E255" s="58" t="s">
        <v>2512</v>
      </c>
      <c r="F255" s="58"/>
      <c r="G255" s="58"/>
      <c r="H255" s="58"/>
      <c r="I255" s="58" t="s">
        <v>3318</v>
      </c>
      <c r="J255" s="58"/>
      <c r="K255" s="58"/>
      <c r="L255" s="58"/>
      <c r="M255" s="58" t="s">
        <v>112</v>
      </c>
      <c r="N255" s="58" t="s">
        <v>113</v>
      </c>
      <c r="O255" s="58" t="s">
        <v>3319</v>
      </c>
      <c r="P255" s="58" t="s">
        <v>3320</v>
      </c>
      <c r="Q255" s="58"/>
      <c r="R255" s="69" t="s">
        <v>3321</v>
      </c>
      <c r="S255" s="69" t="s">
        <v>3321</v>
      </c>
      <c r="T255" s="58" t="s">
        <v>3322</v>
      </c>
      <c r="U255" s="58" t="s">
        <v>2517</v>
      </c>
      <c r="V255" s="58"/>
      <c r="W255" s="58" t="str">
        <f t="shared" si="3"/>
        <v/>
      </c>
    </row>
    <row r="256" spans="1:23" ht="31.2">
      <c r="A256" s="58" t="s">
        <v>57</v>
      </c>
      <c r="B256" s="58" t="s">
        <v>35</v>
      </c>
      <c r="C256" s="58" t="s">
        <v>2510</v>
      </c>
      <c r="D256" s="58" t="s">
        <v>3323</v>
      </c>
      <c r="E256" s="58" t="s">
        <v>2512</v>
      </c>
      <c r="F256" s="58">
        <v>4196</v>
      </c>
      <c r="G256" s="58">
        <v>4196</v>
      </c>
      <c r="H256" s="58"/>
      <c r="I256" s="58" t="s">
        <v>2513</v>
      </c>
      <c r="J256" s="58"/>
      <c r="K256" s="58"/>
      <c r="L256" s="58"/>
      <c r="M256" s="58" t="s">
        <v>112</v>
      </c>
      <c r="N256" s="58" t="s">
        <v>113</v>
      </c>
      <c r="O256" s="58" t="s">
        <v>3324</v>
      </c>
      <c r="P256" s="58" t="s">
        <v>3325</v>
      </c>
      <c r="Q256" s="58"/>
      <c r="R256" s="58"/>
      <c r="S256" s="58"/>
      <c r="T256" s="58" t="s">
        <v>3322</v>
      </c>
      <c r="U256" s="58" t="s">
        <v>2517</v>
      </c>
      <c r="V256" s="58"/>
      <c r="W256" s="58">
        <f t="shared" si="3"/>
        <v>0</v>
      </c>
    </row>
    <row r="257" spans="1:23" ht="31.2">
      <c r="A257" s="58" t="s">
        <v>57</v>
      </c>
      <c r="B257" s="58" t="s">
        <v>35</v>
      </c>
      <c r="C257" s="58" t="s">
        <v>2607</v>
      </c>
      <c r="D257" s="58" t="s">
        <v>3326</v>
      </c>
      <c r="E257" s="58" t="s">
        <v>3106</v>
      </c>
      <c r="F257" s="58"/>
      <c r="G257" s="58"/>
      <c r="H257" s="58"/>
      <c r="I257" s="58"/>
      <c r="J257" s="58"/>
      <c r="K257" s="58"/>
      <c r="L257" s="58" t="s">
        <v>2610</v>
      </c>
      <c r="M257" s="58" t="s">
        <v>112</v>
      </c>
      <c r="N257" s="58" t="s">
        <v>113</v>
      </c>
      <c r="O257" s="58" t="s">
        <v>3327</v>
      </c>
      <c r="P257" s="58" t="s">
        <v>3328</v>
      </c>
      <c r="Q257" s="58" t="s">
        <v>3109</v>
      </c>
      <c r="R257" s="58"/>
      <c r="S257" s="58"/>
      <c r="T257" s="58"/>
      <c r="U257" s="58" t="s">
        <v>2517</v>
      </c>
      <c r="V257" s="58" t="s">
        <v>3329</v>
      </c>
      <c r="W257" s="58" t="str">
        <f t="shared" si="3"/>
        <v/>
      </c>
    </row>
    <row r="258" spans="1:23" ht="31.2">
      <c r="A258" s="58" t="s">
        <v>57</v>
      </c>
      <c r="B258" s="58" t="s">
        <v>35</v>
      </c>
      <c r="C258" s="58" t="s">
        <v>2913</v>
      </c>
      <c r="D258" s="58" t="s">
        <v>2914</v>
      </c>
      <c r="E258" s="58" t="s">
        <v>2915</v>
      </c>
      <c r="F258" s="58"/>
      <c r="G258" s="58"/>
      <c r="H258" s="58"/>
      <c r="I258" s="58"/>
      <c r="J258" s="58"/>
      <c r="K258" s="58"/>
      <c r="L258" s="58"/>
      <c r="M258" s="58" t="s">
        <v>112</v>
      </c>
      <c r="N258" s="58" t="s">
        <v>113</v>
      </c>
      <c r="O258" s="58" t="s">
        <v>3330</v>
      </c>
      <c r="P258" s="58" t="s">
        <v>3331</v>
      </c>
      <c r="Q258" s="58"/>
      <c r="R258" s="69" t="s">
        <v>3332</v>
      </c>
      <c r="S258" s="69" t="s">
        <v>3333</v>
      </c>
      <c r="T258" s="58"/>
      <c r="U258" s="58" t="s">
        <v>2913</v>
      </c>
      <c r="V258" s="58"/>
      <c r="W258" s="58" t="str">
        <f t="shared" ref="W258:W295" si="4">IF(COUNT(F258:G258)=2,G258-F258,"")</f>
        <v/>
      </c>
    </row>
    <row r="259" spans="1:23" ht="31.2">
      <c r="A259" s="58" t="s">
        <v>57</v>
      </c>
      <c r="B259" s="58" t="s">
        <v>35</v>
      </c>
      <c r="C259" s="58" t="s">
        <v>2913</v>
      </c>
      <c r="D259" s="58" t="s">
        <v>2920</v>
      </c>
      <c r="E259" s="58" t="s">
        <v>2915</v>
      </c>
      <c r="F259" s="58"/>
      <c r="G259" s="58"/>
      <c r="H259" s="58"/>
      <c r="I259" s="58"/>
      <c r="J259" s="58"/>
      <c r="K259" s="58"/>
      <c r="L259" s="58"/>
      <c r="M259" s="58" t="s">
        <v>112</v>
      </c>
      <c r="N259" s="58" t="s">
        <v>113</v>
      </c>
      <c r="O259" s="58" t="s">
        <v>3334</v>
      </c>
      <c r="P259" s="58" t="s">
        <v>3335</v>
      </c>
      <c r="Q259" s="58"/>
      <c r="R259" s="69" t="s">
        <v>3336</v>
      </c>
      <c r="S259" s="69" t="s">
        <v>3337</v>
      </c>
      <c r="T259" s="58"/>
      <c r="U259" s="58" t="s">
        <v>2913</v>
      </c>
      <c r="V259" s="58"/>
      <c r="W259" s="58" t="str">
        <f t="shared" si="4"/>
        <v/>
      </c>
    </row>
    <row r="260" spans="1:23" ht="31.2">
      <c r="A260" s="58" t="s">
        <v>57</v>
      </c>
      <c r="B260" s="58" t="s">
        <v>35</v>
      </c>
      <c r="C260" s="58" t="s">
        <v>2913</v>
      </c>
      <c r="D260" s="58" t="s">
        <v>2925</v>
      </c>
      <c r="E260" s="58" t="s">
        <v>2915</v>
      </c>
      <c r="F260" s="58"/>
      <c r="G260" s="58"/>
      <c r="H260" s="58"/>
      <c r="I260" s="58"/>
      <c r="J260" s="58"/>
      <c r="K260" s="58"/>
      <c r="L260" s="58"/>
      <c r="M260" s="58" t="s">
        <v>112</v>
      </c>
      <c r="N260" s="58" t="s">
        <v>113</v>
      </c>
      <c r="O260" s="58" t="s">
        <v>3338</v>
      </c>
      <c r="P260" s="58" t="s">
        <v>3339</v>
      </c>
      <c r="Q260" s="58"/>
      <c r="R260" s="69" t="s">
        <v>3340</v>
      </c>
      <c r="S260" s="69" t="s">
        <v>3341</v>
      </c>
      <c r="T260" s="58"/>
      <c r="U260" s="58" t="s">
        <v>2913</v>
      </c>
      <c r="V260" s="58"/>
      <c r="W260" s="58" t="str">
        <f t="shared" si="4"/>
        <v/>
      </c>
    </row>
    <row r="261" spans="1:23" ht="31.2">
      <c r="A261" s="58" t="s">
        <v>57</v>
      </c>
      <c r="B261" s="58" t="s">
        <v>35</v>
      </c>
      <c r="C261" s="58" t="s">
        <v>2913</v>
      </c>
      <c r="D261" s="58" t="s">
        <v>2930</v>
      </c>
      <c r="E261" s="58" t="s">
        <v>2915</v>
      </c>
      <c r="F261" s="58"/>
      <c r="G261" s="58"/>
      <c r="H261" s="58"/>
      <c r="I261" s="58"/>
      <c r="J261" s="58"/>
      <c r="K261" s="58"/>
      <c r="L261" s="58"/>
      <c r="M261" s="58" t="s">
        <v>112</v>
      </c>
      <c r="N261" s="58" t="s">
        <v>113</v>
      </c>
      <c r="O261" s="58" t="s">
        <v>3342</v>
      </c>
      <c r="P261" s="58" t="s">
        <v>3343</v>
      </c>
      <c r="Q261" s="58"/>
      <c r="R261" s="69" t="s">
        <v>3344</v>
      </c>
      <c r="S261" s="69" t="s">
        <v>3345</v>
      </c>
      <c r="T261" s="58"/>
      <c r="U261" s="58" t="s">
        <v>2913</v>
      </c>
      <c r="V261" s="58"/>
      <c r="W261" s="58" t="str">
        <f t="shared" si="4"/>
        <v/>
      </c>
    </row>
    <row r="262" spans="1:23" ht="31.2">
      <c r="A262" s="58" t="s">
        <v>57</v>
      </c>
      <c r="B262" s="58" t="s">
        <v>35</v>
      </c>
      <c r="C262" s="58" t="s">
        <v>2913</v>
      </c>
      <c r="D262" s="58" t="s">
        <v>2935</v>
      </c>
      <c r="E262" s="58" t="s">
        <v>2915</v>
      </c>
      <c r="F262" s="58"/>
      <c r="G262" s="58"/>
      <c r="H262" s="58"/>
      <c r="I262" s="58"/>
      <c r="J262" s="58"/>
      <c r="K262" s="58"/>
      <c r="L262" s="58"/>
      <c r="M262" s="58" t="s">
        <v>112</v>
      </c>
      <c r="N262" s="58" t="s">
        <v>113</v>
      </c>
      <c r="O262" s="58" t="s">
        <v>3346</v>
      </c>
      <c r="P262" s="58" t="s">
        <v>3347</v>
      </c>
      <c r="Q262" s="58"/>
      <c r="R262" s="69" t="s">
        <v>3348</v>
      </c>
      <c r="S262" s="69" t="s">
        <v>3349</v>
      </c>
      <c r="T262" s="58"/>
      <c r="U262" s="58" t="s">
        <v>2913</v>
      </c>
      <c r="V262" s="58"/>
      <c r="W262" s="58" t="str">
        <f t="shared" si="4"/>
        <v/>
      </c>
    </row>
    <row r="263" spans="1:23" ht="31.2">
      <c r="A263" s="58" t="s">
        <v>57</v>
      </c>
      <c r="B263" s="58" t="s">
        <v>35</v>
      </c>
      <c r="C263" s="58" t="s">
        <v>2913</v>
      </c>
      <c r="D263" s="58" t="s">
        <v>2941</v>
      </c>
      <c r="E263" s="58" t="s">
        <v>2936</v>
      </c>
      <c r="F263" s="58"/>
      <c r="G263" s="58"/>
      <c r="H263" s="58"/>
      <c r="I263" s="58"/>
      <c r="J263" s="58"/>
      <c r="K263" s="58"/>
      <c r="L263" s="58"/>
      <c r="M263" s="58" t="s">
        <v>112</v>
      </c>
      <c r="N263" s="58" t="s">
        <v>113</v>
      </c>
      <c r="O263" s="58" t="s">
        <v>3350</v>
      </c>
      <c r="P263" s="58" t="s">
        <v>3351</v>
      </c>
      <c r="Q263" s="58"/>
      <c r="R263" s="69" t="s">
        <v>3352</v>
      </c>
      <c r="S263" s="69" t="s">
        <v>3353</v>
      </c>
      <c r="T263" s="58"/>
      <c r="U263" s="58" t="s">
        <v>2913</v>
      </c>
      <c r="V263" s="58"/>
      <c r="W263" s="58" t="str">
        <f t="shared" si="4"/>
        <v/>
      </c>
    </row>
    <row r="264" spans="1:23" ht="31.2">
      <c r="A264" s="58" t="s">
        <v>57</v>
      </c>
      <c r="B264" s="58" t="s">
        <v>35</v>
      </c>
      <c r="C264" s="58" t="s">
        <v>2580</v>
      </c>
      <c r="D264" s="58" t="s">
        <v>3354</v>
      </c>
      <c r="E264" s="58" t="s">
        <v>2582</v>
      </c>
      <c r="F264" s="58"/>
      <c r="G264" s="58"/>
      <c r="H264" s="58"/>
      <c r="I264" s="58"/>
      <c r="J264" s="58"/>
      <c r="K264" s="58"/>
      <c r="L264" s="58"/>
      <c r="M264" s="58" t="s">
        <v>112</v>
      </c>
      <c r="N264" s="58" t="s">
        <v>113</v>
      </c>
      <c r="O264" s="58" t="s">
        <v>3355</v>
      </c>
      <c r="P264" s="58" t="s">
        <v>3356</v>
      </c>
      <c r="Q264" s="58" t="s">
        <v>44</v>
      </c>
      <c r="R264" s="58"/>
      <c r="S264" s="58"/>
      <c r="T264" s="58"/>
      <c r="U264" s="58" t="s">
        <v>2585</v>
      </c>
      <c r="V264" s="58"/>
      <c r="W264" s="58" t="str">
        <f t="shared" si="4"/>
        <v/>
      </c>
    </row>
    <row r="265" spans="1:23" ht="31.2">
      <c r="A265" s="58" t="s">
        <v>57</v>
      </c>
      <c r="B265" s="58" t="s">
        <v>35</v>
      </c>
      <c r="C265" s="58" t="s">
        <v>2902</v>
      </c>
      <c r="D265" s="58" t="s">
        <v>2955</v>
      </c>
      <c r="E265" s="58" t="s">
        <v>3244</v>
      </c>
      <c r="F265" s="58"/>
      <c r="G265" s="58"/>
      <c r="H265" s="58"/>
      <c r="I265" s="58"/>
      <c r="J265" s="58"/>
      <c r="K265" s="58"/>
      <c r="L265" s="58"/>
      <c r="M265" s="58" t="s">
        <v>112</v>
      </c>
      <c r="N265" s="58" t="s">
        <v>113</v>
      </c>
      <c r="O265" s="58" t="s">
        <v>3357</v>
      </c>
      <c r="P265" s="58" t="s">
        <v>3358</v>
      </c>
      <c r="Q265" s="58"/>
      <c r="R265" s="58"/>
      <c r="S265" s="58"/>
      <c r="T265" s="58"/>
      <c r="U265" s="58" t="s">
        <v>2517</v>
      </c>
      <c r="V265" s="58"/>
      <c r="W265" s="58" t="str">
        <f t="shared" si="4"/>
        <v/>
      </c>
    </row>
    <row r="266" spans="1:23" ht="31.2">
      <c r="A266" s="58" t="s">
        <v>57</v>
      </c>
      <c r="B266" s="58" t="s">
        <v>35</v>
      </c>
      <c r="C266" s="58" t="s">
        <v>2902</v>
      </c>
      <c r="D266" s="58" t="s">
        <v>2949</v>
      </c>
      <c r="E266" s="58" t="s">
        <v>3086</v>
      </c>
      <c r="F266" s="58"/>
      <c r="G266" s="58"/>
      <c r="H266" s="58"/>
      <c r="I266" s="58"/>
      <c r="J266" s="58"/>
      <c r="K266" s="58"/>
      <c r="L266" s="58"/>
      <c r="M266" s="58" t="s">
        <v>112</v>
      </c>
      <c r="N266" s="58" t="s">
        <v>113</v>
      </c>
      <c r="O266" s="58" t="s">
        <v>3359</v>
      </c>
      <c r="P266" s="58" t="s">
        <v>3360</v>
      </c>
      <c r="Q266" s="58"/>
      <c r="R266" s="58"/>
      <c r="S266" s="58"/>
      <c r="T266" s="58"/>
      <c r="U266" s="58" t="s">
        <v>2517</v>
      </c>
      <c r="V266" s="58"/>
      <c r="W266" s="58" t="str">
        <f t="shared" si="4"/>
        <v/>
      </c>
    </row>
    <row r="267" spans="1:23" ht="31.2">
      <c r="A267" s="58" t="s">
        <v>57</v>
      </c>
      <c r="B267" s="58" t="s">
        <v>35</v>
      </c>
      <c r="C267" s="58" t="s">
        <v>2510</v>
      </c>
      <c r="D267" s="58" t="s">
        <v>3361</v>
      </c>
      <c r="E267" s="58" t="s">
        <v>2512</v>
      </c>
      <c r="F267" s="58">
        <v>103200</v>
      </c>
      <c r="G267" s="58">
        <v>103200</v>
      </c>
      <c r="H267" s="58"/>
      <c r="I267" s="58" t="s">
        <v>2513</v>
      </c>
      <c r="J267" s="58"/>
      <c r="K267" s="58"/>
      <c r="L267" s="58"/>
      <c r="M267" s="58" t="s">
        <v>112</v>
      </c>
      <c r="N267" s="58" t="s">
        <v>113</v>
      </c>
      <c r="O267" s="58" t="s">
        <v>3362</v>
      </c>
      <c r="P267" s="58" t="s">
        <v>3363</v>
      </c>
      <c r="Q267" s="58"/>
      <c r="R267" s="58"/>
      <c r="S267" s="58"/>
      <c r="T267" s="58" t="s">
        <v>3364</v>
      </c>
      <c r="U267" s="58" t="s">
        <v>2517</v>
      </c>
      <c r="V267" s="58"/>
      <c r="W267" s="58">
        <f t="shared" si="4"/>
        <v>0</v>
      </c>
    </row>
    <row r="268" spans="1:23" ht="31.2">
      <c r="A268" s="58" t="s">
        <v>57</v>
      </c>
      <c r="B268" s="58" t="s">
        <v>35</v>
      </c>
      <c r="C268" s="58" t="s">
        <v>2902</v>
      </c>
      <c r="D268" s="58" t="s">
        <v>2903</v>
      </c>
      <c r="E268" s="58" t="s">
        <v>2904</v>
      </c>
      <c r="F268" s="58"/>
      <c r="G268" s="58"/>
      <c r="H268" s="58"/>
      <c r="I268" s="58"/>
      <c r="J268" s="58"/>
      <c r="K268" s="58"/>
      <c r="L268" s="58"/>
      <c r="M268" s="58" t="s">
        <v>112</v>
      </c>
      <c r="N268" s="58" t="s">
        <v>113</v>
      </c>
      <c r="O268" s="58" t="s">
        <v>3365</v>
      </c>
      <c r="P268" s="58" t="s">
        <v>3366</v>
      </c>
      <c r="Q268" s="58"/>
      <c r="R268" s="58"/>
      <c r="S268" s="58"/>
      <c r="T268" s="58"/>
      <c r="U268" s="58" t="s">
        <v>2517</v>
      </c>
      <c r="V268" s="58"/>
      <c r="W268" s="58" t="str">
        <f t="shared" si="4"/>
        <v/>
      </c>
    </row>
    <row r="269" spans="1:23" ht="25.95" customHeight="1">
      <c r="A269" s="58" t="s">
        <v>115</v>
      </c>
      <c r="B269" s="58" t="s">
        <v>48</v>
      </c>
      <c r="C269" s="58" t="s">
        <v>2607</v>
      </c>
      <c r="D269" s="58" t="s">
        <v>3367</v>
      </c>
      <c r="E269" s="58" t="s">
        <v>2609</v>
      </c>
      <c r="F269" s="58"/>
      <c r="G269" s="58"/>
      <c r="H269" s="58"/>
      <c r="I269" s="58"/>
      <c r="J269" s="58"/>
      <c r="K269" s="58"/>
      <c r="L269" s="58" t="s">
        <v>274</v>
      </c>
      <c r="M269" s="58" t="s">
        <v>119</v>
      </c>
      <c r="N269" s="58"/>
      <c r="O269" s="58" t="s">
        <v>3368</v>
      </c>
      <c r="P269" s="58" t="s">
        <v>3369</v>
      </c>
      <c r="Q269" s="58" t="s">
        <v>3370</v>
      </c>
      <c r="R269" s="58"/>
      <c r="S269" s="58"/>
      <c r="T269" s="58"/>
      <c r="U269" s="58" t="s">
        <v>2517</v>
      </c>
      <c r="V269" s="58" t="s">
        <v>3371</v>
      </c>
      <c r="W269" s="58" t="str">
        <f t="shared" si="4"/>
        <v/>
      </c>
    </row>
    <row r="270" spans="1:23" ht="31.2">
      <c r="A270" s="58" t="s">
        <v>115</v>
      </c>
      <c r="B270" s="58" t="s">
        <v>48</v>
      </c>
      <c r="C270" s="58" t="s">
        <v>2607</v>
      </c>
      <c r="D270" s="58" t="s">
        <v>3372</v>
      </c>
      <c r="E270" s="58" t="s">
        <v>2609</v>
      </c>
      <c r="F270" s="58"/>
      <c r="G270" s="58"/>
      <c r="H270" s="58"/>
      <c r="I270" s="58"/>
      <c r="J270" s="58"/>
      <c r="K270" s="58"/>
      <c r="L270" s="58" t="s">
        <v>274</v>
      </c>
      <c r="M270" s="58" t="s">
        <v>119</v>
      </c>
      <c r="N270" s="58"/>
      <c r="O270" s="58" t="s">
        <v>3373</v>
      </c>
      <c r="P270" s="58" t="s">
        <v>3374</v>
      </c>
      <c r="Q270" s="58" t="s">
        <v>3370</v>
      </c>
      <c r="R270" s="58"/>
      <c r="S270" s="58"/>
      <c r="T270" s="58"/>
      <c r="U270" s="58" t="s">
        <v>2517</v>
      </c>
      <c r="V270" s="58" t="s">
        <v>3375</v>
      </c>
      <c r="W270" s="58" t="str">
        <f t="shared" si="4"/>
        <v/>
      </c>
    </row>
    <row r="271" spans="1:23" ht="31.2">
      <c r="A271" s="58" t="s">
        <v>115</v>
      </c>
      <c r="B271" s="58" t="s">
        <v>48</v>
      </c>
      <c r="C271" s="58" t="s">
        <v>2607</v>
      </c>
      <c r="D271" s="58" t="s">
        <v>3376</v>
      </c>
      <c r="E271" s="58" t="s">
        <v>2609</v>
      </c>
      <c r="F271" s="58"/>
      <c r="G271" s="58"/>
      <c r="H271" s="58"/>
      <c r="I271" s="58"/>
      <c r="J271" s="58"/>
      <c r="K271" s="58"/>
      <c r="L271" s="58" t="s">
        <v>274</v>
      </c>
      <c r="M271" s="58" t="s">
        <v>119</v>
      </c>
      <c r="N271" s="58"/>
      <c r="O271" s="58" t="s">
        <v>3377</v>
      </c>
      <c r="P271" s="58" t="s">
        <v>3378</v>
      </c>
      <c r="Q271" s="58" t="s">
        <v>3370</v>
      </c>
      <c r="R271" s="58"/>
      <c r="S271" s="58"/>
      <c r="T271" s="58"/>
      <c r="U271" s="58" t="s">
        <v>2517</v>
      </c>
      <c r="V271" s="58" t="s">
        <v>3379</v>
      </c>
      <c r="W271" s="58" t="str">
        <f t="shared" si="4"/>
        <v/>
      </c>
    </row>
    <row r="272" spans="1:23" ht="25.95" customHeight="1">
      <c r="A272" s="58" t="s">
        <v>115</v>
      </c>
      <c r="B272" s="58" t="s">
        <v>48</v>
      </c>
      <c r="C272" s="58" t="s">
        <v>3380</v>
      </c>
      <c r="D272" s="58" t="s">
        <v>3381</v>
      </c>
      <c r="E272" s="58" t="s">
        <v>2512</v>
      </c>
      <c r="F272" s="58">
        <v>7525498</v>
      </c>
      <c r="G272" s="58">
        <v>7525498</v>
      </c>
      <c r="H272" s="58"/>
      <c r="I272" s="58" t="s">
        <v>2513</v>
      </c>
      <c r="J272" s="58"/>
      <c r="K272" s="58"/>
      <c r="L272" s="58"/>
      <c r="M272" s="58" t="s">
        <v>119</v>
      </c>
      <c r="N272" s="58"/>
      <c r="O272" s="58" t="s">
        <v>3382</v>
      </c>
      <c r="P272" s="58" t="s">
        <v>3383</v>
      </c>
      <c r="Q272" s="58"/>
      <c r="R272" s="58"/>
      <c r="S272" s="58"/>
      <c r="T272" s="58"/>
      <c r="U272" s="58" t="s">
        <v>3384</v>
      </c>
      <c r="V272" s="58"/>
      <c r="W272" s="58">
        <f t="shared" si="4"/>
        <v>0</v>
      </c>
    </row>
    <row r="273" spans="1:23" ht="31.2">
      <c r="A273" s="58" t="s">
        <v>115</v>
      </c>
      <c r="B273" s="58" t="s">
        <v>48</v>
      </c>
      <c r="C273" s="58" t="s">
        <v>3380</v>
      </c>
      <c r="D273" s="58" t="s">
        <v>3385</v>
      </c>
      <c r="E273" s="58" t="s">
        <v>3386</v>
      </c>
      <c r="F273" s="58">
        <v>185791</v>
      </c>
      <c r="G273" s="58">
        <v>185791</v>
      </c>
      <c r="H273" s="58"/>
      <c r="I273" s="58" t="s">
        <v>2513</v>
      </c>
      <c r="J273" s="58"/>
      <c r="K273" s="58"/>
      <c r="L273" s="58"/>
      <c r="M273" s="58" t="s">
        <v>119</v>
      </c>
      <c r="N273" s="58"/>
      <c r="O273" s="58" t="s">
        <v>3387</v>
      </c>
      <c r="P273" s="58" t="s">
        <v>3388</v>
      </c>
      <c r="Q273" s="58"/>
      <c r="R273" s="58"/>
      <c r="S273" s="58"/>
      <c r="T273" s="58"/>
      <c r="U273" s="58" t="s">
        <v>3384</v>
      </c>
      <c r="V273" s="58"/>
      <c r="W273" s="58">
        <f t="shared" si="4"/>
        <v>0</v>
      </c>
    </row>
    <row r="274" spans="1:23" ht="31.2">
      <c r="A274" s="58" t="s">
        <v>115</v>
      </c>
      <c r="B274" s="58" t="s">
        <v>48</v>
      </c>
      <c r="C274" s="58" t="s">
        <v>3380</v>
      </c>
      <c r="D274" s="58" t="s">
        <v>3389</v>
      </c>
      <c r="E274" s="58" t="s">
        <v>3386</v>
      </c>
      <c r="F274" s="58">
        <v>7339707</v>
      </c>
      <c r="G274" s="58">
        <v>7339707</v>
      </c>
      <c r="H274" s="58"/>
      <c r="I274" s="58" t="s">
        <v>2513</v>
      </c>
      <c r="J274" s="58"/>
      <c r="K274" s="58"/>
      <c r="L274" s="58"/>
      <c r="M274" s="58" t="s">
        <v>119</v>
      </c>
      <c r="N274" s="58"/>
      <c r="O274" s="58" t="s">
        <v>3390</v>
      </c>
      <c r="P274" s="58" t="s">
        <v>3391</v>
      </c>
      <c r="Q274" s="58"/>
      <c r="R274" s="58"/>
      <c r="S274" s="58"/>
      <c r="T274" s="58"/>
      <c r="U274" s="58" t="s">
        <v>3384</v>
      </c>
      <c r="V274" s="58"/>
      <c r="W274" s="58">
        <f t="shared" si="4"/>
        <v>0</v>
      </c>
    </row>
    <row r="275" spans="1:23" ht="25.95" customHeight="1">
      <c r="A275" s="58" t="s">
        <v>115</v>
      </c>
      <c r="B275" s="58" t="s">
        <v>48</v>
      </c>
      <c r="C275" s="58" t="s">
        <v>3380</v>
      </c>
      <c r="D275" s="58" t="s">
        <v>3392</v>
      </c>
      <c r="E275" s="58" t="s">
        <v>2512</v>
      </c>
      <c r="F275" s="58">
        <v>3488583</v>
      </c>
      <c r="G275" s="58">
        <v>3488583</v>
      </c>
      <c r="H275" s="58"/>
      <c r="I275" s="58" t="s">
        <v>2513</v>
      </c>
      <c r="J275" s="58"/>
      <c r="K275" s="58"/>
      <c r="L275" s="58"/>
      <c r="M275" s="58" t="s">
        <v>119</v>
      </c>
      <c r="N275" s="58"/>
      <c r="O275" s="58" t="s">
        <v>3393</v>
      </c>
      <c r="P275" s="58" t="s">
        <v>3394</v>
      </c>
      <c r="Q275" s="58"/>
      <c r="R275" s="58"/>
      <c r="S275" s="58"/>
      <c r="T275" s="58"/>
      <c r="U275" s="58" t="s">
        <v>3384</v>
      </c>
      <c r="V275" s="58"/>
      <c r="W275" s="58">
        <f t="shared" si="4"/>
        <v>0</v>
      </c>
    </row>
    <row r="276" spans="1:23" ht="25.95" customHeight="1">
      <c r="A276" s="58" t="s">
        <v>115</v>
      </c>
      <c r="B276" s="58" t="s">
        <v>48</v>
      </c>
      <c r="C276" s="58" t="s">
        <v>3380</v>
      </c>
      <c r="D276" s="58" t="s">
        <v>3395</v>
      </c>
      <c r="E276" s="58" t="s">
        <v>2512</v>
      </c>
      <c r="F276" s="58">
        <v>3851124</v>
      </c>
      <c r="G276" s="58">
        <v>3851124</v>
      </c>
      <c r="H276" s="58"/>
      <c r="I276" s="58" t="s">
        <v>2513</v>
      </c>
      <c r="J276" s="58"/>
      <c r="K276" s="58"/>
      <c r="L276" s="58"/>
      <c r="M276" s="58" t="s">
        <v>119</v>
      </c>
      <c r="N276" s="58"/>
      <c r="O276" s="58" t="s">
        <v>3396</v>
      </c>
      <c r="P276" s="58" t="s">
        <v>3397</v>
      </c>
      <c r="Q276" s="58"/>
      <c r="R276" s="58"/>
      <c r="S276" s="58"/>
      <c r="T276" s="58"/>
      <c r="U276" s="58" t="s">
        <v>3384</v>
      </c>
      <c r="V276" s="58"/>
      <c r="W276" s="58">
        <f t="shared" si="4"/>
        <v>0</v>
      </c>
    </row>
    <row r="277" spans="1:23" ht="31.2">
      <c r="A277" s="58" t="s">
        <v>115</v>
      </c>
      <c r="B277" s="58" t="s">
        <v>48</v>
      </c>
      <c r="C277" s="58" t="s">
        <v>3380</v>
      </c>
      <c r="D277" s="58" t="s">
        <v>3398</v>
      </c>
      <c r="E277" s="58" t="s">
        <v>2638</v>
      </c>
      <c r="F277" s="58">
        <v>10.7</v>
      </c>
      <c r="G277" s="58">
        <v>10.69548899908677</v>
      </c>
      <c r="H277" s="58"/>
      <c r="I277" s="58" t="s">
        <v>2749</v>
      </c>
      <c r="J277" s="58"/>
      <c r="K277" s="58"/>
      <c r="L277" s="58"/>
      <c r="M277" s="58" t="s">
        <v>119</v>
      </c>
      <c r="N277" s="58"/>
      <c r="O277" s="58" t="s">
        <v>3399</v>
      </c>
      <c r="P277" s="58" t="s">
        <v>3400</v>
      </c>
      <c r="Q277" s="58"/>
      <c r="R277" s="58"/>
      <c r="S277" s="58"/>
      <c r="T277" s="58"/>
      <c r="U277" s="58" t="s">
        <v>3384</v>
      </c>
      <c r="V277" s="58"/>
      <c r="W277" s="58">
        <f t="shared" si="4"/>
        <v>-4.5110009132294238E-3</v>
      </c>
    </row>
    <row r="278" spans="1:23" ht="31.2">
      <c r="A278" s="58" t="s">
        <v>115</v>
      </c>
      <c r="B278" s="58" t="s">
        <v>48</v>
      </c>
      <c r="C278" s="58" t="s">
        <v>3380</v>
      </c>
      <c r="D278" s="58" t="s">
        <v>3401</v>
      </c>
      <c r="E278" s="58" t="s">
        <v>3402</v>
      </c>
      <c r="F278" s="58">
        <v>2.5</v>
      </c>
      <c r="G278" s="58">
        <v>2.220145430907031</v>
      </c>
      <c r="H278" s="58"/>
      <c r="I278" s="58" t="s">
        <v>2749</v>
      </c>
      <c r="J278" s="58"/>
      <c r="K278" s="58"/>
      <c r="L278" s="58" t="s">
        <v>274</v>
      </c>
      <c r="M278" s="58" t="s">
        <v>119</v>
      </c>
      <c r="N278" s="58"/>
      <c r="O278" s="58" t="s">
        <v>3403</v>
      </c>
      <c r="P278" s="58" t="s">
        <v>3404</v>
      </c>
      <c r="Q278" s="58" t="s">
        <v>3370</v>
      </c>
      <c r="R278" s="58"/>
      <c r="S278" s="58"/>
      <c r="T278" s="58"/>
      <c r="U278" s="58" t="s">
        <v>3384</v>
      </c>
      <c r="V278" s="58" t="s">
        <v>3379</v>
      </c>
      <c r="W278" s="58">
        <f t="shared" si="4"/>
        <v>-0.27985456909296902</v>
      </c>
    </row>
    <row r="279" spans="1:23" ht="31.2">
      <c r="A279" s="58" t="s">
        <v>115</v>
      </c>
      <c r="B279" s="58" t="s">
        <v>48</v>
      </c>
      <c r="C279" s="58" t="s">
        <v>3380</v>
      </c>
      <c r="D279" s="58" t="s">
        <v>3405</v>
      </c>
      <c r="E279" s="58" t="s">
        <v>2638</v>
      </c>
      <c r="F279" s="58">
        <v>-2.8</v>
      </c>
      <c r="G279" s="58">
        <v>-2.7552351481548549</v>
      </c>
      <c r="H279" s="58"/>
      <c r="I279" s="58" t="s">
        <v>2749</v>
      </c>
      <c r="J279" s="58"/>
      <c r="K279" s="58"/>
      <c r="L279" s="58"/>
      <c r="M279" s="58" t="s">
        <v>119</v>
      </c>
      <c r="N279" s="58"/>
      <c r="O279" s="58" t="s">
        <v>3406</v>
      </c>
      <c r="P279" s="58" t="s">
        <v>3407</v>
      </c>
      <c r="Q279" s="58"/>
      <c r="R279" s="58"/>
      <c r="S279" s="58"/>
      <c r="T279" s="58"/>
      <c r="U279" s="58" t="s">
        <v>3384</v>
      </c>
      <c r="V279" s="58"/>
      <c r="W279" s="58">
        <f t="shared" si="4"/>
        <v>4.4764851845144893E-2</v>
      </c>
    </row>
    <row r="280" spans="1:23" ht="31.2">
      <c r="A280" s="58" t="s">
        <v>115</v>
      </c>
      <c r="B280" s="58" t="s">
        <v>48</v>
      </c>
      <c r="C280" s="58" t="s">
        <v>3380</v>
      </c>
      <c r="D280" s="58" t="s">
        <v>3408</v>
      </c>
      <c r="E280" s="58" t="s">
        <v>2638</v>
      </c>
      <c r="F280" s="58">
        <v>7.5</v>
      </c>
      <c r="G280" s="58">
        <v>7.5028332836265976</v>
      </c>
      <c r="H280" s="58"/>
      <c r="I280" s="58" t="s">
        <v>2749</v>
      </c>
      <c r="J280" s="58"/>
      <c r="K280" s="58"/>
      <c r="L280" s="58"/>
      <c r="M280" s="58" t="s">
        <v>119</v>
      </c>
      <c r="N280" s="58"/>
      <c r="O280" s="58" t="s">
        <v>3409</v>
      </c>
      <c r="P280" s="58" t="s">
        <v>3410</v>
      </c>
      <c r="Q280" s="58"/>
      <c r="R280" s="58"/>
      <c r="S280" s="58"/>
      <c r="T280" s="58"/>
      <c r="U280" s="58" t="s">
        <v>3384</v>
      </c>
      <c r="V280" s="58"/>
      <c r="W280" s="58">
        <f t="shared" si="4"/>
        <v>2.8332836265976269E-3</v>
      </c>
    </row>
    <row r="281" spans="1:23" ht="25.95" customHeight="1">
      <c r="A281" s="58" t="s">
        <v>115</v>
      </c>
      <c r="B281" s="58" t="s">
        <v>48</v>
      </c>
      <c r="C281" s="58" t="s">
        <v>3380</v>
      </c>
      <c r="D281" s="58" t="s">
        <v>3411</v>
      </c>
      <c r="E281" s="58" t="s">
        <v>2512</v>
      </c>
      <c r="F281" s="58">
        <v>362541</v>
      </c>
      <c r="G281" s="58">
        <v>362541</v>
      </c>
      <c r="H281" s="58"/>
      <c r="I281" s="58" t="s">
        <v>2513</v>
      </c>
      <c r="J281" s="58"/>
      <c r="K281" s="58"/>
      <c r="L281" s="58"/>
      <c r="M281" s="58" t="s">
        <v>119</v>
      </c>
      <c r="N281" s="58"/>
      <c r="O281" s="58" t="s">
        <v>3412</v>
      </c>
      <c r="P281" s="58" t="s">
        <v>3413</v>
      </c>
      <c r="Q281" s="58"/>
      <c r="R281" s="58"/>
      <c r="S281" s="58"/>
      <c r="T281" s="58"/>
      <c r="U281" s="58" t="s">
        <v>3384</v>
      </c>
      <c r="V281" s="58"/>
      <c r="W281" s="58">
        <f t="shared" si="4"/>
        <v>0</v>
      </c>
    </row>
    <row r="282" spans="1:23" ht="25.95" customHeight="1">
      <c r="A282" s="58" t="s">
        <v>115</v>
      </c>
      <c r="B282" s="58" t="s">
        <v>48</v>
      </c>
      <c r="C282" s="58" t="s">
        <v>3380</v>
      </c>
      <c r="D282" s="58" t="s">
        <v>3414</v>
      </c>
      <c r="E282" s="58" t="s">
        <v>3415</v>
      </c>
      <c r="F282" s="58">
        <v>362541</v>
      </c>
      <c r="G282" s="58">
        <v>317539</v>
      </c>
      <c r="H282" s="58"/>
      <c r="I282" s="58" t="s">
        <v>2513</v>
      </c>
      <c r="J282" s="58"/>
      <c r="K282" s="58"/>
      <c r="L282" s="58" t="s">
        <v>274</v>
      </c>
      <c r="M282" s="58" t="s">
        <v>119</v>
      </c>
      <c r="N282" s="58"/>
      <c r="O282" s="58" t="s">
        <v>3416</v>
      </c>
      <c r="P282" s="58" t="s">
        <v>3417</v>
      </c>
      <c r="Q282" s="58" t="s">
        <v>3370</v>
      </c>
      <c r="R282" s="58"/>
      <c r="S282" s="58"/>
      <c r="T282" s="58"/>
      <c r="U282" s="58" t="s">
        <v>3384</v>
      </c>
      <c r="V282" s="58" t="s">
        <v>3418</v>
      </c>
      <c r="W282" s="58">
        <f t="shared" si="4"/>
        <v>-45002</v>
      </c>
    </row>
    <row r="283" spans="1:23" ht="31.2">
      <c r="A283" s="58" t="s">
        <v>115</v>
      </c>
      <c r="B283" s="58" t="s">
        <v>48</v>
      </c>
      <c r="C283" s="58" t="s">
        <v>3380</v>
      </c>
      <c r="D283" s="58" t="s">
        <v>3419</v>
      </c>
      <c r="E283" s="58" t="s">
        <v>3420</v>
      </c>
      <c r="F283" s="58">
        <v>141007</v>
      </c>
      <c r="G283" s="58">
        <v>141007</v>
      </c>
      <c r="H283" s="58"/>
      <c r="I283" s="58" t="s">
        <v>2513</v>
      </c>
      <c r="J283" s="58"/>
      <c r="K283" s="58"/>
      <c r="L283" s="58"/>
      <c r="M283" s="58" t="s">
        <v>119</v>
      </c>
      <c r="N283" s="58"/>
      <c r="O283" s="58" t="s">
        <v>3421</v>
      </c>
      <c r="P283" s="58" t="s">
        <v>3422</v>
      </c>
      <c r="Q283" s="58"/>
      <c r="R283" s="58"/>
      <c r="S283" s="58"/>
      <c r="T283" s="58"/>
      <c r="U283" s="58" t="s">
        <v>3384</v>
      </c>
      <c r="V283" s="58"/>
      <c r="W283" s="58">
        <f t="shared" si="4"/>
        <v>0</v>
      </c>
    </row>
    <row r="284" spans="1:23" ht="25.95" customHeight="1">
      <c r="A284" s="58" t="s">
        <v>115</v>
      </c>
      <c r="B284" s="58" t="s">
        <v>48</v>
      </c>
      <c r="C284" s="58" t="s">
        <v>3380</v>
      </c>
      <c r="D284" s="58" t="s">
        <v>3423</v>
      </c>
      <c r="E284" s="58" t="s">
        <v>3424</v>
      </c>
      <c r="F284" s="58"/>
      <c r="G284" s="58">
        <v>135189</v>
      </c>
      <c r="H284" s="58"/>
      <c r="I284" s="58" t="s">
        <v>2513</v>
      </c>
      <c r="J284" s="58"/>
      <c r="K284" s="58"/>
      <c r="L284" s="58"/>
      <c r="M284" s="58" t="s">
        <v>119</v>
      </c>
      <c r="N284" s="58"/>
      <c r="O284" s="58" t="s">
        <v>3425</v>
      </c>
      <c r="P284" s="58" t="s">
        <v>3426</v>
      </c>
      <c r="Q284" s="58"/>
      <c r="R284" s="58"/>
      <c r="S284" s="58"/>
      <c r="T284" s="58"/>
      <c r="U284" s="58" t="s">
        <v>3384</v>
      </c>
      <c r="V284" s="58"/>
      <c r="W284" s="58" t="str">
        <f t="shared" si="4"/>
        <v/>
      </c>
    </row>
    <row r="285" spans="1:23" ht="31.2">
      <c r="A285" s="58" t="s">
        <v>115</v>
      </c>
      <c r="B285" s="58" t="s">
        <v>48</v>
      </c>
      <c r="C285" s="58" t="s">
        <v>3380</v>
      </c>
      <c r="D285" s="58" t="s">
        <v>3427</v>
      </c>
      <c r="E285" s="58" t="s">
        <v>3386</v>
      </c>
      <c r="F285" s="58">
        <v>1338345</v>
      </c>
      <c r="G285" s="58">
        <v>1338345</v>
      </c>
      <c r="H285" s="58"/>
      <c r="I285" s="58" t="s">
        <v>2513</v>
      </c>
      <c r="J285" s="58"/>
      <c r="K285" s="58"/>
      <c r="L285" s="58"/>
      <c r="M285" s="58" t="s">
        <v>119</v>
      </c>
      <c r="N285" s="58"/>
      <c r="O285" s="58" t="s">
        <v>3428</v>
      </c>
      <c r="P285" s="58" t="s">
        <v>3429</v>
      </c>
      <c r="Q285" s="58"/>
      <c r="R285" s="58"/>
      <c r="S285" s="58"/>
      <c r="T285" s="58"/>
      <c r="U285" s="58" t="s">
        <v>3384</v>
      </c>
      <c r="V285" s="58"/>
      <c r="W285" s="58">
        <f t="shared" si="4"/>
        <v>0</v>
      </c>
    </row>
    <row r="286" spans="1:23" ht="31.2">
      <c r="A286" s="58" t="s">
        <v>115</v>
      </c>
      <c r="B286" s="58" t="s">
        <v>48</v>
      </c>
      <c r="C286" s="58" t="s">
        <v>3380</v>
      </c>
      <c r="D286" s="58" t="s">
        <v>3430</v>
      </c>
      <c r="E286" s="58" t="s">
        <v>2638</v>
      </c>
      <c r="F286" s="58">
        <v>18.2</v>
      </c>
      <c r="G286" s="58">
        <v>18.234310988163429</v>
      </c>
      <c r="H286" s="58"/>
      <c r="I286" s="58" t="s">
        <v>2749</v>
      </c>
      <c r="J286" s="58"/>
      <c r="K286" s="58"/>
      <c r="L286" s="58"/>
      <c r="M286" s="58" t="s">
        <v>119</v>
      </c>
      <c r="N286" s="58"/>
      <c r="O286" s="58" t="s">
        <v>3431</v>
      </c>
      <c r="P286" s="58" t="s">
        <v>3432</v>
      </c>
      <c r="Q286" s="58"/>
      <c r="R286" s="58"/>
      <c r="S286" s="58"/>
      <c r="T286" s="58"/>
      <c r="U286" s="58" t="s">
        <v>3384</v>
      </c>
      <c r="V286" s="58"/>
      <c r="W286" s="58">
        <f t="shared" si="4"/>
        <v>3.4310988163429812E-2</v>
      </c>
    </row>
    <row r="287" spans="1:23" ht="31.2">
      <c r="A287" s="58" t="s">
        <v>115</v>
      </c>
      <c r="B287" s="58" t="s">
        <v>48</v>
      </c>
      <c r="C287" s="58" t="s">
        <v>3380</v>
      </c>
      <c r="D287" s="58" t="s">
        <v>3433</v>
      </c>
      <c r="E287" s="58" t="s">
        <v>3434</v>
      </c>
      <c r="F287" s="58">
        <v>899453</v>
      </c>
      <c r="G287" s="58">
        <v>899453</v>
      </c>
      <c r="H287" s="58"/>
      <c r="I287" s="58" t="s">
        <v>2513</v>
      </c>
      <c r="J287" s="58"/>
      <c r="K287" s="58"/>
      <c r="L287" s="58"/>
      <c r="M287" s="58" t="s">
        <v>119</v>
      </c>
      <c r="N287" s="58"/>
      <c r="O287" s="58" t="s">
        <v>3435</v>
      </c>
      <c r="P287" s="58" t="s">
        <v>3436</v>
      </c>
      <c r="Q287" s="58"/>
      <c r="R287" s="58"/>
      <c r="S287" s="58"/>
      <c r="T287" s="58"/>
      <c r="U287" s="58" t="s">
        <v>3384</v>
      </c>
      <c r="V287" s="58"/>
      <c r="W287" s="58">
        <f t="shared" si="4"/>
        <v>0</v>
      </c>
    </row>
    <row r="288" spans="1:23" ht="25.95" customHeight="1">
      <c r="A288" s="58" t="s">
        <v>115</v>
      </c>
      <c r="B288" s="58" t="s">
        <v>48</v>
      </c>
      <c r="C288" s="58" t="s">
        <v>3380</v>
      </c>
      <c r="D288" s="58" t="s">
        <v>3437</v>
      </c>
      <c r="E288" s="58" t="s">
        <v>3438</v>
      </c>
      <c r="F288" s="58"/>
      <c r="G288" s="58"/>
      <c r="H288" s="58"/>
      <c r="I288" s="58" t="s">
        <v>2843</v>
      </c>
      <c r="J288" s="58"/>
      <c r="K288" s="58"/>
      <c r="L288" s="58" t="s">
        <v>274</v>
      </c>
      <c r="M288" s="58" t="s">
        <v>119</v>
      </c>
      <c r="N288" s="58"/>
      <c r="O288" s="58" t="s">
        <v>3439</v>
      </c>
      <c r="P288" s="58" t="s">
        <v>3440</v>
      </c>
      <c r="Q288" s="58" t="s">
        <v>3370</v>
      </c>
      <c r="R288" s="58"/>
      <c r="S288" s="58"/>
      <c r="T288" s="58"/>
      <c r="U288" s="58" t="s">
        <v>3384</v>
      </c>
      <c r="V288" s="58" t="s">
        <v>3371</v>
      </c>
      <c r="W288" s="58" t="str">
        <f t="shared" si="4"/>
        <v/>
      </c>
    </row>
    <row r="289" spans="1:23" ht="25.95" customHeight="1">
      <c r="A289" s="58" t="s">
        <v>115</v>
      </c>
      <c r="B289" s="58" t="s">
        <v>48</v>
      </c>
      <c r="C289" s="58" t="s">
        <v>3380</v>
      </c>
      <c r="D289" s="58" t="s">
        <v>3441</v>
      </c>
      <c r="E289" s="58" t="s">
        <v>3438</v>
      </c>
      <c r="F289" s="58"/>
      <c r="G289" s="58"/>
      <c r="H289" s="58"/>
      <c r="I289" s="58" t="s">
        <v>2843</v>
      </c>
      <c r="J289" s="58"/>
      <c r="K289" s="58"/>
      <c r="L289" s="58" t="s">
        <v>274</v>
      </c>
      <c r="M289" s="58" t="s">
        <v>119</v>
      </c>
      <c r="N289" s="58"/>
      <c r="O289" s="58" t="s">
        <v>3442</v>
      </c>
      <c r="P289" s="58" t="s">
        <v>3443</v>
      </c>
      <c r="Q289" s="58" t="s">
        <v>3370</v>
      </c>
      <c r="R289" s="58"/>
      <c r="S289" s="58"/>
      <c r="T289" s="58"/>
      <c r="U289" s="58" t="s">
        <v>3384</v>
      </c>
      <c r="V289" s="58" t="s">
        <v>3375</v>
      </c>
      <c r="W289" s="58" t="str">
        <f t="shared" si="4"/>
        <v/>
      </c>
    </row>
    <row r="290" spans="1:23" ht="25.95" customHeight="1">
      <c r="A290" s="58" t="s">
        <v>115</v>
      </c>
      <c r="B290" s="58" t="s">
        <v>48</v>
      </c>
      <c r="C290" s="58" t="s">
        <v>3380</v>
      </c>
      <c r="D290" s="58" t="s">
        <v>3444</v>
      </c>
      <c r="E290" s="58" t="s">
        <v>3445</v>
      </c>
      <c r="F290" s="58"/>
      <c r="G290" s="58"/>
      <c r="H290" s="58"/>
      <c r="I290" s="58" t="s">
        <v>2843</v>
      </c>
      <c r="J290" s="58"/>
      <c r="K290" s="58"/>
      <c r="L290" s="58" t="s">
        <v>274</v>
      </c>
      <c r="M290" s="58" t="s">
        <v>119</v>
      </c>
      <c r="N290" s="58"/>
      <c r="O290" s="58" t="s">
        <v>3446</v>
      </c>
      <c r="P290" s="58" t="s">
        <v>3447</v>
      </c>
      <c r="Q290" s="58" t="s">
        <v>3370</v>
      </c>
      <c r="R290" s="58"/>
      <c r="S290" s="58"/>
      <c r="T290" s="58"/>
      <c r="U290" s="58" t="s">
        <v>3384</v>
      </c>
      <c r="V290" s="58" t="s">
        <v>3448</v>
      </c>
      <c r="W290" s="58" t="str">
        <f t="shared" si="4"/>
        <v/>
      </c>
    </row>
    <row r="291" spans="1:23" ht="25.95" customHeight="1">
      <c r="A291" s="58" t="s">
        <v>115</v>
      </c>
      <c r="B291" s="58" t="s">
        <v>48</v>
      </c>
      <c r="C291" s="58" t="s">
        <v>3380</v>
      </c>
      <c r="D291" s="58" t="s">
        <v>3449</v>
      </c>
      <c r="E291" s="58" t="s">
        <v>3450</v>
      </c>
      <c r="F291" s="58"/>
      <c r="G291" s="58"/>
      <c r="H291" s="58"/>
      <c r="I291" s="58" t="s">
        <v>2843</v>
      </c>
      <c r="J291" s="58"/>
      <c r="K291" s="58"/>
      <c r="L291" s="58" t="s">
        <v>274</v>
      </c>
      <c r="M291" s="58" t="s">
        <v>119</v>
      </c>
      <c r="N291" s="58"/>
      <c r="O291" s="58" t="s">
        <v>3451</v>
      </c>
      <c r="P291" s="58" t="s">
        <v>3452</v>
      </c>
      <c r="Q291" s="58" t="s">
        <v>3370</v>
      </c>
      <c r="R291" s="58"/>
      <c r="S291" s="58"/>
      <c r="T291" s="58"/>
      <c r="U291" s="58" t="s">
        <v>3384</v>
      </c>
      <c r="V291" s="58" t="s">
        <v>3448</v>
      </c>
      <c r="W291" s="58" t="str">
        <f t="shared" si="4"/>
        <v/>
      </c>
    </row>
    <row r="292" spans="1:23" ht="31.2">
      <c r="A292" s="58" t="s">
        <v>115</v>
      </c>
      <c r="B292" s="58" t="s">
        <v>48</v>
      </c>
      <c r="C292" s="58" t="s">
        <v>3380</v>
      </c>
      <c r="D292" s="58" t="s">
        <v>3453</v>
      </c>
      <c r="E292" s="58" t="s">
        <v>3454</v>
      </c>
      <c r="F292" s="58">
        <v>10.69548899908677</v>
      </c>
      <c r="G292" s="58">
        <v>10.9797404311929</v>
      </c>
      <c r="H292" s="58"/>
      <c r="I292" s="58" t="s">
        <v>2749</v>
      </c>
      <c r="J292" s="58"/>
      <c r="K292" s="58"/>
      <c r="L292" s="58"/>
      <c r="M292" s="58" t="s">
        <v>119</v>
      </c>
      <c r="N292" s="58"/>
      <c r="O292" s="58" t="s">
        <v>3455</v>
      </c>
      <c r="P292" s="58" t="s">
        <v>3456</v>
      </c>
      <c r="Q292" s="58"/>
      <c r="R292" s="58"/>
      <c r="S292" s="58"/>
      <c r="T292" s="58"/>
      <c r="U292" s="58" t="s">
        <v>3384</v>
      </c>
      <c r="V292" s="58"/>
      <c r="W292" s="58">
        <f t="shared" si="4"/>
        <v>0.2842514321061298</v>
      </c>
    </row>
    <row r="293" spans="1:23" ht="31.2">
      <c r="A293" s="58" t="s">
        <v>70</v>
      </c>
      <c r="B293" s="58" t="s">
        <v>35</v>
      </c>
      <c r="C293" s="58" t="s">
        <v>3457</v>
      </c>
      <c r="D293" s="58" t="s">
        <v>3458</v>
      </c>
      <c r="E293" s="58" t="s">
        <v>3459</v>
      </c>
      <c r="F293" s="58"/>
      <c r="G293" s="58"/>
      <c r="H293" s="58"/>
      <c r="I293" s="58"/>
      <c r="J293" s="58"/>
      <c r="K293" s="58"/>
      <c r="L293" s="58" t="s">
        <v>273</v>
      </c>
      <c r="M293" s="58" t="s">
        <v>109</v>
      </c>
      <c r="N293" s="58" t="s">
        <v>110</v>
      </c>
      <c r="O293" s="58" t="s">
        <v>3460</v>
      </c>
      <c r="P293" s="58" t="s">
        <v>3461</v>
      </c>
      <c r="Q293" s="58" t="s">
        <v>3293</v>
      </c>
      <c r="R293" s="58"/>
      <c r="S293" s="58"/>
      <c r="T293" s="58" t="s">
        <v>3293</v>
      </c>
      <c r="U293" s="58" t="s">
        <v>3457</v>
      </c>
      <c r="V293" s="58" t="s">
        <v>3293</v>
      </c>
      <c r="W293" s="58" t="str">
        <f t="shared" si="4"/>
        <v/>
      </c>
    </row>
    <row r="294" spans="1:23" ht="31.2">
      <c r="A294" s="58" t="s">
        <v>57</v>
      </c>
      <c r="B294" s="58" t="s">
        <v>35</v>
      </c>
      <c r="C294" s="58" t="s">
        <v>3457</v>
      </c>
      <c r="D294" s="58" t="s">
        <v>3462</v>
      </c>
      <c r="E294" s="58" t="s">
        <v>3459</v>
      </c>
      <c r="F294" s="58"/>
      <c r="G294" s="58"/>
      <c r="H294" s="58"/>
      <c r="I294" s="58"/>
      <c r="J294" s="58"/>
      <c r="K294" s="58"/>
      <c r="L294" s="58" t="s">
        <v>273</v>
      </c>
      <c r="M294" s="58" t="s">
        <v>112</v>
      </c>
      <c r="N294" s="58" t="s">
        <v>113</v>
      </c>
      <c r="O294" s="58" t="s">
        <v>3463</v>
      </c>
      <c r="P294" s="58" t="s">
        <v>3464</v>
      </c>
      <c r="Q294" s="58" t="s">
        <v>3293</v>
      </c>
      <c r="R294" s="58"/>
      <c r="S294" s="58"/>
      <c r="T294" s="58" t="s">
        <v>3293</v>
      </c>
      <c r="U294" s="58" t="s">
        <v>3457</v>
      </c>
      <c r="V294" s="58" t="s">
        <v>3293</v>
      </c>
      <c r="W294" s="58" t="str">
        <f t="shared" si="4"/>
        <v/>
      </c>
    </row>
    <row r="295" spans="1:23" ht="31.2">
      <c r="A295" s="58" t="s">
        <v>57</v>
      </c>
      <c r="B295" s="58" t="s">
        <v>35</v>
      </c>
      <c r="C295" s="58" t="s">
        <v>3457</v>
      </c>
      <c r="D295" s="58" t="s">
        <v>3458</v>
      </c>
      <c r="E295" s="58" t="s">
        <v>3465</v>
      </c>
      <c r="F295" s="58"/>
      <c r="G295" s="58"/>
      <c r="H295" s="58"/>
      <c r="I295" s="58"/>
      <c r="J295" s="58"/>
      <c r="K295" s="58"/>
      <c r="L295" s="58" t="s">
        <v>273</v>
      </c>
      <c r="M295" s="58" t="s">
        <v>112</v>
      </c>
      <c r="N295" s="58" t="s">
        <v>113</v>
      </c>
      <c r="O295" s="58" t="s">
        <v>3466</v>
      </c>
      <c r="P295" s="58" t="s">
        <v>3467</v>
      </c>
      <c r="Q295" s="58" t="s">
        <v>3293</v>
      </c>
      <c r="R295" s="58"/>
      <c r="S295" s="58"/>
      <c r="T295" s="58" t="s">
        <v>3293</v>
      </c>
      <c r="U295" s="58" t="s">
        <v>3457</v>
      </c>
      <c r="V295" s="58" t="s">
        <v>3293</v>
      </c>
      <c r="W295" s="58" t="str">
        <f t="shared" si="4"/>
        <v/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87"/>
  <sheetViews>
    <sheetView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4"/>
  <cols>
    <col min="1" max="1" width="24.77734375" customWidth="1"/>
    <col min="2" max="2" width="30.77734375" customWidth="1"/>
    <col min="3" max="5" width="48.77734375" customWidth="1"/>
    <col min="8" max="8" width="13.77734375" customWidth="1"/>
    <col min="9" max="10" width="30.77734375" customWidth="1"/>
    <col min="11" max="11" width="19.77734375" customWidth="1"/>
    <col min="12" max="12" width="30.77734375" customWidth="1"/>
  </cols>
  <sheetData>
    <row r="1" spans="1:12" ht="30" customHeight="1">
      <c r="A1" s="57" t="s">
        <v>3469</v>
      </c>
      <c r="B1" s="57" t="s">
        <v>3470</v>
      </c>
      <c r="C1" s="57" t="s">
        <v>3471</v>
      </c>
      <c r="D1" s="57" t="s">
        <v>3472</v>
      </c>
      <c r="E1" s="57" t="s">
        <v>3473</v>
      </c>
      <c r="H1" s="202" t="s">
        <v>3626</v>
      </c>
      <c r="I1" s="203"/>
      <c r="J1" s="203"/>
      <c r="K1" s="203"/>
      <c r="L1" s="204"/>
    </row>
    <row r="2" spans="1:12" ht="30" customHeight="1">
      <c r="A2" s="58" t="s">
        <v>3474</v>
      </c>
      <c r="B2" s="58" t="s">
        <v>36</v>
      </c>
      <c r="C2" s="58" t="s">
        <v>3475</v>
      </c>
      <c r="D2" s="58" t="s">
        <v>3476</v>
      </c>
      <c r="E2" s="58" t="s">
        <v>3477</v>
      </c>
      <c r="H2" s="56" t="s">
        <v>0</v>
      </c>
      <c r="I2" s="56" t="s">
        <v>3627</v>
      </c>
      <c r="J2" s="56" t="s">
        <v>3628</v>
      </c>
      <c r="K2" s="56" t="s">
        <v>3629</v>
      </c>
      <c r="L2" s="56" t="s">
        <v>3630</v>
      </c>
    </row>
    <row r="3" spans="1:12" ht="30" customHeight="1">
      <c r="A3" s="58" t="s">
        <v>3474</v>
      </c>
      <c r="B3" s="58" t="s">
        <v>37</v>
      </c>
      <c r="C3" s="58" t="s">
        <v>3478</v>
      </c>
      <c r="D3" s="58" t="s">
        <v>3479</v>
      </c>
      <c r="E3" s="58" t="s">
        <v>3477</v>
      </c>
      <c r="H3" s="56" t="s">
        <v>1</v>
      </c>
      <c r="I3" s="56" t="s">
        <v>3631</v>
      </c>
      <c r="J3" s="56" t="s">
        <v>3631</v>
      </c>
      <c r="K3" s="56" t="s">
        <v>3632</v>
      </c>
      <c r="L3" s="56" t="s">
        <v>3633</v>
      </c>
    </row>
    <row r="4" spans="1:12" ht="30" customHeight="1">
      <c r="A4" s="58" t="s">
        <v>3474</v>
      </c>
      <c r="B4" s="58" t="s">
        <v>38</v>
      </c>
      <c r="C4" s="58" t="s">
        <v>3480</v>
      </c>
      <c r="D4" s="58" t="s">
        <v>3590</v>
      </c>
      <c r="E4" s="58" t="s">
        <v>3477</v>
      </c>
      <c r="H4" s="56" t="s">
        <v>13</v>
      </c>
      <c r="I4" s="56" t="s">
        <v>3634</v>
      </c>
      <c r="J4" s="56" t="s">
        <v>3634</v>
      </c>
      <c r="K4" s="56" t="s">
        <v>3632</v>
      </c>
      <c r="L4" s="56" t="s">
        <v>3635</v>
      </c>
    </row>
    <row r="5" spans="1:12" ht="30" customHeight="1">
      <c r="A5" s="58" t="s">
        <v>3474</v>
      </c>
      <c r="B5" s="58" t="s">
        <v>39</v>
      </c>
      <c r="C5" s="58" t="s">
        <v>3481</v>
      </c>
      <c r="D5" s="58" t="s">
        <v>3657</v>
      </c>
      <c r="E5" s="58" t="s">
        <v>3477</v>
      </c>
      <c r="H5" s="56" t="s">
        <v>14</v>
      </c>
      <c r="I5" s="56" t="s">
        <v>3636</v>
      </c>
      <c r="J5" s="56" t="s">
        <v>3636</v>
      </c>
      <c r="K5" s="56" t="s">
        <v>3637</v>
      </c>
      <c r="L5" s="56" t="s">
        <v>3638</v>
      </c>
    </row>
    <row r="6" spans="1:12" ht="30" customHeight="1">
      <c r="A6" s="58" t="s">
        <v>3474</v>
      </c>
      <c r="B6" s="58" t="s">
        <v>40</v>
      </c>
      <c r="C6" s="58" t="s">
        <v>3482</v>
      </c>
      <c r="D6" s="58" t="s">
        <v>3483</v>
      </c>
      <c r="E6" s="58" t="s">
        <v>3477</v>
      </c>
      <c r="H6" s="56" t="s">
        <v>15</v>
      </c>
      <c r="I6" s="56" t="s">
        <v>3639</v>
      </c>
      <c r="J6" s="56" t="s">
        <v>3639</v>
      </c>
      <c r="K6" s="56" t="s">
        <v>3637</v>
      </c>
      <c r="L6" s="56" t="s">
        <v>3640</v>
      </c>
    </row>
    <row r="7" spans="1:12" ht="30" customHeight="1">
      <c r="A7" s="58" t="s">
        <v>3474</v>
      </c>
      <c r="B7" s="58" t="s">
        <v>41</v>
      </c>
      <c r="C7" s="58" t="s">
        <v>41</v>
      </c>
      <c r="D7" s="58" t="s">
        <v>4730</v>
      </c>
      <c r="E7" s="58" t="s">
        <v>3477</v>
      </c>
      <c r="H7" s="56" t="s">
        <v>16</v>
      </c>
      <c r="I7" s="56" t="s">
        <v>3641</v>
      </c>
      <c r="J7" s="56" t="s">
        <v>3641</v>
      </c>
      <c r="K7" s="56" t="s">
        <v>3637</v>
      </c>
      <c r="L7" s="56" t="s">
        <v>3638</v>
      </c>
    </row>
    <row r="8" spans="1:12" ht="30" customHeight="1">
      <c r="A8" s="58" t="s">
        <v>3474</v>
      </c>
      <c r="B8" s="58" t="s">
        <v>42</v>
      </c>
      <c r="C8" s="58" t="s">
        <v>3484</v>
      </c>
      <c r="D8" s="58" t="s">
        <v>3485</v>
      </c>
      <c r="E8" s="58" t="s">
        <v>3477</v>
      </c>
      <c r="H8" s="56" t="s">
        <v>17</v>
      </c>
      <c r="I8" s="56" t="s">
        <v>3642</v>
      </c>
      <c r="J8" s="56" t="inlineStr">
        <is>
          <t>gemini-3.8-flash</t>
        </is>
      </c>
      <c r="K8" s="56" t="s">
        <v>3632</v>
      </c>
      <c r="L8" s="56" t="s">
        <v>3643</v>
      </c>
    </row>
    <row r="9" spans="1:12" ht="48" customHeight="1">
      <c r="A9" s="58" t="s">
        <v>3474</v>
      </c>
      <c r="B9" s="58" t="s">
        <v>43</v>
      </c>
      <c r="C9" s="58" t="s">
        <v>3486</v>
      </c>
      <c r="D9" s="58" t="s">
        <v>127</v>
      </c>
      <c r="E9" s="58" t="s">
        <v>3487</v>
      </c>
      <c r="H9" s="56" t="s">
        <v>21</v>
      </c>
      <c r="I9" s="56" t="s">
        <v>3644</v>
      </c>
      <c r="J9" s="56" t="s">
        <v>3645</v>
      </c>
      <c r="K9" s="56" t="inlineStr">
        <is>
          <t>Claude medium；Grok high-fast</t>
        </is>
      </c>
      <c r="L9" s="56" t="s">
        <v>3635</v>
      </c>
    </row>
    <row r="10" spans="1:12" ht="30" customHeight="1">
      <c r="A10" s="58" t="s">
        <v>3474</v>
      </c>
      <c r="B10" s="58" t="s">
        <v>44</v>
      </c>
      <c r="C10" s="58" t="s">
        <v>3488</v>
      </c>
      <c r="D10" s="58" t="s">
        <v>3485</v>
      </c>
      <c r="E10" s="58" t="s">
        <v>3489</v>
      </c>
      <c r="H10" s="56" t="s">
        <v>20</v>
      </c>
      <c r="I10" s="56" t="inlineStr">
        <is>
          <t>kimi-k3</t>
        </is>
      </c>
      <c r="J10" s="56" t="s">
        <v>3647</v>
      </c>
      <c r="K10" s="56" t="s">
        <v>3637</v>
      </c>
      <c r="L10" s="56" t="s">
        <v>3638</v>
      </c>
    </row>
    <row r="11" spans="1:12" ht="30" customHeight="1">
      <c r="A11" s="58" t="s">
        <v>3474</v>
      </c>
      <c r="B11" s="58" t="s">
        <v>45</v>
      </c>
      <c r="C11" s="58" t="s">
        <v>3490</v>
      </c>
      <c r="D11" s="58" t="s">
        <v>3491</v>
      </c>
      <c r="E11" s="58" t="s">
        <v>3477</v>
      </c>
      <c r="H11" s="205" t="s">
        <v>3649</v>
      </c>
      <c r="I11" s="206"/>
      <c r="J11" s="206"/>
      <c r="K11" s="206"/>
      <c r="L11" s="207"/>
    </row>
    <row r="12" spans="1:12" ht="42" customHeight="1">
      <c r="A12" s="58" t="s">
        <v>3474</v>
      </c>
      <c r="B12" s="58" t="s">
        <v>46</v>
      </c>
      <c r="C12" s="58" t="s">
        <v>3492</v>
      </c>
      <c r="D12" s="58" t="s">
        <v>3491</v>
      </c>
      <c r="E12" s="58" t="s">
        <v>3493</v>
      </c>
      <c r="H12" s="54" t="s">
        <v>3629</v>
      </c>
      <c r="I12" s="199" t="inlineStr">
        <is>
          <t>参赛原运行：海外模型为中，国内模型为Claude Code的high；Grok接续阶段为high-fast。</t>
        </is>
      </c>
      <c r="J12" s="200"/>
      <c r="K12" s="200"/>
      <c r="L12" s="201"/>
    </row>
    <row r="13" spans="1:12" ht="42" customHeight="1">
      <c r="A13" s="58" t="s">
        <v>3474</v>
      </c>
      <c r="B13" s="58" t="s">
        <v>47</v>
      </c>
      <c r="C13" s="58" t="s">
        <v>3494</v>
      </c>
      <c r="D13" s="58" t="s">
        <v>3491</v>
      </c>
      <c r="E13" s="58" t="s">
        <v>3477</v>
      </c>
      <c r="H13" s="55" t="s">
        <v>3650</v>
      </c>
      <c r="I13" s="208" t="s">
        <v>3651</v>
      </c>
      <c r="J13" s="209"/>
      <c r="K13" s="209"/>
      <c r="L13" s="210"/>
    </row>
    <row r="14" spans="1:12" ht="42" customHeight="1">
      <c r="A14" s="58" t="s">
        <v>3474</v>
      </c>
      <c r="B14" s="58" t="s">
        <v>121</v>
      </c>
      <c r="C14" s="58" t="s">
        <v>3495</v>
      </c>
      <c r="D14" s="58" t="s">
        <v>127</v>
      </c>
      <c r="E14" s="58" t="s">
        <v>3496</v>
      </c>
      <c r="H14" s="54" t="s">
        <v>3652</v>
      </c>
      <c r="I14" s="199" t="inlineStr">
        <is>
          <t>Gemini两轮为gemini-3.8-flash；Kimi两轮为kimi-k3；Claude第二轮未运行。</t>
        </is>
      </c>
      <c r="J14" s="200"/>
      <c r="K14" s="200"/>
      <c r="L14" s="201"/>
    </row>
    <row r="15" spans="1:12" ht="25.95" customHeight="1">
      <c r="A15" s="58" t="s">
        <v>3474</v>
      </c>
      <c r="B15" s="58" t="s">
        <v>4734</v>
      </c>
      <c r="C15" s="58" t="s">
        <v>4735</v>
      </c>
      <c r="D15" s="58" t="s">
        <v>127</v>
      </c>
      <c r="E15" s="58" t="s">
        <v>4736</v>
      </c>
    </row>
    <row r="16" spans="1:12" ht="25.95" customHeight="1">
      <c r="A16" s="58" t="s">
        <v>3474</v>
      </c>
      <c r="B16" s="58" t="s">
        <v>4737</v>
      </c>
      <c r="C16" s="58" t="s">
        <v>4738</v>
      </c>
      <c r="D16" s="58" t="s">
        <v>127</v>
      </c>
      <c r="E16" s="58" t="s">
        <v>4736</v>
      </c>
    </row>
    <row r="17" spans="1:5" ht="25.95" customHeight="1">
      <c r="A17" s="58" t="s">
        <v>3474</v>
      </c>
      <c r="B17" s="58" t="s">
        <v>122</v>
      </c>
      <c r="C17" s="58" t="s">
        <v>3497</v>
      </c>
      <c r="D17" s="58" t="s">
        <v>127</v>
      </c>
      <c r="E17" s="58" t="s">
        <v>3498</v>
      </c>
    </row>
    <row r="18" spans="1:5" ht="25.95" customHeight="1">
      <c r="A18" s="58" t="s">
        <v>3474</v>
      </c>
      <c r="B18" s="58" t="s">
        <v>123</v>
      </c>
      <c r="C18" s="58" t="s">
        <v>4739</v>
      </c>
      <c r="D18" s="58" t="s">
        <v>127</v>
      </c>
      <c r="E18" s="58" t="s">
        <v>3499</v>
      </c>
    </row>
    <row r="19" spans="1:5" ht="25.95" customHeight="1">
      <c r="A19" s="58" t="s">
        <v>3474</v>
      </c>
      <c r="B19" s="58" t="s">
        <v>124</v>
      </c>
      <c r="C19" s="58" t="s">
        <v>4740</v>
      </c>
      <c r="D19" s="58" t="s">
        <v>127</v>
      </c>
      <c r="E19" s="58" t="s">
        <v>3499</v>
      </c>
    </row>
    <row r="20" spans="1:5" ht="31.2">
      <c r="A20" s="58" t="s">
        <v>3500</v>
      </c>
      <c r="B20" s="58" t="s">
        <v>36</v>
      </c>
      <c r="C20" s="58" t="s">
        <v>3475</v>
      </c>
      <c r="D20" s="58" t="s">
        <v>3476</v>
      </c>
      <c r="E20" s="58" t="s">
        <v>3477</v>
      </c>
    </row>
    <row r="21" spans="1:5" ht="25.95" customHeight="1">
      <c r="A21" s="58" t="s">
        <v>3500</v>
      </c>
      <c r="B21" s="58" t="s">
        <v>37</v>
      </c>
      <c r="C21" s="58" t="s">
        <v>3478</v>
      </c>
      <c r="D21" s="58" t="s">
        <v>3479</v>
      </c>
      <c r="E21" s="58" t="s">
        <v>3477</v>
      </c>
    </row>
    <row r="22" spans="1:5" ht="31.2">
      <c r="A22" s="58" t="s">
        <v>3500</v>
      </c>
      <c r="B22" s="58" t="s">
        <v>125</v>
      </c>
      <c r="C22" s="58" t="s">
        <v>125</v>
      </c>
      <c r="D22" s="58" t="s">
        <v>4741</v>
      </c>
      <c r="E22" s="58" t="s">
        <v>3477</v>
      </c>
    </row>
    <row r="23" spans="1:5" ht="25.95" customHeight="1">
      <c r="A23" s="58" t="s">
        <v>3500</v>
      </c>
      <c r="B23" s="58" t="s">
        <v>126</v>
      </c>
      <c r="C23" s="58" t="s">
        <v>3501</v>
      </c>
      <c r="D23" s="58" t="s">
        <v>3485</v>
      </c>
      <c r="E23" s="58" t="s">
        <v>3477</v>
      </c>
    </row>
    <row r="24" spans="1:5" ht="25.95" customHeight="1">
      <c r="A24" s="58" t="s">
        <v>3500</v>
      </c>
      <c r="B24" s="58" t="s">
        <v>127</v>
      </c>
      <c r="C24" s="58" t="s">
        <v>3502</v>
      </c>
      <c r="D24" s="58" t="s">
        <v>127</v>
      </c>
      <c r="E24" s="58" t="s">
        <v>3477</v>
      </c>
    </row>
    <row r="25" spans="1:5" ht="31.2">
      <c r="A25" s="58" t="s">
        <v>3500</v>
      </c>
      <c r="B25" s="58" t="s">
        <v>128</v>
      </c>
      <c r="C25" s="58" t="s">
        <v>3503</v>
      </c>
      <c r="D25" s="58" t="s">
        <v>4742</v>
      </c>
      <c r="E25" s="58" t="s">
        <v>3504</v>
      </c>
    </row>
    <row r="26" spans="1:5" ht="25.95" customHeight="1">
      <c r="A26" s="58" t="s">
        <v>3500</v>
      </c>
      <c r="B26" s="58" t="s">
        <v>129</v>
      </c>
      <c r="C26" s="58" t="s">
        <v>3505</v>
      </c>
      <c r="D26" s="58" t="s">
        <v>4743</v>
      </c>
      <c r="E26" s="58" t="s">
        <v>3477</v>
      </c>
    </row>
    <row r="27" spans="1:5" ht="25.95" customHeight="1">
      <c r="A27" s="58" t="s">
        <v>3500</v>
      </c>
      <c r="B27" s="58" t="s">
        <v>45</v>
      </c>
      <c r="C27" s="58" t="s">
        <v>3490</v>
      </c>
      <c r="D27" s="58" t="s">
        <v>3491</v>
      </c>
      <c r="E27" s="58" t="s">
        <v>3477</v>
      </c>
    </row>
    <row r="28" spans="1:5" ht="25.95" customHeight="1">
      <c r="A28" s="58" t="s">
        <v>3500</v>
      </c>
      <c r="B28" s="58" t="s">
        <v>46</v>
      </c>
      <c r="C28" s="58" t="s">
        <v>3492</v>
      </c>
      <c r="D28" s="58" t="s">
        <v>3491</v>
      </c>
      <c r="E28" s="58" t="s">
        <v>3493</v>
      </c>
    </row>
    <row r="29" spans="1:5" ht="25.95" customHeight="1">
      <c r="A29" s="58" t="s">
        <v>3500</v>
      </c>
      <c r="B29" s="58" t="s">
        <v>130</v>
      </c>
      <c r="C29" s="58" t="s">
        <v>3506</v>
      </c>
      <c r="D29" s="58" t="s">
        <v>3491</v>
      </c>
      <c r="E29" s="58" t="s">
        <v>3477</v>
      </c>
    </row>
    <row r="30" spans="1:5" ht="25.95" customHeight="1">
      <c r="A30" s="58" t="s">
        <v>3500</v>
      </c>
      <c r="B30" s="58" t="s">
        <v>47</v>
      </c>
      <c r="C30" s="58" t="s">
        <v>3494</v>
      </c>
      <c r="D30" s="58" t="s">
        <v>3491</v>
      </c>
      <c r="E30" s="58" t="s">
        <v>3477</v>
      </c>
    </row>
    <row r="31" spans="1:5" ht="25.95" customHeight="1">
      <c r="A31" s="58" t="s">
        <v>3507</v>
      </c>
      <c r="B31" s="58" t="s">
        <v>36</v>
      </c>
      <c r="C31" s="58" t="s">
        <v>3475</v>
      </c>
      <c r="D31" s="58" t="s">
        <v>3508</v>
      </c>
      <c r="E31" s="58" t="s">
        <v>3477</v>
      </c>
    </row>
    <row r="32" spans="1:5" ht="25.95" customHeight="1">
      <c r="A32" s="58" t="s">
        <v>3507</v>
      </c>
      <c r="B32" s="58" t="s">
        <v>37</v>
      </c>
      <c r="C32" s="58" t="s">
        <v>3478</v>
      </c>
      <c r="D32" s="58" t="s">
        <v>3479</v>
      </c>
      <c r="E32" s="58" t="s">
        <v>3477</v>
      </c>
    </row>
    <row r="33" spans="1:5" ht="25.95" customHeight="1">
      <c r="A33" s="58" t="s">
        <v>3507</v>
      </c>
      <c r="B33" s="58" t="s">
        <v>167</v>
      </c>
      <c r="C33" s="58" t="s">
        <v>3509</v>
      </c>
      <c r="D33" s="58" t="s">
        <v>3510</v>
      </c>
      <c r="E33" s="58" t="s">
        <v>3477</v>
      </c>
    </row>
    <row r="34" spans="1:5" ht="25.95" customHeight="1">
      <c r="A34" s="58" t="s">
        <v>3507</v>
      </c>
      <c r="B34" s="58" t="s">
        <v>168</v>
      </c>
      <c r="C34" s="58" t="s">
        <v>3511</v>
      </c>
      <c r="D34" s="58" t="s">
        <v>3512</v>
      </c>
      <c r="E34" s="58" t="s">
        <v>3477</v>
      </c>
    </row>
    <row r="35" spans="1:5" ht="25.95" customHeight="1">
      <c r="A35" s="58" t="s">
        <v>3507</v>
      </c>
      <c r="B35" s="58" t="s">
        <v>169</v>
      </c>
      <c r="C35" s="58" t="s">
        <v>3513</v>
      </c>
      <c r="D35" s="58" t="s">
        <v>127</v>
      </c>
      <c r="E35" s="58" t="s">
        <v>3477</v>
      </c>
    </row>
    <row r="36" spans="1:5" ht="25.95" customHeight="1">
      <c r="A36" s="58" t="s">
        <v>3507</v>
      </c>
      <c r="B36" s="58" t="s">
        <v>170</v>
      </c>
      <c r="C36" s="58" t="s">
        <v>3514</v>
      </c>
      <c r="D36" s="58" t="s">
        <v>3515</v>
      </c>
      <c r="E36" s="58" t="s">
        <v>3477</v>
      </c>
    </row>
    <row r="37" spans="1:5" ht="25.95" customHeight="1">
      <c r="A37" s="58" t="s">
        <v>3507</v>
      </c>
      <c r="B37" s="58" t="s">
        <v>171</v>
      </c>
      <c r="C37" s="58" t="s">
        <v>3516</v>
      </c>
      <c r="D37" s="58" t="s">
        <v>127</v>
      </c>
      <c r="E37" s="58" t="s">
        <v>3477</v>
      </c>
    </row>
    <row r="38" spans="1:5" ht="25.95" customHeight="1">
      <c r="A38" s="58" t="s">
        <v>3507</v>
      </c>
      <c r="B38" s="58" t="s">
        <v>172</v>
      </c>
      <c r="C38" s="58" t="s">
        <v>3517</v>
      </c>
      <c r="D38" s="58" t="s">
        <v>127</v>
      </c>
      <c r="E38" s="58" t="s">
        <v>3477</v>
      </c>
    </row>
    <row r="39" spans="1:5" ht="25.95" customHeight="1">
      <c r="A39" s="58" t="s">
        <v>3507</v>
      </c>
      <c r="B39" s="58" t="s">
        <v>173</v>
      </c>
      <c r="C39" s="58" t="s">
        <v>3518</v>
      </c>
      <c r="D39" s="58" t="s">
        <v>127</v>
      </c>
      <c r="E39" s="58" t="s">
        <v>3477</v>
      </c>
    </row>
    <row r="40" spans="1:5" ht="25.95" customHeight="1">
      <c r="A40" s="58" t="s">
        <v>3507</v>
      </c>
      <c r="B40" s="58" t="s">
        <v>174</v>
      </c>
      <c r="C40" s="58" t="s">
        <v>3519</v>
      </c>
      <c r="D40" s="58" t="s">
        <v>127</v>
      </c>
      <c r="E40" s="58" t="s">
        <v>3477</v>
      </c>
    </row>
    <row r="41" spans="1:5" ht="25.95" customHeight="1">
      <c r="A41" s="58" t="s">
        <v>3507</v>
      </c>
      <c r="B41" s="58" t="s">
        <v>129</v>
      </c>
      <c r="C41" s="58" t="s">
        <v>3505</v>
      </c>
      <c r="D41" s="58" t="s">
        <v>178</v>
      </c>
      <c r="E41" s="58" t="s">
        <v>3477</v>
      </c>
    </row>
    <row r="42" spans="1:5" ht="25.95" customHeight="1">
      <c r="A42" s="58" t="s">
        <v>3507</v>
      </c>
      <c r="B42" s="58" t="s">
        <v>45</v>
      </c>
      <c r="C42" s="58" t="s">
        <v>3490</v>
      </c>
      <c r="D42" s="58" t="s">
        <v>3491</v>
      </c>
      <c r="E42" s="58" t="s">
        <v>3477</v>
      </c>
    </row>
    <row r="43" spans="1:5" ht="25.95" customHeight="1">
      <c r="A43" s="58" t="s">
        <v>3507</v>
      </c>
      <c r="B43" s="58" t="s">
        <v>46</v>
      </c>
      <c r="C43" s="58" t="s">
        <v>3492</v>
      </c>
      <c r="D43" s="58" t="s">
        <v>3491</v>
      </c>
      <c r="E43" s="58" t="s">
        <v>3493</v>
      </c>
    </row>
    <row r="44" spans="1:5" ht="25.95" customHeight="1">
      <c r="A44" s="58" t="s">
        <v>3507</v>
      </c>
      <c r="B44" s="58" t="s">
        <v>47</v>
      </c>
      <c r="C44" s="58" t="s">
        <v>3494</v>
      </c>
      <c r="D44" s="58" t="s">
        <v>3491</v>
      </c>
      <c r="E44" s="58" t="s">
        <v>3477</v>
      </c>
    </row>
    <row r="45" spans="1:5" ht="31.2">
      <c r="A45" s="58" t="s">
        <v>3520</v>
      </c>
      <c r="B45" s="58" t="s">
        <v>36</v>
      </c>
      <c r="C45" s="58" t="s">
        <v>3475</v>
      </c>
      <c r="D45" s="58" t="s">
        <v>3476</v>
      </c>
      <c r="E45" s="58" t="s">
        <v>3477</v>
      </c>
    </row>
    <row r="46" spans="1:5" ht="25.95" customHeight="1">
      <c r="A46" s="58" t="s">
        <v>3520</v>
      </c>
      <c r="B46" s="58" t="s">
        <v>37</v>
      </c>
      <c r="C46" s="58" t="s">
        <v>3478</v>
      </c>
      <c r="D46" s="58" t="s">
        <v>3479</v>
      </c>
      <c r="E46" s="58" t="s">
        <v>3477</v>
      </c>
    </row>
    <row r="47" spans="1:5" ht="25.95" customHeight="1">
      <c r="A47" s="58" t="s">
        <v>3520</v>
      </c>
      <c r="B47" s="58" t="s">
        <v>256</v>
      </c>
      <c r="C47" s="58" t="s">
        <v>3521</v>
      </c>
      <c r="D47" s="58" t="s">
        <v>3485</v>
      </c>
      <c r="E47" s="58" t="s">
        <v>3477</v>
      </c>
    </row>
    <row r="48" spans="1:5" ht="25.95" customHeight="1">
      <c r="A48" s="58" t="s">
        <v>3520</v>
      </c>
      <c r="B48" s="58" t="s">
        <v>257</v>
      </c>
      <c r="C48" s="58" t="s">
        <v>3522</v>
      </c>
      <c r="D48" s="58" t="s">
        <v>3523</v>
      </c>
      <c r="E48" s="58" t="s">
        <v>3477</v>
      </c>
    </row>
    <row r="49" spans="1:5" ht="25.95" customHeight="1">
      <c r="A49" s="58" t="s">
        <v>3520</v>
      </c>
      <c r="B49" s="58" t="s">
        <v>258</v>
      </c>
      <c r="C49" s="58" t="s">
        <v>3524</v>
      </c>
      <c r="D49" s="58" t="s">
        <v>3485</v>
      </c>
      <c r="E49" s="58" t="s">
        <v>3477</v>
      </c>
    </row>
    <row r="50" spans="1:5" ht="25.95" customHeight="1">
      <c r="A50" s="58" t="s">
        <v>3520</v>
      </c>
      <c r="B50" s="58" t="s">
        <v>259</v>
      </c>
      <c r="C50" s="58" t="s">
        <v>3525</v>
      </c>
      <c r="D50" s="58" t="s">
        <v>3526</v>
      </c>
      <c r="E50" s="58" t="s">
        <v>3477</v>
      </c>
    </row>
    <row r="51" spans="1:5" ht="25.95" customHeight="1">
      <c r="A51" s="58" t="s">
        <v>3520</v>
      </c>
      <c r="B51" s="58" t="s">
        <v>260</v>
      </c>
      <c r="C51" s="58" t="s">
        <v>3527</v>
      </c>
      <c r="D51" s="58" t="s">
        <v>3528</v>
      </c>
      <c r="E51" s="58" t="s">
        <v>3477</v>
      </c>
    </row>
    <row r="52" spans="1:5" ht="25.95" customHeight="1">
      <c r="A52" s="58" t="s">
        <v>3520</v>
      </c>
      <c r="B52" s="58" t="s">
        <v>261</v>
      </c>
      <c r="C52" s="58" t="s">
        <v>3529</v>
      </c>
      <c r="D52" s="58" t="s">
        <v>3526</v>
      </c>
      <c r="E52" s="58" t="s">
        <v>3477</v>
      </c>
    </row>
    <row r="53" spans="1:5" ht="25.95" customHeight="1">
      <c r="A53" s="58" t="s">
        <v>3520</v>
      </c>
      <c r="B53" s="58" t="s">
        <v>262</v>
      </c>
      <c r="C53" s="58" t="s">
        <v>3530</v>
      </c>
      <c r="D53" s="58" t="s">
        <v>3528</v>
      </c>
      <c r="E53" s="58" t="s">
        <v>3477</v>
      </c>
    </row>
    <row r="54" spans="1:5" ht="25.95" customHeight="1">
      <c r="A54" s="58" t="s">
        <v>3520</v>
      </c>
      <c r="B54" s="58" t="s">
        <v>263</v>
      </c>
      <c r="C54" s="58" t="s">
        <v>3531</v>
      </c>
      <c r="D54" s="58" t="s">
        <v>273</v>
      </c>
      <c r="E54" s="58" t="s">
        <v>3532</v>
      </c>
    </row>
    <row r="55" spans="1:5" ht="25.95" customHeight="1">
      <c r="A55" s="58" t="s">
        <v>3520</v>
      </c>
      <c r="B55" s="58" t="s">
        <v>264</v>
      </c>
      <c r="C55" s="58" t="s">
        <v>3533</v>
      </c>
      <c r="D55" s="58" t="s">
        <v>3528</v>
      </c>
      <c r="E55" s="58" t="s">
        <v>3534</v>
      </c>
    </row>
    <row r="56" spans="1:5" ht="25.95" customHeight="1">
      <c r="A56" s="58" t="s">
        <v>3520</v>
      </c>
      <c r="B56" s="58" t="s">
        <v>265</v>
      </c>
      <c r="C56" s="58" t="s">
        <v>3535</v>
      </c>
      <c r="D56" s="58" t="s">
        <v>3536</v>
      </c>
      <c r="E56" s="58" t="s">
        <v>3477</v>
      </c>
    </row>
    <row r="57" spans="1:5" ht="25.95" customHeight="1">
      <c r="A57" s="58" t="s">
        <v>3520</v>
      </c>
      <c r="B57" s="58" t="s">
        <v>266</v>
      </c>
      <c r="C57" s="58" t="s">
        <v>3537</v>
      </c>
      <c r="D57" s="58" t="s">
        <v>3538</v>
      </c>
      <c r="E57" s="58" t="s">
        <v>3477</v>
      </c>
    </row>
    <row r="58" spans="1:5" ht="25.95" customHeight="1">
      <c r="A58" s="58" t="s">
        <v>3520</v>
      </c>
      <c r="B58" s="58" t="s">
        <v>267</v>
      </c>
      <c r="C58" s="58" t="s">
        <v>3539</v>
      </c>
      <c r="D58" s="58" t="s">
        <v>127</v>
      </c>
      <c r="E58" s="58" t="s">
        <v>3540</v>
      </c>
    </row>
    <row r="59" spans="1:5" ht="25.95" customHeight="1">
      <c r="A59" s="58" t="s">
        <v>3520</v>
      </c>
      <c r="B59" s="58" t="s">
        <v>268</v>
      </c>
      <c r="C59" s="58" t="s">
        <v>3541</v>
      </c>
      <c r="D59" s="58" t="s">
        <v>3485</v>
      </c>
      <c r="E59" s="58" t="s">
        <v>3477</v>
      </c>
    </row>
    <row r="60" spans="1:5" ht="25.95" customHeight="1">
      <c r="A60" s="58" t="s">
        <v>3520</v>
      </c>
      <c r="B60" s="58" t="s">
        <v>45</v>
      </c>
      <c r="C60" s="58" t="s">
        <v>3490</v>
      </c>
      <c r="D60" s="58" t="s">
        <v>3491</v>
      </c>
      <c r="E60" s="58" t="s">
        <v>3477</v>
      </c>
    </row>
    <row r="61" spans="1:5" ht="25.95" customHeight="1">
      <c r="A61" s="58" t="s">
        <v>3520</v>
      </c>
      <c r="B61" s="58" t="s">
        <v>46</v>
      </c>
      <c r="C61" s="58" t="s">
        <v>3492</v>
      </c>
      <c r="D61" s="58" t="s">
        <v>3491</v>
      </c>
      <c r="E61" s="58" t="s">
        <v>3493</v>
      </c>
    </row>
    <row r="62" spans="1:5" ht="25.95" customHeight="1">
      <c r="A62" s="58" t="s">
        <v>3520</v>
      </c>
      <c r="B62" s="58" t="s">
        <v>269</v>
      </c>
      <c r="C62" s="58" t="s">
        <v>3542</v>
      </c>
      <c r="D62" s="58" t="s">
        <v>3491</v>
      </c>
      <c r="E62" s="58" t="s">
        <v>3477</v>
      </c>
    </row>
    <row r="63" spans="1:5" ht="25.95" customHeight="1">
      <c r="A63" s="58" t="s">
        <v>3520</v>
      </c>
      <c r="B63" s="58" t="s">
        <v>47</v>
      </c>
      <c r="C63" s="58" t="s">
        <v>3494</v>
      </c>
      <c r="D63" s="58" t="s">
        <v>3491</v>
      </c>
      <c r="E63" s="58" t="s">
        <v>3477</v>
      </c>
    </row>
    <row r="64" spans="1:5" ht="25.95" customHeight="1">
      <c r="A64" s="58" t="s">
        <v>3520</v>
      </c>
      <c r="B64" s="58" t="s">
        <v>270</v>
      </c>
      <c r="C64" s="58" t="s">
        <v>3543</v>
      </c>
      <c r="D64" s="58" t="s">
        <v>3544</v>
      </c>
      <c r="E64" s="58" t="s">
        <v>3545</v>
      </c>
    </row>
    <row r="65" spans="1:5" ht="31.2">
      <c r="A65" s="58" t="s">
        <v>3546</v>
      </c>
      <c r="B65" s="58" t="s">
        <v>36</v>
      </c>
      <c r="C65" s="58" t="s">
        <v>3475</v>
      </c>
      <c r="D65" s="58" t="s">
        <v>3476</v>
      </c>
      <c r="E65" s="58" t="s">
        <v>3477</v>
      </c>
    </row>
    <row r="66" spans="1:5" ht="25.95" customHeight="1">
      <c r="A66" s="58" t="s">
        <v>3546</v>
      </c>
      <c r="B66" s="58" t="s">
        <v>37</v>
      </c>
      <c r="C66" s="58" t="s">
        <v>3478</v>
      </c>
      <c r="D66" s="58" t="s">
        <v>3479</v>
      </c>
      <c r="E66" s="58" t="s">
        <v>3477</v>
      </c>
    </row>
    <row r="67" spans="1:5" ht="25.95" customHeight="1">
      <c r="A67" s="58" t="s">
        <v>3546</v>
      </c>
      <c r="B67" s="58" t="s">
        <v>2494</v>
      </c>
      <c r="C67" s="58" t="s">
        <v>2494</v>
      </c>
      <c r="D67" s="58" t="s">
        <v>3547</v>
      </c>
      <c r="E67" s="58" t="s">
        <v>3477</v>
      </c>
    </row>
    <row r="68" spans="1:5" ht="25.95" customHeight="1">
      <c r="A68" s="58" t="s">
        <v>3546</v>
      </c>
      <c r="B68" s="58" t="s">
        <v>2495</v>
      </c>
      <c r="C68" s="58" t="s">
        <v>3548</v>
      </c>
      <c r="D68" s="58" t="s">
        <v>3485</v>
      </c>
      <c r="E68" s="58" t="s">
        <v>3477</v>
      </c>
    </row>
    <row r="69" spans="1:5" ht="25.95" customHeight="1">
      <c r="A69" s="58" t="s">
        <v>3546</v>
      </c>
      <c r="B69" s="58" t="s">
        <v>2496</v>
      </c>
      <c r="C69" s="58" t="s">
        <v>3549</v>
      </c>
      <c r="D69" s="58" t="s">
        <v>3550</v>
      </c>
      <c r="E69" s="58" t="s">
        <v>3477</v>
      </c>
    </row>
    <row r="70" spans="1:5" ht="25.95" customHeight="1">
      <c r="A70" s="58" t="s">
        <v>3546</v>
      </c>
      <c r="B70" s="58" t="s">
        <v>2497</v>
      </c>
      <c r="C70" s="58" t="s">
        <v>3551</v>
      </c>
      <c r="D70" s="58" t="s">
        <v>127</v>
      </c>
      <c r="E70" s="58" t="s">
        <v>3552</v>
      </c>
    </row>
    <row r="71" spans="1:5" ht="25.95" customHeight="1">
      <c r="A71" s="58" t="s">
        <v>3546</v>
      </c>
      <c r="B71" s="58" t="s">
        <v>2498</v>
      </c>
      <c r="C71" s="58" t="s">
        <v>3553</v>
      </c>
      <c r="D71" s="58" t="s">
        <v>127</v>
      </c>
      <c r="E71" s="58" t="s">
        <v>3554</v>
      </c>
    </row>
    <row r="72" spans="1:5" ht="25.95" customHeight="1">
      <c r="A72" s="58" t="s">
        <v>3546</v>
      </c>
      <c r="B72" s="58" t="s">
        <v>2499</v>
      </c>
      <c r="C72" s="58" t="s">
        <v>3555</v>
      </c>
      <c r="D72" s="58" t="s">
        <v>127</v>
      </c>
      <c r="E72" s="58" t="s">
        <v>3556</v>
      </c>
    </row>
    <row r="73" spans="1:5" ht="25.95" customHeight="1">
      <c r="A73" s="58" t="s">
        <v>3546</v>
      </c>
      <c r="B73" s="58" t="s">
        <v>128</v>
      </c>
      <c r="C73" s="58" t="s">
        <v>3503</v>
      </c>
      <c r="D73" s="58" t="s">
        <v>3557</v>
      </c>
      <c r="E73" s="58" t="s">
        <v>3504</v>
      </c>
    </row>
    <row r="74" spans="1:5" ht="25.95" customHeight="1">
      <c r="A74" s="58" t="s">
        <v>3546</v>
      </c>
      <c r="B74" s="58" t="s">
        <v>2500</v>
      </c>
      <c r="C74" s="58" t="s">
        <v>3558</v>
      </c>
      <c r="D74" s="58" t="s">
        <v>3526</v>
      </c>
      <c r="E74" s="58" t="s">
        <v>3477</v>
      </c>
    </row>
    <row r="75" spans="1:5" ht="25.95" customHeight="1">
      <c r="A75" s="58" t="s">
        <v>3546</v>
      </c>
      <c r="B75" s="58" t="s">
        <v>2501</v>
      </c>
      <c r="C75" s="58" t="s">
        <v>3559</v>
      </c>
      <c r="D75" s="58" t="s">
        <v>3526</v>
      </c>
      <c r="E75" s="58" t="s">
        <v>3477</v>
      </c>
    </row>
    <row r="76" spans="1:5" ht="25.95" customHeight="1">
      <c r="A76" s="58" t="s">
        <v>3546</v>
      </c>
      <c r="B76" s="58" t="s">
        <v>2502</v>
      </c>
      <c r="C76" s="58" t="s">
        <v>3560</v>
      </c>
      <c r="D76" s="58" t="s">
        <v>3561</v>
      </c>
      <c r="E76" s="58" t="s">
        <v>3477</v>
      </c>
    </row>
    <row r="77" spans="1:5" ht="25.95" customHeight="1">
      <c r="A77" s="58" t="s">
        <v>3546</v>
      </c>
      <c r="B77" s="58" t="s">
        <v>45</v>
      </c>
      <c r="C77" s="58" t="s">
        <v>3490</v>
      </c>
      <c r="D77" s="58" t="s">
        <v>3491</v>
      </c>
      <c r="E77" s="58" t="s">
        <v>3477</v>
      </c>
    </row>
    <row r="78" spans="1:5" ht="25.95" customHeight="1">
      <c r="A78" s="58" t="s">
        <v>3546</v>
      </c>
      <c r="B78" s="58" t="s">
        <v>46</v>
      </c>
      <c r="C78" s="58" t="s">
        <v>3492</v>
      </c>
      <c r="D78" s="58" t="s">
        <v>3491</v>
      </c>
      <c r="E78" s="58" t="s">
        <v>3493</v>
      </c>
    </row>
    <row r="79" spans="1:5" ht="25.95" customHeight="1">
      <c r="A79" s="58" t="s">
        <v>3546</v>
      </c>
      <c r="B79" s="58" t="s">
        <v>2503</v>
      </c>
      <c r="C79" s="58" t="s">
        <v>3562</v>
      </c>
      <c r="D79" s="58" t="s">
        <v>3491</v>
      </c>
      <c r="E79" s="58" t="s">
        <v>3477</v>
      </c>
    </row>
    <row r="80" spans="1:5" ht="25.95" customHeight="1">
      <c r="A80" s="58" t="s">
        <v>3546</v>
      </c>
      <c r="B80" s="58" t="s">
        <v>47</v>
      </c>
      <c r="C80" s="58" t="s">
        <v>3494</v>
      </c>
      <c r="D80" s="58" t="s">
        <v>3491</v>
      </c>
      <c r="E80" s="58" t="s">
        <v>3477</v>
      </c>
    </row>
    <row r="81" spans="1:5" ht="25.95" customHeight="1">
      <c r="A81" s="58" t="s">
        <v>3546</v>
      </c>
      <c r="B81" s="58" t="s">
        <v>2504</v>
      </c>
      <c r="C81" s="58" t="s">
        <v>2504</v>
      </c>
      <c r="D81" s="58" t="s">
        <v>3563</v>
      </c>
      <c r="E81" s="58" t="s">
        <v>3477</v>
      </c>
    </row>
    <row r="82" spans="1:5" ht="25.95" customHeight="1">
      <c r="A82" s="58" t="s">
        <v>3546</v>
      </c>
      <c r="B82" s="58" t="s">
        <v>2505</v>
      </c>
      <c r="C82" s="58" t="s">
        <v>3564</v>
      </c>
      <c r="D82" s="58" t="s">
        <v>3485</v>
      </c>
      <c r="E82" s="58" t="s">
        <v>3565</v>
      </c>
    </row>
    <row r="83" spans="1:5" ht="25.95" customHeight="1">
      <c r="A83" s="58" t="s">
        <v>3546</v>
      </c>
      <c r="B83" s="58" t="s">
        <v>2506</v>
      </c>
      <c r="C83" s="58" t="s">
        <v>3566</v>
      </c>
      <c r="D83" s="58" t="s">
        <v>3485</v>
      </c>
      <c r="E83" s="58" t="s">
        <v>3567</v>
      </c>
    </row>
    <row r="84" spans="1:5" ht="25.95" customHeight="1">
      <c r="A84" s="58" t="s">
        <v>3546</v>
      </c>
      <c r="B84" s="58" t="s">
        <v>2507</v>
      </c>
      <c r="C84" s="58" t="s">
        <v>3568</v>
      </c>
      <c r="D84" s="58" t="s">
        <v>3485</v>
      </c>
      <c r="E84" s="58" t="s">
        <v>3477</v>
      </c>
    </row>
    <row r="85" spans="1:5" ht="31.2">
      <c r="A85" s="58" t="s">
        <v>3546</v>
      </c>
      <c r="B85" s="58" t="s">
        <v>2508</v>
      </c>
      <c r="C85" s="58" t="s">
        <v>3569</v>
      </c>
      <c r="D85" s="58" t="s">
        <v>3570</v>
      </c>
      <c r="E85" s="58" t="s">
        <v>3477</v>
      </c>
    </row>
    <row r="86" spans="1:5" ht="25.95" customHeight="1">
      <c r="A86" s="58" t="s">
        <v>3546</v>
      </c>
      <c r="B86" s="58" t="s">
        <v>2509</v>
      </c>
      <c r="C86" s="58" t="s">
        <v>3571</v>
      </c>
      <c r="D86" s="58" t="s">
        <v>3572</v>
      </c>
      <c r="E86" s="58" t="s">
        <v>3477</v>
      </c>
    </row>
    <row r="87" spans="1:5" ht="25.95" customHeight="1">
      <c r="A87" s="58" t="s">
        <v>3546</v>
      </c>
      <c r="B87" s="58" t="s">
        <v>3468</v>
      </c>
      <c r="C87" s="58" t="s">
        <v>3573</v>
      </c>
      <c r="D87" s="58" t="s">
        <v>127</v>
      </c>
      <c r="E87" s="58" t="s">
        <v>3574</v>
      </c>
    </row>
  </sheetData>
  <mergeCells count="5">
    <mergeCell ref="I14:L14"/>
    <mergeCell ref="H1:L1"/>
    <mergeCell ref="H11:L11"/>
    <mergeCell ref="I12:L12"/>
    <mergeCell ref="I13:L13"/>
  </mergeCells>
  <phoneticPr fontId="1" type="noConversion"/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5</vt:i4>
      </vt:variant>
    </vt:vector>
  </HeadingPairs>
  <TitlesOfParts>
    <vt:vector size="15" baseType="lpstr">
      <vt:lpstr>评测总览</vt:lpstr>
      <vt:lpstr>评分细项</vt:lpstr>
      <vt:lpstr>单AI分析</vt:lpstr>
      <vt:lpstr>分维度比较</vt:lpstr>
      <vt:lpstr>运行记录</vt:lpstr>
      <vt:lpstr>评分与用量</vt:lpstr>
      <vt:lpstr>API计价</vt:lpstr>
      <vt:lpstr>行为记录</vt:lpstr>
      <vt:lpstr>核验记录</vt:lpstr>
      <vt:lpstr>字段说明</vt:lpstr>
      <vt:lpstr>单AI分析!Print_Area</vt:lpstr>
      <vt:lpstr>分维度比较!Print_Area</vt:lpstr>
      <vt:lpstr>评测总览!Print_Area</vt:lpstr>
      <vt:lpstr>评分细项!Print_Area</vt:lpstr>
      <vt:lpstr>运行记录!Print_Area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尚鹏 张</cp:lastModifiedBy>
  <cp:lastPrinted>2026-09-21T06:18:45Z</cp:lastPrinted>
  <dcterms:created xsi:type="dcterms:W3CDTF">2026-09-19T07:16:00Z</dcterms:created>
  <dcterms:modified xsi:type="dcterms:W3CDTF">2026-09-24T05:10:08Z</dcterms:modified>
</cp:coreProperties>
</file>