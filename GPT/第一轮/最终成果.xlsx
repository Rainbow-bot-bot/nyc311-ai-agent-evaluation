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63885c1f8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看板" sheetId="1" r:id="Red234d703e0e4e8e"/>
    <x:sheet xmlns:r="http://schemas.openxmlformats.org/officeDocument/2006/relationships" name="月度趋势" sheetId="2" r:id="R42da53256a064603"/>
    <x:sheet xmlns:r="http://schemas.openxmlformats.org/officeDocument/2006/relationships" name="类型与区域" sheetId="3" r:id="Rd7008b0b382646c7"/>
    <x:sheet xmlns:r="http://schemas.openxmlformats.org/officeDocument/2006/relationships" name="数据质量" sheetId="4" r:id="R4e7e9848ef36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@"/>
  </x:numFmts>
  <x:fonts count="8">
    <x:font>
      <x:sz val="11"/>
      <x:name val="Carlito"/>
    </x:font>
    <x:font>
      <x:sz val="11"/>
      <x:color rgb="FF24354B"/>
      <x:name val="Arial"/>
    </x:font>
    <x:font>
      <x:b/>
      <x:sz val="16"/>
      <x:color rgb="FF24354B"/>
      <x:name val="Arial"/>
    </x:font>
    <x:font>
      <x:sz val="10"/>
      <x:color rgb="FF63738A"/>
      <x:name val="Arial"/>
    </x:font>
    <x:font>
      <x:b/>
      <x:sz val="11"/>
      <x:color rgb="FFFFFFFF"/>
      <x:name val="Arial"/>
    </x:font>
    <x:font>
      <x:b/>
      <x:sz val="11"/>
      <x:color rgb="FF24354B"/>
      <x:name val="Arial"/>
    </x:font>
    <x:font>
      <x:sz val="11"/>
      <x:color rgb="FFA44036"/>
      <x:name val="Arial"/>
    </x:font>
    <x:font>
      <x:b/>
      <x:sz val="16"/>
      <x:color rgb="FF3266A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2">
    <x:border/>
    <x:border>
      <x:bottom style="thin">
        <x:color rgb="FFB7C6D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4403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ddeb36bae48be" /><Relationship Type="http://schemas.openxmlformats.org/officeDocument/2006/relationships/theme" Target="/xl/theme/theme1.xml" Id="R994ffc37278e478c" /><Relationship Type="http://schemas.openxmlformats.org/officeDocument/2006/relationships/sharedStrings" Target="/xl/sharedStrings.xml" Id="Rc1ab42bc1efd4bc7" /><Relationship Type="http://schemas.openxmlformats.org/officeDocument/2006/relationships/worksheet" Target="/xl/worksheets/sheet1.xml" Id="Red234d703e0e4e8e" /><Relationship Type="http://schemas.openxmlformats.org/officeDocument/2006/relationships/worksheet" Target="/xl/worksheets/sheet2.xml" Id="R42da53256a064603" /><Relationship Type="http://schemas.openxmlformats.org/officeDocument/2006/relationships/worksheet" Target="/xl/worksheets/sheet3.xml" Id="Rd7008b0b382646c7" /><Relationship Type="http://schemas.openxmlformats.org/officeDocument/2006/relationships/worksheet" Target="/xl/worksheets/sheet4.xml" Id="R4e7e9848ef3647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cc6b716beb4aa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094dbc4e9a74a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同期每月请求量（条）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2025 年（条）</c:v>
          </c:tx>
          <c:spPr>
            <a:solidFill xmlns:a="http://schemas.openxmlformats.org/drawingml/2006/main">
              <a:srgbClr val="3266AD"/>
            </a:solidFill>
            <a:ln xmlns:a="http://schemas.openxmlformats.org/drawingml/2006/main" w="19050">
              <a:solidFill>
                <a:srgbClr val="3266AD"/>
              </a:solidFill>
              <a:prstDash val="solid"/>
            </a:ln>
          </c:spPr>
          <c:marker>
            <c:symbol val="none"/>
          </c:marker>
          <c:cat>
            <c:strRef>
              <c:f>'月度趋势'!$A$6:$A$13</c:f>
              <c:strCache>
                <c:ptCount val="0"/>
              </c:strCache>
            </c:strRef>
          </c:cat>
          <c:val>
            <c:numRef>
              <c:f>'月度趋势'!$B$6:$B$13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2026 年（条）</c:v>
          </c:tx>
          <c:spPr>
            <a:solidFill xmlns:a="http://schemas.openxmlformats.org/drawingml/2006/main">
              <a:srgbClr val="D68A35"/>
            </a:solidFill>
            <a:ln xmlns:a="http://schemas.openxmlformats.org/drawingml/2006/main" w="19050">
              <a:solidFill>
                <a:srgbClr val="D68A35"/>
              </a:solidFill>
              <a:prstDash val="solid"/>
            </a:ln>
          </c:spPr>
          <c:marker>
            <c:symbol val="none"/>
          </c:marker>
          <c:cat>
            <c:strRef>
              <c:f>'月度趋势'!$A$6:$A$13</c:f>
              <c:strCache>
                <c:ptCount val="0"/>
              </c:strCache>
            </c:strRef>
          </c:cat>
          <c:val>
            <c:numRef>
              <c:f>'月度趋势'!$C$6:$C$13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完整月请求量（2024-10 至 2026-08，条）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3266AD"/>
            </a:solidFill>
            <a:ln xmlns:a="http://schemas.openxmlformats.org/drawingml/2006/main" w="19050">
              <a:solidFill>
                <a:srgbClr val="3266AD"/>
              </a:solidFill>
              <a:prstDash val="solid"/>
            </a:ln>
          </c:spPr>
          <c:marker>
            <c:symbol val="none"/>
          </c:marker>
          <c:cat>
            <c:strRef>
              <c:f>'月度趋势'!$A$37:$A$59</c:f>
              <c:strCache>
                <c:ptCount val="0"/>
              </c:strCache>
            </c:strRef>
          </c:cat>
          <c:val>
            <c:numRef>
              <c:f>'月度趋势'!$B$37:$B$59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cc6b716beb4aa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94dbc4e9a74a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laintComparison" displayName="ComplaintComparison" ref="A18:G218" headerRowCount="1" totalsRowCount="0" totalsRowShown="0">
  <x:tableColumns count="7">
    <x:tableColumn id="1" name="投诉类型（原文）"/>
    <x:tableColumn id="2" name="2025（条）"/>
    <x:tableColumn id="3" name="2026（条）"/>
    <x:tableColumn id="4" name="增量（条）"/>
    <x:tableColumn id="5" name="同比"/>
    <x:tableColumn id="6" name="2026 占比"/>
    <x:tableColumn id="7" name="净增量贡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6432deebb841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e61b31eef9a4e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aa90cc697cf4387" /></Relationships>
</file>

<file path=xl/worksheets/sheet1.xml><?xml version="1.0" encoding="utf-8"?>
<x:worksheet xmlns:x="http://schemas.openxmlformats.org/spreadsheetml/2006/main">
  <x:sheetPr>
    <x:tabColor rgb="FF24354B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5" t="str">
        <x:v>NYC 311 服务请求观察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3" customHeight="1">
      <x:c r="A3" s="4" t="str">
        <x:v>主比较：2026 年 1—8 月与 2025 年同期。描述本地数据中的请求记录，不等同于独立现实事件。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 t="str">
        <x:v>2026 年 1—8 月（条）</x:v>
      </x:c>
      <x:c r="B5" s="2"/>
      <x:c r="C5" s="2"/>
      <x:c r="D5" s="2" t="str">
        <x:v>较 2025 年同期</x:v>
      </x:c>
      <x:c r="E5" s="2"/>
      <x:c r="F5" s="2"/>
      <x:c r="G5" s="2" t="str">
        <x:v>全量数据记录（条）</x:v>
      </x:c>
      <x:c r="H5" s="2"/>
      <x:c r="I5" s="2"/>
      <x:c r="J5" s="2"/>
    </x:row>
    <x:row r="6" ht="23" customHeight="1">
      <x:c r="A6" s="22" t="n">
        <x:f>'月度趋势'!C14</x:f>
        <x:v>2666078</x:v>
      </x:c>
      <x:c r="B6" s="21"/>
      <x:c r="C6" s="21"/>
      <x:c r="D6" s="23" t="n">
        <x:f>'月度趋势'!E14</x:f>
        <x:v>0.12079608666115113</x:v>
      </x:c>
      <x:c r="E6" s="21"/>
      <x:c r="F6" s="21"/>
      <x:c r="G6" s="22" t="n">
        <x:v>7525498</x:v>
      </x:c>
      <x:c r="H6" s="21"/>
      <x:c r="I6" s="21"/>
      <x:c r="J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23" customHeight="1">
      <x:c r="A9" s="14" t="str">
        <x:v>1. 同期请求量增长 12.1%，8 个月均高于上年</x:v>
      </x:c>
      <x:c r="B9" s="2"/>
      <x:c r="C9" s="2"/>
      <x:c r="D9" s="2"/>
      <x:c r="E9" s="2"/>
      <x:c r="F9" s="2"/>
      <x:c r="G9" s="2"/>
      <x:c r="H9" s="2"/>
      <x:c r="I9" s="2"/>
      <x:c r="J9" s="2"/>
    </x:row>
    <x:row r="10" ht="23" customHeight="1">
      <x:c r="A10" s="2" t="str">
        <x:v>从 2,378,736 条增至 2,666,078 条，净增 287,342 条。两年窗口均为 243 天。</x:v>
      </x:c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3" customHeight="1">
      <x:c r="A12" s="14" t="str">
        <x:v>2. 街道状况、冰雪、供暖/热水贡献 47.6% 净增量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 t="str">
        <x:v>三类合计新增 136,823 条。属于记录结构变化，不能仅凭类别名称归因于天气。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14" t="str">
        <x:v>3. 布鲁克林与皇后区贡献 71.5% 净增量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 t="str">
        <x:v>两区合计新增 205,514 条；同比各为 16.8% 和 14.8%。未按人口调整。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30" customHeight="1">
      <x:c r="A38" s="10" t="str">
        <x:v>主要增量类型</x:v>
      </x:c>
      <x:c r="B38" s="10" t="str">
        <x:v>2025（条）</x:v>
      </x:c>
      <x:c r="C38" s="10" t="str">
        <x:v>2026（条）</x:v>
      </x:c>
      <x:c r="D38" s="10" t="str">
        <x:v>增量（条）</x:v>
      </x:c>
      <x:c r="E38" s="10" t="str">
        <x:v>净增量贡献</x:v>
      </x:c>
      <x:c r="F38" s="2"/>
      <x:c r="G38" s="2"/>
      <x:c r="H38" s="2"/>
      <x:c r="I38" s="2"/>
      <x:c r="J38" s="2"/>
    </x:row>
    <x:row r="39" ht="23" customHeight="1">
      <x:c r="A39" s="2" t="str">
        <x:v>街道状况</x:v>
      </x:c>
      <x:c r="B39" s="11" t="n">
        <x:f>'类型与区域'!B19</x:f>
        <x:v>51211</x:v>
      </x:c>
      <x:c r="C39" s="11" t="n">
        <x:f>'类型与区域'!C19</x:f>
        <x:v>98920</x:v>
      </x:c>
      <x:c r="D39" s="11" t="n">
        <x:f>'类型与区域'!D19</x:f>
        <x:v>47709</x:v>
      </x:c>
      <x:c r="E39" s="12" t="n">
        <x:f>'类型与区域'!G19</x:f>
        <x:v>0.16603559521406547</x:v>
      </x:c>
      <x:c r="F39" s="2"/>
      <x:c r="G39" s="2"/>
      <x:c r="H39" s="2"/>
      <x:c r="I39" s="2"/>
      <x:c r="J39" s="2"/>
    </x:row>
    <x:row r="40" ht="23" customHeight="1">
      <x:c r="A40" s="2" t="str">
        <x:v>冰雪</x:v>
      </x:c>
      <x:c r="B40" s="11" t="n">
        <x:f>'类型与区域'!B20</x:f>
        <x:v>7990</x:v>
      </x:c>
      <x:c r="C40" s="11" t="n">
        <x:f>'类型与区域'!C20</x:f>
        <x:v>55230</x:v>
      </x:c>
      <x:c r="D40" s="11" t="n">
        <x:f>'类型与区域'!D20</x:f>
        <x:v>47240</x:v>
      </x:c>
      <x:c r="E40" s="12" t="n">
        <x:f>'类型与区域'!G20</x:f>
        <x:v>0.16440339386515024</x:v>
      </x:c>
      <x:c r="F40" s="2"/>
      <x:c r="G40" s="2"/>
      <x:c r="H40" s="2"/>
      <x:c r="I40" s="2"/>
      <x:c r="J40" s="2"/>
    </x:row>
    <x:row r="41" ht="23" customHeight="1">
      <x:c r="A41" s="2" t="str">
        <x:v>供暖 / 热水</x:v>
      </x:c>
      <x:c r="B41" s="11" t="n">
        <x:f>'类型与区域'!B21</x:f>
        <x:v>168645</x:v>
      </x:c>
      <x:c r="C41" s="11" t="n">
        <x:f>'类型与区域'!C21</x:f>
        <x:v>210519</x:v>
      </x:c>
      <x:c r="D41" s="11" t="n">
        <x:f>'类型与区域'!D21</x:f>
        <x:v>41874</x:v>
      </x:c>
      <x:c r="E41" s="12" t="n">
        <x:f>'类型与区域'!G21</x:f>
        <x:v>0.14572878312255083</x:v>
      </x:c>
      <x:c r="F41" s="2"/>
      <x:c r="G41" s="2"/>
      <x:c r="H41" s="2"/>
      <x:c r="I41" s="2"/>
      <x:c r="J41" s="2"/>
    </x:row>
    <x:row r="42" ht="23" customHeight="1">
      <x:c r="A42" s="2" t="str">
        <x:v>违章停车</x:v>
      </x:c>
      <x:c r="B42" s="11" t="n">
        <x:f>'类型与区域'!B22</x:f>
        <x:v>380337</x:v>
      </x:c>
      <x:c r="C42" s="11" t="n">
        <x:f>'类型与区域'!C22</x:f>
        <x:v>415399</x:v>
      </x:c>
      <x:c r="D42" s="11" t="n">
        <x:f>'类型与区域'!D22</x:f>
        <x:v>35062</x:v>
      </x:c>
      <x:c r="E42" s="12" t="n">
        <x:f>'类型与区域'!G22</x:f>
        <x:v>0.12202184156858378</x:v>
      </x:c>
      <x:c r="F42" s="2"/>
      <x:c r="G42" s="2"/>
      <x:c r="H42" s="2"/>
      <x:c r="I42" s="2"/>
      <x:c r="J42" s="2"/>
    </x:row>
    <x:row r="43" ht="23" customHeight="1">
      <x:c r="A43" s="2" t="str">
        <x:v>车道受阻</x:v>
      </x:c>
      <x:c r="B43" s="11" t="n">
        <x:f>'类型与区域'!B23</x:f>
        <x:v>109480</x:v>
      </x:c>
      <x:c r="C43" s="11" t="n">
        <x:f>'类型与区域'!C23</x:f>
        <x:v>130461</x:v>
      </x:c>
      <x:c r="D43" s="11" t="n">
        <x:f>'类型与区域'!D23</x:f>
        <x:v>20981</x:v>
      </x:c>
      <x:c r="E43" s="12" t="n">
        <x:f>'类型与区域'!G23</x:f>
        <x:v>0.07301751919315659</x:v>
      </x:c>
      <x:c r="F43" s="2"/>
      <x:c r="G43" s="2"/>
      <x:c r="H43" s="2"/>
      <x:c r="I43" s="2"/>
      <x:c r="J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3" customHeight="1">
      <x:c r="A46" s="2" t="str">
        <x:v>阅读：月度趋势查看同比和完整月份；类型与区域可筛选全部类别；数据质量查看缺失和文件总量。</x:v>
      </x:c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3" customHeight="1">
      <x:c r="A48" s="2" t="str">
        <x:v>限制：投诉记录受报告行为、类别口径和采集覆盖影响，不能据此判断原因或服务质量。</x:v>
      </x:c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3" customHeight="1">
      <x:c r="A49" s="2" t="str">
        <x:v>全量创建时间：2024-09-07 00:00:00 至 2026-09-05 01:50:33。</x:v>
      </x:c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</x:sheetData>
  <x:pageMargins left="0.7" right="0.7" top="0.75" bottom="0.75" header="0.3" footer="0.3"/>
  <x:drawing xmlns:r="http://schemas.openxmlformats.org/officeDocument/2006/relationships" r:id="Rb06432deebb841f6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5" t="str">
        <x:v>请求量的同月比较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3" customHeight="1">
      <x:c r="A3" s="4" t="str">
        <x:v>计数单位：唯一请求编号。2025 与 2026 年均取 1—8 月，分别为 243 天。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0" t="str">
        <x:v>月份</x:v>
      </x:c>
      <x:c r="B5" s="10" t="str">
        <x:v>2025 年（条）</x:v>
      </x:c>
      <x:c r="C5" s="10" t="str">
        <x:v>2026 年（条）</x:v>
      </x:c>
      <x:c r="D5" s="10" t="str">
        <x:v>增量（条）</x:v>
      </x:c>
      <x:c r="E5" s="10" t="str">
        <x:v>同比</x:v>
      </x:c>
      <x:c r="F5" s="10" t="str">
        <x:v>2025 日均</x:v>
      </x:c>
      <x:c r="G5" s="10" t="str">
        <x:v>2026 日均</x:v>
      </x:c>
      <x:c r="H5" s="2"/>
      <x:c r="I5" s="2"/>
      <x:c r="J5" s="2"/>
    </x:row>
    <x:row r="6" ht="23" customHeight="1">
      <x:c r="A6" s="2" t="str">
        <x:v>1月</x:v>
      </x:c>
      <x:c r="B6" s="11" t="n">
        <x:v>348180</x:v>
      </x:c>
      <x:c r="C6" s="11" t="n">
        <x:v>348511</x:v>
      </x:c>
      <x:c r="D6" s="11" t="n">
        <x:f>C6-B6</x:f>
        <x:v>331</x:v>
      </x:c>
      <x:c r="E6" s="12" t="n">
        <x:f>D6/B6</x:f>
        <x:v>0.0009506577057843644</x:v>
      </x:c>
      <x:c r="F6" s="13" t="n">
        <x:f>B6/31</x:f>
        <x:v>11231.612903225807</x:v>
      </x:c>
      <x:c r="G6" s="13" t="n">
        <x:f>C6/31</x:f>
        <x:v>11242.290322580646</x:v>
      </x:c>
      <x:c r="H6" s="2"/>
      <x:c r="I6" s="2"/>
      <x:c r="J6" s="2"/>
    </x:row>
    <x:row r="7" ht="23" customHeight="1">
      <x:c r="A7" s="2" t="str">
        <x:v>2月</x:v>
      </x:c>
      <x:c r="B7" s="11" t="n">
        <x:v>255364</x:v>
      </x:c>
      <x:c r="C7" s="11" t="n">
        <x:v>334690</x:v>
      </x:c>
      <x:c r="D7" s="11" t="n">
        <x:f>C7-B7</x:f>
        <x:v>79326</x:v>
      </x:c>
      <x:c r="E7" s="12" t="n">
        <x:f>D7/B7</x:f>
        <x:v>0.31063893109443774</x:v>
      </x:c>
      <x:c r="F7" s="13" t="n">
        <x:f>B7/28</x:f>
        <x:v>9120.142857142857</x:v>
      </x:c>
      <x:c r="G7" s="13" t="n">
        <x:f>C7/28</x:f>
        <x:v>11953.214285714286</x:v>
      </x:c>
      <x:c r="H7" s="2"/>
      <x:c r="I7" s="2"/>
      <x:c r="J7" s="2"/>
    </x:row>
    <x:row r="8" ht="23" customHeight="1">
      <x:c r="A8" s="2" t="str">
        <x:v>3月</x:v>
      </x:c>
      <x:c r="B8" s="11" t="n">
        <x:v>281221</x:v>
      </x:c>
      <x:c r="C8" s="11" t="n">
        <x:v>342387</x:v>
      </x:c>
      <x:c r="D8" s="11" t="n">
        <x:f>C8-B8</x:f>
        <x:v>61166</x:v>
      </x:c>
      <x:c r="E8" s="12" t="n">
        <x:f>D8/B8</x:f>
        <x:v>0.2175015379363561</x:v>
      </x:c>
      <x:c r="F8" s="13" t="n">
        <x:f>B8/31</x:f>
        <x:v>9071.645161290322</x:v>
      </x:c>
      <x:c r="G8" s="13" t="n">
        <x:f>C8/31</x:f>
        <x:v>11044.741935483871</x:v>
      </x:c>
      <x:c r="H8" s="2"/>
      <x:c r="I8" s="2"/>
      <x:c r="J8" s="2"/>
    </x:row>
    <x:row r="9" ht="23" customHeight="1">
      <x:c r="A9" s="2" t="str">
        <x:v>4月</x:v>
      </x:c>
      <x:c r="B9" s="11" t="n">
        <x:v>272549</x:v>
      </x:c>
      <x:c r="C9" s="11" t="n">
        <x:v>302190</x:v>
      </x:c>
      <x:c r="D9" s="11" t="n">
        <x:f>C9-B9</x:f>
        <x:v>29641</x:v>
      </x:c>
      <x:c r="E9" s="12" t="n">
        <x:f>D9/B9</x:f>
        <x:v>0.10875475602552202</x:v>
      </x:c>
      <x:c r="F9" s="13" t="n">
        <x:f>B9/30</x:f>
        <x:v>9084.966666666667</x:v>
      </x:c>
      <x:c r="G9" s="13" t="n">
        <x:f>C9/30</x:f>
        <x:v>10073</x:v>
      </x:c>
      <x:c r="H9" s="2"/>
      <x:c r="I9" s="2"/>
      <x:c r="J9" s="2"/>
    </x:row>
    <x:row r="10" ht="23" customHeight="1">
      <x:c r="A10" s="2" t="str">
        <x:v>5月</x:v>
      </x:c>
      <x:c r="B10" s="11" t="n">
        <x:v>295058</x:v>
      </x:c>
      <x:c r="C10" s="11" t="n">
        <x:v>331978</x:v>
      </x:c>
      <x:c r="D10" s="11" t="n">
        <x:f>C10-B10</x:f>
        <x:v>36920</x:v>
      </x:c>
      <x:c r="E10" s="12" t="n">
        <x:f>D10/B10</x:f>
        <x:v>0.12512794094720361</x:v>
      </x:c>
      <x:c r="F10" s="13" t="n">
        <x:f>B10/31</x:f>
        <x:v>9518</x:v>
      </x:c>
      <x:c r="G10" s="13" t="n">
        <x:f>C10/31</x:f>
        <x:v>10708.967741935483</x:v>
      </x:c>
      <x:c r="H10" s="2"/>
      <x:c r="I10" s="2"/>
      <x:c r="J10" s="2"/>
    </x:row>
    <x:row r="11" ht="23" customHeight="1">
      <x:c r="A11" s="2" t="str">
        <x:v>6月</x:v>
      </x:c>
      <x:c r="B11" s="11" t="n">
        <x:v>306442</x:v>
      </x:c>
      <x:c r="C11" s="11" t="n">
        <x:v>334833</x:v>
      </x:c>
      <x:c r="D11" s="11" t="n">
        <x:f>C11-B11</x:f>
        <x:v>28391</x:v>
      </x:c>
      <x:c r="E11" s="12" t="n">
        <x:f>D11/B11</x:f>
        <x:v>0.09264722198654231</x:v>
      </x:c>
      <x:c r="F11" s="13" t="n">
        <x:f>B11/30</x:f>
        <x:v>10214.733333333334</x:v>
      </x:c>
      <x:c r="G11" s="13" t="n">
        <x:f>C11/30</x:f>
        <x:v>11161.1</x:v>
      </x:c>
      <x:c r="H11" s="2"/>
      <x:c r="I11" s="2"/>
      <x:c r="J11" s="2"/>
    </x:row>
    <x:row r="12" ht="23" customHeight="1">
      <x:c r="A12" s="2" t="str">
        <x:v>7月</x:v>
      </x:c>
      <x:c r="B12" s="11" t="n">
        <x:v>315883</x:v>
      </x:c>
      <x:c r="C12" s="11" t="n">
        <x:v>343043</x:v>
      </x:c>
      <x:c r="D12" s="11" t="n">
        <x:f>C12-B12</x:f>
        <x:v>27160</x:v>
      </x:c>
      <x:c r="E12" s="12" t="n">
        <x:f>D12/B12</x:f>
        <x:v>0.08598120190070374</x:v>
      </x:c>
      <x:c r="F12" s="13" t="n">
        <x:f>B12/31</x:f>
        <x:v>10189.774193548386</x:v>
      </x:c>
      <x:c r="G12" s="13" t="n">
        <x:f>C12/31</x:f>
        <x:v>11065.90322580645</x:v>
      </x:c>
      <x:c r="H12" s="2"/>
      <x:c r="I12" s="2"/>
      <x:c r="J12" s="2"/>
    </x:row>
    <x:row r="13" ht="23" customHeight="1">
      <x:c r="A13" s="2" t="str">
        <x:v>8月</x:v>
      </x:c>
      <x:c r="B13" s="11" t="n">
        <x:v>304039</x:v>
      </x:c>
      <x:c r="C13" s="11" t="n">
        <x:v>328446</x:v>
      </x:c>
      <x:c r="D13" s="11" t="n">
        <x:f>C13-B13</x:f>
        <x:v>24407</x:v>
      </x:c>
      <x:c r="E13" s="12" t="n">
        <x:f>D13/B13</x:f>
        <x:v>0.08027588565940554</x:v>
      </x:c>
      <x:c r="F13" s="13" t="n">
        <x:f>B13/31</x:f>
        <x:v>9807.709677419354</x:v>
      </x:c>
      <x:c r="G13" s="13" t="n">
        <x:f>C13/31</x:f>
        <x:v>10595.032258064517</x:v>
      </x:c>
      <x:c r="H13" s="2"/>
      <x:c r="I13" s="2"/>
      <x:c r="J13" s="2"/>
    </x:row>
    <x:row r="14" ht="23" customHeight="1">
      <x:c r="A14" s="14" t="str">
        <x:v>合计 / 加权日均</x:v>
      </x:c>
      <x:c r="B14" s="17" t="n">
        <x:f>SUM(B6:B13)</x:f>
        <x:v>2378736</x:v>
      </x:c>
      <x:c r="C14" s="17" t="n">
        <x:f>SUM(C6:C13)</x:f>
        <x:v>2666078</x:v>
      </x:c>
      <x:c r="D14" s="17" t="n">
        <x:f>SUM(D6:D13)</x:f>
        <x:v>287342</x:v>
      </x:c>
      <x:c r="E14" s="15" t="n">
        <x:f>D14/B14</x:f>
        <x:v>0.12079608666115113</x:v>
      </x:c>
      <x:c r="F14" s="16" t="n">
        <x:f>B14/243</x:f>
        <x:v>9789.037037037036</x:v>
      </x:c>
      <x:c r="G14" s="16" t="n">
        <x:f>C14/243</x:f>
        <x:v>10971.514403292182</x:v>
      </x:c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0" customHeight="1">
      <x:c r="A35" s="10" t="str">
        <x:v>创建月份</x:v>
      </x:c>
      <x:c r="B35" s="10" t="str">
        <x:v>请求记录（条）</x:v>
      </x:c>
      <x:c r="C35" s="10" t="str">
        <x:v>窗口说明</x:v>
      </x:c>
      <x:c r="D35" s="2"/>
      <x:c r="E35" s="2"/>
      <x:c r="F35" s="2"/>
      <x:c r="G35" s="2"/>
      <x:c r="H35" s="2"/>
      <x:c r="I35" s="2"/>
      <x:c r="J35" s="2"/>
    </x:row>
    <x:row r="36" ht="23" customHeight="1">
      <x:c r="A36" s="2" t="str">
        <x:v>2024-09</x:v>
      </x:c>
      <x:c r="B36" s="11" t="n">
        <x:v>248139</x:v>
      </x:c>
      <x:c r="C36" s="18" t="str">
        <x:v>9月7日起</x:v>
      </x:c>
      <x:c r="D36" s="2"/>
      <x:c r="E36" s="2"/>
      <x:c r="F36" s="2"/>
      <x:c r="G36" s="2"/>
      <x:c r="H36" s="2"/>
      <x:c r="I36" s="2"/>
      <x:c r="J36" s="2"/>
    </x:row>
    <x:row r="37" ht="23" customHeight="1">
      <x:c r="A37" s="2" t="str">
        <x:v>2024-10</x:v>
      </x:c>
      <x:c r="B37" s="11" t="n">
        <x:v>306803</x:v>
      </x:c>
      <x:c r="C37" s="18" t="str">
        <x:v>完整日历月</x:v>
      </x:c>
      <x:c r="D37" s="2"/>
      <x:c r="E37" s="2"/>
      <x:c r="F37" s="2"/>
      <x:c r="G37" s="2"/>
      <x:c r="H37" s="2"/>
      <x:c r="I37" s="2"/>
      <x:c r="J37" s="2"/>
    </x:row>
    <x:row r="38" ht="23" customHeight="1">
      <x:c r="A38" s="2" t="str">
        <x:v>2024-11</x:v>
      </x:c>
      <x:c r="B38" s="11" t="n">
        <x:v>293515</x:v>
      </x:c>
      <x:c r="C38" s="18" t="str">
        <x:v>完整日历月</x:v>
      </x:c>
      <x:c r="D38" s="2"/>
      <x:c r="E38" s="2"/>
      <x:c r="F38" s="2"/>
      <x:c r="G38" s="2"/>
      <x:c r="H38" s="2"/>
      <x:c r="I38" s="2"/>
      <x:c r="J38" s="2"/>
    </x:row>
    <x:row r="39" ht="23" customHeight="1">
      <x:c r="A39" s="2" t="str">
        <x:v>2024-12</x:v>
      </x:c>
      <x:c r="B39" s="11" t="n">
        <x:v>313949</x:v>
      </x:c>
      <x:c r="C39" s="18" t="str">
        <x:v>完整日历月</x:v>
      </x:c>
      <x:c r="D39" s="2"/>
      <x:c r="E39" s="2"/>
      <x:c r="F39" s="2"/>
      <x:c r="G39" s="2"/>
      <x:c r="H39" s="2"/>
      <x:c r="I39" s="2"/>
      <x:c r="J39" s="2"/>
    </x:row>
    <x:row r="40" ht="23" customHeight="1">
      <x:c r="A40" s="2" t="str">
        <x:v>2025-01</x:v>
      </x:c>
      <x:c r="B40" s="11" t="n">
        <x:v>348180</x:v>
      </x:c>
      <x:c r="C40" s="18" t="str">
        <x:v>完整日历月</x:v>
      </x:c>
      <x:c r="D40" s="2"/>
      <x:c r="E40" s="2"/>
      <x:c r="F40" s="2"/>
      <x:c r="G40" s="2"/>
      <x:c r="H40" s="2"/>
      <x:c r="I40" s="2"/>
      <x:c r="J40" s="2"/>
    </x:row>
    <x:row r="41" ht="23" customHeight="1">
      <x:c r="A41" s="2" t="str">
        <x:v>2025-02</x:v>
      </x:c>
      <x:c r="B41" s="11" t="n">
        <x:v>255364</x:v>
      </x:c>
      <x:c r="C41" s="18" t="str">
        <x:v>完整日历月</x:v>
      </x:c>
      <x:c r="D41" s="2"/>
      <x:c r="E41" s="2"/>
      <x:c r="F41" s="2"/>
      <x:c r="G41" s="2"/>
      <x:c r="H41" s="2"/>
      <x:c r="I41" s="2"/>
      <x:c r="J41" s="2"/>
    </x:row>
    <x:row r="42" ht="23" customHeight="1">
      <x:c r="A42" s="2" t="str">
        <x:v>2025-03</x:v>
      </x:c>
      <x:c r="B42" s="11" t="n">
        <x:v>281221</x:v>
      </x:c>
      <x:c r="C42" s="18" t="str">
        <x:v>完整日历月</x:v>
      </x:c>
      <x:c r="D42" s="2"/>
      <x:c r="E42" s="2"/>
      <x:c r="F42" s="2"/>
      <x:c r="G42" s="2"/>
      <x:c r="H42" s="2"/>
      <x:c r="I42" s="2"/>
      <x:c r="J42" s="2"/>
    </x:row>
    <x:row r="43" ht="23" customHeight="1">
      <x:c r="A43" s="2" t="str">
        <x:v>2025-04</x:v>
      </x:c>
      <x:c r="B43" s="11" t="n">
        <x:v>272549</x:v>
      </x:c>
      <x:c r="C43" s="18" t="str">
        <x:v>完整日历月</x:v>
      </x:c>
      <x:c r="D43" s="2"/>
      <x:c r="E43" s="2"/>
      <x:c r="F43" s="2"/>
      <x:c r="G43" s="2"/>
      <x:c r="H43" s="2"/>
      <x:c r="I43" s="2"/>
      <x:c r="J43" s="2"/>
    </x:row>
    <x:row r="44" ht="23" customHeight="1">
      <x:c r="A44" s="2" t="str">
        <x:v>2025-05</x:v>
      </x:c>
      <x:c r="B44" s="11" t="n">
        <x:v>295058</x:v>
      </x:c>
      <x:c r="C44" s="18" t="str">
        <x:v>完整日历月</x:v>
      </x:c>
      <x:c r="D44" s="2"/>
      <x:c r="E44" s="2"/>
      <x:c r="F44" s="2"/>
      <x:c r="G44" s="2"/>
      <x:c r="H44" s="2"/>
      <x:c r="I44" s="2"/>
      <x:c r="J44" s="2"/>
    </x:row>
    <x:row r="45" ht="23" customHeight="1">
      <x:c r="A45" s="2" t="str">
        <x:v>2025-06</x:v>
      </x:c>
      <x:c r="B45" s="11" t="n">
        <x:v>306442</x:v>
      </x:c>
      <x:c r="C45" s="18" t="str">
        <x:v>完整日历月</x:v>
      </x:c>
      <x:c r="D45" s="2"/>
      <x:c r="E45" s="2"/>
      <x:c r="F45" s="2"/>
      <x:c r="G45" s="2"/>
      <x:c r="H45" s="2"/>
      <x:c r="I45" s="2"/>
      <x:c r="J45" s="2"/>
    </x:row>
    <x:row r="46" ht="23" customHeight="1">
      <x:c r="A46" s="2" t="str">
        <x:v>2025-07</x:v>
      </x:c>
      <x:c r="B46" s="11" t="n">
        <x:v>315883</x:v>
      </x:c>
      <x:c r="C46" s="18" t="str">
        <x:v>完整日历月</x:v>
      </x:c>
      <x:c r="D46" s="2"/>
      <x:c r="E46" s="2"/>
      <x:c r="F46" s="2"/>
      <x:c r="G46" s="2"/>
      <x:c r="H46" s="2"/>
      <x:c r="I46" s="2"/>
      <x:c r="J46" s="2"/>
    </x:row>
    <x:row r="47" ht="23" customHeight="1">
      <x:c r="A47" s="2" t="str">
        <x:v>2025-08</x:v>
      </x:c>
      <x:c r="B47" s="11" t="n">
        <x:v>304039</x:v>
      </x:c>
      <x:c r="C47" s="18" t="str">
        <x:v>完整日历月</x:v>
      </x:c>
      <x:c r="D47" s="2"/>
      <x:c r="E47" s="2"/>
      <x:c r="F47" s="2"/>
      <x:c r="G47" s="2"/>
      <x:c r="H47" s="2"/>
      <x:c r="I47" s="2"/>
      <x:c r="J47" s="2"/>
    </x:row>
    <x:row r="48" ht="23" customHeight="1">
      <x:c r="A48" s="2" t="str">
        <x:v>2025-09</x:v>
      </x:c>
      <x:c r="B48" s="11" t="n">
        <x:v>302684</x:v>
      </x:c>
      <x:c r="C48" s="18" t="str">
        <x:v>完整日历月</x:v>
      </x:c>
      <x:c r="D48" s="2"/>
      <x:c r="E48" s="2"/>
      <x:c r="F48" s="2"/>
      <x:c r="G48" s="2"/>
      <x:c r="H48" s="2"/>
      <x:c r="I48" s="2"/>
      <x:c r="J48" s="2"/>
    </x:row>
    <x:row r="49" ht="23" customHeight="1">
      <x:c r="A49" s="2" t="str">
        <x:v>2025-10</x:v>
      </x:c>
      <x:c r="B49" s="11" t="n">
        <x:v>336612</x:v>
      </x:c>
      <x:c r="C49" s="18" t="str">
        <x:v>完整日历月</x:v>
      </x:c>
      <x:c r="D49" s="2"/>
      <x:c r="E49" s="2"/>
      <x:c r="F49" s="2"/>
      <x:c r="G49" s="2"/>
      <x:c r="H49" s="2"/>
      <x:c r="I49" s="2"/>
      <x:c r="J49" s="2"/>
    </x:row>
    <x:row r="50" ht="23" customHeight="1">
      <x:c r="A50" s="2" t="str">
        <x:v>2025-11</x:v>
      </x:c>
      <x:c r="B50" s="11" t="n">
        <x:v>304905</x:v>
      </x:c>
      <x:c r="C50" s="18" t="str">
        <x:v>完整日历月</x:v>
      </x:c>
      <x:c r="D50" s="2"/>
      <x:c r="E50" s="2"/>
      <x:c r="F50" s="2"/>
      <x:c r="G50" s="2"/>
      <x:c r="H50" s="2"/>
      <x:c r="I50" s="2"/>
      <x:c r="J50" s="2"/>
    </x:row>
    <x:row r="51" ht="23" customHeight="1">
      <x:c r="A51" s="2" t="str">
        <x:v>2025-12</x:v>
      </x:c>
      <x:c r="B51" s="11" t="n">
        <x:v>332103</x:v>
      </x:c>
      <x:c r="C51" s="18" t="str">
        <x:v>完整日历月</x:v>
      </x:c>
      <x:c r="D51" s="2"/>
      <x:c r="E51" s="2"/>
      <x:c r="F51" s="2"/>
      <x:c r="G51" s="2"/>
      <x:c r="H51" s="2"/>
      <x:c r="I51" s="2"/>
      <x:c r="J51" s="2"/>
    </x:row>
    <x:row r="52" ht="23" customHeight="1">
      <x:c r="A52" s="2" t="str">
        <x:v>2026-01</x:v>
      </x:c>
      <x:c r="B52" s="11" t="n">
        <x:v>348511</x:v>
      </x:c>
      <x:c r="C52" s="18" t="str">
        <x:v>完整日历月</x:v>
      </x:c>
      <x:c r="D52" s="2"/>
      <x:c r="E52" s="2"/>
      <x:c r="F52" s="2"/>
      <x:c r="G52" s="2"/>
      <x:c r="H52" s="2"/>
      <x:c r="I52" s="2"/>
      <x:c r="J52" s="2"/>
    </x:row>
    <x:row r="53" ht="23" customHeight="1">
      <x:c r="A53" s="2" t="str">
        <x:v>2026-02</x:v>
      </x:c>
      <x:c r="B53" s="11" t="n">
        <x:v>334690</x:v>
      </x:c>
      <x:c r="C53" s="18" t="str">
        <x:v>完整日历月</x:v>
      </x:c>
      <x:c r="D53" s="2"/>
      <x:c r="E53" s="2"/>
      <x:c r="F53" s="2"/>
      <x:c r="G53" s="2"/>
      <x:c r="H53" s="2"/>
      <x:c r="I53" s="2"/>
      <x:c r="J53" s="2"/>
    </x:row>
    <x:row r="54" ht="23" customHeight="1">
      <x:c r="A54" s="2" t="str">
        <x:v>2026-03</x:v>
      </x:c>
      <x:c r="B54" s="11" t="n">
        <x:v>342387</x:v>
      </x:c>
      <x:c r="C54" s="18" t="str">
        <x:v>完整日历月</x:v>
      </x:c>
      <x:c r="D54" s="2"/>
      <x:c r="E54" s="2"/>
      <x:c r="F54" s="2"/>
      <x:c r="G54" s="2"/>
      <x:c r="H54" s="2"/>
      <x:c r="I54" s="2"/>
      <x:c r="J54" s="2"/>
    </x:row>
    <x:row r="55" ht="23" customHeight="1">
      <x:c r="A55" s="2" t="str">
        <x:v>2026-04</x:v>
      </x:c>
      <x:c r="B55" s="11" t="n">
        <x:v>302190</x:v>
      </x:c>
      <x:c r="C55" s="18" t="str">
        <x:v>完整日历月</x:v>
      </x:c>
      <x:c r="D55" s="2"/>
      <x:c r="E55" s="2"/>
      <x:c r="F55" s="2"/>
      <x:c r="G55" s="2"/>
      <x:c r="H55" s="2"/>
      <x:c r="I55" s="2"/>
      <x:c r="J55" s="2"/>
    </x:row>
    <x:row r="56" ht="23" customHeight="1">
      <x:c r="A56" s="2" t="str">
        <x:v>2026-05</x:v>
      </x:c>
      <x:c r="B56" s="11" t="n">
        <x:v>331978</x:v>
      </x:c>
      <x:c r="C56" s="18" t="str">
        <x:v>完整日历月</x:v>
      </x:c>
      <x:c r="D56" s="2"/>
      <x:c r="E56" s="2"/>
      <x:c r="F56" s="2"/>
      <x:c r="G56" s="2"/>
      <x:c r="H56" s="2"/>
      <x:c r="I56" s="2"/>
      <x:c r="J56" s="2"/>
    </x:row>
    <x:row r="57" ht="23" customHeight="1">
      <x:c r="A57" s="2" t="str">
        <x:v>2026-06</x:v>
      </x:c>
      <x:c r="B57" s="11" t="n">
        <x:v>334833</x:v>
      </x:c>
      <x:c r="C57" s="18" t="str">
        <x:v>完整日历月</x:v>
      </x:c>
      <x:c r="D57" s="2"/>
      <x:c r="E57" s="2"/>
      <x:c r="F57" s="2"/>
      <x:c r="G57" s="2"/>
      <x:c r="H57" s="2"/>
      <x:c r="I57" s="2"/>
      <x:c r="J57" s="2"/>
    </x:row>
    <x:row r="58" ht="23" customHeight="1">
      <x:c r="A58" s="2" t="str">
        <x:v>2026-07</x:v>
      </x:c>
      <x:c r="B58" s="11" t="n">
        <x:v>343043</x:v>
      </x:c>
      <x:c r="C58" s="18" t="str">
        <x:v>完整日历月</x:v>
      </x:c>
      <x:c r="D58" s="2"/>
      <x:c r="E58" s="2"/>
      <x:c r="F58" s="2"/>
      <x:c r="G58" s="2"/>
      <x:c r="H58" s="2"/>
      <x:c r="I58" s="2"/>
      <x:c r="J58" s="2"/>
    </x:row>
    <x:row r="59" ht="23" customHeight="1">
      <x:c r="A59" s="2" t="str">
        <x:v>2026-08</x:v>
      </x:c>
      <x:c r="B59" s="11" t="n">
        <x:v>328446</x:v>
      </x:c>
      <x:c r="C59" s="18" t="str">
        <x:v>完整日历月</x:v>
      </x:c>
      <x:c r="D59" s="2"/>
      <x:c r="E59" s="2"/>
      <x:c r="F59" s="2"/>
      <x:c r="G59" s="2"/>
      <x:c r="H59" s="2"/>
      <x:c r="I59" s="2"/>
      <x:c r="J59" s="2"/>
    </x:row>
    <x:row r="60" ht="23" customHeight="1">
      <x:c r="A60" s="2" t="str">
        <x:v>2026-09</x:v>
      </x:c>
      <x:c r="B60" s="11" t="n">
        <x:v>41974</x:v>
      </x:c>
      <x:c r="C60" s="18" t="str">
        <x:v>仅至9月5日凌晨</x:v>
      </x:c>
      <x:c r="D60" s="2"/>
      <x:c r="E60" s="2"/>
      <x:c r="F60" s="2"/>
      <x:c r="G60" s="2"/>
      <x:c r="H60" s="2"/>
      <x:c r="I60" s="2"/>
      <x:c r="J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3" customHeight="1">
      <x:c r="A63" s="2" t="str">
        <x:v>首尾月份不参与月度同比。完整日历月指文件覆盖，不能证明源系统没有漏采。</x:v>
      </x:c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pageMargins left="0.7" right="0.7" top="0.75" bottom="0.75" header="0.3" footer="0.3"/>
  <x:drawing xmlns:r="http://schemas.openxmlformats.org/officeDocument/2006/relationships" r:id="R0e61b31eef9a4e94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5" t="str">
        <x:v>增量来自哪里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3" customHeight="1">
      <x:c r="A3" s="4" t="str">
        <x:v>统一比较：2026 年 1—8 月 vs 2025 年 1—8 月。保留原始英文类别，中文仅作阅读辅助。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0" t="str">
        <x:v>行政区</x:v>
      </x:c>
      <x:c r="B5" s="10" t="str">
        <x:v>2025（条）</x:v>
      </x:c>
      <x:c r="C5" s="10" t="str">
        <x:v>2026（条）</x:v>
      </x:c>
      <x:c r="D5" s="10" t="str">
        <x:v>增量（条）</x:v>
      </x:c>
      <x:c r="E5" s="10" t="str">
        <x:v>同比</x:v>
      </x:c>
      <x:c r="F5" s="10" t="str">
        <x:v>2026 占比</x:v>
      </x:c>
      <x:c r="G5" s="10" t="str">
        <x:v>净增量贡献</x:v>
      </x:c>
      <x:c r="H5" s="2"/>
      <x:c r="I5" s="2"/>
      <x:c r="J5" s="2"/>
    </x:row>
    <x:row r="6" ht="23" customHeight="1">
      <x:c r="A6" s="2" t="str">
        <x:v>BROOKLYN</x:v>
      </x:c>
      <x:c r="B6" s="11" t="n">
        <x:v>707179</x:v>
      </x:c>
      <x:c r="C6" s="11" t="n">
        <x:v>826230</x:v>
      </x:c>
      <x:c r="D6" s="11" t="n">
        <x:f>C6-B6</x:f>
        <x:v>119051</x:v>
      </x:c>
      <x:c r="E6" s="12" t="n">
        <x:f>IF(B6=0,"不适用",D6/B6)</x:f>
        <x:v>0.1683463451261986</x:v>
      </x:c>
      <x:c r="F6" s="12" t="n">
        <x:f>C6/'月度趋势'!$C$14</x:f>
        <x:v>0.30990466145401596</x:v>
      </x:c>
      <x:c r="G6" s="12" t="n">
        <x:f>D6/'月度趋势'!$D$14</x:f>
        <x:v>0.41431812961558007</x:v>
      </x:c>
      <x:c r="H6" s="2"/>
      <x:c r="I6" s="2"/>
      <x:c r="J6" s="2"/>
    </x:row>
    <x:row r="7" ht="23" customHeight="1">
      <x:c r="A7" s="2" t="str">
        <x:v>QUEENS</x:v>
      </x:c>
      <x:c r="B7" s="11" t="n">
        <x:v>582765</x:v>
      </x:c>
      <x:c r="C7" s="11" t="n">
        <x:v>669228</x:v>
      </x:c>
      <x:c r="D7" s="11" t="n">
        <x:f>C7-B7</x:f>
        <x:v>86463</x:v>
      </x:c>
      <x:c r="E7" s="12" t="n">
        <x:f>IF(B7=0,"不适用",D7/B7)</x:f>
        <x:v>0.14836683740444262</x:v>
      </x:c>
      <x:c r="F7" s="12" t="n">
        <x:f>C7/'月度趋势'!$C$14</x:f>
        <x:v>0.2510159117625216</x:v>
      </x:c>
      <x:c r="G7" s="12" t="n">
        <x:f>D7/'月度趋势'!$D$14</x:f>
        <x:v>0.3009062371668604</x:v>
      </x:c>
      <x:c r="H7" s="2"/>
      <x:c r="I7" s="2"/>
      <x:c r="J7" s="2"/>
    </x:row>
    <x:row r="8" ht="23" customHeight="1">
      <x:c r="A8" s="2" t="str">
        <x:v>MANHATTAN</x:v>
      </x:c>
      <x:c r="B8" s="11" t="n">
        <x:v>470739</x:v>
      </x:c>
      <x:c r="C8" s="11" t="n">
        <x:v>511268</x:v>
      </x:c>
      <x:c r="D8" s="11" t="n">
        <x:f>C8-B8</x:f>
        <x:v>40529</x:v>
      </x:c>
      <x:c r="E8" s="12" t="n">
        <x:f>IF(B8=0,"不适用",D8/B8)</x:f>
        <x:v>0.08609654182041429</x:v>
      </x:c>
      <x:c r="F8" s="12" t="n">
        <x:f>C8/'月度趋势'!$C$14</x:f>
        <x:v>0.19176783274907935</x:v>
      </x:c>
      <x:c r="G8" s="12" t="n">
        <x:f>D8/'月度趋势'!$D$14</x:f>
        <x:v>0.14104794982981952</x:v>
      </x:c>
      <x:c r="H8" s="2"/>
      <x:c r="I8" s="2"/>
      <x:c r="J8" s="2"/>
    </x:row>
    <x:row r="9" ht="23" customHeight="1">
      <x:c r="A9" s="2" t="str">
        <x:v>STATEN ISLAND</x:v>
      </x:c>
      <x:c r="B9" s="11" t="n">
        <x:v>90416</x:v>
      </x:c>
      <x:c r="C9" s="11" t="n">
        <x:v>115849</x:v>
      </x:c>
      <x:c r="D9" s="11" t="n">
        <x:f>C9-B9</x:f>
        <x:v>25433</x:v>
      </x:c>
      <x:c r="E9" s="12" t="n">
        <x:f>IF(B9=0,"不适用",D9/B9)</x:f>
        <x:v>0.28128870996283845</x:v>
      </x:c>
      <x:c r="F9" s="12" t="n">
        <x:f>C9/'月度趋势'!$C$14</x:f>
        <x:v>0.043452967242518785</x:v>
      </x:c>
      <x:c r="G9" s="12" t="n">
        <x:f>D9/'月度趋势'!$D$14</x:f>
        <x:v>0.08851125140076982</x:v>
      </x:c>
      <x:c r="H9" s="2"/>
      <x:c r="I9" s="2"/>
      <x:c r="J9" s="2"/>
    </x:row>
    <x:row r="10" ht="23" customHeight="1">
      <x:c r="A10" s="2" t="str">
        <x:v>BRONX</x:v>
      </x:c>
      <x:c r="B10" s="11" t="n">
        <x:v>525895</x:v>
      </x:c>
      <x:c r="C10" s="11" t="n">
        <x:v>540643</x:v>
      </x:c>
      <x:c r="D10" s="11" t="n">
        <x:f>C10-B10</x:f>
        <x:v>14748</x:v>
      </x:c>
      <x:c r="E10" s="12" t="n">
        <x:f>IF(B10=0,"不适用",D10/B10)</x:f>
        <x:v>0.028043620874889475</x:v>
      </x:c>
      <x:c r="F10" s="12" t="n">
        <x:f>C10/'月度趋势'!$C$14</x:f>
        <x:v>0.20278588998521424</x:v>
      </x:c>
      <x:c r="G10" s="12" t="n">
        <x:f>D10/'月度趋势'!$D$14</x:f>
        <x:v>0.0513255980678077</x:v>
      </x:c>
      <x:c r="H10" s="2"/>
      <x:c r="I10" s="2"/>
      <x:c r="J10" s="2"/>
    </x:row>
    <x:row r="11" ht="23" customHeight="1">
      <x:c r="A11" s="2" t="str">
        <x:v>Unspecified</x:v>
      </x:c>
      <x:c r="B11" s="11" t="n">
        <x:v>1742</x:v>
      </x:c>
      <x:c r="C11" s="11" t="n">
        <x:v>2860</x:v>
      </x:c>
      <x:c r="D11" s="11" t="n">
        <x:f>C11-B11</x:f>
        <x:v>1118</x:v>
      </x:c>
      <x:c r="E11" s="12" t="n">
        <x:f>IF(B11=0,"不适用",D11/B11)</x:f>
        <x:v>0.6417910447761194</x:v>
      </x:c>
      <x:c r="F11" s="12" t="n">
        <x:f>C11/'月度趋势'!$C$14</x:f>
        <x:v>0.001072736806650068</x:v>
      </x:c>
      <x:c r="G11" s="12" t="n">
        <x:f>D11/'月度趋势'!$D$14</x:f>
        <x:v>0.003890833919162531</x:v>
      </x:c>
      <x:c r="H11" s="2"/>
      <x:c r="I11" s="2"/>
      <x:c r="J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 t="str">
        <x:v>按增量降序排列。占比的分母是 2026 年 1—8 月全部请求；贡献的分母是同期净增量。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 t="str">
        <x:v>行政区比较未按人口、住房或车辆数调整；Unspecified 原样保留在分母内。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19" t="str">
        <x:v>口径警示：2026-08 的 Water System / Sewer 归零、维护类骤增，不能直接视为需求涨跌。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30" customHeight="1">
      <x:c r="A18" s="10" t="str">
        <x:v>投诉类型（原文）</x:v>
      </x:c>
      <x:c r="B18" s="10" t="str">
        <x:v>2025（条）</x:v>
      </x:c>
      <x:c r="C18" s="10" t="str">
        <x:v>2026（条）</x:v>
      </x:c>
      <x:c r="D18" s="10" t="str">
        <x:v>增量（条）</x:v>
      </x:c>
      <x:c r="E18" s="10" t="str">
        <x:v>同比</x:v>
      </x:c>
      <x:c r="F18" s="10" t="str">
        <x:v>2026 占比</x:v>
      </x:c>
      <x:c r="G18" s="10" t="str">
        <x:v>净增量贡献</x:v>
      </x:c>
      <x:c r="H18" s="2"/>
      <x:c r="I18" s="2"/>
      <x:c r="J18" s="2"/>
    </x:row>
    <x:row r="19" ht="23" customHeight="1">
      <x:c r="A19" s="2" t="str">
        <x:v>Street Condition</x:v>
      </x:c>
      <x:c r="B19" s="11" t="n">
        <x:v>51211</x:v>
      </x:c>
      <x:c r="C19" s="11" t="n">
        <x:v>98920</x:v>
      </x:c>
      <x:c r="D19" s="11" t="n">
        <x:f>C19-B19</x:f>
        <x:v>47709</x:v>
      </x:c>
      <x:c r="E19" s="12" t="n">
        <x:f>IF(B19=0,"不适用",D19/B19)</x:f>
        <x:v>0.9316162543203609</x:v>
      </x:c>
      <x:c r="F19" s="12" t="n">
        <x:f>C19/'月度趋势'!$C$14</x:f>
        <x:v>0.03710319052930935</x:v>
      </x:c>
      <x:c r="G19" s="12" t="n">
        <x:f>D19/'月度趋势'!$D$14</x:f>
        <x:v>0.16603559521406547</x:v>
      </x:c>
      <x:c r="H19" s="2"/>
      <x:c r="I19" s="2"/>
      <x:c r="J19" s="2"/>
    </x:row>
    <x:row r="20" ht="23" customHeight="1">
      <x:c r="A20" s="2" t="str">
        <x:v>Snow or Ice</x:v>
      </x:c>
      <x:c r="B20" s="11" t="n">
        <x:v>7990</x:v>
      </x:c>
      <x:c r="C20" s="11" t="n">
        <x:v>55230</x:v>
      </x:c>
      <x:c r="D20" s="11" t="n">
        <x:f>C20-B20</x:f>
        <x:v>47240</x:v>
      </x:c>
      <x:c r="E20" s="12" t="n">
        <x:f>IF(B20=0,"不适用",D20/B20)</x:f>
        <x:v>5.9123904881101375</x:v>
      </x:c>
      <x:c r="F20" s="12" t="n">
        <x:f>C20/'月度趋势'!$C$14</x:f>
        <x:v>0.02071582301793121</x:v>
      </x:c>
      <x:c r="G20" s="12" t="n">
        <x:f>D20/'月度趋势'!$D$14</x:f>
        <x:v>0.16440339386515024</x:v>
      </x:c>
      <x:c r="H20" s="2"/>
      <x:c r="I20" s="2"/>
      <x:c r="J20" s="2"/>
    </x:row>
    <x:row r="21" ht="23" customHeight="1">
      <x:c r="A21" s="2" t="str">
        <x:v>HEAT/HOT WATER</x:v>
      </x:c>
      <x:c r="B21" s="11" t="n">
        <x:v>168645</x:v>
      </x:c>
      <x:c r="C21" s="11" t="n">
        <x:v>210519</x:v>
      </x:c>
      <x:c r="D21" s="11" t="n">
        <x:f>C21-B21</x:f>
        <x:v>41874</x:v>
      </x:c>
      <x:c r="E21" s="12" t="n">
        <x:f>IF(B21=0,"不适用",D21/B21)</x:f>
        <x:v>0.24829671795784045</x:v>
      </x:c>
      <x:c r="F21" s="12" t="n">
        <x:f>C21/'月度趋势'!$C$14</x:f>
        <x:v>0.07896205587383415</x:v>
      </x:c>
      <x:c r="G21" s="12" t="n">
        <x:f>D21/'月度趋势'!$D$14</x:f>
        <x:v>0.14572878312255083</x:v>
      </x:c>
      <x:c r="H21" s="2"/>
      <x:c r="I21" s="2"/>
      <x:c r="J21" s="2"/>
    </x:row>
    <x:row r="22" ht="23" customHeight="1">
      <x:c r="A22" s="2" t="str">
        <x:v>Illegal Parking</x:v>
      </x:c>
      <x:c r="B22" s="11" t="n">
        <x:v>380337</x:v>
      </x:c>
      <x:c r="C22" s="11" t="n">
        <x:v>415399</x:v>
      </x:c>
      <x:c r="D22" s="11" t="n">
        <x:f>C22-B22</x:f>
        <x:v>35062</x:v>
      </x:c>
      <x:c r="E22" s="12" t="n">
        <x:f>IF(B22=0,"不适用",D22/B22)</x:f>
        <x:v>0.09218666603564733</x:v>
      </x:c>
      <x:c r="F22" s="12" t="n">
        <x:f>C22/'月度趋势'!$C$14</x:f>
        <x:v>0.15580901984112994</x:v>
      </x:c>
      <x:c r="G22" s="12" t="n">
        <x:f>D22/'月度趋势'!$D$14</x:f>
        <x:v>0.12202184156858378</x:v>
      </x:c>
      <x:c r="H22" s="2"/>
      <x:c r="I22" s="2"/>
      <x:c r="J22" s="2"/>
    </x:row>
    <x:row r="23" ht="23" customHeight="1">
      <x:c r="A23" s="2" t="str">
        <x:v>Blocked Driveway</x:v>
      </x:c>
      <x:c r="B23" s="11" t="n">
        <x:v>109480</x:v>
      </x:c>
      <x:c r="C23" s="11" t="n">
        <x:v>130461</x:v>
      </x:c>
      <x:c r="D23" s="11" t="n">
        <x:f>C23-B23</x:f>
        <x:v>20981</x:v>
      </x:c>
      <x:c r="E23" s="12" t="n">
        <x:f>IF(B23=0,"不适用",D23/B23)</x:f>
        <x:v>0.19164230909755206</x:v>
      </x:c>
      <x:c r="F23" s="12" t="n">
        <x:f>C23/'月度趋势'!$C$14</x:f>
        <x:v>0.04893367710922186</x:v>
      </x:c>
      <x:c r="G23" s="12" t="n">
        <x:f>D23/'月度趋势'!$D$14</x:f>
        <x:v>0.07301751919315659</x:v>
      </x:c>
      <x:c r="H23" s="2"/>
      <x:c r="I23" s="2"/>
      <x:c r="J23" s="2"/>
    </x:row>
    <x:row r="24" ht="23" customHeight="1">
      <x:c r="A24" s="2" t="str">
        <x:v>UNSANITARY CONDITION</x:v>
      </x:c>
      <x:c r="B24" s="11" t="n">
        <x:v>75585</x:v>
      </x:c>
      <x:c r="C24" s="11" t="n">
        <x:v>91605</x:v>
      </x:c>
      <x:c r="D24" s="11" t="n">
        <x:f>C24-B24</x:f>
        <x:v>16020</x:v>
      </x:c>
      <x:c r="E24" s="12" t="n">
        <x:f>IF(B24=0,"不适用",D24/B24)</x:f>
        <x:v>0.21194681484421513</x:v>
      </x:c>
      <x:c r="F24" s="12" t="n">
        <x:f>C24/'月度趋势'!$C$14</x:f>
        <x:v>0.03435945985076205</x:v>
      </x:c>
      <x:c r="G24" s="12" t="n">
        <x:f>D24/'月度趋势'!$D$14</x:f>
        <x:v>0.05575237869855434</x:v>
      </x:c>
      <x:c r="H24" s="2"/>
      <x:c r="I24" s="2"/>
      <x:c r="J24" s="2"/>
    </x:row>
    <x:row r="25" ht="23" customHeight="1">
      <x:c r="A25" s="2" t="str">
        <x:v>PLUMBING</x:v>
      </x:c>
      <x:c r="B25" s="11" t="n">
        <x:v>45429</x:v>
      </x:c>
      <x:c r="C25" s="11" t="n">
        <x:v>58930</x:v>
      </x:c>
      <x:c r="D25" s="11" t="n">
        <x:f>C25-B25</x:f>
        <x:v>13501</x:v>
      </x:c>
      <x:c r="E25" s="12" t="n">
        <x:f>IF(B25=0,"不适用",D25/B25)</x:f>
        <x:v>0.2971890202293689</x:v>
      </x:c>
      <x:c r="F25" s="12" t="n">
        <x:f>C25/'月度趋势'!$C$14</x:f>
        <x:v>0.02210362937618479</x:v>
      </x:c>
      <x:c r="G25" s="12" t="n">
        <x:f>D25/'月度趋势'!$D$14</x:f>
        <x:v>0.04698582177335718</x:v>
      </x:c>
      <x:c r="H25" s="2"/>
      <x:c r="I25" s="2"/>
      <x:c r="J25" s="2"/>
    </x:row>
    <x:row r="26" ht="23" customHeight="1">
      <x:c r="A26" s="2" t="str">
        <x:v>Damaged Tree</x:v>
      </x:c>
      <x:c r="B26" s="11" t="n">
        <x:v>19794</x:v>
      </x:c>
      <x:c r="C26" s="11" t="n">
        <x:v>32265</x:v>
      </x:c>
      <x:c r="D26" s="11" t="n">
        <x:f>C26-B26</x:f>
        <x:v>12471</x:v>
      </x:c>
      <x:c r="E26" s="12" t="n">
        <x:f>IF(B26=0,"不适用",D26/B26)</x:f>
        <x:v>0.6300394058805698</x:v>
      </x:c>
      <x:c r="F26" s="12" t="n">
        <x:f>C26/'月度趋势'!$C$14</x:f>
        <x:v>0.012102046526770785</x:v>
      </x:c>
      <x:c r="G26" s="12" t="n">
        <x:f>D26/'月度趋势'!$D$14</x:f>
        <x:v>0.043401243117957</x:v>
      </x:c>
      <x:c r="H26" s="2"/>
      <x:c r="I26" s="2"/>
      <x:c r="J26" s="2"/>
    </x:row>
    <x:row r="27" ht="23" customHeight="1">
      <x:c r="A27" s="2" t="str">
        <x:v>Water Maintenance</x:v>
      </x:c>
      <x:c r="B27" s="11" t="n">
        <x:v>7</x:v>
      </x:c>
      <x:c r="C27" s="11" t="n">
        <x:v>11284</x:v>
      </x:c>
      <x:c r="D27" s="11" t="n">
        <x:f>C27-B27</x:f>
        <x:v>11277</x:v>
      </x:c>
      <x:c r="E27" s="12" t="n">
        <x:f>IF(B27=0,"不适用",D27/B27)</x:f>
        <x:v>1611</x:v>
      </x:c>
      <x:c r="F27" s="12" t="n">
        <x:f>C27/'月度趋势'!$C$14</x:f>
        <x:v>0.0042324343098739045</x:v>
      </x:c>
      <x:c r="G27" s="12" t="n">
        <x:f>D27/'月度趋势'!$D$14</x:f>
        <x:v>0.03924591601645426</x:v>
      </x:c>
      <x:c r="H27" s="2"/>
      <x:c r="I27" s="2"/>
      <x:c r="J27" s="2"/>
    </x:row>
    <x:row r="28" ht="23" customHeight="1">
      <x:c r="A28" s="2" t="str">
        <x:v>Traffic Signal Condition</x:v>
      </x:c>
      <x:c r="B28" s="11" t="n">
        <x:v>34208</x:v>
      </x:c>
      <x:c r="C28" s="11" t="n">
        <x:v>43417</x:v>
      </x:c>
      <x:c r="D28" s="11" t="n">
        <x:f>C28-B28</x:f>
        <x:v>9209</x:v>
      </x:c>
      <x:c r="E28" s="12" t="n">
        <x:f>IF(B28=0,"不适用",D28/B28)</x:f>
        <x:v>0.269206033676333</x:v>
      </x:c>
      <x:c r="F28" s="12" t="n">
        <x:f>C28/'月度趋势'!$C$14</x:f>
        <x:v>0.016284969907106994</x:v>
      </x:c>
      <x:c r="G28" s="12" t="n">
        <x:f>D28/'月度趋势'!$D$14</x:f>
        <x:v>0.03204891731803913</x:v>
      </x:c>
      <x:c r="H28" s="2"/>
      <x:c r="I28" s="2"/>
      <x:c r="J28" s="2"/>
    </x:row>
    <x:row r="29" ht="23" customHeight="1">
      <x:c r="A29" s="2" t="str">
        <x:v>GENERAL</x:v>
      </x:c>
      <x:c r="B29" s="11" t="n">
        <x:v>21191</x:v>
      </x:c>
      <x:c r="C29" s="11" t="n">
        <x:v>29848</x:v>
      </x:c>
      <x:c r="D29" s="11" t="n">
        <x:f>C29-B29</x:f>
        <x:v>8657</x:v>
      </x:c>
      <x:c r="E29" s="12" t="n">
        <x:f>IF(B29=0,"不适用",D29/B29)</x:f>
        <x:v>0.4085224859610212</x:v>
      </x:c>
      <x:c r="F29" s="12" t="n">
        <x:f>C29/'月度趋势'!$C$14</x:f>
        <x:v>0.01119547140031162</x:v>
      </x:c>
      <x:c r="G29" s="12" t="n">
        <x:f>D29/'月度趋势'!$D$14</x:f>
        <x:v>0.03012786157262078</x:v>
      </x:c>
      <x:c r="H29" s="2"/>
      <x:c r="I29" s="2"/>
      <x:c r="J29" s="2"/>
    </x:row>
    <x:row r="30" ht="23" customHeight="1">
      <x:c r="A30" s="2" t="str">
        <x:v>WATER LEAK</x:v>
      </x:c>
      <x:c r="B30" s="11" t="n">
        <x:v>24817</x:v>
      </x:c>
      <x:c r="C30" s="11" t="n">
        <x:v>32874</x:v>
      </x:c>
      <x:c r="D30" s="11" t="n">
        <x:f>C30-B30</x:f>
        <x:v>8057</x:v>
      </x:c>
      <x:c r="E30" s="12" t="n">
        <x:f>IF(B30=0,"不适用",D30/B30)</x:f>
        <x:v>0.32465648547366727</x:v>
      </x:c>
      <x:c r="F30" s="12" t="n">
        <x:f>C30/'月度趋势'!$C$14</x:f>
        <x:v>0.012330471951683334</x:v>
      </x:c>
      <x:c r="G30" s="12" t="n">
        <x:f>D30/'月度趋势'!$D$14</x:f>
        <x:v>0.028039757501513874</x:v>
      </x:c>
      <x:c r="H30" s="2"/>
      <x:c r="I30" s="2"/>
      <x:c r="J30" s="2"/>
    </x:row>
    <x:row r="31" ht="23" customHeight="1">
      <x:c r="A31" s="2" t="str">
        <x:v>PAINT/PLASTER</x:v>
      </x:c>
      <x:c r="B31" s="11" t="n">
        <x:v>38716</x:v>
      </x:c>
      <x:c r="C31" s="11" t="n">
        <x:v>46328</x:v>
      </x:c>
      <x:c r="D31" s="11" t="n">
        <x:f>C31-B31</x:f>
        <x:v>7612</x:v>
      </x:c>
      <x:c r="E31" s="12" t="n">
        <x:f>IF(B31=0,"不适用",D31/B31)</x:f>
        <x:v>0.19661122016737267</x:v>
      </x:c>
      <x:c r="F31" s="12" t="n">
        <x:f>C31/'月度趋势'!$C$14</x:f>
        <x:v>0.01737683593653299</x:v>
      </x:c>
      <x:c r="G31" s="12" t="n">
        <x:f>D31/'月度趋势'!$D$14</x:f>
        <x:v>0.026491080315442922</x:v>
      </x:c>
      <x:c r="H31" s="2"/>
      <x:c r="I31" s="2"/>
      <x:c r="J31" s="2"/>
    </x:row>
    <x:row r="32" ht="23" customHeight="1">
      <x:c r="A32" s="2" t="str">
        <x:v>Dirty Condition</x:v>
      </x:c>
      <x:c r="B32" s="11" t="n">
        <x:v>41746</x:v>
      </x:c>
      <x:c r="C32" s="11" t="n">
        <x:v>48806</x:v>
      </x:c>
      <x:c r="D32" s="11" t="n">
        <x:f>C32-B32</x:f>
        <x:v>7060</x:v>
      </x:c>
      <x:c r="E32" s="12" t="n">
        <x:f>IF(B32=0,"不适用",D32/B32)</x:f>
        <x:v>0.16911799932927707</x:v>
      </x:c>
      <x:c r="F32" s="12" t="n">
        <x:f>C32/'月度趋势'!$C$14</x:f>
        <x:v>0.018306291113763362</x:v>
      </x:c>
      <x:c r="G32" s="12" t="n">
        <x:f>D32/'月度趋势'!$D$14</x:f>
        <x:v>0.02457002457002457</x:v>
      </x:c>
      <x:c r="H32" s="2"/>
      <x:c r="I32" s="2"/>
      <x:c r="J32" s="2"/>
    </x:row>
    <x:row r="33" ht="23" customHeight="1">
      <x:c r="A33" s="2" t="str">
        <x:v>Noise - Vehicle</x:v>
      </x:c>
      <x:c r="B33" s="11" t="n">
        <x:v>28749</x:v>
      </x:c>
      <x:c r="C33" s="11" t="n">
        <x:v>35732</x:v>
      </x:c>
      <x:c r="D33" s="11" t="n">
        <x:f>C33-B33</x:f>
        <x:v>6983</x:v>
      </x:c>
      <x:c r="E33" s="12" t="n">
        <x:f>IF(B33=0,"不适用",D33/B33)</x:f>
        <x:v>0.2428954050575672</x:v>
      </x:c>
      <x:c r="F33" s="12" t="n">
        <x:f>C33/'月度趋势'!$C$14</x:f>
        <x:v>0.013402458592734347</x:v>
      </x:c>
      <x:c r="G33" s="12" t="n">
        <x:f>D33/'月度趋势'!$D$14</x:f>
        <x:v>0.02430205121423252</x:v>
      </x:c>
      <x:c r="H33" s="2"/>
      <x:c r="I33" s="2"/>
      <x:c r="J33" s="2"/>
    </x:row>
    <x:row r="34" ht="23" customHeight="1">
      <x:c r="A34" s="2" t="str">
        <x:v>DOOR/WINDOW</x:v>
      </x:c>
      <x:c r="B34" s="11" t="n">
        <x:v>29113</x:v>
      </x:c>
      <x:c r="C34" s="11" t="n">
        <x:v>35969</x:v>
      </x:c>
      <x:c r="D34" s="11" t="n">
        <x:f>C34-B34</x:f>
        <x:v>6856</x:v>
      </x:c>
      <x:c r="E34" s="12" t="n">
        <x:f>IF(B34=0,"不适用",D34/B34)</x:f>
        <x:v>0.23549617009583348</x:v>
      </x:c>
      <x:c r="F34" s="12" t="n">
        <x:f>C34/'月度趋势'!$C$14</x:f>
        <x:v>0.013491353216222482</x:v>
      </x:c>
      <x:c r="G34" s="12" t="n">
        <x:f>D34/'月度趋势'!$D$14</x:f>
        <x:v>0.023860069185848223</x:v>
      </x:c>
      <x:c r="H34" s="2"/>
      <x:c r="I34" s="2"/>
      <x:c r="J34" s="2"/>
    </x:row>
    <x:row r="35" ht="23" customHeight="1">
      <x:c r="A35" s="2" t="str">
        <x:v>Sewer Maintenance</x:v>
      </x:c>
      <x:c r="B35" s="11" t="n">
        <x:v>8</x:v>
      </x:c>
      <x:c r="C35" s="11" t="n">
        <x:v>6588</x:v>
      </x:c>
      <x:c r="D35" s="11" t="n">
        <x:f>C35-B35</x:f>
        <x:v>6580</x:v>
      </x:c>
      <x:c r="E35" s="12" t="n">
        <x:f>IF(B35=0,"不适用",D35/B35)</x:f>
        <x:v>822.5</x:v>
      </x:c>
      <x:c r="F35" s="12" t="n">
        <x:f>C35/'月度趋势'!$C$14</x:f>
        <x:v>0.002471045483290436</x:v>
      </x:c>
      <x:c r="G35" s="12" t="n">
        <x:f>D35/'月度趋势'!$D$14</x:f>
        <x:v>0.02289954131313905</x:v>
      </x:c>
      <x:c r="H35" s="2"/>
      <x:c r="I35" s="2"/>
      <x:c r="J35" s="2"/>
    </x:row>
    <x:row r="36" ht="23" customHeight="1">
      <x:c r="A36" s="2" t="str">
        <x:v>Building/Use</x:v>
      </x:c>
      <x:c r="B36" s="11" t="n">
        <x:v>13789</x:v>
      </x:c>
      <x:c r="C36" s="11" t="n">
        <x:v>18673</x:v>
      </x:c>
      <x:c r="D36" s="11" t="n">
        <x:f>C36-B36</x:f>
        <x:v>4884</x:v>
      </x:c>
      <x:c r="E36" s="12" t="n">
        <x:f>IF(B36=0,"不适用",D36/B36)</x:f>
        <x:v>0.35419537312350424</x:v>
      </x:c>
      <x:c r="F36" s="12" t="n">
        <x:f>C36/'月度趋势'!$C$14</x:f>
        <x:v>0.007003921115586266</x:v>
      </x:c>
      <x:c r="G36" s="12" t="n">
        <x:f>D36/'月度趋势'!$D$14</x:f>
        <x:v>0.0169971671388102</x:v>
      </x:c>
      <x:c r="H36" s="2"/>
      <x:c r="I36" s="2"/>
      <x:c r="J36" s="2"/>
    </x:row>
    <x:row r="37" ht="23" customHeight="1">
      <x:c r="A37" s="2" t="str">
        <x:v>ELECTRIC</x:v>
      </x:c>
      <x:c r="B37" s="11" t="n">
        <x:v>20087</x:v>
      </x:c>
      <x:c r="C37" s="11" t="n">
        <x:v>24520</x:v>
      </x:c>
      <x:c r="D37" s="11" t="n">
        <x:f>C37-B37</x:f>
        <x:v>4433</x:v>
      </x:c>
      <x:c r="E37" s="12" t="n">
        <x:f>IF(B37=0,"不适用",D37/B37)</x:f>
        <x:v>0.22068999850649673</x:v>
      </x:c>
      <x:c r="F37" s="12" t="n">
        <x:f>C37/'月度趋势'!$C$14</x:f>
        <x:v>0.009197030244426457</x:v>
      </x:c>
      <x:c r="G37" s="12" t="n">
        <x:f>D37/'月度趋势'!$D$14</x:f>
        <x:v>0.015427608912028176</x:v>
      </x:c>
      <x:c r="H37" s="2"/>
      <x:c r="I37" s="2"/>
      <x:c r="J37" s="2"/>
    </x:row>
    <x:row r="38" ht="23" customHeight="1">
      <x:c r="A38" s="2" t="str">
        <x:v>Maintenance or Facility</x:v>
      </x:c>
      <x:c r="B38" s="11" t="n">
        <x:v>16999</x:v>
      </x:c>
      <x:c r="C38" s="11" t="n">
        <x:v>21081</x:v>
      </x:c>
      <x:c r="D38" s="11" t="n">
        <x:f>C38-B38</x:f>
        <x:v>4082</x:v>
      </x:c>
      <x:c r="E38" s="12" t="n">
        <x:f>IF(B38=0,"不适用",D38/B38)</x:f>
        <x:v>0.24013177245720335</x:v>
      </x:c>
      <x:c r="F38" s="12" t="n">
        <x:f>C38/'月度趋势'!$C$14</x:f>
        <x:v>0.00790712049684968</x:v>
      </x:c>
      <x:c r="G38" s="12" t="n">
        <x:f>D38/'月度趋势'!$D$14</x:f>
        <x:v>0.014206068030430636</x:v>
      </x:c>
      <x:c r="H38" s="2"/>
      <x:c r="I38" s="2"/>
      <x:c r="J38" s="2"/>
    </x:row>
    <x:row r="39" ht="23" customHeight="1">
      <x:c r="A39" s="2" t="str">
        <x:v>General Construction/Plumbing</x:v>
      </x:c>
      <x:c r="B39" s="11" t="n">
        <x:v>23581</x:v>
      </x:c>
      <x:c r="C39" s="11" t="n">
        <x:v>27525</x:v>
      </x:c>
      <x:c r="D39" s="11" t="n">
        <x:f>C39-B39</x:f>
        <x:v>3944</x:v>
      </x:c>
      <x:c r="E39" s="12" t="n">
        <x:f>IF(B39=0,"不适用",D39/B39)</x:f>
        <x:v>0.16725329714600737</x:v>
      </x:c>
      <x:c r="F39" s="12" t="n">
        <x:f>C39/'月度趋势'!$C$14</x:f>
        <x:v>0.010324154057008084</x:v>
      </x:c>
      <x:c r="G39" s="12" t="n">
        <x:f>D39/'月度趋势'!$D$14</x:f>
        <x:v>0.013725804094076048</x:v>
      </x:c>
      <x:c r="H39" s="2"/>
      <x:c r="I39" s="2"/>
      <x:c r="J39" s="2"/>
    </x:row>
    <x:row r="40" ht="23" customHeight="1">
      <x:c r="A40" s="2" t="str">
        <x:v>FLOORING/STAIRS</x:v>
      </x:c>
      <x:c r="B40" s="11" t="n">
        <x:v>17261</x:v>
      </x:c>
      <x:c r="C40" s="11" t="n">
        <x:v>21102</x:v>
      </x:c>
      <x:c r="D40" s="11" t="n">
        <x:f>C40-B40</x:f>
        <x:v>3841</x:v>
      </x:c>
      <x:c r="E40" s="12" t="n">
        <x:f>IF(B40=0,"不适用",D40/B40)</x:f>
        <x:v>0.22252476681536412</x:v>
      </x:c>
      <x:c r="F40" s="12" t="n">
        <x:f>C40/'月度趋势'!$C$14</x:f>
        <x:v>0.007914997235639768</x:v>
      </x:c>
      <x:c r="G40" s="12" t="n">
        <x:f>D40/'月度趋势'!$D$14</x:f>
        <x:v>0.01336734622853603</x:v>
      </x:c>
      <x:c r="H40" s="2"/>
      <x:c r="I40" s="2"/>
      <x:c r="J40" s="2"/>
    </x:row>
    <x:row r="41" ht="23" customHeight="1">
      <x:c r="A41" s="2" t="str">
        <x:v>Elevator</x:v>
      </x:c>
      <x:c r="B41" s="11" t="n">
        <x:v>14590</x:v>
      </x:c>
      <x:c r="C41" s="11" t="n">
        <x:v>18398</x:v>
      </x:c>
      <x:c r="D41" s="11" t="n">
        <x:f>C41-B41</x:f>
        <x:v>3808</x:v>
      </x:c>
      <x:c r="E41" s="12" t="n">
        <x:f>IF(B41=0,"不适用",D41/B41)</x:f>
        <x:v>0.26100068540095955</x:v>
      </x:c>
      <x:c r="F41" s="12" t="n">
        <x:f>C41/'月度趋势'!$C$14</x:f>
        <x:v>0.006900773345716067</x:v>
      </x:c>
      <x:c r="G41" s="12" t="n">
        <x:f>D41/'月度趋势'!$D$14</x:f>
        <x:v>0.013252500504625151</x:v>
      </x:c>
      <x:c r="H41" s="2"/>
      <x:c r="I41" s="2"/>
      <x:c r="J41" s="2"/>
    </x:row>
    <x:row r="42" ht="23" customHeight="1">
      <x:c r="A42" s="2" t="str">
        <x:v>Noise</x:v>
      </x:c>
      <x:c r="B42" s="11" t="n">
        <x:v>36082</x:v>
      </x:c>
      <x:c r="C42" s="11" t="n">
        <x:v>39588</x:v>
      </x:c>
      <x:c r="D42" s="11" t="n">
        <x:f>C42-B42</x:f>
        <x:v>3506</x:v>
      </x:c>
      <x:c r="E42" s="12" t="n">
        <x:f>IF(B42=0,"不适用",D42/B42)</x:f>
        <x:v>0.09716756277368217</x:v>
      </x:c>
      <x:c r="F42" s="12" t="n">
        <x:f>C42/'月度趋势'!$C$14</x:f>
        <x:v>0.014848777867714298</x:v>
      </x:c>
      <x:c r="G42" s="12" t="n">
        <x:f>D42/'月度趋势'!$D$14</x:f>
        <x:v>0.012201488122168008</x:v>
      </x:c>
      <x:c r="H42" s="2"/>
      <x:c r="I42" s="2"/>
      <x:c r="J42" s="2"/>
    </x:row>
    <x:row r="43" ht="23" customHeight="1">
      <x:c r="A43" s="2" t="str">
        <x:v>Overgrown Tree/Branches</x:v>
      </x:c>
      <x:c r="B43" s="11" t="n">
        <x:v>13405</x:v>
      </x:c>
      <x:c r="C43" s="11" t="n">
        <x:v>16794</x:v>
      </x:c>
      <x:c r="D43" s="11" t="n">
        <x:f>C43-B43</x:f>
        <x:v>3389</x:v>
      </x:c>
      <x:c r="E43" s="12" t="n">
        <x:f>IF(B43=0,"不适用",D43/B43)</x:f>
        <x:v>0.2528161133905259</x:v>
      </x:c>
      <x:c r="F43" s="12" t="n">
        <x:f>C43/'月度趋势'!$C$14</x:f>
        <x:v>0.006299140535273162</x:v>
      </x:c>
      <x:c r="G43" s="12" t="n">
        <x:f>D43/'月度趋势'!$D$14</x:f>
        <x:v>0.011794307828302163</x:v>
      </x:c>
      <x:c r="H43" s="2"/>
      <x:c r="I43" s="2"/>
      <x:c r="J43" s="2"/>
    </x:row>
    <x:row r="44" ht="23" customHeight="1">
      <x:c r="A44" s="2" t="str">
        <x:v>Street Light Condition</x:v>
      </x:c>
      <x:c r="B44" s="11" t="n">
        <x:v>20685</x:v>
      </x:c>
      <x:c r="C44" s="11" t="n">
        <x:v>23886</x:v>
      </x:c>
      <x:c r="D44" s="11" t="n">
        <x:f>C44-B44</x:f>
        <x:v>3201</x:v>
      </x:c>
      <x:c r="E44" s="12" t="n">
        <x:f>IF(B44=0,"不适用",D44/B44)</x:f>
        <x:v>0.15474981870920956</x:v>
      </x:c>
      <x:c r="F44" s="12" t="n">
        <x:f>C44/'月度趋势'!$C$14</x:f>
        <x:v>0.008959227749525707</x:v>
      </x:c>
      <x:c r="G44" s="12" t="n">
        <x:f>D44/'月度趋势'!$D$14</x:f>
        <x:v>0.011140035219355332</x:v>
      </x:c>
      <x:c r="H44" s="2"/>
      <x:c r="I44" s="2"/>
      <x:c r="J44" s="2"/>
    </x:row>
    <x:row r="45" ht="23" customHeight="1">
      <x:c r="A45" s="2" t="str">
        <x:v>Cannabis Retailer</x:v>
      </x:c>
      <x:c r="B45" s="11" t="n">
        <x:v>0</x:v>
      </x:c>
      <x:c r="C45" s="11" t="n">
        <x:v>3015</x:v>
      </x:c>
      <x:c r="D45" s="11" t="n">
        <x:f>C45-B45</x:f>
        <x:v>3015</x:v>
      </x:c>
      <x:c r="E45" s="12" t="str">
        <x:f>IF(B45=0,"不适用",D45/B45)</x:f>
        <x:v>不适用</x:v>
      </x:c>
      <x:c r="F45" s="12" t="n">
        <x:f>C45/'月度趋势'!$C$14</x:f>
        <x:v>0.0011308746405769073</x:v>
      </x:c>
      <x:c r="G45" s="12" t="n">
        <x:f>D45/'月度趋势'!$D$14</x:f>
        <x:v>0.010492722957312193</x:v>
      </x:c>
      <x:c r="H45" s="2"/>
      <x:c r="I45" s="2"/>
      <x:c r="J45" s="2"/>
    </x:row>
    <x:row r="46" ht="23" customHeight="1">
      <x:c r="A46" s="2" t="str">
        <x:v>APPLIANCE</x:v>
      </x:c>
      <x:c r="B46" s="11" t="n">
        <x:v>14455</x:v>
      </x:c>
      <x:c r="C46" s="11" t="n">
        <x:v>17314</x:v>
      </x:c>
      <x:c r="D46" s="11" t="n">
        <x:f>C46-B46</x:f>
        <x:v>2859</x:v>
      </x:c>
      <x:c r="E46" s="12" t="n">
        <x:f>IF(B46=0,"不适用",D46/B46)</x:f>
        <x:v>0.19778623313732271</x:v>
      </x:c>
      <x:c r="F46" s="12" t="n">
        <x:f>C46/'月度趋势'!$C$14</x:f>
        <x:v>0.0064941835910277195</x:v>
      </x:c>
      <x:c r="G46" s="12" t="n">
        <x:f>D46/'月度趋势'!$D$14</x:f>
        <x:v>0.009949815898824398</x:v>
      </x:c>
      <x:c r="H46" s="2"/>
      <x:c r="I46" s="2"/>
      <x:c r="J46" s="2"/>
    </x:row>
    <x:row r="47" ht="23" customHeight="1">
      <x:c r="A47" s="2" t="str">
        <x:v>Abandoned Vehicle</x:v>
      </x:c>
      <x:c r="B47" s="11" t="n">
        <x:v>47387</x:v>
      </x:c>
      <x:c r="C47" s="11" t="n">
        <x:v>50044</x:v>
      </x:c>
      <x:c r="D47" s="11" t="n">
        <x:f>C47-B47</x:f>
        <x:v>2657</x:v>
      </x:c>
      <x:c r="E47" s="12" t="n">
        <x:f>IF(B47=0,"不适用",D47/B47)</x:f>
        <x:v>0.05607023023192015</x:v>
      </x:c>
      <x:c r="F47" s="12" t="n">
        <x:f>C47/'月度趋势'!$C$14</x:f>
        <x:v>0.018770643619579024</x:v>
      </x:c>
      <x:c r="G47" s="12" t="n">
        <x:f>D47/'月度趋势'!$D$14</x:f>
        <x:v>0.009246820861551739</x:v>
      </x:c>
      <x:c r="H47" s="2"/>
      <x:c r="I47" s="2"/>
      <x:c r="J47" s="2"/>
    </x:row>
    <x:row r="48" ht="23" customHeight="1">
      <x:c r="A48" s="2" t="str">
        <x:v>Highway Condition</x:v>
      </x:c>
      <x:c r="B48" s="11" t="n">
        <x:v>2688</x:v>
      </x:c>
      <x:c r="C48" s="11" t="n">
        <x:v>5225</x:v>
      </x:c>
      <x:c r="D48" s="11" t="n">
        <x:f>C48-B48</x:f>
        <x:v>2537</x:v>
      </x:c>
      <x:c r="E48" s="12" t="n">
        <x:f>IF(B48=0,"不适用",D48/B48)</x:f>
        <x:v>0.9438244047619048</x:v>
      </x:c>
      <x:c r="F48" s="12" t="n">
        <x:f>C48/'月度趋势'!$C$14</x:f>
        <x:v>0.001959807627533778</x:v>
      </x:c>
      <x:c r="G48" s="12" t="n">
        <x:f>D48/'月度趋势'!$D$14</x:f>
        <x:v>0.008829200047330359</x:v>
      </x:c>
      <x:c r="H48" s="2"/>
      <x:c r="I48" s="2"/>
      <x:c r="J48" s="2"/>
    </x:row>
    <x:row r="49" ht="23" customHeight="1">
      <x:c r="A49" s="2" t="str">
        <x:v>Water Conservation</x:v>
      </x:c>
      <x:c r="B49" s="11" t="n">
        <x:v>2978</x:v>
      </x:c>
      <x:c r="C49" s="11" t="n">
        <x:v>5476</x:v>
      </x:c>
      <x:c r="D49" s="11" t="n">
        <x:f>C49-B49</x:f>
        <x:v>2498</x:v>
      </x:c>
      <x:c r="E49" s="12" t="n">
        <x:f>IF(B49=0,"不适用",D49/B49)</x:f>
        <x:v>0.8388179986568166</x:v>
      </x:c>
      <x:c r="F49" s="12" t="n">
        <x:f>C49/'月度趋势'!$C$14</x:f>
        <x:v>0.002053953410215305</x:v>
      </x:c>
      <x:c r="G49" s="12" t="n">
        <x:f>D49/'月度趋势'!$D$14</x:f>
        <x:v>0.00869347328270841</x:v>
      </x:c>
      <x:c r="H49" s="2"/>
      <x:c r="I49" s="2"/>
      <x:c r="J49" s="2"/>
    </x:row>
    <x:row r="50" ht="23" customHeight="1">
      <x:c r="A50" s="2" t="str">
        <x:v>Sewer</x:v>
      </x:c>
      <x:c r="B50" s="11" t="n">
        <x:v>16529</x:v>
      </x:c>
      <x:c r="C50" s="11" t="n">
        <x:v>18776</x:v>
      </x:c>
      <x:c r="D50" s="11" t="n">
        <x:f>C50-B50</x:f>
        <x:v>2247</x:v>
      </x:c>
      <x:c r="E50" s="12" t="n">
        <x:f>IF(B50=0,"不适用",D50/B50)</x:f>
        <x:v>0.13594288825700285</x:v>
      </x:c>
      <x:c r="F50" s="12" t="n">
        <x:f>C50/'月度趋势'!$C$14</x:f>
        <x:v>0.007042554643937649</x:v>
      </x:c>
      <x:c r="G50" s="12" t="n">
        <x:f>D50/'月度趋势'!$D$14</x:f>
        <x:v>0.007819949746295355</x:v>
      </x:c>
      <x:c r="H50" s="2"/>
      <x:c r="I50" s="2"/>
      <x:c r="J50" s="2"/>
    </x:row>
    <x:row r="51" ht="23" customHeight="1">
      <x:c r="A51" s="2" t="str">
        <x:v>Noise - Street/Sidewalk</x:v>
      </x:c>
      <x:c r="B51" s="11" t="n">
        <x:v>122920</x:v>
      </x:c>
      <x:c r="C51" s="11" t="n">
        <x:v>124971</x:v>
      </x:c>
      <x:c r="D51" s="11" t="n">
        <x:f>C51-B51</x:f>
        <x:v>2051</x:v>
      </x:c>
      <x:c r="E51" s="12" t="n">
        <x:f>IF(B51=0,"不适用",D51/B51)</x:f>
        <x:v>0.016685649202733487</x:v>
      </x:c>
      <x:c r="F51" s="12" t="n">
        <x:f>C51/'月度趋势'!$C$14</x:f>
        <x:v>0.04687447253981317</x:v>
      </x:c>
      <x:c r="G51" s="12" t="n">
        <x:f>D51/'月度趋势'!$D$14</x:f>
        <x:v>0.007137835749733767</x:v>
      </x:c>
      <x:c r="H51" s="2"/>
      <x:c r="I51" s="2"/>
      <x:c r="J51" s="2"/>
    </x:row>
    <x:row r="52" ht="23" customHeight="1">
      <x:c r="A52" s="2" t="str">
        <x:v>Consumer Complaint</x:v>
      </x:c>
      <x:c r="B52" s="11" t="n">
        <x:v>12313</x:v>
      </x:c>
      <x:c r="C52" s="11" t="n">
        <x:v>14323</x:v>
      </x:c>
      <x:c r="D52" s="11" t="n">
        <x:f>C52-B52</x:f>
        <x:v>2010</x:v>
      </x:c>
      <x:c r="E52" s="12" t="n">
        <x:f>IF(B52=0,"不适用",D52/B52)</x:f>
        <x:v>0.16324210184357996</x:v>
      </x:c>
      <x:c r="F52" s="12" t="n">
        <x:f>C52/'月度趋势'!$C$14</x:f>
        <x:v>0.005372310937639484</x:v>
      </x:c>
      <x:c r="G52" s="12" t="n">
        <x:f>D52/'月度趋势'!$D$14</x:f>
        <x:v>0.006995148638208128</x:v>
      </x:c>
      <x:c r="H52" s="2"/>
      <x:c r="I52" s="2"/>
      <x:c r="J52" s="2"/>
    </x:row>
    <x:row r="53" ht="23" customHeight="1">
      <x:c r="A53" s="2" t="str">
        <x:v>Indoor Air Quality</x:v>
      </x:c>
      <x:c r="B53" s="11" t="n">
        <x:v>5653</x:v>
      </x:c>
      <x:c r="C53" s="11" t="n">
        <x:v>7475</x:v>
      </x:c>
      <x:c r="D53" s="11" t="n">
        <x:f>C53-B53</x:f>
        <x:v>1822</x:v>
      </x:c>
      <x:c r="E53" s="12" t="n">
        <x:f>IF(B53=0,"不适用",D53/B53)</x:f>
        <x:v>0.3223067397841854</x:v>
      </x:c>
      <x:c r="F53" s="12" t="n">
        <x:f>C53/'月度趋势'!$C$14</x:f>
        <x:v>0.0028037439264717687</x:v>
      </x:c>
      <x:c r="G53" s="12" t="n">
        <x:f>D53/'月度趋势'!$D$14</x:f>
        <x:v>0.006340876029261299</x:v>
      </x:c>
      <x:c r="H53" s="2"/>
      <x:c r="I53" s="2"/>
      <x:c r="J53" s="2"/>
    </x:row>
    <x:row r="54" ht="23" customHeight="1">
      <x:c r="A54" s="2" t="str">
        <x:v>Smoking or Vaping</x:v>
      </x:c>
      <x:c r="B54" s="11" t="n">
        <x:v>3831</x:v>
      </x:c>
      <x:c r="C54" s="11" t="n">
        <x:v>5631</x:v>
      </x:c>
      <x:c r="D54" s="11" t="n">
        <x:f>C54-B54</x:f>
        <x:v>1800</x:v>
      </x:c>
      <x:c r="E54" s="12" t="n">
        <x:f>IF(B54=0,"不适用",D54/B54)</x:f>
        <x:v>0.46985121378230227</x:v>
      </x:c>
      <x:c r="F54" s="12" t="n">
        <x:f>C54/'月度趋势'!$C$14</x:f>
        <x:v>0.0021120912441421444</x:v>
      </x:c>
      <x:c r="G54" s="12" t="n">
        <x:f>D54/'月度趋势'!$D$14</x:f>
        <x:v>0.006264312213320712</x:v>
      </x:c>
      <x:c r="H54" s="2"/>
      <x:c r="I54" s="2"/>
      <x:c r="J54" s="2"/>
    </x:row>
    <x:row r="55" ht="23" customHeight="1">
      <x:c r="A55" s="2" t="str">
        <x:v>SAFETY</x:v>
      </x:c>
      <x:c r="B55" s="11" t="n">
        <x:v>8297</x:v>
      </x:c>
      <x:c r="C55" s="11" t="n">
        <x:v>10069</x:v>
      </x:c>
      <x:c r="D55" s="11" t="n">
        <x:f>C55-B55</x:f>
        <x:v>1772</x:v>
      </x:c>
      <x:c r="E55" s="12" t="n">
        <x:f>IF(B55=0,"不适用",D55/B55)</x:f>
        <x:v>0.213571170302519</x:v>
      </x:c>
      <x:c r="F55" s="12" t="n">
        <x:f>C55/'月度趋势'!$C$14</x:f>
        <x:v>0.00377670870844739</x:v>
      </x:c>
      <x:c r="G55" s="12" t="n">
        <x:f>D55/'月度趋势'!$D$14</x:f>
        <x:v>0.006166867356669057</x:v>
      </x:c>
      <x:c r="H55" s="2"/>
      <x:c r="I55" s="2"/>
      <x:c r="J55" s="2"/>
    </x:row>
    <x:row r="56" ht="23" customHeight="1">
      <x:c r="A56" s="2" t="str">
        <x:v>Obstruction</x:v>
      </x:c>
      <x:c r="B56" s="11" t="n">
        <x:v>13496</x:v>
      </x:c>
      <x:c r="C56" s="11" t="n">
        <x:v>15252</x:v>
      </x:c>
      <x:c r="D56" s="11" t="n">
        <x:f>C56-B56</x:f>
        <x:v>1756</x:v>
      </x:c>
      <x:c r="E56" s="12" t="n">
        <x:f>IF(B56=0,"不适用",D56/B56)</x:f>
        <x:v>0.13011262596324838</x:v>
      </x:c>
      <x:c r="F56" s="12" t="n">
        <x:f>C56/'月度趋势'!$C$14</x:f>
        <x:v>0.005720762858400992</x:v>
      </x:c>
      <x:c r="G56" s="12" t="n">
        <x:f>D56/'月度趋势'!$D$14</x:f>
        <x:v>0.006111184581439539</x:v>
      </x:c>
      <x:c r="H56" s="2"/>
      <x:c r="I56" s="2"/>
      <x:c r="J56" s="2"/>
    </x:row>
    <x:row r="57" ht="23" customHeight="1">
      <x:c r="A57" s="2" t="str">
        <x:v>Bike/Roller/Skate</x:v>
      </x:c>
      <x:c r="B57" s="11" t="n">
        <x:v>0</x:v>
      </x:c>
      <x:c r="C57" s="11" t="n">
        <x:v>1447</x:v>
      </x:c>
      <x:c r="D57" s="11" t="n">
        <x:f>C57-B57</x:f>
        <x:v>1447</x:v>
      </x:c>
      <x:c r="E57" s="12" t="str">
        <x:f>IF(B57=0,"不适用",D57/B57)</x:f>
        <x:v>不适用</x:v>
      </x:c>
      <x:c r="F57" s="12" t="n">
        <x:f>C57/'月度趋势'!$C$14</x:f>
        <x:v>0.0005427448109170099</x:v>
      </x:c>
      <x:c r="G57" s="12" t="n">
        <x:f>D57/'月度趋势'!$D$14</x:f>
        <x:v>0.005035810984819484</x:v>
      </x:c>
      <x:c r="H57" s="2"/>
      <x:c r="I57" s="2"/>
      <x:c r="J57" s="2"/>
    </x:row>
    <x:row r="58" ht="23" customHeight="1">
      <x:c r="A58" s="2" t="str">
        <x:v>Food Establishment</x:v>
      </x:c>
      <x:c r="B58" s="11" t="n">
        <x:v>8618</x:v>
      </x:c>
      <x:c r="C58" s="11" t="n">
        <x:v>9757</x:v>
      </x:c>
      <x:c r="D58" s="11" t="n">
        <x:f>C58-B58</x:f>
        <x:v>1139</x:v>
      </x:c>
      <x:c r="E58" s="12" t="n">
        <x:f>IF(B58=0,"不适用",D58/B58)</x:f>
        <x:v>0.1321652355534927</x:v>
      </x:c>
      <x:c r="F58" s="12" t="n">
        <x:f>C58/'月度趋势'!$C$14</x:f>
        <x:v>0.003659682874994655</x:v>
      </x:c>
      <x:c r="G58" s="12" t="n">
        <x:f>D58/'月度趋势'!$D$14</x:f>
        <x:v>0.003963917561651272</x:v>
      </x:c>
      <x:c r="H58" s="2"/>
      <x:c r="I58" s="2"/>
      <x:c r="J58" s="2"/>
    </x:row>
    <x:row r="59" ht="23" customHeight="1">
      <x:c r="A59" s="2" t="str">
        <x:v>For Hire Vehicle Complaint</x:v>
      </x:c>
      <x:c r="B59" s="11" t="n">
        <x:v>11677</x:v>
      </x:c>
      <x:c r="C59" s="11" t="n">
        <x:v>12785</x:v>
      </x:c>
      <x:c r="D59" s="11" t="n">
        <x:f>C59-B59</x:f>
        <x:v>1108</x:v>
      </x:c>
      <x:c r="E59" s="12" t="n">
        <x:f>IF(B59=0,"不适用",D59/B59)</x:f>
        <x:v>0.09488738545859382</x:v>
      </x:c>
      <x:c r="F59" s="12" t="n">
        <x:f>C59/'月度趋势'!$C$14</x:f>
        <x:v>0.004795433591965426</x:v>
      </x:c>
      <x:c r="G59" s="12" t="n">
        <x:f>D59/'月度趋势'!$D$14</x:f>
        <x:v>0.0038560321846440827</x:v>
      </x:c>
      <x:c r="H59" s="2"/>
      <x:c r="I59" s="2"/>
      <x:c r="J59" s="2"/>
    </x:row>
    <x:row r="60" ht="23" customHeight="1">
      <x:c r="A60" s="2" t="str">
        <x:v>Taxi Complaint</x:v>
      </x:c>
      <x:c r="B60" s="11" t="n">
        <x:v>5953</x:v>
      </x:c>
      <x:c r="C60" s="11" t="n">
        <x:v>6959</x:v>
      </x:c>
      <x:c r="D60" s="11" t="n">
        <x:f>C60-B60</x:f>
        <x:v>1006</x:v>
      </x:c>
      <x:c r="E60" s="12" t="n">
        <x:f>IF(B60=0,"不适用",D60/B60)</x:f>
        <x:v>0.16899042499580044</x:v>
      </x:c>
      <x:c r="F60" s="12" t="n">
        <x:f>C60/'月度趋势'!$C$14</x:f>
        <x:v>0.002610201201915323</x:v>
      </x:c>
      <x:c r="G60" s="12" t="n">
        <x:f>D60/'月度趋势'!$D$14</x:f>
        <x:v>0.003501054492555909</x:v>
      </x:c>
      <x:c r="H60" s="2"/>
      <x:c r="I60" s="2"/>
      <x:c r="J60" s="2"/>
    </x:row>
    <x:row r="61" ht="23" customHeight="1">
      <x:c r="A61" s="2" t="str">
        <x:v>Violation of Park Rules</x:v>
      </x:c>
      <x:c r="B61" s="11" t="n">
        <x:v>2803</x:v>
      </x:c>
      <x:c r="C61" s="11" t="n">
        <x:v>3717</x:v>
      </x:c>
      <x:c r="D61" s="11" t="n">
        <x:f>C61-B61</x:f>
        <x:v>914</x:v>
      </x:c>
      <x:c r="E61" s="12" t="n">
        <x:f>IF(B61=0,"不适用",D61/B61)</x:f>
        <x:v>0.3260792008562255</x:v>
      </x:c>
      <x:c r="F61" s="12" t="n">
        <x:f>C61/'月度趋势'!$C$14</x:f>
        <x:v>0.0013941827658455605</x:v>
      </x:c>
      <x:c r="G61" s="12" t="n">
        <x:f>D61/'月度趋势'!$D$14</x:f>
        <x:v>0.0031808785349861837</x:v>
      </x:c>
      <x:c r="H61" s="2"/>
      <x:c r="I61" s="2"/>
      <x:c r="J61" s="2"/>
    </x:row>
    <x:row r="62" ht="23" customHeight="1">
      <x:c r="A62" s="2" t="str">
        <x:v>Wood Pile Remaining</x:v>
      </x:c>
      <x:c r="B62" s="11" t="n">
        <x:v>522</x:v>
      </x:c>
      <x:c r="C62" s="11" t="n">
        <x:v>1316</x:v>
      </x:c>
      <x:c r="D62" s="11" t="n">
        <x:f>C62-B62</x:f>
        <x:v>794</x:v>
      </x:c>
      <x:c r="E62" s="12" t="n">
        <x:f>IF(B62=0,"不适用",D62/B62)</x:f>
        <x:v>1.5210727969348659</x:v>
      </x:c>
      <x:c r="F62" s="12" t="n">
        <x:f>C62/'月度趋势'!$C$14</x:f>
        <x:v>0.0004936089641788424</x:v>
      </x:c>
      <x:c r="G62" s="12" t="n">
        <x:f>D62/'月度趋势'!$D$14</x:f>
        <x:v>0.0027632577207648027</x:v>
      </x:c>
      <x:c r="H62" s="2"/>
      <x:c r="I62" s="2"/>
      <x:c r="J62" s="2"/>
    </x:row>
    <x:row r="63" ht="23" customHeight="1">
      <x:c r="A63" s="2" t="str">
        <x:v>Curb Condition</x:v>
      </x:c>
      <x:c r="B63" s="11" t="n">
        <x:v>5278</x:v>
      </x:c>
      <x:c r="C63" s="11" t="n">
        <x:v>6064</x:v>
      </x:c>
      <x:c r="D63" s="11" t="n">
        <x:f>C63-B63</x:f>
        <x:v>786</x:v>
      </x:c>
      <x:c r="E63" s="12" t="n">
        <x:f>IF(B63=0,"不适用",D63/B63)</x:f>
        <x:v>0.1489200454717696</x:v>
      </x:c>
      <x:c r="F63" s="12" t="n">
        <x:f>C63/'月度趋势'!$C$14</x:f>
        <x:v>0.0022745020963377666</x:v>
      </x:c>
      <x:c r="G63" s="12" t="n">
        <x:f>D63/'月度趋势'!$D$14</x:f>
        <x:v>0.002735416333150044</x:v>
      </x:c>
      <x:c r="H63" s="2"/>
      <x:c r="I63" s="2"/>
      <x:c r="J63" s="2"/>
    </x:row>
    <x:row r="64" ht="23" customHeight="1">
      <x:c r="A64" s="2" t="str">
        <x:v>Street Sweeping Complaint</x:v>
      </x:c>
      <x:c r="B64" s="11" t="n">
        <x:v>4485</x:v>
      </x:c>
      <x:c r="C64" s="11" t="n">
        <x:v>5267</x:v>
      </x:c>
      <x:c r="D64" s="11" t="n">
        <x:f>C64-B64</x:f>
        <x:v>782</x:v>
      </x:c>
      <x:c r="E64" s="12" t="n">
        <x:f>IF(B64=0,"不适用",D64/B64)</x:f>
        <x:v>0.17435897435897435</x:v>
      </x:c>
      <x:c r="F64" s="12" t="n">
        <x:f>C64/'月度趋势'!$C$14</x:f>
        <x:v>0.001975561105113954</x:v>
      </x:c>
      <x:c r="G64" s="12" t="n">
        <x:f>D64/'月度趋势'!$D$14</x:f>
        <x:v>0.0027214956393426647</x:v>
      </x:c>
      <x:c r="H64" s="2"/>
      <x:c r="I64" s="2"/>
      <x:c r="J64" s="2"/>
    </x:row>
    <x:row r="65" ht="23" customHeight="1">
      <x:c r="A65" s="2" t="str">
        <x:v>Bus Stop Shelter Complaint</x:v>
      </x:c>
      <x:c r="B65" s="11" t="n">
        <x:v>788</x:v>
      </x:c>
      <x:c r="C65" s="11" t="n">
        <x:v>1569</x:v>
      </x:c>
      <x:c r="D65" s="11" t="n">
        <x:f>C65-B65</x:f>
        <x:v>781</x:v>
      </x:c>
      <x:c r="E65" s="12" t="n">
        <x:f>IF(B65=0,"不适用",D65/B65)</x:f>
        <x:v>0.9911167512690355</x:v>
      </x:c>
      <x:c r="F65" s="12" t="n">
        <x:f>C65/'月度趋势'!$C$14</x:f>
        <x:v>0.0005885049124594254</x:v>
      </x:c>
      <x:c r="G65" s="12" t="n">
        <x:f>D65/'月度趋势'!$D$14</x:f>
        <x:v>0.00271801546589082</x:v>
      </x:c>
      <x:c r="H65" s="2"/>
      <x:c r="I65" s="2"/>
      <x:c r="J65" s="2"/>
    </x:row>
    <x:row r="66" ht="23" customHeight="1">
      <x:c r="A66" s="2" t="str">
        <x:v>Animal-Abuse</x:v>
      </x:c>
      <x:c r="B66" s="11" t="n">
        <x:v>6821</x:v>
      </x:c>
      <x:c r="C66" s="11" t="n">
        <x:v>7601</x:v>
      </x:c>
      <x:c r="D66" s="11" t="n">
        <x:f>C66-B66</x:f>
        <x:v>780</x:v>
      </x:c>
      <x:c r="E66" s="12" t="n">
        <x:f>IF(B66=0,"不适用",D66/B66)</x:f>
        <x:v>0.11435273420319601</x:v>
      </x:c>
      <x:c r="F66" s="12" t="n">
        <x:f>C66/'月度趋势'!$C$14</x:f>
        <x:v>0.002851004359212296</x:v>
      </x:c>
      <x:c r="G66" s="12" t="n">
        <x:f>D66/'月度趋势'!$D$14</x:f>
        <x:v>0.002714535292438975</x:v>
      </x:c>
      <x:c r="H66" s="2"/>
      <x:c r="I66" s="2"/>
      <x:c r="J66" s="2"/>
    </x:row>
    <x:row r="67" ht="23" customHeight="1">
      <x:c r="A67" s="2" t="str">
        <x:v>Dead/Dying Tree</x:v>
      </x:c>
      <x:c r="B67" s="11" t="n">
        <x:v>7660</x:v>
      </x:c>
      <x:c r="C67" s="11" t="n">
        <x:v>8371</x:v>
      </x:c>
      <x:c r="D67" s="11" t="n">
        <x:f>C67-B67</x:f>
        <x:v>711</x:v>
      </x:c>
      <x:c r="E67" s="12" t="n">
        <x:f>IF(B67=0,"不适用",D67/B67)</x:f>
        <x:v>0.09281984334203655</x:v>
      </x:c>
      <x:c r="F67" s="12" t="n">
        <x:f>C67/'月度趋势'!$C$14</x:f>
        <x:v>0.003139818114848853</x:v>
      </x:c>
      <x:c r="G67" s="12" t="n">
        <x:f>D67/'月度趋势'!$D$14</x:f>
        <x:v>0.0024744033242616813</x:v>
      </x:c>
      <x:c r="H67" s="2"/>
      <x:c r="I67" s="2"/>
      <x:c r="J67" s="2"/>
    </x:row>
    <x:row r="68" ht="23" customHeight="1">
      <x:c r="A68" s="2" t="str">
        <x:v>Plumbing</x:v>
      </x:c>
      <x:c r="B68" s="11" t="n">
        <x:v>2066</x:v>
      </x:c>
      <x:c r="C68" s="11" t="n">
        <x:v>2735</x:v>
      </x:c>
      <x:c r="D68" s="11" t="n">
        <x:f>C68-B68</x:f>
        <x:v>669</x:v>
      </x:c>
      <x:c r="E68" s="12" t="n">
        <x:f>IF(B68=0,"不适用",D68/B68)</x:f>
        <x:v>0.32381413359148115</x:v>
      </x:c>
      <x:c r="F68" s="12" t="n">
        <x:f>C68/'月度趋势'!$C$14</x:f>
        <x:v>0.0010258514567090685</x:v>
      </x:c>
      <x:c r="G68" s="12" t="n">
        <x:f>D68/'月度趋势'!$D$14</x:f>
        <x:v>0.002328236039284198</x:v>
      </x:c>
      <x:c r="H68" s="2"/>
      <x:c r="I68" s="2"/>
      <x:c r="J68" s="2"/>
    </x:row>
    <x:row r="69" ht="23" customHeight="1">
      <x:c r="A69" s="2" t="str">
        <x:v>Sidewalk Condition</x:v>
      </x:c>
      <x:c r="B69" s="11" t="n">
        <x:v>17024</x:v>
      </x:c>
      <x:c r="C69" s="11" t="n">
        <x:v>17669</x:v>
      </x:c>
      <x:c r="D69" s="11" t="n">
        <x:f>C69-B69</x:f>
        <x:v>645</x:v>
      </x:c>
      <x:c r="E69" s="12" t="n">
        <x:f>IF(B69=0,"不适用",D69/B69)</x:f>
        <x:v>0.03788768796992481</x:v>
      </x:c>
      <x:c r="F69" s="12" t="n">
        <x:f>C69/'月度趋势'!$C$14</x:f>
        <x:v>0.0066273379848601575</x:v>
      </x:c>
      <x:c r="G69" s="12" t="n">
        <x:f>D69/'月度趋势'!$D$14</x:f>
        <x:v>0.002244711876439922</x:v>
      </x:c>
      <x:c r="H69" s="2"/>
      <x:c r="I69" s="2"/>
      <x:c r="J69" s="2"/>
    </x:row>
    <x:row r="70" ht="23" customHeight="1">
      <x:c r="A70" s="2" t="str">
        <x:v>Real Time Enforcement</x:v>
      </x:c>
      <x:c r="B70" s="11" t="n">
        <x:v>3822</x:v>
      </x:c>
      <x:c r="C70" s="11" t="n">
        <x:v>4373</x:v>
      </x:c>
      <x:c r="D70" s="11" t="n">
        <x:f>C70-B70</x:f>
        <x:v>551</x:v>
      </x:c>
      <x:c r="E70" s="12" t="n">
        <x:f>IF(B70=0,"不适用",D70/B70)</x:f>
        <x:v>0.14416535845107273</x:v>
      </x:c>
      <x:c r="F70" s="12" t="n">
        <x:f>C70/'月度趋势'!$C$14</x:f>
        <x:v>0.0016402370823359257</x:v>
      </x:c>
      <x:c r="G70" s="12" t="n">
        <x:f>D70/'月度趋势'!$D$14</x:f>
        <x:v>0.0019175755719665068</x:v>
      </x:c>
      <x:c r="H70" s="2"/>
      <x:c r="I70" s="2"/>
      <x:c r="J70" s="2"/>
    </x:row>
    <x:row r="71" ht="23" customHeight="1">
      <x:c r="A71" s="2" t="str">
        <x:v>Illegal Tree Damage</x:v>
      </x:c>
      <x:c r="B71" s="11" t="n">
        <x:v>3692</x:v>
      </x:c>
      <x:c r="C71" s="11" t="n">
        <x:v>4201</x:v>
      </x:c>
      <x:c r="D71" s="11" t="n">
        <x:f>C71-B71</x:f>
        <x:v>509</x:v>
      </x:c>
      <x:c r="E71" s="12" t="n">
        <x:f>IF(B71=0,"不适用",D71/B71)</x:f>
        <x:v>0.13786565547128926</x:v>
      </x:c>
      <x:c r="F71" s="12" t="n">
        <x:f>C71/'月度趋势'!$C$14</x:f>
        <x:v>0.0015757228408171105</x:v>
      </x:c>
      <x:c r="G71" s="12" t="n">
        <x:f>D71/'月度趋势'!$D$14</x:f>
        <x:v>0.0017714082869890236</x:v>
      </x:c>
      <x:c r="H71" s="2"/>
      <x:c r="I71" s="2"/>
      <x:c r="J71" s="2"/>
    </x:row>
    <x:row r="72" ht="23" customHeight="1">
      <x:c r="A72" s="2" t="str">
        <x:v>Unsanitary Animal Pvt Property</x:v>
      </x:c>
      <x:c r="B72" s="11" t="n">
        <x:v>1869</x:v>
      </x:c>
      <x:c r="C72" s="11" t="n">
        <x:v>2304</x:v>
      </x:c>
      <x:c r="D72" s="11" t="n">
        <x:f>C72-B72</x:f>
        <x:v>435</x:v>
      </x:c>
      <x:c r="E72" s="12" t="n">
        <x:f>IF(B72=0,"不适用",D72/B72)</x:f>
        <x:v>0.23274478330658105</x:v>
      </x:c>
      <x:c r="F72" s="12" t="n">
        <x:f>C72/'月度趋势'!$C$14</x:f>
        <x:v>0.0008641907701125023</x:v>
      </x:c>
      <x:c r="G72" s="12" t="n">
        <x:f>D72/'月度趋势'!$D$14</x:f>
        <x:v>0.0015138754515525053</x:v>
      </x:c>
      <x:c r="H72" s="2"/>
      <x:c r="I72" s="2"/>
      <x:c r="J72" s="2"/>
    </x:row>
    <x:row r="73" ht="23" customHeight="1">
      <x:c r="A73" s="2" t="str">
        <x:v>Non-Residential Heat</x:v>
      </x:c>
      <x:c r="B73" s="11" t="n">
        <x:v>678</x:v>
      </x:c>
      <x:c r="C73" s="11" t="n">
        <x:v>1109</x:v>
      </x:c>
      <x:c r="D73" s="11" t="n">
        <x:f>C73-B73</x:f>
        <x:v>431</x:v>
      </x:c>
      <x:c r="E73" s="12" t="n">
        <x:f>IF(B73=0,"不适用",D73/B73)</x:f>
        <x:v>0.6356932153392331</x:v>
      </x:c>
      <x:c r="F73" s="12" t="n">
        <x:f>C73/'月度趋势'!$C$14</x:f>
        <x:v>0.00041596682467654736</x:v>
      </x:c>
      <x:c r="G73" s="12" t="n">
        <x:f>D73/'月度趋势'!$D$14</x:f>
        <x:v>0.001499954757745126</x:v>
      </x:c>
      <x:c r="H73" s="2"/>
      <x:c r="I73" s="2"/>
      <x:c r="J73" s="2"/>
    </x:row>
    <x:row r="74" ht="23" customHeight="1">
      <x:c r="A74" s="2" t="str">
        <x:v>ELEVATOR</x:v>
      </x:c>
      <x:c r="B74" s="11" t="n">
        <x:v>1029</x:v>
      </x:c>
      <x:c r="C74" s="11" t="n">
        <x:v>1454</x:v>
      </x:c>
      <x:c r="D74" s="11" t="n">
        <x:f>C74-B74</x:f>
        <x:v>425</x:v>
      </x:c>
      <x:c r="E74" s="12" t="n">
        <x:f>IF(B74=0,"不适用",D74/B74)</x:f>
        <x:v>0.413022351797862</x:v>
      </x:c>
      <x:c r="F74" s="12" t="n">
        <x:f>C74/'月度趋势'!$C$14</x:f>
        <x:v>0.0005453703905137059</x:v>
      </x:c>
      <x:c r="G74" s="12" t="n">
        <x:f>D74/'月度趋势'!$D$14</x:f>
        <x:v>0.001479073717034057</x:v>
      </x:c>
      <x:c r="H74" s="2"/>
      <x:c r="I74" s="2"/>
      <x:c r="J74" s="2"/>
    </x:row>
    <x:row r="75" ht="23" customHeight="1">
      <x:c r="A75" s="2" t="str">
        <x:v>Lost Property</x:v>
      </x:c>
      <x:c r="B75" s="11" t="n">
        <x:v>4079</x:v>
      </x:c>
      <x:c r="C75" s="11" t="n">
        <x:v>4485</x:v>
      </x:c>
      <x:c r="D75" s="11" t="n">
        <x:f>C75-B75</x:f>
        <x:v>406</x:v>
      </x:c>
      <x:c r="E75" s="12" t="n">
        <x:f>IF(B75=0,"不适用",D75/B75)</x:f>
        <x:v>0.09953419955871537</x:v>
      </x:c>
      <x:c r="F75" s="12" t="n">
        <x:f>C75/'月度趋势'!$C$14</x:f>
        <x:v>0.0016822463558830612</x:v>
      </x:c>
      <x:c r="G75" s="12" t="n">
        <x:f>D75/'月度趋势'!$D$14</x:f>
        <x:v>0.001412950421449005</x:v>
      </x:c>
      <x:c r="H75" s="2"/>
      <x:c r="I75" s="2"/>
      <x:c r="J75" s="2"/>
    </x:row>
    <x:row r="76" ht="23" customHeight="1">
      <x:c r="A76" s="2" t="str">
        <x:v>Hazardous Material</x:v>
      </x:c>
      <x:c r="B76" s="11" t="n">
        <x:v>0</x:v>
      </x:c>
      <x:c r="C76" s="11" t="n">
        <x:v>385</x:v>
      </x:c>
      <x:c r="D76" s="11" t="n">
        <x:f>C76-B76</x:f>
        <x:v>385</x:v>
      </x:c>
      <x:c r="E76" s="12" t="str">
        <x:f>IF(B76=0,"不适用",D76/B76)</x:f>
        <x:v>不适用</x:v>
      </x:c>
      <x:c r="F76" s="12" t="n">
        <x:f>C76/'月度趋势'!$C$14</x:f>
        <x:v>0.00014440687781827838</x:v>
      </x:c>
      <x:c r="G76" s="12" t="n">
        <x:f>D76/'月度趋势'!$D$14</x:f>
        <x:v>0.0013398667789602634</x:v>
      </x:c>
      <x:c r="H76" s="2"/>
      <x:c r="I76" s="2"/>
      <x:c r="J76" s="2"/>
    </x:row>
    <x:row r="77" ht="23" customHeight="1">
      <x:c r="A77" s="2" t="str">
        <x:v>Encampment</x:v>
      </x:c>
      <x:c r="B77" s="11" t="n">
        <x:v>30997</x:v>
      </x:c>
      <x:c r="C77" s="11" t="n">
        <x:v>31370</x:v>
      </x:c>
      <x:c r="D77" s="11" t="n">
        <x:f>C77-B77</x:f>
        <x:v>373</x:v>
      </x:c>
      <x:c r="E77" s="12" t="n">
        <x:f>IF(B77=0,"不适用",D77/B77)</x:f>
        <x:v>0.012033422589282835</x:v>
      </x:c>
      <x:c r="F77" s="12" t="n">
        <x:f>C77/'月度趋势'!$C$14</x:f>
        <x:v>0.011766347421193228</x:v>
      </x:c>
      <x:c r="G77" s="12" t="n">
        <x:f>D77/'月度趋势'!$D$14</x:f>
        <x:v>0.0012981046975381254</x:v>
      </x:c>
      <x:c r="H77" s="2"/>
      <x:c r="I77" s="2"/>
      <x:c r="J77" s="2"/>
    </x:row>
    <x:row r="78" ht="23" customHeight="1">
      <x:c r="A78" s="2" t="str">
        <x:v>Electrical</x:v>
      </x:c>
      <x:c r="B78" s="11" t="n">
        <x:v>1353</x:v>
      </x:c>
      <x:c r="C78" s="11" t="n">
        <x:v>1697</x:v>
      </x:c>
      <x:c r="D78" s="11" t="n">
        <x:f>C78-B78</x:f>
        <x:v>344</x:v>
      </x:c>
      <x:c r="E78" s="12" t="n">
        <x:f>IF(B78=0,"不适用",D78/B78)</x:f>
        <x:v>0.254249815225425</x:v>
      </x:c>
      <x:c r="F78" s="12" t="n">
        <x:f>C78/'月度趋势'!$C$14</x:f>
        <x:v>0.0006365155107990089</x:v>
      </x:c>
      <x:c r="G78" s="12" t="n">
        <x:f>D78/'月度趋势'!$D$14</x:f>
        <x:v>0.001197179667434625</x:v>
      </x:c>
      <x:c r="H78" s="2"/>
      <x:c r="I78" s="2"/>
      <x:c r="J78" s="2"/>
    </x:row>
    <x:row r="79" ht="23" customHeight="1">
      <x:c r="A79" s="2" t="str">
        <x:v>Industrial Waste</x:v>
      </x:c>
      <x:c r="B79" s="11" t="n">
        <x:v>547</x:v>
      </x:c>
      <x:c r="C79" s="11" t="n">
        <x:v>818</x:v>
      </x:c>
      <x:c r="D79" s="11" t="n">
        <x:f>C79-B79</x:f>
        <x:v>271</x:v>
      </x:c>
      <x:c r="E79" s="12" t="n">
        <x:f>IF(B79=0,"不适用",D79/B79)</x:f>
        <x:v>0.4954296160877514</x:v>
      </x:c>
      <x:c r="F79" s="12" t="n">
        <x:f>C79/'月度趋势'!$C$14</x:f>
        <x:v>0.0003068177300139006</x:v>
      </x:c>
      <x:c r="G79" s="12" t="n">
        <x:f>D79/'月度趋势'!$D$14</x:f>
        <x:v>0.0009431270054499517</x:v>
      </x:c>
      <x:c r="H79" s="2"/>
      <x:c r="I79" s="2"/>
      <x:c r="J79" s="2"/>
    </x:row>
    <x:row r="80" ht="23" customHeight="1">
      <x:c r="A80" s="2" t="str">
        <x:v>Emergency Response Team (ERT)</x:v>
      </x:c>
      <x:c r="B80" s="11" t="n">
        <x:v>2013</x:v>
      </x:c>
      <x:c r="C80" s="11" t="n">
        <x:v>2283</x:v>
      </x:c>
      <x:c r="D80" s="11" t="n">
        <x:f>C80-B80</x:f>
        <x:v>270</x:v>
      </x:c>
      <x:c r="E80" s="12" t="n">
        <x:f>IF(B80=0,"不适用",D80/B80)</x:f>
        <x:v>0.13412816691505217</x:v>
      </x:c>
      <x:c r="F80" s="12" t="n">
        <x:f>C80/'月度趋势'!$C$14</x:f>
        <x:v>0.0008563140313224144</x:v>
      </x:c>
      <x:c r="G80" s="12" t="n">
        <x:f>D80/'月度趋势'!$D$14</x:f>
        <x:v>0.0009396468319981068</x:v>
      </x:c>
      <x:c r="H80" s="2"/>
      <x:c r="I80" s="2"/>
      <x:c r="J80" s="2"/>
    </x:row>
    <x:row r="81" ht="23" customHeight="1">
      <x:c r="A81" s="2" t="str">
        <x:v>Dumpster Complaint</x:v>
      </x:c>
      <x:c r="B81" s="11" t="n">
        <x:v>1312</x:v>
      </x:c>
      <x:c r="C81" s="11" t="n">
        <x:v>1561</x:v>
      </x:c>
      <x:c r="D81" s="11" t="n">
        <x:f>C81-B81</x:f>
        <x:v>249</x:v>
      </x:c>
      <x:c r="E81" s="12" t="n">
        <x:f>IF(B81=0,"不适用",D81/B81)</x:f>
        <x:v>0.18978658536585366</x:v>
      </x:c>
      <x:c r="F81" s="12" t="n">
        <x:f>C81/'月度趋势'!$C$14</x:f>
        <x:v>0.0005855042500632014</x:v>
      </x:c>
      <x:c r="G81" s="12" t="n">
        <x:f>D81/'月度趋势'!$D$14</x:f>
        <x:v>0.0008665631895093651</x:v>
      </x:c>
      <x:c r="H81" s="2"/>
      <x:c r="I81" s="2"/>
      <x:c r="J81" s="2"/>
    </x:row>
    <x:row r="82" ht="23" customHeight="1">
      <x:c r="A82" s="2" t="str">
        <x:v>Animal in a Park</x:v>
      </x:c>
      <x:c r="B82" s="11" t="n">
        <x:v>4010</x:v>
      </x:c>
      <x:c r="C82" s="11" t="n">
        <x:v>4253</x:v>
      </x:c>
      <x:c r="D82" s="11" t="n">
        <x:f>C82-B82</x:f>
        <x:v>243</x:v>
      </x:c>
      <x:c r="E82" s="12" t="n">
        <x:f>IF(B82=0,"不适用",D82/B82)</x:f>
        <x:v>0.06059850374064838</x:v>
      </x:c>
      <x:c r="F82" s="12" t="n">
        <x:f>C82/'月度趋势'!$C$14</x:f>
        <x:v>0.001595227146392566</x:v>
      </x:c>
      <x:c r="G82" s="12" t="n">
        <x:f>D82/'月度趋势'!$D$14</x:f>
        <x:v>0.0008456821487982961</x:v>
      </x:c>
      <x:c r="H82" s="2"/>
      <x:c r="I82" s="2"/>
      <x:c r="J82" s="2"/>
    </x:row>
    <x:row r="83" ht="23" customHeight="1">
      <x:c r="A83" s="2" t="str">
        <x:v>Urinating in Public</x:v>
      </x:c>
      <x:c r="B83" s="11" t="n">
        <x:v>884</x:v>
      </x:c>
      <x:c r="C83" s="11" t="n">
        <x:v>1121</x:v>
      </x:c>
      <x:c r="D83" s="11" t="n">
        <x:f>C83-B83</x:f>
        <x:v>237</x:v>
      </x:c>
      <x:c r="E83" s="12" t="n">
        <x:f>IF(B83=0,"不适用",D83/B83)</x:f>
        <x:v>0.2680995475113122</x:v>
      </x:c>
      <x:c r="F83" s="12" t="n">
        <x:f>C83/'月度趋势'!$C$14</x:f>
        <x:v>0.0004204678182708833</x:v>
      </x:c>
      <x:c r="G83" s="12" t="n">
        <x:f>D83/'月度趋势'!$D$14</x:f>
        <x:v>0.0008248011080872271</x:v>
      </x:c>
      <x:c r="H83" s="2"/>
      <x:c r="I83" s="2"/>
      <x:c r="J83" s="2"/>
    </x:row>
    <x:row r="84" ht="23" customHeight="1">
      <x:c r="A84" s="2" t="str">
        <x:v>Bridge Condition</x:v>
      </x:c>
      <x:c r="B84" s="11" t="n">
        <x:v>158</x:v>
      </x:c>
      <x:c r="C84" s="11" t="n">
        <x:v>392</x:v>
      </x:c>
      <x:c r="D84" s="11" t="n">
        <x:f>C84-B84</x:f>
        <x:v>234</x:v>
      </x:c>
      <x:c r="E84" s="12" t="n">
        <x:f>IF(B84=0,"不适用",D84/B84)</x:f>
        <x:v>1.481012658227848</x:v>
      </x:c>
      <x:c r="F84" s="12" t="n">
        <x:f>C84/'月度趋势'!$C$14</x:f>
        <x:v>0.00014703245741497434</x:v>
      </x:c>
      <x:c r="G84" s="12" t="n">
        <x:f>D84/'月度趋势'!$D$14</x:f>
        <x:v>0.0008143605877316925</x:v>
      </x:c>
      <x:c r="H84" s="2"/>
      <x:c r="I84" s="2"/>
      <x:c r="J84" s="2"/>
    </x:row>
    <x:row r="85" ht="23" customHeight="1">
      <x:c r="A85" s="2" t="str">
        <x:v>Street Sign - Damaged</x:v>
      </x:c>
      <x:c r="B85" s="11" t="n">
        <x:v>3406</x:v>
      </x:c>
      <x:c r="C85" s="11" t="n">
        <x:v>3634</x:v>
      </x:c>
      <x:c r="D85" s="11" t="n">
        <x:f>C85-B85</x:f>
        <x:v>228</x:v>
      </x:c>
      <x:c r="E85" s="12" t="n">
        <x:f>IF(B85=0,"不适用",D85/B85)</x:f>
        <x:v>0.06694069289489137</x:v>
      </x:c>
      <x:c r="F85" s="12" t="n">
        <x:f>C85/'月度趋势'!$C$14</x:f>
        <x:v>0.0013630508934847367</x:v>
      </x:c>
      <x:c r="G85" s="12" t="n">
        <x:f>D85/'月度趋势'!$D$14</x:f>
        <x:v>0.0007934795470206235</x:v>
      </x:c>
      <x:c r="H85" s="2"/>
      <x:c r="I85" s="2"/>
      <x:c r="J85" s="2"/>
    </x:row>
    <x:row r="86" ht="23" customHeight="1">
      <x:c r="A86" s="2" t="str">
        <x:v>OUTSIDE BUILDING</x:v>
      </x:c>
      <x:c r="B86" s="11" t="n">
        <x:v>612</x:v>
      </x:c>
      <x:c r="C86" s="11" t="n">
        <x:v>819</x:v>
      </x:c>
      <x:c r="D86" s="11" t="n">
        <x:f>C86-B86</x:f>
        <x:v>207</x:v>
      </x:c>
      <x:c r="E86" s="12" t="n">
        <x:f>IF(B86=0,"不适用",D86/B86)</x:f>
        <x:v>0.3382352941176471</x:v>
      </x:c>
      <x:c r="F86" s="12" t="n">
        <x:f>C86/'月度趋势'!$C$14</x:f>
        <x:v>0.00030719281281342857</x:v>
      </x:c>
      <x:c r="G86" s="12" t="n">
        <x:f>D86/'月度趋势'!$D$14</x:f>
        <x:v>0.0007203959045318819</x:v>
      </x:c>
      <x:c r="H86" s="2"/>
      <x:c r="I86" s="2"/>
      <x:c r="J86" s="2"/>
    </x:row>
    <x:row r="87" ht="23" customHeight="1">
      <x:c r="A87" s="2" t="str">
        <x:v>Illegal Posting</x:v>
      </x:c>
      <x:c r="B87" s="11" t="n">
        <x:v>3477</x:v>
      </x:c>
      <x:c r="C87" s="11" t="n">
        <x:v>3678</x:v>
      </x:c>
      <x:c r="D87" s="11" t="n">
        <x:f>C87-B87</x:f>
        <x:v>201</x:v>
      </x:c>
      <x:c r="E87" s="12" t="n">
        <x:f>IF(B87=0,"不适用",D87/B87)</x:f>
        <x:v>0.057808455565142365</x:v>
      </x:c>
      <x:c r="F87" s="12" t="n">
        <x:f>C87/'月度趋势'!$C$14</x:f>
        <x:v>0.0013795545366639685</x:v>
      </x:c>
      <x:c r="G87" s="12" t="n">
        <x:f>D87/'月度趋势'!$D$14</x:f>
        <x:v>0.0006995148638208129</x:v>
      </x:c>
      <x:c r="H87" s="2"/>
      <x:c r="I87" s="2"/>
      <x:c r="J87" s="2"/>
    </x:row>
    <x:row r="88" ht="23" customHeight="1">
      <x:c r="A88" s="2" t="str">
        <x:v>For Hire Vehicle Report</x:v>
      </x:c>
      <x:c r="B88" s="11" t="n">
        <x:v>284</x:v>
      </x:c>
      <x:c r="C88" s="11" t="n">
        <x:v>482</x:v>
      </x:c>
      <x:c r="D88" s="11" t="n">
        <x:f>C88-B88</x:f>
        <x:v>198</x:v>
      </x:c>
      <x:c r="E88" s="12" t="n">
        <x:f>IF(B88=0,"不适用",D88/B88)</x:f>
        <x:v>0.6971830985915493</x:v>
      </x:c>
      <x:c r="F88" s="12" t="n">
        <x:f>C88/'月度趋势'!$C$14</x:f>
        <x:v>0.00018078990937249397</x:v>
      </x:c>
      <x:c r="G88" s="12" t="n">
        <x:f>D88/'月度趋势'!$D$14</x:f>
        <x:v>0.0006890743434652783</x:v>
      </x:c>
      <x:c r="H88" s="2"/>
      <x:c r="I88" s="2"/>
      <x:c r="J88" s="2"/>
    </x:row>
    <x:row r="89" ht="23" customHeight="1">
      <x:c r="A89" s="2" t="str">
        <x:v>Standing Water</x:v>
      </x:c>
      <x:c r="B89" s="11" t="n">
        <x:v>1082</x:v>
      </x:c>
      <x:c r="C89" s="11" t="n">
        <x:v>1261</x:v>
      </x:c>
      <x:c r="D89" s="11" t="n">
        <x:f>C89-B89</x:f>
        <x:v>179</x:v>
      </x:c>
      <x:c r="E89" s="12" t="n">
        <x:f>IF(B89=0,"不适用",D89/B89)</x:f>
        <x:v>0.16543438077634012</x:v>
      </x:c>
      <x:c r="F89" s="12" t="n">
        <x:f>C89/'月度趋势'!$C$14</x:f>
        <x:v>0.0004729794102048027</x:v>
      </x:c>
      <x:c r="G89" s="12" t="n">
        <x:f>D89/'月度趋势'!$D$14</x:f>
        <x:v>0.0006229510478802263</x:v>
      </x:c>
      <x:c r="H89" s="2"/>
      <x:c r="I89" s="2"/>
      <x:c r="J89" s="2"/>
    </x:row>
    <x:row r="90" ht="23" customHeight="1">
      <x:c r="A90" s="2" t="str">
        <x:v>Mosquitoes</x:v>
      </x:c>
      <x:c r="B90" s="11" t="n">
        <x:v>249</x:v>
      </x:c>
      <x:c r="C90" s="11" t="n">
        <x:v>426</x:v>
      </x:c>
      <x:c r="D90" s="11" t="n">
        <x:f>C90-B90</x:f>
        <x:v>177</x:v>
      </x:c>
      <x:c r="E90" s="12" t="n">
        <x:f>IF(B90=0,"不适用",D90/B90)</x:f>
        <x:v>0.7108433734939759</x:v>
      </x:c>
      <x:c r="F90" s="12" t="n">
        <x:f>C90/'月度趋势'!$C$14</x:f>
        <x:v>0.00015978527259892622</x:v>
      </x:c>
      <x:c r="G90" s="12" t="n">
        <x:f>D90/'月度趋势'!$D$14</x:f>
        <x:v>0.0006159907009765367</x:v>
      </x:c>
      <x:c r="H90" s="2"/>
      <x:c r="I90" s="2"/>
      <x:c r="J90" s="2"/>
    </x:row>
    <x:row r="91" ht="23" customHeight="1">
      <x:c r="A91" s="2" t="str">
        <x:v>Green Infrastructure</x:v>
      </x:c>
      <x:c r="B91" s="11" t="n">
        <x:v>0</x:v>
      </x:c>
      <x:c r="C91" s="11" t="n">
        <x:v>174</x:v>
      </x:c>
      <x:c r="D91" s="11" t="n">
        <x:f>C91-B91</x:f>
        <x:v>174</x:v>
      </x:c>
      <x:c r="E91" s="12" t="str">
        <x:f>IF(B91=0,"不适用",D91/B91)</x:f>
        <x:v>不适用</x:v>
      </x:c>
      <x:c r="F91" s="12" t="n">
        <x:f>C91/'月度趋势'!$C$14</x:f>
        <x:v>0.00006526440711787127</x:v>
      </x:c>
      <x:c r="G91" s="12" t="n">
        <x:f>D91/'月度趋势'!$D$14</x:f>
        <x:v>0.0006055501806210022</x:v>
      </x:c>
      <x:c r="H91" s="2"/>
      <x:c r="I91" s="2"/>
      <x:c r="J91" s="2"/>
    </x:row>
    <x:row r="92" ht="23" customHeight="1">
      <x:c r="A92" s="2" t="str">
        <x:v>Boilers</x:v>
      </x:c>
      <x:c r="B92" s="11" t="n">
        <x:v>2168</x:v>
      </x:c>
      <x:c r="C92" s="11" t="n">
        <x:v>2334</x:v>
      </x:c>
      <x:c r="D92" s="11" t="n">
        <x:f>C92-B92</x:f>
        <x:v>166</x:v>
      </x:c>
      <x:c r="E92" s="12" t="n">
        <x:f>IF(B92=0,"不适用",D92/B92)</x:f>
        <x:v>0.07656826568265683</x:v>
      </x:c>
      <x:c r="F92" s="12" t="n">
        <x:f>C92/'月度趋势'!$C$14</x:f>
        <x:v>0.0008754432540983422</x:v>
      </x:c>
      <x:c r="G92" s="12" t="n">
        <x:f>D92/'月度趋势'!$D$14</x:f>
        <x:v>0.0005777087930062435</x:v>
      </x:c>
      <x:c r="H92" s="2"/>
      <x:c r="I92" s="2"/>
      <x:c r="J92" s="2"/>
    </x:row>
    <x:row r="93" ht="23" customHeight="1">
      <x:c r="A93" s="2" t="str">
        <x:v>Sanitation Worker or Vehicle Complaint</x:v>
      </x:c>
      <x:c r="B93" s="11" t="n">
        <x:v>2136</x:v>
      </x:c>
      <x:c r="C93" s="11" t="n">
        <x:v>2292</x:v>
      </x:c>
      <x:c r="D93" s="11" t="n">
        <x:f>C93-B93</x:f>
        <x:v>156</x:v>
      </x:c>
      <x:c r="E93" s="12" t="n">
        <x:f>IF(B93=0,"不适用",D93/B93)</x:f>
        <x:v>0.07303370786516854</x:v>
      </x:c>
      <x:c r="F93" s="12" t="n">
        <x:f>C93/'月度趋势'!$C$14</x:f>
        <x:v>0.0008596897765181664</x:v>
      </x:c>
      <x:c r="G93" s="12" t="n">
        <x:f>D93/'月度趋势'!$D$14</x:f>
        <x:v>0.000542907058487795</x:v>
      </x:c>
      <x:c r="H93" s="2"/>
      <x:c r="I93" s="2"/>
      <x:c r="J93" s="2"/>
    </x:row>
    <x:row r="94" ht="23" customHeight="1">
      <x:c r="A94" s="2" t="str">
        <x:v>Indoor Sewage</x:v>
      </x:c>
      <x:c r="B94" s="11" t="n">
        <x:v>341</x:v>
      </x:c>
      <x:c r="C94" s="11" t="n">
        <x:v>497</x:v>
      </x:c>
      <x:c r="D94" s="11" t="n">
        <x:f>C94-B94</x:f>
        <x:v>156</x:v>
      </x:c>
      <x:c r="E94" s="12" t="n">
        <x:f>IF(B94=0,"不适用",D94/B94)</x:f>
        <x:v>0.4574780058651026</x:v>
      </x:c>
      <x:c r="F94" s="12" t="n">
        <x:f>C94/'月度趋势'!$C$14</x:f>
        <x:v>0.00018641615136541392</x:v>
      </x:c>
      <x:c r="G94" s="12" t="n">
        <x:f>D94/'月度趋势'!$D$14</x:f>
        <x:v>0.000542907058487795</x:v>
      </x:c>
      <x:c r="H94" s="2"/>
      <x:c r="I94" s="2"/>
      <x:c r="J94" s="2"/>
    </x:row>
    <x:row r="95" ht="23" customHeight="1">
      <x:c r="A95" s="2" t="str">
        <x:v>Street Sign - Dangling</x:v>
      </x:c>
      <x:c r="B95" s="11" t="n">
        <x:v>2589</x:v>
      </x:c>
      <x:c r="C95" s="11" t="n">
        <x:v>2736</x:v>
      </x:c>
      <x:c r="D95" s="11" t="n">
        <x:f>C95-B95</x:f>
        <x:v>147</x:v>
      </x:c>
      <x:c r="E95" s="12" t="n">
        <x:f>IF(B95=0,"不适用",D95/B95)</x:f>
        <x:v>0.056778679026651215</x:v>
      </x:c>
      <x:c r="F95" s="12" t="n">
        <x:f>C95/'月度趋势'!$C$14</x:f>
        <x:v>0.0010262265395085965</x:v>
      </x:c>
      <x:c r="G95" s="12" t="n">
        <x:f>D95/'月度趋势'!$D$14</x:f>
        <x:v>0.0005115854974211914</x:v>
      </x:c>
      <x:c r="H95" s="2"/>
      <x:c r="I95" s="2"/>
      <x:c r="J95" s="2"/>
    </x:row>
    <x:row r="96" ht="23" customHeight="1">
      <x:c r="A96" s="2" t="str">
        <x:v>Street Sign - Missing</x:v>
      </x:c>
      <x:c r="B96" s="11" t="n">
        <x:v>2297</x:v>
      </x:c>
      <x:c r="C96" s="11" t="n">
        <x:v>2440</x:v>
      </x:c>
      <x:c r="D96" s="11" t="n">
        <x:f>C96-B96</x:f>
        <x:v>143</x:v>
      </x:c>
      <x:c r="E96" s="12" t="n">
        <x:f>IF(B96=0,"不适用",D96/B96)</x:f>
        <x:v>0.062255115367871136</x:v>
      </x:c>
      <x:c r="F96" s="12" t="n">
        <x:f>C96/'月度趋势'!$C$14</x:f>
        <x:v>0.0009152020308483097</x:v>
      </x:c>
      <x:c r="G96" s="12" t="n">
        <x:f>D96/'月度趋势'!$D$14</x:f>
        <x:v>0.0004976648036138121</x:v>
      </x:c>
      <x:c r="H96" s="2"/>
      <x:c r="I96" s="2"/>
      <x:c r="J96" s="2"/>
    </x:row>
    <x:row r="97" ht="23" customHeight="1">
      <x:c r="A97" s="2" t="str">
        <x:v>Unleashed Dog</x:v>
      </x:c>
      <x:c r="B97" s="11" t="n">
        <x:v>1219</x:v>
      </x:c>
      <x:c r="C97" s="11" t="n">
        <x:v>1334</x:v>
      </x:c>
      <x:c r="D97" s="11" t="n">
        <x:f>C97-B97</x:f>
        <x:v>115</x:v>
      </x:c>
      <x:c r="E97" s="12" t="n">
        <x:f>IF(B97=0,"不适用",D97/B97)</x:f>
        <x:v>0.09433962264150944</x:v>
      </x:c>
      <x:c r="F97" s="12" t="n">
        <x:f>C97/'月度趋势'!$C$14</x:f>
        <x:v>0.0005003604545703464</x:v>
      </x:c>
      <x:c r="G97" s="12" t="n">
        <x:f>D97/'月度趋势'!$D$14</x:f>
        <x:v>0.0004002199469621566</x:v>
      </x:c>
      <x:c r="H97" s="2"/>
      <x:c r="I97" s="2"/>
      <x:c r="J97" s="2"/>
    </x:row>
    <x:row r="98" ht="23" customHeight="1">
      <x:c r="A98" s="2" t="str">
        <x:v>Asbestos</x:v>
      </x:c>
      <x:c r="B98" s="11" t="n">
        <x:v>979</x:v>
      </x:c>
      <x:c r="C98" s="11" t="n">
        <x:v>1093</x:v>
      </x:c>
      <x:c r="D98" s="11" t="n">
        <x:f>C98-B98</x:f>
        <x:v>114</x:v>
      </x:c>
      <x:c r="E98" s="12" t="n">
        <x:f>IF(B98=0,"不适用",D98/B98)</x:f>
        <x:v>0.11644535240040858</x:v>
      </x:c>
      <x:c r="F98" s="12" t="n">
        <x:f>C98/'月度趋势'!$C$14</x:f>
        <x:v>0.00040996549988409943</x:v>
      </x:c>
      <x:c r="G98" s="12" t="n">
        <x:f>D98/'月度趋势'!$D$14</x:f>
        <x:v>0.00039673977351031175</x:v>
      </x:c>
      <x:c r="H98" s="2"/>
      <x:c r="I98" s="2"/>
      <x:c r="J98" s="2"/>
    </x:row>
    <x:row r="99" ht="23" customHeight="1">
      <x:c r="A99" s="2" t="str">
        <x:v>Uprooted Stump</x:v>
      </x:c>
      <x:c r="B99" s="11" t="n">
        <x:v>190</x:v>
      </x:c>
      <x:c r="C99" s="11" t="n">
        <x:v>298</x:v>
      </x:c>
      <x:c r="D99" s="11" t="n">
        <x:f>C99-B99</x:f>
        <x:v>108</x:v>
      </x:c>
      <x:c r="E99" s="12" t="n">
        <x:f>IF(B99=0,"不适用",D99/B99)</x:f>
        <x:v>0.5684210526315789</x:v>
      </x:c>
      <x:c r="F99" s="12" t="n">
        <x:f>C99/'月度趋势'!$C$14</x:f>
        <x:v>0.00011177467425934275</x:v>
      </x:c>
      <x:c r="G99" s="12" t="n">
        <x:f>D99/'月度趋势'!$D$14</x:f>
        <x:v>0.0003758587327992427</x:v>
      </x:c>
      <x:c r="H99" s="2"/>
      <x:c r="I99" s="2"/>
      <x:c r="J99" s="2"/>
    </x:row>
    <x:row r="100" ht="23" customHeight="1">
      <x:c r="A100" s="2" t="str">
        <x:v>Lot Condition</x:v>
      </x:c>
      <x:c r="B100" s="11" t="n">
        <x:v>1143</x:v>
      </x:c>
      <x:c r="C100" s="11" t="n">
        <x:v>1237</x:v>
      </x:c>
      <x:c r="D100" s="11" t="n">
        <x:f>C100-B100</x:f>
        <x:v>94</x:v>
      </x:c>
      <x:c r="E100" s="12" t="n">
        <x:f>IF(B100=0,"不适用",D100/B100)</x:f>
        <x:v>0.08223972003499562</x:v>
      </x:c>
      <x:c r="F100" s="12" t="n">
        <x:f>C100/'月度趋势'!$C$14</x:f>
        <x:v>0.0004639774230161308</x:v>
      </x:c>
      <x:c r="G100" s="12" t="n">
        <x:f>D100/'月度趋势'!$D$14</x:f>
        <x:v>0.00032713630447341497</x:v>
      </x:c>
      <x:c r="H100" s="2"/>
      <x:c r="I100" s="2"/>
      <x:c r="J100" s="2"/>
    </x:row>
    <x:row r="101" ht="23" customHeight="1">
      <x:c r="A101" s="2" t="str">
        <x:v>Bike Rack</x:v>
      </x:c>
      <x:c r="B101" s="11" t="n">
        <x:v>449</x:v>
      </x:c>
      <x:c r="C101" s="11" t="n">
        <x:v>542</x:v>
      </x:c>
      <x:c r="D101" s="11" t="n">
        <x:f>C101-B101</x:f>
        <x:v>93</x:v>
      </x:c>
      <x:c r="E101" s="12" t="n">
        <x:f>IF(B101=0,"不适用",D101/B101)</x:f>
        <x:v>0.2071269487750557</x:v>
      </x:c>
      <x:c r="F101" s="12" t="n">
        <x:f>C101/'月度趋势'!$C$14</x:f>
        <x:v>0.00020329487734417373</x:v>
      </x:c>
      <x:c r="G101" s="12" t="n">
        <x:f>D101/'月度趋势'!$D$14</x:f>
        <x:v>0.00032365613102157013</x:v>
      </x:c>
      <x:c r="H101" s="2"/>
      <x:c r="I101" s="2"/>
      <x:c r="J101" s="2"/>
    </x:row>
    <x:row r="102" ht="23" customHeight="1">
      <x:c r="A102" s="2" t="str">
        <x:v>Unsanitary Pigeon Condition</x:v>
      </x:c>
      <x:c r="B102" s="11" t="n">
        <x:v>1214</x:v>
      </x:c>
      <x:c r="C102" s="11" t="n">
        <x:v>1301</x:v>
      </x:c>
      <x:c r="D102" s="11" t="n">
        <x:f>C102-B102</x:f>
        <x:v>87</x:v>
      </x:c>
      <x:c r="E102" s="12" t="n">
        <x:f>IF(B102=0,"不适用",D102/B102)</x:f>
        <x:v>0.07166392092257001</x:v>
      </x:c>
      <x:c r="F102" s="12" t="n">
        <x:f>C102/'月度趋势'!$C$14</x:f>
        <x:v>0.00048798272218592253</x:v>
      </x:c>
      <x:c r="G102" s="12" t="n">
        <x:f>D102/'月度趋势'!$D$14</x:f>
        <x:v>0.0003027750903105011</x:v>
      </x:c>
      <x:c r="H102" s="2"/>
      <x:c r="I102" s="2"/>
      <x:c r="J102" s="2"/>
    </x:row>
    <x:row r="103" ht="23" customHeight="1">
      <x:c r="A103" s="2" t="str">
        <x:v>Litter Basket Complaint</x:v>
      </x:c>
      <x:c r="B103" s="11" t="n">
        <x:v>923</x:v>
      </x:c>
      <x:c r="C103" s="11" t="n">
        <x:v>1004</x:v>
      </x:c>
      <x:c r="D103" s="11" t="n">
        <x:f>C103-B103</x:f>
        <x:v>81</x:v>
      </x:c>
      <x:c r="E103" s="12" t="n">
        <x:f>IF(B103=0,"不适用",D103/B103)</x:f>
        <x:v>0.08775731310942579</x:v>
      </x:c>
      <x:c r="F103" s="12" t="n">
        <x:f>C103/'月度趋势'!$C$14</x:f>
        <x:v>0.0003765831307261078</x:v>
      </x:c>
      <x:c r="G103" s="12" t="n">
        <x:f>D103/'月度趋势'!$D$14</x:f>
        <x:v>0.000281894049599432</x:v>
      </x:c>
      <x:c r="H103" s="2"/>
      <x:c r="I103" s="2"/>
      <x:c r="J103" s="2"/>
    </x:row>
    <x:row r="104" ht="23" customHeight="1">
      <x:c r="A104" s="2" t="str">
        <x:v>Food Poisoning</x:v>
      </x:c>
      <x:c r="B104" s="11" t="n">
        <x:v>2089</x:v>
      </x:c>
      <x:c r="C104" s="11" t="n">
        <x:v>2163</x:v>
      </x:c>
      <x:c r="D104" s="11" t="n">
        <x:f>C104-B104</x:f>
        <x:v>74</x:v>
      </x:c>
      <x:c r="E104" s="12" t="n">
        <x:f>IF(B104=0,"不适用",D104/B104)</x:f>
        <x:v>0.03542364767831498</x:v>
      </x:c>
      <x:c r="F104" s="12" t="n">
        <x:f>C104/'月度趋势'!$C$14</x:f>
        <x:v>0.0008113040953790549</x:v>
      </x:c>
      <x:c r="G104" s="12" t="n">
        <x:f>D104/'月度趋势'!$D$14</x:f>
        <x:v>0.0002575328354365182</x:v>
      </x:c>
      <x:c r="H104" s="2"/>
      <x:c r="I104" s="2"/>
      <x:c r="J104" s="2"/>
    </x:row>
    <x:row r="105" ht="23" customHeight="1">
      <x:c r="A105" s="2" t="str">
        <x:v>Pet Sale</x:v>
      </x:c>
      <x:c r="B105" s="11" t="n">
        <x:v>102</x:v>
      </x:c>
      <x:c r="C105" s="11" t="n">
        <x:v>175</x:v>
      </x:c>
      <x:c r="D105" s="11" t="n">
        <x:f>C105-B105</x:f>
        <x:v>73</x:v>
      </x:c>
      <x:c r="E105" s="12" t="n">
        <x:f>IF(B105=0,"不适用",D105/B105)</x:f>
        <x:v>0.7156862745098039</x:v>
      </x:c>
      <x:c r="F105" s="12" t="n">
        <x:f>C105/'月度趋势'!$C$14</x:f>
        <x:v>0.00006563948991739926</x:v>
      </x:c>
      <x:c r="G105" s="12" t="n">
        <x:f>D105/'月度趋势'!$D$14</x:f>
        <x:v>0.0002540526619846733</x:v>
      </x:c>
      <x:c r="H105" s="2"/>
      <x:c r="I105" s="2"/>
      <x:c r="J105" s="2"/>
    </x:row>
    <x:row r="106" ht="23" customHeight="1">
      <x:c r="A106" s="2" t="str">
        <x:v>AHV Inspection Unit</x:v>
      </x:c>
      <x:c r="B106" s="11" t="n">
        <x:v>18</x:v>
      </x:c>
      <x:c r="C106" s="11" t="n">
        <x:v>84</x:v>
      </x:c>
      <x:c r="D106" s="11" t="n">
        <x:f>C106-B106</x:f>
        <x:v>66</x:v>
      </x:c>
      <x:c r="E106" s="12" t="n">
        <x:f>IF(B106=0,"不适用",D106/B106)</x:f>
        <x:v>3.6666666666666665</x:v>
      </x:c>
      <x:c r="F106" s="12" t="n">
        <x:f>C106/'月度趋势'!$C$14</x:f>
        <x:v>0.00003150695516035165</x:v>
      </x:c>
      <x:c r="G106" s="12" t="n">
        <x:f>D106/'月度趋势'!$D$14</x:f>
        <x:v>0.00022969144782175943</x:v>
      </x:c>
      <x:c r="H106" s="2"/>
      <x:c r="I106" s="2"/>
      <x:c r="J106" s="2"/>
    </x:row>
    <x:row r="107" ht="23" customHeight="1">
      <x:c r="A107" s="2" t="str">
        <x:v>Day Care</x:v>
      </x:c>
      <x:c r="B107" s="11" t="n">
        <x:v>1125</x:v>
      </x:c>
      <x:c r="C107" s="11" t="n">
        <x:v>1189</x:v>
      </x:c>
      <x:c r="D107" s="11" t="n">
        <x:f>C107-B107</x:f>
        <x:v>64</x:v>
      </x:c>
      <x:c r="E107" s="12" t="n">
        <x:f>IF(B107=0,"不适用",D107/B107)</x:f>
        <x:v>0.05688888888888889</x:v>
      </x:c>
      <x:c r="F107" s="12" t="n">
        <x:f>C107/'月度趋势'!$C$14</x:f>
        <x:v>0.000445973448638787</x:v>
      </x:c>
      <x:c r="G107" s="12" t="n">
        <x:f>D107/'月度趋势'!$D$14</x:f>
        <x:v>0.00022273110091806976</x:v>
      </x:c>
      <x:c r="H107" s="2"/>
      <x:c r="I107" s="2"/>
      <x:c r="J107" s="2"/>
    </x:row>
    <x:row r="108" ht="23" customHeight="1">
      <x:c r="A108" s="2" t="str">
        <x:v>Investigations and Discipline (IAD)</x:v>
      </x:c>
      <x:c r="B108" s="11" t="n">
        <x:v>406</x:v>
      </x:c>
      <x:c r="C108" s="11" t="n">
        <x:v>466</x:v>
      </x:c>
      <x:c r="D108" s="11" t="n">
        <x:f>C108-B108</x:f>
        <x:v>60</x:v>
      </x:c>
      <x:c r="E108" s="12" t="n">
        <x:f>IF(B108=0,"不适用",D108/B108)</x:f>
        <x:v>0.1477832512315271</x:v>
      </x:c>
      <x:c r="F108" s="12" t="n">
        <x:f>C108/'月度趋势'!$C$14</x:f>
        <x:v>0.00017478858458004604</x:v>
      </x:c>
      <x:c r="G108" s="12" t="n">
        <x:f>D108/'月度趋势'!$D$14</x:f>
        <x:v>0.0002088104071106904</x:v>
      </x:c>
      <x:c r="H108" s="2"/>
      <x:c r="I108" s="2"/>
      <x:c r="J108" s="2"/>
    </x:row>
    <x:row r="109" ht="23" customHeight="1">
      <x:c r="A109" s="2" t="str">
        <x:v>Special Projects Inspection Team (SPIT)</x:v>
      </x:c>
      <x:c r="B109" s="11" t="n">
        <x:v>2606</x:v>
      </x:c>
      <x:c r="C109" s="11" t="n">
        <x:v>2660</x:v>
      </x:c>
      <x:c r="D109" s="11" t="n">
        <x:f>C109-B109</x:f>
        <x:v>54</x:v>
      </x:c>
      <x:c r="E109" s="12" t="n">
        <x:f>IF(B109=0,"不适用",D109/B109)</x:f>
        <x:v>0.02072141212586339</x:v>
      </x:c>
      <x:c r="F109" s="12" t="n">
        <x:f>C109/'月度趋势'!$C$14</x:f>
        <x:v>0.000997720246744469</x:v>
      </x:c>
      <x:c r="G109" s="12" t="n">
        <x:f>D109/'月度趋势'!$D$14</x:f>
        <x:v>0.00018792936639962135</x:v>
      </x:c>
      <x:c r="H109" s="2"/>
      <x:c r="I109" s="2"/>
      <x:c r="J109" s="2"/>
    </x:row>
    <x:row r="110" ht="23" customHeight="1">
      <x:c r="A110" s="2" t="str">
        <x:v>LinkNYC</x:v>
      </x:c>
      <x:c r="B110" s="11" t="n">
        <x:v>147</x:v>
      </x:c>
      <x:c r="C110" s="11" t="n">
        <x:v>191</x:v>
      </x:c>
      <x:c r="D110" s="11" t="n">
        <x:f>C110-B110</x:f>
        <x:v>44</x:v>
      </x:c>
      <x:c r="E110" s="12" t="n">
        <x:f>IF(B110=0,"不适用",D110/B110)</x:f>
        <x:v>0.29931972789115646</x:v>
      </x:c>
      <x:c r="F110" s="12" t="n">
        <x:f>C110/'月度趋势'!$C$14</x:f>
        <x:v>0.0000716408147098472</x:v>
      </x:c>
      <x:c r="G110" s="12" t="n">
        <x:f>D110/'月度趋势'!$D$14</x:f>
        <x:v>0.00015312763188117295</x:v>
      </x:c>
      <x:c r="H110" s="2"/>
      <x:c r="I110" s="2"/>
      <x:c r="J110" s="2"/>
    </x:row>
    <x:row r="111" ht="23" customHeight="1">
      <x:c r="A111" s="2" t="str">
        <x:v>Bus Stop Shelter Placement</x:v>
      </x:c>
      <x:c r="B111" s="11" t="n">
        <x:v>159</x:v>
      </x:c>
      <x:c r="C111" s="11" t="n">
        <x:v>201</x:v>
      </x:c>
      <x:c r="D111" s="11" t="n">
        <x:f>C111-B111</x:f>
        <x:v>42</x:v>
      </x:c>
      <x:c r="E111" s="12" t="n">
        <x:f>IF(B111=0,"不适用",D111/B111)</x:f>
        <x:v>0.2641509433962264</x:v>
      </x:c>
      <x:c r="F111" s="12" t="n">
        <x:f>C111/'月度趋势'!$C$14</x:f>
        <x:v>0.00007539164270512715</x:v>
      </x:c>
      <x:c r="G111" s="12" t="n">
        <x:f>D111/'月度趋势'!$D$14</x:f>
        <x:v>0.0001461672849774833</x:v>
      </x:c>
      <x:c r="H111" s="2"/>
      <x:c r="I111" s="2"/>
      <x:c r="J111" s="2"/>
    </x:row>
    <x:row r="112" ht="23" customHeight="1">
      <x:c r="A112" s="2" t="str">
        <x:v>Cooling Tower</x:v>
      </x:c>
      <x:c r="B112" s="11" t="n">
        <x:v>23</x:v>
      </x:c>
      <x:c r="C112" s="11" t="n">
        <x:v>64</x:v>
      </x:c>
      <x:c r="D112" s="11" t="n">
        <x:f>C112-B112</x:f>
        <x:v>41</x:v>
      </x:c>
      <x:c r="E112" s="12" t="n">
        <x:f>IF(B112=0,"不适用",D112/B112)</x:f>
        <x:v>1.7826086956521738</x:v>
      </x:c>
      <x:c r="F112" s="12" t="n">
        <x:f>C112/'月度趋势'!$C$14</x:f>
        <x:v>0.00002400529916979173</x:v>
      </x:c>
      <x:c r="G112" s="12" t="n">
        <x:f>D112/'月度趋势'!$D$14</x:f>
        <x:v>0.00014268711152563843</x:v>
      </x:c>
      <x:c r="H112" s="2"/>
      <x:c r="I112" s="2"/>
      <x:c r="J112" s="2"/>
    </x:row>
    <x:row r="113" ht="23" customHeight="1">
      <x:c r="A113" s="2" t="str">
        <x:v>Abandoned Bike</x:v>
      </x:c>
      <x:c r="B113" s="11" t="n">
        <x:v>1484</x:v>
      </x:c>
      <x:c r="C113" s="11" t="n">
        <x:v>1524</x:v>
      </x:c>
      <x:c r="D113" s="11" t="n">
        <x:f>C113-B113</x:f>
        <x:v>40</x:v>
      </x:c>
      <x:c r="E113" s="12" t="n">
        <x:f>IF(B113=0,"不适用",D113/B113)</x:f>
        <x:v>0.026954177897574125</x:v>
      </x:c>
      <x:c r="F113" s="12" t="n">
        <x:f>C113/'月度趋势'!$C$14</x:f>
        <x:v>0.0005716261864806656</x:v>
      </x:c>
      <x:c r="G113" s="12" t="n">
        <x:f>D113/'月度趋势'!$D$14</x:f>
        <x:v>0.0001392069380737936</x:v>
      </x:c>
      <x:c r="H113" s="2"/>
      <x:c r="I113" s="2"/>
      <x:c r="J113" s="2"/>
    </x:row>
    <x:row r="114" ht="23" customHeight="1">
      <x:c r="A114" s="2" t="str">
        <x:v>Plant</x:v>
      </x:c>
      <x:c r="B114" s="11" t="n">
        <x:v>94</x:v>
      </x:c>
      <x:c r="C114" s="11" t="n">
        <x:v>128</x:v>
      </x:c>
      <x:c r="D114" s="11" t="n">
        <x:f>C114-B114</x:f>
        <x:v>34</x:v>
      </x:c>
      <x:c r="E114" s="12" t="n">
        <x:f>IF(B114=0,"不适用",D114/B114)</x:f>
        <x:v>0.3617021276595745</x:v>
      </x:c>
      <x:c r="F114" s="12" t="n">
        <x:f>C114/'月度趋势'!$C$14</x:f>
        <x:v>0.00004801059833958346</x:v>
      </x:c>
      <x:c r="G114" s="12" t="n">
        <x:f>D114/'月度趋势'!$D$14</x:f>
        <x:v>0.00011832589736272456</x:v>
      </x:c>
      <x:c r="H114" s="2"/>
      <x:c r="I114" s="2"/>
      <x:c r="J114" s="2"/>
    </x:row>
    <x:row r="115" ht="23" customHeight="1">
      <x:c r="A115" s="2" t="str">
        <x:v>Municipal Parking Facility</x:v>
      </x:c>
      <x:c r="B115" s="11" t="n">
        <x:v>33</x:v>
      </x:c>
      <x:c r="C115" s="11" t="n">
        <x:v>65</x:v>
      </x:c>
      <x:c r="D115" s="11" t="n">
        <x:f>C115-B115</x:f>
        <x:v>32</x:v>
      </x:c>
      <x:c r="E115" s="12" t="n">
        <x:f>IF(B115=0,"不适用",D115/B115)</x:f>
        <x:v>0.9696969696969697</x:v>
      </x:c>
      <x:c r="F115" s="12" t="n">
        <x:f>C115/'月度趋势'!$C$14</x:f>
        <x:v>0.000024380381969319727</x:v>
      </x:c>
      <x:c r="G115" s="12" t="n">
        <x:f>D115/'月度趋势'!$D$14</x:f>
        <x:v>0.00011136555045903488</x:v>
      </x:c>
      <x:c r="H115" s="2"/>
      <x:c r="I115" s="2"/>
      <x:c r="J115" s="2"/>
    </x:row>
    <x:row r="116" ht="23" customHeight="1">
      <x:c r="A116" s="2" t="str">
        <x:v>Non-Emergency Police Matter</x:v>
      </x:c>
      <x:c r="B116" s="11" t="n">
        <x:v>15896</x:v>
      </x:c>
      <x:c r="C116" s="11" t="n">
        <x:v>15928</x:v>
      </x:c>
      <x:c r="D116" s="11" t="n">
        <x:f>C116-B116</x:f>
        <x:v>32</x:v>
      </x:c>
      <x:c r="E116" s="12" t="n">
        <x:f>IF(B116=0,"不适用",D116/B116)</x:f>
        <x:v>0.0020130850528434826</x:v>
      </x:c>
      <x:c r="F116" s="12" t="n">
        <x:f>C116/'月度趋势'!$C$14</x:f>
        <x:v>0.005974318830881917</x:v>
      </x:c>
      <x:c r="G116" s="12" t="n">
        <x:f>D116/'月度趋势'!$D$14</x:f>
        <x:v>0.00011136555045903488</x:v>
      </x:c>
      <x:c r="H116" s="2"/>
      <x:c r="I116" s="2"/>
      <x:c r="J116" s="2"/>
    </x:row>
    <x:row r="117" ht="23" customHeight="1">
      <x:c r="A117" s="2" t="str">
        <x:v>Construction Lead Dust</x:v>
      </x:c>
      <x:c r="B117" s="11" t="n">
        <x:v>912</x:v>
      </x:c>
      <x:c r="C117" s="11" t="n">
        <x:v>944</x:v>
      </x:c>
      <x:c r="D117" s="11" t="n">
        <x:f>C117-B117</x:f>
        <x:v>32</x:v>
      </x:c>
      <x:c r="E117" s="12" t="n">
        <x:f>IF(B117=0,"不适用",D117/B117)</x:f>
        <x:v>0.03508771929824561</x:v>
      </x:c>
      <x:c r="F117" s="12" t="n">
        <x:f>C117/'月度趋势'!$C$14</x:f>
        <x:v>0.00035407816275442807</x:v>
      </x:c>
      <x:c r="G117" s="12" t="n">
        <x:f>D117/'月度趋势'!$D$14</x:f>
        <x:v>0.00011136555045903488</x:v>
      </x:c>
      <x:c r="H117" s="2"/>
      <x:c r="I117" s="2"/>
      <x:c r="J117" s="2"/>
    </x:row>
    <x:row r="118" ht="23" customHeight="1">
      <x:c r="A118" s="2" t="str">
        <x:v>Poison Ivy</x:v>
      </x:c>
      <x:c r="B118" s="11" t="n">
        <x:v>111</x:v>
      </x:c>
      <x:c r="C118" s="11" t="n">
        <x:v>143</x:v>
      </x:c>
      <x:c r="D118" s="11" t="n">
        <x:f>C118-B118</x:f>
        <x:v>32</x:v>
      </x:c>
      <x:c r="E118" s="12" t="n">
        <x:f>IF(B118=0,"不适用",D118/B118)</x:f>
        <x:v>0.2882882882882883</x:v>
      </x:c>
      <x:c r="F118" s="12" t="n">
        <x:f>C118/'月度趋势'!$C$14</x:f>
        <x:v>0.0000536368403325034</x:v>
      </x:c>
      <x:c r="G118" s="12" t="n">
        <x:f>D118/'月度趋势'!$D$14</x:f>
        <x:v>0.00011136555045903488</x:v>
      </x:c>
      <x:c r="H118" s="2"/>
      <x:c r="I118" s="2"/>
      <x:c r="J118" s="2"/>
    </x:row>
    <x:row r="119" ht="23" customHeight="1">
      <x:c r="A119" s="2" t="str">
        <x:v>Special Operations</x:v>
      </x:c>
      <x:c r="B119" s="11" t="n">
        <x:v>0</x:v>
      </x:c>
      <x:c r="C119" s="11" t="n">
        <x:v>30</x:v>
      </x:c>
      <x:c r="D119" s="11" t="n">
        <x:f>C119-B119</x:f>
        <x:v>30</x:v>
      </x:c>
      <x:c r="E119" s="12" t="str">
        <x:f>IF(B119=0,"不适用",D119/B119)</x:f>
        <x:v>不适用</x:v>
      </x:c>
      <x:c r="F119" s="12" t="n">
        <x:f>C119/'月度趋势'!$C$14</x:f>
        <x:v>0.000011252483985839875</x:v>
      </x:c>
      <x:c r="G119" s="12" t="n">
        <x:f>D119/'月度趋势'!$D$14</x:f>
        <x:v>0.0001044052035553452</x:v>
      </x:c>
      <x:c r="H119" s="2"/>
      <x:c r="I119" s="2"/>
      <x:c r="J119" s="2"/>
    </x:row>
    <x:row r="120" ht="23" customHeight="1">
      <x:c r="A120" s="2" t="str">
        <x:v>Bench</x:v>
      </x:c>
      <x:c r="B120" s="11" t="n">
        <x:v>74</x:v>
      </x:c>
      <x:c r="C120" s="11" t="n">
        <x:v>101</x:v>
      </x:c>
      <x:c r="D120" s="11" t="n">
        <x:f>C120-B120</x:f>
        <x:v>27</x:v>
      </x:c>
      <x:c r="E120" s="12" t="n">
        <x:f>IF(B120=0,"不适用",D120/B120)</x:f>
        <x:v>0.36486486486486486</x:v>
      </x:c>
      <x:c r="F120" s="12" t="n">
        <x:f>C120/'月度趋势'!$C$14</x:f>
        <x:v>0.000037883362752327576</x:v>
      </x:c>
      <x:c r="G120" s="12" t="n">
        <x:f>D120/'月度趋势'!$D$14</x:f>
        <x:v>0.00009396468319981067</x:v>
      </x:c>
      <x:c r="H120" s="2"/>
      <x:c r="I120" s="2"/>
      <x:c r="J120" s="2"/>
    </x:row>
    <x:row r="121" ht="23" customHeight="1">
      <x:c r="A121" s="2" t="str">
        <x:v>Ferry Complaint</x:v>
      </x:c>
      <x:c r="B121" s="11" t="n">
        <x:v>119</x:v>
      </x:c>
      <x:c r="C121" s="11" t="n">
        <x:v>146</x:v>
      </x:c>
      <x:c r="D121" s="11" t="n">
        <x:f>C121-B121</x:f>
        <x:v>27</x:v>
      </x:c>
      <x:c r="E121" s="12" t="n">
        <x:f>IF(B121=0,"不适用",D121/B121)</x:f>
        <x:v>0.226890756302521</x:v>
      </x:c>
      <x:c r="F121" s="12" t="n">
        <x:f>C121/'月度趋势'!$C$14</x:f>
        <x:v>0.00005476208873108739</x:v>
      </x:c>
      <x:c r="G121" s="12" t="n">
        <x:f>D121/'月度趋势'!$D$14</x:f>
        <x:v>0.00009396468319981067</x:v>
      </x:c>
      <x:c r="H121" s="2"/>
      <x:c r="I121" s="2"/>
      <x:c r="J121" s="2"/>
    </x:row>
    <x:row r="122" ht="23" customHeight="1">
      <x:c r="A122" s="2" t="str">
        <x:v>Taxi Report</x:v>
      </x:c>
      <x:c r="B122" s="11" t="n">
        <x:v>522</x:v>
      </x:c>
      <x:c r="C122" s="11" t="n">
        <x:v>547</x:v>
      </x:c>
      <x:c r="D122" s="11" t="n">
        <x:f>C122-B122</x:f>
        <x:v>25</x:v>
      </x:c>
      <x:c r="E122" s="12" t="n">
        <x:f>IF(B122=0,"不适用",D122/B122)</x:f>
        <x:v>0.04789272030651341</x:v>
      </x:c>
      <x:c r="F122" s="12" t="n">
        <x:f>C122/'月度趋势'!$C$14</x:f>
        <x:v>0.0002051702913418137</x:v>
      </x:c>
      <x:c r="G122" s="12" t="n">
        <x:f>D122/'月度趋势'!$D$14</x:f>
        <x:v>0.00008700433629612099</x:v>
      </x:c>
      <x:c r="H122" s="2"/>
      <x:c r="I122" s="2"/>
      <x:c r="J122" s="2"/>
    </x:row>
    <x:row r="123" ht="23" customHeight="1">
      <x:c r="A123" s="2" t="str">
        <x:v>SNW</x:v>
      </x:c>
      <x:c r="B123" s="11" t="n">
        <x:v>6</x:v>
      </x:c>
      <x:c r="C123" s="11" t="n">
        <x:v>31</x:v>
      </x:c>
      <x:c r="D123" s="11" t="n">
        <x:f>C123-B123</x:f>
        <x:v>25</x:v>
      </x:c>
      <x:c r="E123" s="12" t="n">
        <x:f>IF(B123=0,"不适用",D123/B123)</x:f>
        <x:v>4.166666666666667</x:v>
      </x:c>
      <x:c r="F123" s="12" t="n">
        <x:f>C123/'月度趋势'!$C$14</x:f>
        <x:v>0.00001162756678536787</x:v>
      </x:c>
      <x:c r="G123" s="12" t="n">
        <x:f>D123/'月度趋势'!$D$14</x:f>
        <x:v>0.00008700433629612099</x:v>
      </x:c>
      <x:c r="H123" s="2"/>
      <x:c r="I123" s="2"/>
      <x:c r="J123" s="2"/>
    </x:row>
    <x:row r="124" ht="23" customHeight="1">
      <x:c r="A124" s="2" t="str">
        <x:v>Ferry Inquiry</x:v>
      </x:c>
      <x:c r="B124" s="11" t="n">
        <x:v>243</x:v>
      </x:c>
      <x:c r="C124" s="11" t="n">
        <x:v>264</x:v>
      </x:c>
      <x:c r="D124" s="11" t="n">
        <x:f>C124-B124</x:f>
        <x:v>21</x:v>
      </x:c>
      <x:c r="E124" s="12" t="n">
        <x:f>IF(B124=0,"不适用",D124/B124)</x:f>
        <x:v>0.08641975308641975</x:v>
      </x:c>
      <x:c r="F124" s="12" t="n">
        <x:f>C124/'月度趋势'!$C$14</x:f>
        <x:v>0.00009902185907539089</x:v>
      </x:c>
      <x:c r="G124" s="12" t="n">
        <x:f>D124/'月度趋势'!$D$14</x:f>
        <x:v>0.00007308364248874164</x:v>
      </x:c>
      <x:c r="H124" s="2"/>
      <x:c r="I124" s="2"/>
      <x:c r="J124" s="2"/>
    </x:row>
    <x:row r="125" ht="23" customHeight="1">
      <x:c r="A125" s="2" t="str">
        <x:v>Tattooing</x:v>
      </x:c>
      <x:c r="B125" s="11" t="n">
        <x:v>134</x:v>
      </x:c>
      <x:c r="C125" s="11" t="n">
        <x:v>152</x:v>
      </x:c>
      <x:c r="D125" s="11" t="n">
        <x:f>C125-B125</x:f>
        <x:v>18</x:v>
      </x:c>
      <x:c r="E125" s="12" t="n">
        <x:f>IF(B125=0,"不适用",D125/B125)</x:f>
        <x:v>0.13432835820895522</x:v>
      </x:c>
      <x:c r="F125" s="12" t="n">
        <x:f>C125/'月度趋势'!$C$14</x:f>
        <x:v>0.00005701258552825536</x:v>
      </x:c>
      <x:c r="G125" s="12" t="n">
        <x:f>D125/'月度趋势'!$D$14</x:f>
        <x:v>0.00006264312213320712</x:v>
      </x:c>
      <x:c r="H125" s="2"/>
      <x:c r="I125" s="2"/>
      <x:c r="J125" s="2"/>
    </x:row>
    <x:row r="126" ht="23" customHeight="1">
      <x:c r="A126" s="2" t="str">
        <x:v>Waste Water Treatment Plant</x:v>
      </x:c>
      <x:c r="B126" s="11" t="n">
        <x:v>0</x:v>
      </x:c>
      <x:c r="C126" s="11" t="n">
        <x:v>18</x:v>
      </x:c>
      <x:c r="D126" s="11" t="n">
        <x:f>C126-B126</x:f>
        <x:v>18</x:v>
      </x:c>
      <x:c r="E126" s="12" t="str">
        <x:f>IF(B126=0,"不适用",D126/B126)</x:f>
        <x:v>不适用</x:v>
      </x:c>
      <x:c r="F126" s="12" t="n">
        <x:f>C126/'月度趋势'!$C$14</x:f>
        <x:v>0.0000067514903915039245</x:v>
      </x:c>
      <x:c r="G126" s="12" t="n">
        <x:f>D126/'月度趋势'!$D$14</x:f>
        <x:v>0.00006264312213320712</x:v>
      </x:c>
      <x:c r="H126" s="2"/>
      <x:c r="I126" s="2"/>
      <x:c r="J126" s="2"/>
    </x:row>
    <x:row r="127" ht="23" customHeight="1">
      <x:c r="A127" s="2" t="str">
        <x:v>Building Marshal's Office</x:v>
      </x:c>
      <x:c r="B127" s="11" t="n">
        <x:v>0</x:v>
      </x:c>
      <x:c r="C127" s="11" t="n">
        <x:v>17</x:v>
      </x:c>
      <x:c r="D127" s="11" t="n">
        <x:f>C127-B127</x:f>
        <x:v>17</x:v>
      </x:c>
      <x:c r="E127" s="12" t="str">
        <x:f>IF(B127=0,"不适用",D127/B127)</x:f>
        <x:v>不适用</x:v>
      </x:c>
      <x:c r="F127" s="12" t="n">
        <x:f>C127/'月度趋势'!$C$14</x:f>
        <x:v>0.000006376407591975929</x:v>
      </x:c>
      <x:c r="G127" s="12" t="n">
        <x:f>D127/'月度趋势'!$D$14</x:f>
        <x:v>0.00005916294868136228</x:v>
      </x:c>
      <x:c r="H127" s="2"/>
      <x:c r="I127" s="2"/>
      <x:c r="J127" s="2"/>
    </x:row>
    <x:row r="128" ht="23" customHeight="1">
      <x:c r="A128" s="2" t="str">
        <x:v>Tobacco or Non-Tobacco Sale</x:v>
      </x:c>
      <x:c r="B128" s="11" t="n">
        <x:v>85</x:v>
      </x:c>
      <x:c r="C128" s="11" t="n">
        <x:v>100</x:v>
      </x:c>
      <x:c r="D128" s="11" t="n">
        <x:f>C128-B128</x:f>
        <x:v>15</x:v>
      </x:c>
      <x:c r="E128" s="12" t="n">
        <x:f>IF(B128=0,"不适用",D128/B128)</x:f>
        <x:v>0.17647058823529413</x:v>
      </x:c>
      <x:c r="F128" s="12" t="n">
        <x:f>C128/'月度趋势'!$C$14</x:f>
        <x:v>0.000037508279952799584</x:v>
      </x:c>
      <x:c r="G128" s="12" t="n">
        <x:f>D128/'月度趋势'!$D$14</x:f>
        <x:v>0.0000522026017776726</x:v>
      </x:c>
      <x:c r="H128" s="2"/>
      <x:c r="I128" s="2"/>
      <x:c r="J128" s="2"/>
    </x:row>
    <x:row r="129" ht="23" customHeight="1">
      <x:c r="A129" s="2" t="str">
        <x:v>Beach/Pool/Sauna Complaint</x:v>
      </x:c>
      <x:c r="B129" s="11" t="n">
        <x:v>200</x:v>
      </x:c>
      <x:c r="C129" s="11" t="n">
        <x:v>214</x:v>
      </x:c>
      <x:c r="D129" s="11" t="n">
        <x:f>C129-B129</x:f>
        <x:v>14</x:v>
      </x:c>
      <x:c r="E129" s="12" t="n">
        <x:f>IF(B129=0,"不适用",D129/B129)</x:f>
        <x:v>0.07</x:v>
      </x:c>
      <x:c r="F129" s="12" t="n">
        <x:f>C129/'月度趋势'!$C$14</x:f>
        <x:v>0.0000802677190989911</x:v>
      </x:c>
      <x:c r="G129" s="12" t="n">
        <x:f>D129/'月度趋势'!$D$14</x:f>
        <x:v>0.00004872242832582776</x:v>
      </x:c>
      <x:c r="H129" s="2"/>
      <x:c r="I129" s="2"/>
      <x:c r="J129" s="2"/>
    </x:row>
    <x:row r="130" ht="23" customHeight="1">
      <x:c r="A130" s="2" t="str">
        <x:v>Public Toilet</x:v>
      </x:c>
      <x:c r="B130" s="11" t="n">
        <x:v>31</x:v>
      </x:c>
      <x:c r="C130" s="11" t="n">
        <x:v>45</x:v>
      </x:c>
      <x:c r="D130" s="11" t="n">
        <x:f>C130-B130</x:f>
        <x:v>14</x:v>
      </x:c>
      <x:c r="E130" s="12" t="n">
        <x:f>IF(B130=0,"不适用",D130/B130)</x:f>
        <x:v>0.45161290322580644</x:v>
      </x:c>
      <x:c r="F130" s="12" t="n">
        <x:f>C130/'月度趋势'!$C$14</x:f>
        <x:v>0.00001687872597875981</x:v>
      </x:c>
      <x:c r="G130" s="12" t="n">
        <x:f>D130/'月度趋势'!$D$14</x:f>
        <x:v>0.00004872242832582776</x:v>
      </x:c>
      <x:c r="H130" s="2"/>
      <x:c r="I130" s="2"/>
      <x:c r="J130" s="2"/>
    </x:row>
    <x:row r="131" ht="23" customHeight="1">
      <x:c r="A131" s="2" t="str">
        <x:v>Taxi Compliment</x:v>
      </x:c>
      <x:c r="B131" s="11" t="n">
        <x:v>64</x:v>
      </x:c>
      <x:c r="C131" s="11" t="n">
        <x:v>76</x:v>
      </x:c>
      <x:c r="D131" s="11" t="n">
        <x:f>C131-B131</x:f>
        <x:v>12</x:v>
      </x:c>
      <x:c r="E131" s="12" t="n">
        <x:f>IF(B131=0,"不适用",D131/B131)</x:f>
        <x:v>0.1875</x:v>
      </x:c>
      <x:c r="F131" s="12" t="n">
        <x:f>C131/'月度趋势'!$C$14</x:f>
        <x:v>0.00002850629276412768</x:v>
      </x:c>
      <x:c r="G131" s="12" t="n">
        <x:f>D131/'月度趋势'!$D$14</x:f>
        <x:v>0.00004176208142213808</x:v>
      </x:c>
      <x:c r="H131" s="2"/>
      <x:c r="I131" s="2"/>
      <x:c r="J131" s="2"/>
    </x:row>
    <x:row r="132" ht="23" customHeight="1">
      <x:c r="A132" s="2" t="str">
        <x:v>Building Drinking Water Tank</x:v>
      </x:c>
      <x:c r="B132" s="11" t="n">
        <x:v>34</x:v>
      </x:c>
      <x:c r="C132" s="11" t="n">
        <x:v>44</x:v>
      </x:c>
      <x:c r="D132" s="11" t="n">
        <x:f>C132-B132</x:f>
        <x:v>10</x:v>
      </x:c>
      <x:c r="E132" s="12" t="n">
        <x:f>IF(B132=0,"不适用",D132/B132)</x:f>
        <x:v>0.29411764705882354</x:v>
      </x:c>
      <x:c r="F132" s="12" t="n">
        <x:f>C132/'月度趋势'!$C$14</x:f>
        <x:v>0.000016503643179231816</x:v>
      </x:c>
      <x:c r="G132" s="12" t="n">
        <x:f>D132/'月度趋势'!$D$14</x:f>
        <x:v>0.0000348017345184484</x:v>
      </x:c>
      <x:c r="H132" s="2"/>
      <x:c r="I132" s="2"/>
      <x:c r="J132" s="2"/>
    </x:row>
    <x:row r="133" ht="23" customHeight="1">
      <x:c r="A133" s="2" t="str">
        <x:v>BEST/Site Safety</x:v>
      </x:c>
      <x:c r="B133" s="11" t="n">
        <x:v>333</x:v>
      </x:c>
      <x:c r="C133" s="11" t="n">
        <x:v>341</x:v>
      </x:c>
      <x:c r="D133" s="11" t="n">
        <x:f>C133-B133</x:f>
        <x:v>8</x:v>
      </x:c>
      <x:c r="E133" s="12" t="n">
        <x:f>IF(B133=0,"不适用",D133/B133)</x:f>
        <x:v>0.024024024024024024</x:v>
      </x:c>
      <x:c r="F133" s="12" t="n">
        <x:f>C133/'月度趋势'!$C$14</x:f>
        <x:v>0.00012790323463904657</x:v>
      </x:c>
      <x:c r="G133" s="12" t="n">
        <x:f>D133/'月度趋势'!$D$14</x:f>
        <x:v>0.00002784138761475872</x:v>
      </x:c>
      <x:c r="H133" s="2"/>
      <x:c r="I133" s="2"/>
      <x:c r="J133" s="2"/>
    </x:row>
    <x:row r="134" ht="23" customHeight="1">
      <x:c r="A134" s="2" t="str">
        <x:v>Dry Weather Discharge</x:v>
      </x:c>
      <x:c r="B134" s="11" t="n">
        <x:v>0</x:v>
      </x:c>
      <x:c r="C134" s="11" t="n">
        <x:v>5</x:v>
      </x:c>
      <x:c r="D134" s="11" t="n">
        <x:f>C134-B134</x:f>
        <x:v>5</x:v>
      </x:c>
      <x:c r="E134" s="12" t="str">
        <x:f>IF(B134=0,"不适用",D134/B134)</x:f>
        <x:v>不适用</x:v>
      </x:c>
      <x:c r="F134" s="12" t="n">
        <x:f>C134/'月度趋势'!$C$14</x:f>
        <x:v>0.000001875413997639979</x:v>
      </x:c>
      <x:c r="G134" s="12" t="n">
        <x:f>D134/'月度趋势'!$D$14</x:f>
        <x:v>0.0000174008672592242</x:v>
      </x:c>
      <x:c r="H134" s="2"/>
      <x:c r="I134" s="2"/>
      <x:c r="J134" s="2"/>
    </x:row>
    <x:row r="135" ht="23" customHeight="1">
      <x:c r="A135" s="2" t="str">
        <x:v>Window Guard</x:v>
      </x:c>
      <x:c r="B135" s="11" t="n">
        <x:v>10</x:v>
      </x:c>
      <x:c r="C135" s="11" t="n">
        <x:v>15</x:v>
      </x:c>
      <x:c r="D135" s="11" t="n">
        <x:f>C135-B135</x:f>
        <x:v>5</x:v>
      </x:c>
      <x:c r="E135" s="12" t="n">
        <x:f>IF(B135=0,"不适用",D135/B135)</x:f>
        <x:v>0.5</x:v>
      </x:c>
      <x:c r="F135" s="12" t="n">
        <x:f>C135/'月度趋势'!$C$14</x:f>
        <x:v>0.000005626241992919937</x:v>
      </x:c>
      <x:c r="G135" s="12" t="n">
        <x:f>D135/'月度趋势'!$D$14</x:f>
        <x:v>0.0000174008672592242</x:v>
      </x:c>
      <x:c r="H135" s="2"/>
      <x:c r="I135" s="2"/>
      <x:c r="J135" s="2"/>
    </x:row>
    <x:row r="136" ht="23" customHeight="1">
      <x:c r="A136" s="2" t="str">
        <x:v>DEP Sidewalk Condition</x:v>
      </x:c>
      <x:c r="B136" s="11" t="n">
        <x:v>0</x:v>
      </x:c>
      <x:c r="C136" s="11" t="n">
        <x:v>4</x:v>
      </x:c>
      <x:c r="D136" s="11" t="n">
        <x:f>C136-B136</x:f>
        <x:v>4</x:v>
      </x:c>
      <x:c r="E136" s="12" t="str">
        <x:f>IF(B136=0,"不适用",D136/B136)</x:f>
        <x:v>不适用</x:v>
      </x:c>
      <x:c r="F136" s="12" t="n">
        <x:f>C136/'月度趋势'!$C$14</x:f>
        <x:v>0.0000015003311981119832</x:v>
      </x:c>
      <x:c r="G136" s="12" t="n">
        <x:f>D136/'月度趋势'!$D$14</x:f>
        <x:v>0.00001392069380737936</x:v>
      </x:c>
      <x:c r="H136" s="2"/>
      <x:c r="I136" s="2"/>
      <x:c r="J136" s="2"/>
    </x:row>
    <x:row r="137" ht="23" customHeight="1">
      <x:c r="A137" s="2" t="str">
        <x:v>Squeegee</x:v>
      </x:c>
      <x:c r="B137" s="11" t="n">
        <x:v>1</x:v>
      </x:c>
      <x:c r="C137" s="11" t="n">
        <x:v>5</x:v>
      </x:c>
      <x:c r="D137" s="11" t="n">
        <x:f>C137-B137</x:f>
        <x:v>4</x:v>
      </x:c>
      <x:c r="E137" s="12" t="n">
        <x:f>IF(B137=0,"不适用",D137/B137)</x:f>
        <x:v>4</x:v>
      </x:c>
      <x:c r="F137" s="12" t="n">
        <x:f>C137/'月度趋势'!$C$14</x:f>
        <x:v>0.000001875413997639979</x:v>
      </x:c>
      <x:c r="G137" s="12" t="n">
        <x:f>D137/'月度趋势'!$D$14</x:f>
        <x:v>0.00001392069380737936</x:v>
      </x:c>
      <x:c r="H137" s="2"/>
      <x:c r="I137" s="2"/>
      <x:c r="J137" s="2"/>
    </x:row>
    <x:row r="138" ht="23" customHeight="1">
      <x:c r="A138" s="2" t="str">
        <x:v>DEP Street Condition</x:v>
      </x:c>
      <x:c r="B138" s="11" t="n">
        <x:v>7</x:v>
      </x:c>
      <x:c r="C138" s="11" t="n">
        <x:v>11</x:v>
      </x:c>
      <x:c r="D138" s="11" t="n">
        <x:f>C138-B138</x:f>
        <x:v>4</x:v>
      </x:c>
      <x:c r="E138" s="12" t="n">
        <x:f>IF(B138=0,"不适用",D138/B138)</x:f>
        <x:v>0.5714285714285714</x:v>
      </x:c>
      <x:c r="F138" s="12" t="n">
        <x:f>C138/'月度趋势'!$C$14</x:f>
        <x:v>0.000004125910794807954</x:v>
      </x:c>
      <x:c r="G138" s="12" t="n">
        <x:f>D138/'月度趋势'!$D$14</x:f>
        <x:v>0.00001392069380737936</x:v>
      </x:c>
      <x:c r="H138" s="2"/>
      <x:c r="I138" s="2"/>
      <x:c r="J138" s="2"/>
    </x:row>
    <x:row r="139" ht="23" customHeight="1">
      <x:c r="A139" s="2" t="str">
        <x:v>Green Taxi Complaint</x:v>
      </x:c>
      <x:c r="B139" s="11" t="n">
        <x:v>263</x:v>
      </x:c>
      <x:c r="C139" s="11" t="n">
        <x:v>267</x:v>
      </x:c>
      <x:c r="D139" s="11" t="n">
        <x:f>C139-B139</x:f>
        <x:v>4</x:v>
      </x:c>
      <x:c r="E139" s="12" t="n">
        <x:f>IF(B139=0,"不适用",D139/B139)</x:f>
        <x:v>0.015209125475285171</x:v>
      </x:c>
      <x:c r="F139" s="12" t="n">
        <x:f>C139/'月度趋势'!$C$14</x:f>
        <x:v>0.00010014710747397488</x:v>
      </x:c>
      <x:c r="G139" s="12" t="n">
        <x:f>D139/'月度趋势'!$D$14</x:f>
        <x:v>0.00001392069380737936</x:v>
      </x:c>
      <x:c r="H139" s="2"/>
      <x:c r="I139" s="2"/>
      <x:c r="J139" s="2"/>
    </x:row>
    <x:row r="140" ht="23" customHeight="1">
      <x:c r="A140" s="2" t="str">
        <x:v>Taxi Licensee Complaint</x:v>
      </x:c>
      <x:c r="B140" s="11" t="n">
        <x:v>3</x:v>
      </x:c>
      <x:c r="C140" s="11" t="n">
        <x:v>6</x:v>
      </x:c>
      <x:c r="D140" s="11" t="n">
        <x:f>C140-B140</x:f>
        <x:v>3</x:v>
      </x:c>
      <x:c r="E140" s="12" t="n">
        <x:f>IF(B140=0,"不适用",D140/B140)</x:f>
        <x:v>1</x:v>
      </x:c>
      <x:c r="F140" s="12" t="n">
        <x:f>C140/'月度趋势'!$C$14</x:f>
        <x:v>0.0000022504967971679747</x:v>
      </x:c>
      <x:c r="G140" s="12" t="n">
        <x:f>D140/'月度趋势'!$D$14</x:f>
        <x:v>0.00001044052035553452</x:v>
      </x:c>
      <x:c r="H140" s="2"/>
      <x:c r="I140" s="2"/>
      <x:c r="J140" s="2"/>
    </x:row>
    <x:row r="141" ht="23" customHeight="1">
      <x:c r="A141" s="2" t="str">
        <x:v>Tanning</x:v>
      </x:c>
      <x:c r="B141" s="11" t="n">
        <x:v>2</x:v>
      </x:c>
      <x:c r="C141" s="11" t="n">
        <x:v>5</x:v>
      </x:c>
      <x:c r="D141" s="11" t="n">
        <x:f>C141-B141</x:f>
        <x:v>3</x:v>
      </x:c>
      <x:c r="E141" s="12" t="n">
        <x:f>IF(B141=0,"不适用",D141/B141)</x:f>
        <x:v>1.5</x:v>
      </x:c>
      <x:c r="F141" s="12" t="n">
        <x:f>C141/'月度趋势'!$C$14</x:f>
        <x:v>0.000001875413997639979</x:v>
      </x:c>
      <x:c r="G141" s="12" t="n">
        <x:f>D141/'月度趋势'!$D$14</x:f>
        <x:v>0.00001044052035553452</x:v>
      </x:c>
      <x:c r="H141" s="2"/>
      <x:c r="I141" s="2"/>
      <x:c r="J141" s="2"/>
    </x:row>
    <x:row r="142" ht="23" customHeight="1">
      <x:c r="A142" s="2" t="str">
        <x:v>Noise - House of Worship</x:v>
      </x:c>
      <x:c r="B142" s="11" t="n">
        <x:v>1912</x:v>
      </x:c>
      <x:c r="C142" s="11" t="n">
        <x:v>1915</x:v>
      </x:c>
      <x:c r="D142" s="11" t="n">
        <x:f>C142-B142</x:f>
        <x:v>3</x:v>
      </x:c>
      <x:c r="E142" s="12" t="n">
        <x:f>IF(B142=0,"不适用",D142/B142)</x:f>
        <x:v>0.0015690376569037657</x:v>
      </x:c>
      <x:c r="F142" s="12" t="n">
        <x:f>C142/'月度趋势'!$C$14</x:f>
        <x:v>0.000718283561096112</x:v>
      </x:c>
      <x:c r="G142" s="12" t="n">
        <x:f>D142/'月度趋势'!$D$14</x:f>
        <x:v>0.00001044052035553452</x:v>
      </x:c>
      <x:c r="H142" s="2"/>
      <x:c r="I142" s="2"/>
      <x:c r="J142" s="2"/>
    </x:row>
    <x:row r="143" ht="23" customHeight="1">
      <x:c r="A143" s="2" t="str">
        <x:v>Dept of Investigations</x:v>
      </x:c>
      <x:c r="B143" s="11" t="n">
        <x:v>13</x:v>
      </x:c>
      <x:c r="C143" s="11" t="n">
        <x:v>15</x:v>
      </x:c>
      <x:c r="D143" s="11" t="n">
        <x:f>C143-B143</x:f>
        <x:v>2</x:v>
      </x:c>
      <x:c r="E143" s="12" t="n">
        <x:f>IF(B143=0,"不适用",D143/B143)</x:f>
        <x:v>0.15384615384615385</x:v>
      </x:c>
      <x:c r="F143" s="12" t="n">
        <x:f>C143/'月度趋势'!$C$14</x:f>
        <x:v>0.000005626241992919937</x:v>
      </x:c>
      <x:c r="G143" s="12" t="n">
        <x:f>D143/'月度趋势'!$D$14</x:f>
        <x:v>0.00000696034690368968</x:v>
      </x:c>
      <x:c r="H143" s="2"/>
      <x:c r="I143" s="2"/>
      <x:c r="J143" s="2"/>
    </x:row>
    <x:row r="144" ht="23" customHeight="1">
      <x:c r="A144" s="2" t="str">
        <x:v>DEP Highway Condition</x:v>
      </x:c>
      <x:c r="B144" s="11" t="n">
        <x:v>3</x:v>
      </x:c>
      <x:c r="C144" s="11" t="n">
        <x:v>5</x:v>
      </x:c>
      <x:c r="D144" s="11" t="n">
        <x:f>C144-B144</x:f>
        <x:v>2</x:v>
      </x:c>
      <x:c r="E144" s="12" t="n">
        <x:f>IF(B144=0,"不适用",D144/B144)</x:f>
        <x:v>0.6666666666666666</x:v>
      </x:c>
      <x:c r="F144" s="12" t="n">
        <x:f>C144/'月度趋势'!$C$14</x:f>
        <x:v>0.000001875413997639979</x:v>
      </x:c>
      <x:c r="G144" s="12" t="n">
        <x:f>D144/'月度趋势'!$D$14</x:f>
        <x:v>0.00000696034690368968</x:v>
      </x:c>
      <x:c r="H144" s="2"/>
      <x:c r="I144" s="2"/>
      <x:c r="J144" s="2"/>
    </x:row>
    <x:row r="145" ht="23" customHeight="1">
      <x:c r="A145" s="2" t="str">
        <x:v>Highway Sign - Missing</x:v>
      </x:c>
      <x:c r="B145" s="11" t="n">
        <x:v>28</x:v>
      </x:c>
      <x:c r="C145" s="11" t="n">
        <x:v>30</x:v>
      </x:c>
      <x:c r="D145" s="11" t="n">
        <x:f>C145-B145</x:f>
        <x:v>2</x:v>
      </x:c>
      <x:c r="E145" s="12" t="n">
        <x:f>IF(B145=0,"不适用",D145/B145)</x:f>
        <x:v>0.07142857142857142</x:v>
      </x:c>
      <x:c r="F145" s="12" t="n">
        <x:f>C145/'月度趋势'!$C$14</x:f>
        <x:v>0.000011252483985839875</x:v>
      </x:c>
      <x:c r="G145" s="12" t="n">
        <x:f>D145/'月度趋势'!$D$14</x:f>
        <x:v>0.00000696034690368968</x:v>
      </x:c>
      <x:c r="H145" s="2"/>
      <x:c r="I145" s="2"/>
      <x:c r="J145" s="2"/>
    </x:row>
    <x:row r="146" ht="23" customHeight="1">
      <x:c r="A146" s="2" t="str">
        <x:v>Construction Safety Enforcement</x:v>
      </x:c>
      <x:c r="B146" s="11" t="n">
        <x:v>1</x:v>
      </x:c>
      <x:c r="C146" s="11" t="n">
        <x:v>2</x:v>
      </x:c>
      <x:c r="D146" s="11" t="n">
        <x:f>C146-B146</x:f>
        <x:v>1</x:v>
      </x:c>
      <x:c r="E146" s="12" t="n">
        <x:f>IF(B146=0,"不适用",D146/B146)</x:f>
        <x:v>1</x:v>
      </x:c>
      <x:c r="F146" s="12" t="n">
        <x:f>C146/'月度趋势'!$C$14</x:f>
        <x:v>7.501655990559916e-7</x:v>
      </x:c>
      <x:c r="G146" s="12" t="n">
        <x:f>D146/'月度趋势'!$D$14</x:f>
        <x:v>0.00000348017345184484</x:v>
      </x:c>
      <x:c r="H146" s="2"/>
      <x:c r="I146" s="2"/>
      <x:c r="J146" s="2"/>
    </x:row>
    <x:row r="147" ht="23" customHeight="1">
      <x:c r="A147" s="2" t="str">
        <x:v>Safety</x:v>
      </x:c>
      <x:c r="B147" s="11" t="n">
        <x:v>0</x:v>
      </x:c>
      <x:c r="C147" s="11" t="n">
        <x:v>1</x:v>
      </x:c>
      <x:c r="D147" s="11" t="n">
        <x:f>C147-B147</x:f>
        <x:v>1</x:v>
      </x:c>
      <x:c r="E147" s="12" t="str">
        <x:f>IF(B147=0,"不适用",D147/B147)</x:f>
        <x:v>不适用</x:v>
      </x:c>
      <x:c r="F147" s="12" t="n">
        <x:f>C147/'月度趋势'!$C$14</x:f>
        <x:v>3.750827995279958e-7</x:v>
      </x:c>
      <x:c r="G147" s="12" t="n">
        <x:f>D147/'月度趋势'!$D$14</x:f>
        <x:v>0.00000348017345184484</x:v>
      </x:c>
      <x:c r="H147" s="2"/>
      <x:c r="I147" s="2"/>
      <x:c r="J147" s="2"/>
    </x:row>
    <x:row r="148" ht="23" customHeight="1">
      <x:c r="A148" s="2" t="str">
        <x:v>Building Marshals office</x:v>
      </x:c>
      <x:c r="B148" s="11" t="n">
        <x:v>0</x:v>
      </x:c>
      <x:c r="C148" s="11" t="n">
        <x:v>1</x:v>
      </x:c>
      <x:c r="D148" s="11" t="n">
        <x:f>C148-B148</x:f>
        <x:v>1</x:v>
      </x:c>
      <x:c r="E148" s="12" t="str">
        <x:f>IF(B148=0,"不适用",D148/B148)</x:f>
        <x:v>不适用</x:v>
      </x:c>
      <x:c r="F148" s="12" t="n">
        <x:f>C148/'月度趋势'!$C$14</x:f>
        <x:v>3.750827995279958e-7</x:v>
      </x:c>
      <x:c r="G148" s="12" t="n">
        <x:f>D148/'月度趋势'!$D$14</x:f>
        <x:v>0.00000348017345184484</x:v>
      </x:c>
      <x:c r="H148" s="2"/>
      <x:c r="I148" s="2"/>
      <x:c r="J148" s="2"/>
    </x:row>
    <x:row r="149" ht="23" customHeight="1">
      <x:c r="A149" s="2" t="str">
        <x:v>Trapping Pigeon</x:v>
      </x:c>
      <x:c r="B149" s="11" t="n">
        <x:v>0</x:v>
      </x:c>
      <x:c r="C149" s="11" t="n">
        <x:v>1</x:v>
      </x:c>
      <x:c r="D149" s="11" t="n">
        <x:f>C149-B149</x:f>
        <x:v>1</x:v>
      </x:c>
      <x:c r="E149" s="12" t="str">
        <x:f>IF(B149=0,"不适用",D149/B149)</x:f>
        <x:v>不适用</x:v>
      </x:c>
      <x:c r="F149" s="12" t="n">
        <x:f>C149/'月度趋势'!$C$14</x:f>
        <x:v>3.750827995279958e-7</x:v>
      </x:c>
      <x:c r="G149" s="12" t="n">
        <x:f>D149/'月度趋势'!$D$14</x:f>
        <x:v>0.00000348017345184484</x:v>
      </x:c>
      <x:c r="H149" s="2"/>
      <x:c r="I149" s="2"/>
      <x:c r="J149" s="2"/>
    </x:row>
    <x:row r="150" ht="23" customHeight="1">
      <x:c r="A150" s="2" t="str">
        <x:v>X-Ray Machine/Equipment</x:v>
      </x:c>
      <x:c r="B150" s="11" t="n">
        <x:v>4</x:v>
      </x:c>
      <x:c r="C150" s="11" t="n">
        <x:v>5</x:v>
      </x:c>
      <x:c r="D150" s="11" t="n">
        <x:f>C150-B150</x:f>
        <x:v>1</x:v>
      </x:c>
      <x:c r="E150" s="12" t="n">
        <x:f>IF(B150=0,"不适用",D150/B150)</x:f>
        <x:v>0.25</x:v>
      </x:c>
      <x:c r="F150" s="12" t="n">
        <x:f>C150/'月度趋势'!$C$14</x:f>
        <x:v>0.000001875413997639979</x:v>
      </x:c>
      <x:c r="G150" s="12" t="n">
        <x:f>D150/'月度趋势'!$D$14</x:f>
        <x:v>0.00000348017345184484</x:v>
      </x:c>
      <x:c r="H150" s="2"/>
      <x:c r="I150" s="2"/>
      <x:c r="J150" s="2"/>
    </x:row>
    <x:row r="151" ht="23" customHeight="1">
      <x:c r="A151" s="2" t="str">
        <x:v>Leaning Bar</x:v>
      </x:c>
      <x:c r="B151" s="11" t="n">
        <x:v>2</x:v>
      </x:c>
      <x:c r="C151" s="11" t="n">
        <x:v>3</x:v>
      </x:c>
      <x:c r="D151" s="11" t="n">
        <x:f>C151-B151</x:f>
        <x:v>1</x:v>
      </x:c>
      <x:c r="E151" s="12" t="n">
        <x:f>IF(B151=0,"不适用",D151/B151)</x:f>
        <x:v>0.5</x:v>
      </x:c>
      <x:c r="F151" s="12" t="n">
        <x:f>C151/'月度趋势'!$C$14</x:f>
        <x:v>0.0000011252483985839873</x:v>
      </x:c>
      <x:c r="G151" s="12" t="n">
        <x:f>D151/'月度趋势'!$D$14</x:f>
        <x:v>0.00000348017345184484</x:v>
      </x:c>
      <x:c r="H151" s="2"/>
      <x:c r="I151" s="2"/>
      <x:c r="J151" s="2"/>
    </x:row>
    <x:row r="152" ht="23" customHeight="1">
      <x:c r="A152" s="2" t="str">
        <x:v>Calorie Labeling</x:v>
      </x:c>
      <x:c r="B152" s="11" t="n">
        <x:v>5</x:v>
      </x:c>
      <x:c r="C152" s="11" t="n">
        <x:v>6</x:v>
      </x:c>
      <x:c r="D152" s="11" t="n">
        <x:f>C152-B152</x:f>
        <x:v>1</x:v>
      </x:c>
      <x:c r="E152" s="12" t="n">
        <x:f>IF(B152=0,"不适用",D152/B152)</x:f>
        <x:v>0.2</x:v>
      </x:c>
      <x:c r="F152" s="12" t="n">
        <x:f>C152/'月度趋势'!$C$14</x:f>
        <x:v>0.0000022504967971679747</x:v>
      </x:c>
      <x:c r="G152" s="12" t="n">
        <x:f>D152/'月度趋势'!$D$14</x:f>
        <x:v>0.00000348017345184484</x:v>
      </x:c>
      <x:c r="H152" s="2"/>
      <x:c r="I152" s="2"/>
      <x:c r="J152" s="2"/>
    </x:row>
    <x:row r="153" ht="23" customHeight="1">
      <x:c r="A153" s="2" t="str">
        <x:v>DSNY Internal</x:v>
      </x:c>
      <x:c r="B153" s="11" t="n">
        <x:v>1</x:v>
      </x:c>
      <x:c r="C153" s="11" t="n">
        <x:v>2</x:v>
      </x:c>
      <x:c r="D153" s="11" t="n">
        <x:f>C153-B153</x:f>
        <x:v>1</x:v>
      </x:c>
      <x:c r="E153" s="12" t="n">
        <x:f>IF(B153=0,"不适用",D153/B153)</x:f>
        <x:v>1</x:v>
      </x:c>
      <x:c r="F153" s="12" t="n">
        <x:f>C153/'月度趋势'!$C$14</x:f>
        <x:v>7.501655990559916e-7</x:v>
      </x:c>
      <x:c r="G153" s="12" t="n">
        <x:f>D153/'月度趋势'!$D$14</x:f>
        <x:v>0.00000348017345184484</x:v>
      </x:c>
      <x:c r="H153" s="2"/>
      <x:c r="I153" s="2"/>
      <x:c r="J153" s="2"/>
    </x:row>
    <x:row r="154" ht="23" customHeight="1">
      <x:c r="A154" s="2" t="str">
        <x:v>Unsanitary Animal Facility</x:v>
      </x:c>
      <x:c r="B154" s="11" t="n">
        <x:v>48</x:v>
      </x:c>
      <x:c r="C154" s="11" t="n">
        <x:v>49</x:v>
      </x:c>
      <x:c r="D154" s="11" t="n">
        <x:f>C154-B154</x:f>
        <x:v>1</x:v>
      </x:c>
      <x:c r="E154" s="12" t="n">
        <x:f>IF(B154=0,"不适用",D154/B154)</x:f>
        <x:v>0.020833333333333332</x:v>
      </x:c>
      <x:c r="F154" s="12" t="n">
        <x:f>C154/'月度趋势'!$C$14</x:f>
        <x:v>0.000018379057176871793</x:v>
      </x:c>
      <x:c r="G154" s="12" t="n">
        <x:f>D154/'月度趋势'!$D$14</x:f>
        <x:v>0.00000348017345184484</x:v>
      </x:c>
      <x:c r="H154" s="2"/>
      <x:c r="I154" s="2"/>
      <x:c r="J154" s="2"/>
    </x:row>
    <x:row r="155" ht="23" customHeight="1">
      <x:c r="A155" s="2" t="str">
        <x:v>Tunnel Condition</x:v>
      </x:c>
      <x:c r="B155" s="11" t="n">
        <x:v>1</x:v>
      </x:c>
      <x:c r="C155" s="11" t="n">
        <x:v>2</x:v>
      </x:c>
      <x:c r="D155" s="11" t="n">
        <x:f>C155-B155</x:f>
        <x:v>1</x:v>
      </x:c>
      <x:c r="E155" s="12" t="n">
        <x:f>IF(B155=0,"不适用",D155/B155)</x:f>
        <x:v>1</x:v>
      </x:c>
      <x:c r="F155" s="12" t="n">
        <x:f>C155/'月度趋势'!$C$14</x:f>
        <x:v>7.501655990559916e-7</x:v>
      </x:c>
      <x:c r="G155" s="12" t="n">
        <x:f>D155/'月度趋势'!$D$14</x:f>
        <x:v>0.00000348017345184484</x:v>
      </x:c>
      <x:c r="H155" s="2"/>
      <x:c r="I155" s="2"/>
      <x:c r="J155" s="2"/>
    </x:row>
    <x:row r="156" ht="23" customHeight="1">
      <x:c r="A156" s="2" t="str">
        <x:v>Highway Sign - Dangling</x:v>
      </x:c>
      <x:c r="B156" s="11" t="n">
        <x:v>13</x:v>
      </x:c>
      <x:c r="C156" s="11" t="n">
        <x:v>13</x:v>
      </x:c>
      <x:c r="D156" s="11" t="n">
        <x:f>C156-B156</x:f>
        <x:v>0</x:v>
      </x:c>
      <x:c r="E156" s="12" t="n">
        <x:f>IF(B156=0,"不适用",D156/B156)</x:f>
        <x:v>0</x:v>
      </x:c>
      <x:c r="F156" s="12" t="n">
        <x:f>C156/'月度趋势'!$C$14</x:f>
        <x:v>0.000004876076393863946</x:v>
      </x:c>
      <x:c r="G156" s="12" t="n">
        <x:f>D156/'月度趋势'!$D$14</x:f>
        <x:v>0</x:v>
      </x:c>
      <x:c r="H156" s="2"/>
      <x:c r="I156" s="2"/>
      <x:c r="J156" s="2"/>
    </x:row>
    <x:row r="157" ht="23" customHeight="1">
      <x:c r="A157" s="2" t="str">
        <x:v>Transfer Station Complaint</x:v>
      </x:c>
      <x:c r="B157" s="11" t="n">
        <x:v>5</x:v>
      </x:c>
      <x:c r="C157" s="11" t="n">
        <x:v>5</x:v>
      </x:c>
      <x:c r="D157" s="11" t="n">
        <x:f>C157-B157</x:f>
        <x:v>0</x:v>
      </x:c>
      <x:c r="E157" s="12" t="n">
        <x:f>IF(B157=0,"不适用",D157/B157)</x:f>
        <x:v>0</x:v>
      </x:c>
      <x:c r="F157" s="12" t="n">
        <x:f>C157/'月度趋势'!$C$14</x:f>
        <x:v>0.000001875413997639979</x:v>
      </x:c>
      <x:c r="G157" s="12" t="n">
        <x:f>D157/'月度趋势'!$D$14</x:f>
        <x:v>0</x:v>
      </x:c>
      <x:c r="H157" s="2"/>
      <x:c r="I157" s="2"/>
      <x:c r="J157" s="2"/>
    </x:row>
    <x:row r="158" ht="23" customHeight="1">
      <x:c r="A158" s="2" t="str">
        <x:v>FHV Licensee Complaint</x:v>
      </x:c>
      <x:c r="B158" s="11" t="n">
        <x:v>2</x:v>
      </x:c>
      <x:c r="C158" s="11" t="n">
        <x:v>2</x:v>
      </x:c>
      <x:c r="D158" s="11" t="n">
        <x:f>C158-B158</x:f>
        <x:v>0</x:v>
      </x:c>
      <x:c r="E158" s="12" t="n">
        <x:f>IF(B158=0,"不适用",D158/B158)</x:f>
        <x:v>0</x:v>
      </x:c>
      <x:c r="F158" s="12" t="n">
        <x:f>C158/'月度趋势'!$C$14</x:f>
        <x:v>7.501655990559916e-7</x:v>
      </x:c>
      <x:c r="G158" s="12" t="n">
        <x:f>D158/'月度趋势'!$D$14</x:f>
        <x:v>0</x:v>
      </x:c>
      <x:c r="H158" s="2"/>
      <x:c r="I158" s="2"/>
      <x:c r="J158" s="2"/>
    </x:row>
    <x:row r="159" ht="23" customHeight="1">
      <x:c r="A159" s="2" t="str">
        <x:v>Cranes and Derricks</x:v>
      </x:c>
      <x:c r="B159" s="11" t="n">
        <x:v>46</x:v>
      </x:c>
      <x:c r="C159" s="11" t="n">
        <x:v>46</x:v>
      </x:c>
      <x:c r="D159" s="11" t="n">
        <x:f>C159-B159</x:f>
        <x:v>0</x:v>
      </x:c>
      <x:c r="E159" s="12" t="n">
        <x:f>IF(B159=0,"不适用",D159/B159)</x:f>
        <x:v>0</x:v>
      </x:c>
      <x:c r="F159" s="12" t="n">
        <x:f>C159/'月度趋势'!$C$14</x:f>
        <x:v>0.000017253808778287807</x:v>
      </x:c>
      <x:c r="G159" s="12" t="n">
        <x:f>D159/'月度趋势'!$D$14</x:f>
        <x:v>0</x:v>
      </x:c>
      <x:c r="H159" s="2"/>
      <x:c r="I159" s="2"/>
      <x:c r="J159" s="2"/>
    </x:row>
    <x:row r="160" ht="23" customHeight="1">
      <x:c r="A160" s="2" t="str">
        <x:v>Wayfinding</x:v>
      </x:c>
      <x:c r="B160" s="11" t="n">
        <x:v>14</x:v>
      </x:c>
      <x:c r="C160" s="11" t="n">
        <x:v>14</x:v>
      </x:c>
      <x:c r="D160" s="11" t="n">
        <x:f>C160-B160</x:f>
        <x:v>0</x:v>
      </x:c>
      <x:c r="E160" s="12" t="n">
        <x:f>IF(B160=0,"不适用",D160/B160)</x:f>
        <x:v>0</x:v>
      </x:c>
      <x:c r="F160" s="12" t="n">
        <x:f>C160/'月度趋势'!$C$14</x:f>
        <x:v>0.000005251159193391941</x:v>
      </x:c>
      <x:c r="G160" s="12" t="n">
        <x:f>D160/'月度趋势'!$D$14</x:f>
        <x:v>0</x:v>
      </x:c>
      <x:c r="H160" s="2"/>
      <x:c r="I160" s="2"/>
      <x:c r="J160" s="2"/>
    </x:row>
    <x:row r="161" ht="23" customHeight="1">
      <x:c r="A161" s="2" t="str">
        <x:v>Building Condition</x:v>
      </x:c>
      <x:c r="B161" s="11" t="n">
        <x:v>4</x:v>
      </x:c>
      <x:c r="C161" s="11" t="n">
        <x:v>3</x:v>
      </x:c>
      <x:c r="D161" s="11" t="n">
        <x:f>C161-B161</x:f>
        <x:v>-1</x:v>
      </x:c>
      <x:c r="E161" s="12" t="n">
        <x:f>IF(B161=0,"不适用",D161/B161)</x:f>
        <x:v>-0.25</x:v>
      </x:c>
      <x:c r="F161" s="12" t="n">
        <x:f>C161/'月度趋势'!$C$14</x:f>
        <x:v>0.0000011252483985839873</x:v>
      </x:c>
      <x:c r="G161" s="12" t="n">
        <x:f>D161/'月度趋势'!$D$14</x:f>
        <x:v>-0.00000348017345184484</x:v>
      </x:c>
      <x:c r="H161" s="2"/>
      <x:c r="I161" s="2"/>
      <x:c r="J161" s="2"/>
    </x:row>
    <x:row r="162" ht="23" customHeight="1">
      <x:c r="A162" s="2" t="str">
        <x:v>ASBESTOS</x:v>
      </x:c>
      <x:c r="B162" s="11" t="n">
        <x:v>1</x:v>
      </x:c>
      <x:c r="C162" s="11" t="n">
        <x:v>0</x:v>
      </x:c>
      <x:c r="D162" s="11" t="n">
        <x:f>C162-B162</x:f>
        <x:v>-1</x:v>
      </x:c>
      <x:c r="E162" s="12" t="n">
        <x:f>IF(B162=0,"不适用",D162/B162)</x:f>
        <x:v>-1</x:v>
      </x:c>
      <x:c r="F162" s="12" t="n">
        <x:f>C162/'月度趋势'!$C$14</x:f>
        <x:v>0</x:v>
      </x:c>
      <x:c r="G162" s="12" t="n">
        <x:f>D162/'月度趋势'!$D$14</x:f>
        <x:v>-0.00000348017345184484</x:v>
      </x:c>
      <x:c r="H162" s="2"/>
      <x:c r="I162" s="2"/>
      <x:c r="J162" s="2"/>
    </x:row>
    <x:row r="163" ht="23" customHeight="1">
      <x:c r="A163" s="2" t="str">
        <x:v>Public Payphone Complaint</x:v>
      </x:c>
      <x:c r="B163" s="11" t="n">
        <x:v>5</x:v>
      </x:c>
      <x:c r="C163" s="11" t="n">
        <x:v>4</x:v>
      </x:c>
      <x:c r="D163" s="11" t="n">
        <x:f>C163-B163</x:f>
        <x:v>-1</x:v>
      </x:c>
      <x:c r="E163" s="12" t="n">
        <x:f>IF(B163=0,"不适用",D163/B163)</x:f>
        <x:v>-0.2</x:v>
      </x:c>
      <x:c r="F163" s="12" t="n">
        <x:f>C163/'月度趋势'!$C$14</x:f>
        <x:v>0.0000015003311981119832</x:v>
      </x:c>
      <x:c r="G163" s="12" t="n">
        <x:f>D163/'月度趋势'!$D$14</x:f>
        <x:v>-0.00000348017345184484</x:v>
      </x:c>
      <x:c r="H163" s="2"/>
      <x:c r="I163" s="2"/>
      <x:c r="J163" s="2"/>
    </x:row>
    <x:row r="164" ht="23" customHeight="1">
      <x:c r="A164" s="2" t="str">
        <x:v>Oil or Gas Spill</x:v>
      </x:c>
      <x:c r="B164" s="11" t="n">
        <x:v>6</x:v>
      </x:c>
      <x:c r="C164" s="11" t="n">
        <x:v>5</x:v>
      </x:c>
      <x:c r="D164" s="11" t="n">
        <x:f>C164-B164</x:f>
        <x:v>-1</x:v>
      </x:c>
      <x:c r="E164" s="12" t="n">
        <x:f>IF(B164=0,"不适用",D164/B164)</x:f>
        <x:v>-0.16666666666666666</x:v>
      </x:c>
      <x:c r="F164" s="12" t="n">
        <x:f>C164/'月度趋势'!$C$14</x:f>
        <x:v>0.000001875413997639979</x:v>
      </x:c>
      <x:c r="G164" s="12" t="n">
        <x:f>D164/'月度趋势'!$D$14</x:f>
        <x:v>-0.00000348017345184484</x:v>
      </x:c>
      <x:c r="H164" s="2"/>
      <x:c r="I164" s="2"/>
      <x:c r="J164" s="2"/>
    </x:row>
    <x:row r="165" ht="23" customHeight="1">
      <x:c r="A165" s="2" t="str">
        <x:v>Disorderly Youth</x:v>
      </x:c>
      <x:c r="B165" s="11" t="n">
        <x:v>136</x:v>
      </x:c>
      <x:c r="C165" s="11" t="n">
        <x:v>133</x:v>
      </x:c>
      <x:c r="D165" s="11" t="n">
        <x:f>C165-B165</x:f>
        <x:v>-3</x:v>
      </x:c>
      <x:c r="E165" s="12" t="n">
        <x:f>IF(B165=0,"不适用",D165/B165)</x:f>
        <x:v>-0.022058823529411766</x:v>
      </x:c>
      <x:c r="F165" s="12" t="n">
        <x:f>C165/'月度趋势'!$C$14</x:f>
        <x:v>0.00004988601233722344</x:v>
      </x:c>
      <x:c r="G165" s="12" t="n">
        <x:f>D165/'月度趋势'!$D$14</x:f>
        <x:v>-0.00001044052035553452</x:v>
      </x:c>
      <x:c r="H165" s="2"/>
      <x:c r="I165" s="2"/>
      <x:c r="J165" s="2"/>
    </x:row>
    <x:row r="166" ht="23" customHeight="1">
      <x:c r="A166" s="2" t="str">
        <x:v>Litter Basket Request</x:v>
      </x:c>
      <x:c r="B166" s="11" t="n">
        <x:v>2741</x:v>
      </x:c>
      <x:c r="C166" s="11" t="n">
        <x:v>2736</x:v>
      </x:c>
      <x:c r="D166" s="11" t="n">
        <x:f>C166-B166</x:f>
        <x:v>-5</x:v>
      </x:c>
      <x:c r="E166" s="12" t="n">
        <x:f>IF(B166=0,"不适用",D166/B166)</x:f>
        <x:v>-0.0018241517694272164</x:v>
      </x:c>
      <x:c r="F166" s="12" t="n">
        <x:f>C166/'月度趋势'!$C$14</x:f>
        <x:v>0.0010262265395085965</x:v>
      </x:c>
      <x:c r="G166" s="12" t="n">
        <x:f>D166/'月度趋势'!$D$14</x:f>
        <x:v>-0.0000174008672592242</x:v>
      </x:c>
      <x:c r="H166" s="2"/>
      <x:c r="I166" s="2"/>
      <x:c r="J166" s="2"/>
    </x:row>
    <x:row r="167" ht="23" customHeight="1">
      <x:c r="A167" s="2" t="str">
        <x:v>Institution Disposal Complaint</x:v>
      </x:c>
      <x:c r="B167" s="11" t="n">
        <x:v>32</x:v>
      </x:c>
      <x:c r="C167" s="11" t="n">
        <x:v>27</x:v>
      </x:c>
      <x:c r="D167" s="11" t="n">
        <x:f>C167-B167</x:f>
        <x:v>-5</x:v>
      </x:c>
      <x:c r="E167" s="12" t="n">
        <x:f>IF(B167=0,"不适用",D167/B167)</x:f>
        <x:v>-0.15625</x:v>
      </x:c>
      <x:c r="F167" s="12" t="n">
        <x:f>C167/'月度趋势'!$C$14</x:f>
        <x:v>0.000010127235587255887</x:v>
      </x:c>
      <x:c r="G167" s="12" t="n">
        <x:f>D167/'月度趋势'!$D$14</x:f>
        <x:v>-0.0000174008672592242</x:v>
      </x:c>
      <x:c r="H167" s="2"/>
      <x:c r="I167" s="2"/>
      <x:c r="J167" s="2"/>
    </x:row>
    <x:row r="168" ht="23" customHeight="1">
      <x:c r="A168" s="2" t="str">
        <x:v>Dead Animal</x:v>
      </x:c>
      <x:c r="B168" s="11" t="n">
        <x:v>7275</x:v>
      </x:c>
      <x:c r="C168" s="11" t="n">
        <x:v>7270</x:v>
      </x:c>
      <x:c r="D168" s="11" t="n">
        <x:f>C168-B168</x:f>
        <x:v>-5</x:v>
      </x:c>
      <x:c r="E168" s="12" t="n">
        <x:f>IF(B168=0,"不适用",D168/B168)</x:f>
        <x:v>-0.0006872852233676976</x:v>
      </x:c>
      <x:c r="F168" s="12" t="n">
        <x:f>C168/'月度趋势'!$C$14</x:f>
        <x:v>0.0027268519525685295</x:v>
      </x:c>
      <x:c r="G168" s="12" t="n">
        <x:f>D168/'月度趋势'!$D$14</x:f>
        <x:v>-0.0000174008672592242</x:v>
      </x:c>
      <x:c r="H168" s="2"/>
      <x:c r="I168" s="2"/>
      <x:c r="J168" s="2"/>
    </x:row>
    <x:row r="169" ht="23" customHeight="1">
      <x:c r="A169" s="2" t="str">
        <x:v>Lifeguard</x:v>
      </x:c>
      <x:c r="B169" s="11" t="n">
        <x:v>31</x:v>
      </x:c>
      <x:c r="C169" s="11" t="n">
        <x:v>25</x:v>
      </x:c>
      <x:c r="D169" s="11" t="n">
        <x:f>C169-B169</x:f>
        <x:v>-6</x:v>
      </x:c>
      <x:c r="E169" s="12" t="n">
        <x:f>IF(B169=0,"不适用",D169/B169)</x:f>
        <x:v>-0.1935483870967742</x:v>
      </x:c>
      <x:c r="F169" s="12" t="n">
        <x:f>C169/'月度趋势'!$C$14</x:f>
        <x:v>0.000009377069988199896</x:v>
      </x:c>
      <x:c r="G169" s="12" t="n">
        <x:f>D169/'月度趋势'!$D$14</x:f>
        <x:v>-0.00002088104071106904</x:v>
      </x:c>
      <x:c r="H169" s="2"/>
      <x:c r="I169" s="2"/>
      <x:c r="J169" s="2"/>
    </x:row>
    <x:row r="170" ht="23" customHeight="1">
      <x:c r="A170" s="2" t="str">
        <x:v>Radioactive Material</x:v>
      </x:c>
      <x:c r="B170" s="11" t="n">
        <x:v>16</x:v>
      </x:c>
      <x:c r="C170" s="11" t="n">
        <x:v>10</x:v>
      </x:c>
      <x:c r="D170" s="11" t="n">
        <x:f>C170-B170</x:f>
        <x:v>-6</x:v>
      </x:c>
      <x:c r="E170" s="12" t="n">
        <x:f>IF(B170=0,"不适用",D170/B170)</x:f>
        <x:v>-0.375</x:v>
      </x:c>
      <x:c r="F170" s="12" t="n">
        <x:f>C170/'月度趋势'!$C$14</x:f>
        <x:v>0.000003750827995279958</x:v>
      </x:c>
      <x:c r="G170" s="12" t="n">
        <x:f>D170/'月度趋势'!$D$14</x:f>
        <x:v>-0.00002088104071106904</x:v>
      </x:c>
      <x:c r="H170" s="2"/>
      <x:c r="I170" s="2"/>
      <x:c r="J170" s="2"/>
    </x:row>
    <x:row r="171" ht="23" customHeight="1">
      <x:c r="A171" s="2" t="str">
        <x:v>Animal Facility - No Permit</x:v>
      </x:c>
      <x:c r="B171" s="11" t="n">
        <x:v>81</x:v>
      </x:c>
      <x:c r="C171" s="11" t="n">
        <x:v>74</x:v>
      </x:c>
      <x:c r="D171" s="11" t="n">
        <x:f>C171-B171</x:f>
        <x:v>-7</x:v>
      </x:c>
      <x:c r="E171" s="12" t="n">
        <x:f>IF(B171=0,"不适用",D171/B171)</x:f>
        <x:v>-0.08641975308641975</x:v>
      </x:c>
      <x:c r="F171" s="12" t="n">
        <x:f>C171/'月度趋势'!$C$14</x:f>
        <x:v>0.00002775612716507169</x:v>
      </x:c>
      <x:c r="G171" s="12" t="n">
        <x:f>D171/'月度趋势'!$D$14</x:f>
        <x:v>-0.00002436121416291388</x:v>
      </x:c>
      <x:c r="H171" s="2"/>
      <x:c r="I171" s="2"/>
      <x:c r="J171" s="2"/>
    </x:row>
    <x:row r="172" ht="23" customHeight="1">
      <x:c r="A172" s="2" t="str">
        <x:v>Borough Office</x:v>
      </x:c>
      <x:c r="B172" s="11" t="n">
        <x:v>20</x:v>
      </x:c>
      <x:c r="C172" s="11" t="n">
        <x:v>13</x:v>
      </x:c>
      <x:c r="D172" s="11" t="n">
        <x:f>C172-B172</x:f>
        <x:v>-7</x:v>
      </x:c>
      <x:c r="E172" s="12" t="n">
        <x:f>IF(B172=0,"不适用",D172/B172)</x:f>
        <x:v>-0.35</x:v>
      </x:c>
      <x:c r="F172" s="12" t="n">
        <x:f>C172/'月度趋势'!$C$14</x:f>
        <x:v>0.000004876076393863946</x:v>
      </x:c>
      <x:c r="G172" s="12" t="n">
        <x:f>D172/'月度趋势'!$D$14</x:f>
        <x:v>-0.00002436121416291388</x:v>
      </x:c>
      <x:c r="H172" s="2"/>
      <x:c r="I172" s="2"/>
      <x:c r="J172" s="2"/>
    </x:row>
    <x:row r="173" ht="23" customHeight="1">
      <x:c r="A173" s="2" t="str">
        <x:v>Special Natural Area District (SNAD)</x:v>
      </x:c>
      <x:c r="B173" s="11" t="n">
        <x:v>34</x:v>
      </x:c>
      <x:c r="C173" s="11" t="n">
        <x:v>26</x:v>
      </x:c>
      <x:c r="D173" s="11" t="n">
        <x:f>C173-B173</x:f>
        <x:v>-8</x:v>
      </x:c>
      <x:c r="E173" s="12" t="n">
        <x:f>IF(B173=0,"不适用",D173/B173)</x:f>
        <x:v>-0.23529411764705882</x:v>
      </x:c>
      <x:c r="F173" s="12" t="n">
        <x:f>C173/'月度趋势'!$C$14</x:f>
        <x:v>0.000009752152787727891</x:v>
      </x:c>
      <x:c r="G173" s="12" t="n">
        <x:f>D173/'月度趋势'!$D$14</x:f>
        <x:v>-0.00002784138761475872</x:v>
      </x:c>
      <x:c r="H173" s="2"/>
      <x:c r="I173" s="2"/>
      <x:c r="J173" s="2"/>
    </x:row>
    <x:row r="174" ht="23" customHeight="1">
      <x:c r="A174" s="2" t="str">
        <x:v>Illegal Animal Sold</x:v>
      </x:c>
      <x:c r="B174" s="11" t="n">
        <x:v>82</x:v>
      </x:c>
      <x:c r="C174" s="11" t="n">
        <x:v>74</x:v>
      </x:c>
      <x:c r="D174" s="11" t="n">
        <x:f>C174-B174</x:f>
        <x:v>-8</x:v>
      </x:c>
      <x:c r="E174" s="12" t="n">
        <x:f>IF(B174=0,"不适用",D174/B174)</x:f>
        <x:v>-0.0975609756097561</x:v>
      </x:c>
      <x:c r="F174" s="12" t="n">
        <x:f>C174/'月度趋势'!$C$14</x:f>
        <x:v>0.00002775612716507169</x:v>
      </x:c>
      <x:c r="G174" s="12" t="n">
        <x:f>D174/'月度趋势'!$D$14</x:f>
        <x:v>-0.00002784138761475872</x:v>
      </x:c>
      <x:c r="H174" s="2"/>
      <x:c r="I174" s="2"/>
      <x:c r="J174" s="2"/>
    </x:row>
    <x:row r="175" ht="23" customHeight="1">
      <x:c r="A175" s="2" t="str">
        <x:v>Scaffold Safety</x:v>
      </x:c>
      <x:c r="B175" s="11" t="n">
        <x:v>112</x:v>
      </x:c>
      <x:c r="C175" s="11" t="n">
        <x:v>104</x:v>
      </x:c>
      <x:c r="D175" s="11" t="n">
        <x:f>C175-B175</x:f>
        <x:v>-8</x:v>
      </x:c>
      <x:c r="E175" s="12" t="n">
        <x:f>IF(B175=0,"不适用",D175/B175)</x:f>
        <x:v>-0.07142857142857142</x:v>
      </x:c>
      <x:c r="F175" s="12" t="n">
        <x:f>C175/'月度趋势'!$C$14</x:f>
        <x:v>0.000039008611150911565</x:v>
      </x:c>
      <x:c r="G175" s="12" t="n">
        <x:f>D175/'月度趋势'!$D$14</x:f>
        <x:v>-0.00002784138761475872</x:v>
      </x:c>
      <x:c r="H175" s="2"/>
      <x:c r="I175" s="2"/>
      <x:c r="J175" s="2"/>
    </x:row>
    <x:row r="176" ht="23" customHeight="1">
      <x:c r="A176" s="2" t="str">
        <x:v>Drinking Water</x:v>
      </x:c>
      <x:c r="B176" s="11" t="n">
        <x:v>227</x:v>
      </x:c>
      <x:c r="C176" s="11" t="n">
        <x:v>218</x:v>
      </x:c>
      <x:c r="D176" s="11" t="n">
        <x:f>C176-B176</x:f>
        <x:v>-9</x:v>
      </x:c>
      <x:c r="E176" s="12" t="n">
        <x:f>IF(B176=0,"不适用",D176/B176)</x:f>
        <x:v>-0.039647577092511016</x:v>
      </x:c>
      <x:c r="F176" s="12" t="n">
        <x:f>C176/'月度趋势'!$C$14</x:f>
        <x:v>0.00008176805029710309</x:v>
      </x:c>
      <x:c r="G176" s="12" t="n">
        <x:f>D176/'月度趋势'!$D$14</x:f>
        <x:v>-0.00003132156106660356</x:v>
      </x:c>
      <x:c r="H176" s="2"/>
      <x:c r="I176" s="2"/>
      <x:c r="J176" s="2"/>
    </x:row>
    <x:row r="177" ht="23" customHeight="1">
      <x:c r="A177" s="2" t="str">
        <x:v>Recycling Basket Complaint</x:v>
      </x:c>
      <x:c r="B177" s="11" t="n">
        <x:v>75</x:v>
      </x:c>
      <x:c r="C177" s="11" t="n">
        <x:v>66</x:v>
      </x:c>
      <x:c r="D177" s="11" t="n">
        <x:f>C177-B177</x:f>
        <x:v>-9</x:v>
      </x:c>
      <x:c r="E177" s="12" t="n">
        <x:f>IF(B177=0,"不适用",D177/B177)</x:f>
        <x:v>-0.12</x:v>
      </x:c>
      <x:c r="F177" s="12" t="n">
        <x:f>C177/'月度趋势'!$C$14</x:f>
        <x:v>0.000024755464768847722</x:v>
      </x:c>
      <x:c r="G177" s="12" t="n">
        <x:f>D177/'月度趋势'!$D$14</x:f>
        <x:v>-0.00003132156106660356</x:v>
      </x:c>
      <x:c r="H177" s="2"/>
      <x:c r="I177" s="2"/>
      <x:c r="J177" s="2"/>
    </x:row>
    <x:row r="178" ht="23" customHeight="1">
      <x:c r="A178" s="2" t="str">
        <x:v>Green Taxi Report</x:v>
      </x:c>
      <x:c r="B178" s="11" t="n">
        <x:v>38</x:v>
      </x:c>
      <x:c r="C178" s="11" t="n">
        <x:v>23</x:v>
      </x:c>
      <x:c r="D178" s="11" t="n">
        <x:f>C178-B178</x:f>
        <x:v>-15</x:v>
      </x:c>
      <x:c r="E178" s="12" t="n">
        <x:f>IF(B178=0,"不适用",D178/B178)</x:f>
        <x:v>-0.39473684210526316</x:v>
      </x:c>
      <x:c r="F178" s="12" t="n">
        <x:f>C178/'月度趋势'!$C$14</x:f>
        <x:v>0.000008626904389143903</x:v>
      </x:c>
      <x:c r="G178" s="12" t="n">
        <x:f>D178/'月度趋势'!$D$14</x:f>
        <x:v>-0.0000522026017776726</x:v>
      </x:c>
      <x:c r="H178" s="2"/>
      <x:c r="I178" s="2"/>
      <x:c r="J178" s="2"/>
    </x:row>
    <x:row r="179" ht="23" customHeight="1">
      <x:c r="A179" s="2" t="str">
        <x:v>New Tree Request</x:v>
      </x:c>
      <x:c r="B179" s="11" t="n">
        <x:v>533</x:v>
      </x:c>
      <x:c r="C179" s="11" t="n">
        <x:v>517</x:v>
      </x:c>
      <x:c r="D179" s="11" t="n">
        <x:f>C179-B179</x:f>
        <x:v>-16</x:v>
      </x:c>
      <x:c r="E179" s="12" t="n">
        <x:f>IF(B179=0,"不适用",D179/B179)</x:f>
        <x:v>-0.0300187617260788</x:v>
      </x:c>
      <x:c r="F179" s="12" t="n">
        <x:f>C179/'月度趋势'!$C$14</x:f>
        <x:v>0.00019391780735597384</x:v>
      </x:c>
      <x:c r="G179" s="12" t="n">
        <x:f>D179/'月度趋势'!$D$14</x:f>
        <x:v>-0.00005568277522951744</x:v>
      </x:c>
      <x:c r="H179" s="2"/>
      <x:c r="I179" s="2"/>
      <x:c r="J179" s="2"/>
    </x:row>
    <x:row r="180" ht="23" customHeight="1">
      <x:c r="A180" s="2" t="str">
        <x:v>Incorrect Data</x:v>
      </x:c>
      <x:c r="B180" s="11" t="n">
        <x:v>41</x:v>
      </x:c>
      <x:c r="C180" s="11" t="n">
        <x:v>24</x:v>
      </x:c>
      <x:c r="D180" s="11" t="n">
        <x:f>C180-B180</x:f>
        <x:v>-17</x:v>
      </x:c>
      <x:c r="E180" s="12" t="n">
        <x:f>IF(B180=0,"不适用",D180/B180)</x:f>
        <x:v>-0.4146341463414634</x:v>
      </x:c>
      <x:c r="F180" s="12" t="n">
        <x:f>C180/'月度趋势'!$C$14</x:f>
        <x:v>0.000009001987188671899</x:v>
      </x:c>
      <x:c r="G180" s="12" t="n">
        <x:f>D180/'月度趋势'!$D$14</x:f>
        <x:v>-0.00005916294868136228</x:v>
      </x:c>
      <x:c r="H180" s="2"/>
      <x:c r="I180" s="2"/>
      <x:c r="J180" s="2"/>
    </x:row>
    <x:row r="181" ht="23" customHeight="1">
      <x:c r="A181" s="2" t="str">
        <x:v>Found Property</x:v>
      </x:c>
      <x:c r="B181" s="11" t="n">
        <x:v>64</x:v>
      </x:c>
      <x:c r="C181" s="11" t="n">
        <x:v>47</x:v>
      </x:c>
      <x:c r="D181" s="11" t="n">
        <x:f>C181-B181</x:f>
        <x:v>-17</x:v>
      </x:c>
      <x:c r="E181" s="12" t="n">
        <x:f>IF(B181=0,"不适用",D181/B181)</x:f>
        <x:v>-0.265625</x:v>
      </x:c>
      <x:c r="F181" s="12" t="n">
        <x:f>C181/'月度趋势'!$C$14</x:f>
        <x:v>0.000017628891577815802</x:v>
      </x:c>
      <x:c r="G181" s="12" t="n">
        <x:f>D181/'月度趋势'!$D$14</x:f>
        <x:v>-0.00005916294868136228</x:v>
      </x:c>
      <x:c r="H181" s="2"/>
      <x:c r="I181" s="2"/>
      <x:c r="J181" s="2"/>
    </x:row>
    <x:row r="182" ht="23" customHeight="1">
      <x:c r="A182" s="2" t="str">
        <x:v>Posting Advertisement</x:v>
      </x:c>
      <x:c r="B182" s="11" t="n">
        <x:v>103</x:v>
      </x:c>
      <x:c r="C182" s="11" t="n">
        <x:v>82</x:v>
      </x:c>
      <x:c r="D182" s="11" t="n">
        <x:f>C182-B182</x:f>
        <x:v>-21</x:v>
      </x:c>
      <x:c r="E182" s="12" t="n">
        <x:f>IF(B182=0,"不适用",D182/B182)</x:f>
        <x:v>-0.20388349514563106</x:v>
      </x:c>
      <x:c r="F182" s="12" t="n">
        <x:f>C182/'月度趋势'!$C$14</x:f>
        <x:v>0.00003075678956129566</x:v>
      </x:c>
      <x:c r="G182" s="12" t="n">
        <x:f>D182/'月度趋势'!$D$14</x:f>
        <x:v>-0.00007308364248874164</x:v>
      </x:c>
      <x:c r="H182" s="2"/>
      <x:c r="I182" s="2"/>
      <x:c r="J182" s="2"/>
    </x:row>
    <x:row r="183" ht="23" customHeight="1">
      <x:c r="A183" s="2" t="str">
        <x:v>Highway Sign - Damaged</x:v>
      </x:c>
      <x:c r="B183" s="11" t="n">
        <x:v>62</x:v>
      </x:c>
      <x:c r="C183" s="11" t="n">
        <x:v>40</x:v>
      </x:c>
      <x:c r="D183" s="11" t="n">
        <x:f>C183-B183</x:f>
        <x:v>-22</x:v>
      </x:c>
      <x:c r="E183" s="12" t="n">
        <x:f>IF(B183=0,"不适用",D183/B183)</x:f>
        <x:v>-0.3548387096774194</x:v>
      </x:c>
      <x:c r="F183" s="12" t="n">
        <x:f>C183/'月度趋势'!$C$14</x:f>
        <x:v>0.000015003311981119832</x:v>
      </x:c>
      <x:c r="G183" s="12" t="n">
        <x:f>D183/'月度趋势'!$D$14</x:f>
        <x:v>-0.00007656381594058648</x:v>
      </x:c>
      <x:c r="H183" s="2"/>
      <x:c r="I183" s="2"/>
      <x:c r="J183" s="2"/>
    </x:row>
    <x:row r="184" ht="23" customHeight="1">
      <x:c r="A184" s="2" t="str">
        <x:v>Mold</x:v>
      </x:c>
      <x:c r="B184" s="11" t="n">
        <x:v>284</x:v>
      </x:c>
      <x:c r="C184" s="11" t="n">
        <x:v>254</x:v>
      </x:c>
      <x:c r="D184" s="11" t="n">
        <x:f>C184-B184</x:f>
        <x:v>-30</x:v>
      </x:c>
      <x:c r="E184" s="12" t="n">
        <x:f>IF(B184=0,"不适用",D184/B184)</x:f>
        <x:v>-0.1056338028169014</x:v>
      </x:c>
      <x:c r="F184" s="12" t="n">
        <x:f>C184/'月度趋势'!$C$14</x:f>
        <x:v>0.00009527103108011094</x:v>
      </x:c>
      <x:c r="G184" s="12" t="n">
        <x:f>D184/'月度趋势'!$D$14</x:f>
        <x:v>-0.0001044052035553452</x:v>
      </x:c>
      <x:c r="H184" s="2"/>
      <x:c r="I184" s="2"/>
      <x:c r="J184" s="2"/>
    </x:row>
    <x:row r="185" ht="23" customHeight="1">
      <x:c r="A185" s="2" t="str">
        <x:v>Unspecified</x:v>
      </x:c>
      <x:c r="B185" s="11" t="n">
        <x:v>39</x:v>
      </x:c>
      <x:c r="C185" s="11" t="n">
        <x:v>0</x:v>
      </x:c>
      <x:c r="D185" s="11" t="n">
        <x:f>C185-B185</x:f>
        <x:v>-39</x:v>
      </x:c>
      <x:c r="E185" s="12" t="n">
        <x:f>IF(B185=0,"不适用",D185/B185)</x:f>
        <x:v>-1</x:v>
      </x:c>
      <x:c r="F185" s="12" t="n">
        <x:f>C185/'月度趋势'!$C$14</x:f>
        <x:v>0</x:v>
      </x:c>
      <x:c r="G185" s="12" t="n">
        <x:f>D185/'月度趋势'!$D$14</x:f>
        <x:v>-0.00013572676462194876</x:v>
      </x:c>
      <x:c r="H185" s="2"/>
      <x:c r="I185" s="2"/>
      <x:c r="J185" s="2"/>
    </x:row>
    <x:row r="186" ht="23" customHeight="1">
      <x:c r="A186" s="2" t="str">
        <x:v>E-Scooter</x:v>
      </x:c>
      <x:c r="B186" s="11" t="n">
        <x:v>347</x:v>
      </x:c>
      <x:c r="C186" s="11" t="n">
        <x:v>300</x:v>
      </x:c>
      <x:c r="D186" s="11" t="n">
        <x:f>C186-B186</x:f>
        <x:v>-47</x:v>
      </x:c>
      <x:c r="E186" s="12" t="n">
        <x:f>IF(B186=0,"不适用",D186/B186)</x:f>
        <x:v>-0.13544668587896252</x:v>
      </x:c>
      <x:c r="F186" s="12" t="n">
        <x:f>C186/'月度趋势'!$C$14</x:f>
        <x:v>0.00011252483985839874</x:v>
      </x:c>
      <x:c r="G186" s="12" t="n">
        <x:f>D186/'月度趋势'!$D$14</x:f>
        <x:v>-0.00016356815223670748</x:v>
      </x:c>
      <x:c r="H186" s="2"/>
      <x:c r="I186" s="2"/>
      <x:c r="J186" s="2"/>
    </x:row>
    <x:row r="187" ht="23" customHeight="1">
      <x:c r="A187" s="2" t="str">
        <x:v>Illegal Animal Kept as Pet</x:v>
      </x:c>
      <x:c r="B187" s="11" t="n">
        <x:v>462</x:v>
      </x:c>
      <x:c r="C187" s="11" t="n">
        <x:v>415</x:v>
      </x:c>
      <x:c r="D187" s="11" t="n">
        <x:f>C187-B187</x:f>
        <x:v>-47</x:v>
      </x:c>
      <x:c r="E187" s="12" t="n">
        <x:f>IF(B187=0,"不适用",D187/B187)</x:f>
        <x:v>-0.10173160173160173</x:v>
      </x:c>
      <x:c r="F187" s="12" t="n">
        <x:f>C187/'月度趋势'!$C$14</x:f>
        <x:v>0.00015565936180411826</x:v>
      </x:c>
      <x:c r="G187" s="12" t="n">
        <x:f>D187/'月度趋势'!$D$14</x:f>
        <x:v>-0.00016356815223670748</x:v>
      </x:c>
      <x:c r="H187" s="2"/>
      <x:c r="I187" s="2"/>
      <x:c r="J187" s="2"/>
    </x:row>
    <x:row r="188" ht="23" customHeight="1">
      <x:c r="A188" s="2" t="str">
        <x:v>Pet Shop</x:v>
      </x:c>
      <x:c r="B188" s="11" t="n">
        <x:v>53</x:v>
      </x:c>
      <x:c r="C188" s="11" t="n">
        <x:v>0</x:v>
      </x:c>
      <x:c r="D188" s="11" t="n">
        <x:f>C188-B188</x:f>
        <x:v>-53</x:v>
      </x:c>
      <x:c r="E188" s="12" t="n">
        <x:f>IF(B188=0,"不适用",D188/B188)</x:f>
        <x:v>-1</x:v>
      </x:c>
      <x:c r="F188" s="12" t="n">
        <x:f>C188/'月度趋势'!$C$14</x:f>
        <x:v>0</x:v>
      </x:c>
      <x:c r="G188" s="12" t="n">
        <x:f>D188/'月度趋势'!$D$14</x:f>
        <x:v>-0.0001844491929477765</x:v>
      </x:c>
      <x:c r="H188" s="2"/>
      <x:c r="I188" s="2"/>
      <x:c r="J188" s="2"/>
    </x:row>
    <x:row r="189" ht="23" customHeight="1">
      <x:c r="A189" s="2" t="str">
        <x:v>Harboring Bees/Wasps</x:v>
      </x:c>
      <x:c r="B189" s="11" t="n">
        <x:v>313</x:v>
      </x:c>
      <x:c r="C189" s="11" t="n">
        <x:v>242</x:v>
      </x:c>
      <x:c r="D189" s="11" t="n">
        <x:f>C189-B189</x:f>
        <x:v>-71</x:v>
      </x:c>
      <x:c r="E189" s="12" t="n">
        <x:f>IF(B189=0,"不适用",D189/B189)</x:f>
        <x:v>-0.2268370607028754</x:v>
      </x:c>
      <x:c r="F189" s="12" t="n">
        <x:f>C189/'月度趋势'!$C$14</x:f>
        <x:v>0.00009077003748577498</x:v>
      </x:c>
      <x:c r="G189" s="12" t="n">
        <x:f>D189/'月度趋势'!$D$14</x:f>
        <x:v>-0.00024709231508098363</x:v>
      </x:c>
      <x:c r="H189" s="2"/>
      <x:c r="I189" s="2"/>
      <x:c r="J189" s="2"/>
    </x:row>
    <x:row r="190" ht="23" customHeight="1">
      <x:c r="A190" s="2" t="str">
        <x:v>Water Quality</x:v>
      </x:c>
      <x:c r="B190" s="11" t="n">
        <x:v>895</x:v>
      </x:c>
      <x:c r="C190" s="11" t="n">
        <x:v>802</x:v>
      </x:c>
      <x:c r="D190" s="11" t="n">
        <x:f>C190-B190</x:f>
        <x:v>-93</x:v>
      </x:c>
      <x:c r="E190" s="12" t="n">
        <x:f>IF(B190=0,"不适用",D190/B190)</x:f>
        <x:v>-0.10391061452513967</x:v>
      </x:c>
      <x:c r="F190" s="12" t="n">
        <x:f>C190/'月度趋势'!$C$14</x:f>
        <x:v>0.0003008164052214526</x:v>
      </x:c>
      <x:c r="G190" s="12" t="n">
        <x:f>D190/'月度趋势'!$D$14</x:f>
        <x:v>-0.00032365613102157013</x:v>
      </x:c>
      <x:c r="H190" s="2"/>
      <x:c r="I190" s="2"/>
      <x:c r="J190" s="2"/>
    </x:row>
    <x:row r="191" ht="23" customHeight="1">
      <x:c r="A191" s="2" t="str">
        <x:v>Root/Sewer/Sidewalk Condition</x:v>
      </x:c>
      <x:c r="B191" s="11" t="n">
        <x:v>6999</x:v>
      </x:c>
      <x:c r="C191" s="11" t="n">
        <x:v>6745</x:v>
      </x:c>
      <x:c r="D191" s="11" t="n">
        <x:f>C191-B191</x:f>
        <x:v>-254</x:v>
      </x:c>
      <x:c r="E191" s="12" t="n">
        <x:f>IF(B191=0,"不适用",D191/B191)</x:f>
        <x:v>-0.03629089869981426</x:v>
      </x:c>
      <x:c r="F191" s="12" t="n">
        <x:f>C191/'月度趋势'!$C$14</x:f>
        <x:v>0.002529933482816332</x:v>
      </x:c>
      <x:c r="G191" s="12" t="n">
        <x:f>D191/'月度趋势'!$D$14</x:f>
        <x:v>-0.0008839640567685894</x:v>
      </x:c>
      <x:c r="H191" s="2"/>
      <x:c r="I191" s="2"/>
      <x:c r="J191" s="2"/>
    </x:row>
    <x:row r="192" ht="23" customHeight="1">
      <x:c r="A192" s="2" t="str">
        <x:v>Commercial Disposal Complaint</x:v>
      </x:c>
      <x:c r="B192" s="11" t="n">
        <x:v>1300</x:v>
      </x:c>
      <x:c r="C192" s="11" t="n">
        <x:v>1033</x:v>
      </x:c>
      <x:c r="D192" s="11" t="n">
        <x:f>C192-B192</x:f>
        <x:v>-267</x:v>
      </x:c>
      <x:c r="E192" s="12" t="n">
        <x:f>IF(B192=0,"不适用",D192/B192)</x:f>
        <x:v>-0.2053846153846154</x:v>
      </x:c>
      <x:c r="F192" s="12" t="n">
        <x:f>C192/'月度趋势'!$C$14</x:f>
        <x:v>0.00038746053191241966</x:v>
      </x:c>
      <x:c r="G192" s="12" t="n">
        <x:f>D192/'月度趋势'!$D$14</x:f>
        <x:v>-0.0009292063116425722</x:v>
      </x:c>
      <x:c r="H192" s="2"/>
      <x:c r="I192" s="2"/>
      <x:c r="J192" s="2"/>
    </x:row>
    <x:row r="193" ht="23" customHeight="1">
      <x:c r="A193" s="2" t="str">
        <x:v>Broken Parking Meter</x:v>
      </x:c>
      <x:c r="B193" s="11" t="n">
        <x:v>2168</x:v>
      </x:c>
      <x:c r="C193" s="11" t="n">
        <x:v>1873</x:v>
      </x:c>
      <x:c r="D193" s="11" t="n">
        <x:f>C193-B193</x:f>
        <x:v>-295</x:v>
      </x:c>
      <x:c r="E193" s="12" t="n">
        <x:f>IF(B193=0,"不适用",D193/B193)</x:f>
        <x:v>-0.136070110701107</x:v>
      </x:c>
      <x:c r="F193" s="12" t="n">
        <x:f>C193/'月度趋势'!$C$14</x:f>
        <x:v>0.0007025300835159362</x:v>
      </x:c>
      <x:c r="G193" s="12" t="n">
        <x:f>D193/'月度趋势'!$D$14</x:f>
        <x:v>-0.0010266511682942277</x:v>
      </x:c>
      <x:c r="H193" s="2"/>
      <x:c r="I193" s="2"/>
      <x:c r="J193" s="2"/>
    </x:row>
    <x:row r="194" ht="23" customHeight="1">
      <x:c r="A194" s="2" t="str">
        <x:v>Hazardous Materials</x:v>
      </x:c>
      <x:c r="B194" s="11" t="n">
        <x:v>1534</x:v>
      </x:c>
      <x:c r="C194" s="11" t="n">
        <x:v>1223</x:v>
      </x:c>
      <x:c r="D194" s="11" t="n">
        <x:f>C194-B194</x:f>
        <x:v>-311</x:v>
      </x:c>
      <x:c r="E194" s="12" t="n">
        <x:f>IF(B194=0,"不适用",D194/B194)</x:f>
        <x:v>-0.20273794002607562</x:v>
      </x:c>
      <x:c r="F194" s="12" t="n">
        <x:f>C194/'月度趋势'!$C$14</x:f>
        <x:v>0.0004587262638227389</x:v>
      </x:c>
      <x:c r="G194" s="12" t="n">
        <x:f>D194/'月度趋势'!$D$14</x:f>
        <x:v>-0.0010823339435237452</x:v>
      </x:c>
      <x:c r="H194" s="2"/>
      <x:c r="I194" s="2"/>
      <x:c r="J194" s="2"/>
    </x:row>
    <x:row r="195" ht="23" customHeight="1">
      <x:c r="A195" s="2" t="str">
        <x:v>Illegal Fireworks</x:v>
      </x:c>
      <x:c r="B195" s="11" t="n">
        <x:v>10547</x:v>
      </x:c>
      <x:c r="C195" s="11" t="n">
        <x:v>10225</x:v>
      </x:c>
      <x:c r="D195" s="11" t="n">
        <x:f>C195-B195</x:f>
        <x:v>-322</x:v>
      </x:c>
      <x:c r="E195" s="12" t="n">
        <x:f>IF(B195=0,"不适用",D195/B195)</x:f>
        <x:v>-0.0305300085332322</x:v>
      </x:c>
      <x:c r="F195" s="12" t="n">
        <x:f>C195/'月度趋势'!$C$14</x:f>
        <x:v>0.003835221625173757</x:v>
      </x:c>
      <x:c r="G195" s="12" t="n">
        <x:f>D195/'月度趋势'!$D$14</x:f>
        <x:v>-0.0011206158514940384</x:v>
      </x:c>
      <x:c r="H195" s="2"/>
      <x:c r="I195" s="2"/>
      <x:c r="J195" s="2"/>
    </x:row>
    <x:row r="196" ht="23" customHeight="1">
      <x:c r="A196" s="2" t="str">
        <x:v>Air Quality</x:v>
      </x:c>
      <x:c r="B196" s="11" t="n">
        <x:v>6957</x:v>
      </x:c>
      <x:c r="C196" s="11" t="n">
        <x:v>6545</x:v>
      </x:c>
      <x:c r="D196" s="11" t="n">
        <x:f>C196-B196</x:f>
        <x:v>-412</x:v>
      </x:c>
      <x:c r="E196" s="12" t="n">
        <x:f>IF(B196=0,"不适用",D196/B196)</x:f>
        <x:v>-0.05922092856116142</x:v>
      </x:c>
      <x:c r="F196" s="12" t="n">
        <x:f>C196/'月度趋势'!$C$14</x:f>
        <x:v>0.0024549169229107323</x:v>
      </x:c>
      <x:c r="G196" s="12" t="n">
        <x:f>D196/'月度趋势'!$D$14</x:f>
        <x:v>-0.001433831462160074</x:v>
      </x:c>
      <x:c r="H196" s="2"/>
      <x:c r="I196" s="2"/>
      <x:c r="J196" s="2"/>
    </x:row>
    <x:row r="197" ht="23" customHeight="1">
      <x:c r="A197" s="2" t="str">
        <x:v>Drinking</x:v>
      </x:c>
      <x:c r="B197" s="11" t="n">
        <x:v>3464</x:v>
      </x:c>
      <x:c r="C197" s="11" t="n">
        <x:v>3029</x:v>
      </x:c>
      <x:c r="D197" s="11" t="n">
        <x:f>C197-B197</x:f>
        <x:v>-435</x:v>
      </x:c>
      <x:c r="E197" s="12" t="n">
        <x:f>IF(B197=0,"不适用",D197/B197)</x:f>
        <x:v>-0.12557736720554272</x:v>
      </x:c>
      <x:c r="F197" s="12" t="n">
        <x:f>C197/'月度趋势'!$C$14</x:f>
        <x:v>0.0011361257997702992</x:v>
      </x:c>
      <x:c r="G197" s="12" t="n">
        <x:f>D197/'月度趋势'!$D$14</x:f>
        <x:v>-0.0015138754515525053</x:v>
      </x:c>
      <x:c r="H197" s="2"/>
      <x:c r="I197" s="2"/>
      <x:c r="J197" s="2"/>
    </x:row>
    <x:row r="198" ht="23" customHeight="1">
      <x:c r="A198" s="2" t="str">
        <x:v>School Maintenance</x:v>
      </x:c>
      <x:c r="B198" s="11" t="n">
        <x:v>1232</x:v>
      </x:c>
      <x:c r="C198" s="11" t="n">
        <x:v>666</x:v>
      </x:c>
      <x:c r="D198" s="11" t="n">
        <x:f>C198-B198</x:f>
        <x:v>-566</x:v>
      </x:c>
      <x:c r="E198" s="12" t="n">
        <x:f>IF(B198=0,"不适用",D198/B198)</x:f>
        <x:v>-0.4594155844155844</x:v>
      </x:c>
      <x:c r="F198" s="12" t="n">
        <x:f>C198/'月度趋势'!$C$14</x:f>
        <x:v>0.0002498051444856452</x:v>
      </x:c>
      <x:c r="G198" s="12" t="n">
        <x:f>D198/'月度趋势'!$D$14</x:f>
        <x:v>-0.0019697781737441794</x:v>
      </x:c>
      <x:c r="H198" s="2"/>
      <x:c r="I198" s="2"/>
      <x:c r="J198" s="2"/>
    </x:row>
    <x:row r="199" ht="23" customHeight="1">
      <x:c r="A199" s="2" t="str">
        <x:v>Outdoor Dining</x:v>
      </x:c>
      <x:c r="B199" s="11" t="n">
        <x:v>2933</x:v>
      </x:c>
      <x:c r="C199" s="11" t="n">
        <x:v>2266</x:v>
      </x:c>
      <x:c r="D199" s="11" t="n">
        <x:f>C199-B199</x:f>
        <x:v>-667</x:v>
      </x:c>
      <x:c r="E199" s="12" t="n">
        <x:f>IF(B199=0,"不适用",D199/B199)</x:f>
        <x:v>-0.22741220593249234</x:v>
      </x:c>
      <x:c r="F199" s="12" t="n">
        <x:f>C199/'月度趋势'!$C$14</x:f>
        <x:v>0.0008499376237304385</x:v>
      </x:c>
      <x:c r="G199" s="12" t="n">
        <x:f>D199/'月度趋势'!$D$14</x:f>
        <x:v>-0.002321275692380508</x:v>
      </x:c>
      <x:c r="H199" s="2"/>
      <x:c r="I199" s="2"/>
      <x:c r="J199" s="2"/>
    </x:row>
    <x:row r="200" ht="23" customHeight="1">
      <x:c r="A200" s="2" t="str">
        <x:v>Panhandling</x:v>
      </x:c>
      <x:c r="B200" s="11" t="n">
        <x:v>8342</x:v>
      </x:c>
      <x:c r="C200" s="11" t="n">
        <x:v>7448</x:v>
      </x:c>
      <x:c r="D200" s="11" t="n">
        <x:f>C200-B200</x:f>
        <x:v>-894</x:v>
      </x:c>
      <x:c r="E200" s="12" t="n">
        <x:f>IF(B200=0,"不适用",D200/B200)</x:f>
        <x:v>-0.10716854471349796</x:v>
      </x:c>
      <x:c r="F200" s="12" t="n">
        <x:f>C200/'月度趋势'!$C$14</x:f>
        <x:v>0.002793616690884513</x:v>
      </x:c>
      <x:c r="G200" s="12" t="n">
        <x:f>D200/'月度趋势'!$D$14</x:f>
        <x:v>-0.003111275065949287</x:v>
      </x:c>
      <x:c r="H200" s="2"/>
      <x:c r="I200" s="2"/>
      <x:c r="J200" s="2"/>
    </x:row>
    <x:row r="201" ht="23" customHeight="1">
      <x:c r="A201" s="2" t="str">
        <x:v>Bike/Roller/Skate Chronic</x:v>
      </x:c>
      <x:c r="B201" s="11" t="n">
        <x:v>1180</x:v>
      </x:c>
      <x:c r="C201" s="11" t="n">
        <x:v>0</x:v>
      </x:c>
      <x:c r="D201" s="11" t="n">
        <x:f>C201-B201</x:f>
        <x:v>-1180</x:v>
      </x:c>
      <x:c r="E201" s="12" t="n">
        <x:f>IF(B201=0,"不适用",D201/B201)</x:f>
        <x:v>-1</x:v>
      </x:c>
      <x:c r="F201" s="12" t="n">
        <x:f>C201/'月度趋势'!$C$14</x:f>
        <x:v>0</x:v>
      </x:c>
      <x:c r="G201" s="12" t="n">
        <x:f>D201/'月度趋势'!$D$14</x:f>
        <x:v>-0.004106604673176911</x:v>
      </x:c>
      <x:c r="H201" s="2"/>
      <x:c r="I201" s="2"/>
      <x:c r="J201" s="2"/>
    </x:row>
    <x:row r="202" ht="23" customHeight="1">
      <x:c r="A202" s="2" t="str">
        <x:v>Graffiti</x:v>
      </x:c>
      <x:c r="B202" s="11" t="n">
        <x:v>12818</x:v>
      </x:c>
      <x:c r="C202" s="11" t="n">
        <x:v>11419</x:v>
      </x:c>
      <x:c r="D202" s="11" t="n">
        <x:f>C202-B202</x:f>
        <x:v>-1399</x:v>
      </x:c>
      <x:c r="E202" s="12" t="n">
        <x:f>IF(B202=0,"不适用",D202/B202)</x:f>
        <x:v>-0.10914339210485255</x:v>
      </x:c>
      <x:c r="F202" s="12" t="n">
        <x:f>C202/'月度趋势'!$C$14</x:f>
        <x:v>0.004283070487810184</x:v>
      </x:c>
      <x:c r="G202" s="12" t="n">
        <x:f>D202/'月度趋势'!$D$14</x:f>
        <x:v>-0.004868762659130931</x:v>
      </x:c>
      <x:c r="H202" s="2"/>
      <x:c r="I202" s="2"/>
      <x:c r="J202" s="2"/>
    </x:row>
    <x:row r="203" ht="23" customHeight="1">
      <x:c r="A203" s="2" t="str">
        <x:v>Noise - Park</x:v>
      </x:c>
      <x:c r="B203" s="11" t="n">
        <x:v>7345</x:v>
      </x:c>
      <x:c r="C203" s="11" t="n">
        <x:v>5798</x:v>
      </x:c>
      <x:c r="D203" s="11" t="n">
        <x:f>C203-B203</x:f>
        <x:v>-1547</x:v>
      </x:c>
      <x:c r="E203" s="12" t="n">
        <x:f>IF(B203=0,"不适用",D203/B203)</x:f>
        <x:v>-0.21061946902654868</x:v>
      </x:c>
      <x:c r="F203" s="12" t="n">
        <x:f>C203/'月度趋势'!$C$14</x:f>
        <x:v>0.0021747300716633195</x:v>
      </x:c>
      <x:c r="G203" s="12" t="n">
        <x:f>D203/'月度趋势'!$D$14</x:f>
        <x:v>-0.005383828330003967</x:v>
      </x:c>
      <x:c r="H203" s="2"/>
      <x:c r="I203" s="2"/>
      <x:c r="J203" s="2"/>
    </x:row>
    <x:row r="204" ht="23" customHeight="1">
      <x:c r="A204" s="2" t="str">
        <x:v>Mobile Food Vendor</x:v>
      </x:c>
      <x:c r="B204" s="11" t="n">
        <x:v>3561</x:v>
      </x:c>
      <x:c r="C204" s="11" t="n">
        <x:v>1776</x:v>
      </x:c>
      <x:c r="D204" s="11" t="n">
        <x:f>C204-B204</x:f>
        <x:v>-1785</x:v>
      </x:c>
      <x:c r="E204" s="12" t="n">
        <x:f>IF(B204=0,"不适用",D204/B204)</x:f>
        <x:v>-0.5012636899747261</x:v>
      </x:c>
      <x:c r="F204" s="12" t="n">
        <x:f>C204/'月度趋势'!$C$14</x:f>
        <x:v>0.0006661470519617206</x:v>
      </x:c>
      <x:c r="G204" s="12" t="n">
        <x:f>D204/'月度趋势'!$D$14</x:f>
        <x:v>-0.00621210961154304</x:v>
      </x:c>
      <x:c r="H204" s="2"/>
      <x:c r="I204" s="2"/>
      <x:c r="J204" s="2"/>
    </x:row>
    <x:row r="205" ht="23" customHeight="1">
      <x:c r="A205" s="2" t="str">
        <x:v>Illegal Dumping</x:v>
      </x:c>
      <x:c r="B205" s="11" t="n">
        <x:v>27408</x:v>
      </x:c>
      <x:c r="C205" s="11" t="n">
        <x:v>25497</x:v>
      </x:c>
      <x:c r="D205" s="11" t="n">
        <x:f>C205-B205</x:f>
        <x:v>-1911</x:v>
      </x:c>
      <x:c r="E205" s="12" t="n">
        <x:f>IF(B205=0,"不适用",D205/B205)</x:f>
        <x:v>-0.06972416812609457</x:v>
      </x:c>
      <x:c r="F205" s="12" t="n">
        <x:f>C205/'月度趋势'!$C$14</x:f>
        <x:v>0.009563486139565308</x:v>
      </x:c>
      <x:c r="G205" s="12" t="n">
        <x:f>D205/'月度趋势'!$D$14</x:f>
        <x:v>-0.006650611466475489</x:v>
      </x:c>
      <x:c r="H205" s="2"/>
      <x:c r="I205" s="2"/>
      <x:c r="J205" s="2"/>
    </x:row>
    <x:row r="206" ht="23" customHeight="1">
      <x:c r="A206" s="2" t="str">
        <x:v>Homeless Person Assistance</x:v>
      </x:c>
      <x:c r="B206" s="11" t="n">
        <x:v>24404</x:v>
      </x:c>
      <x:c r="C206" s="11" t="n">
        <x:v>22422</x:v>
      </x:c>
      <x:c r="D206" s="11" t="n">
        <x:f>C206-B206</x:f>
        <x:v>-1982</x:v>
      </x:c>
      <x:c r="E206" s="12" t="n">
        <x:f>IF(B206=0,"不适用",D206/B206)</x:f>
        <x:v>-0.08121619406654647</x:v>
      </x:c>
      <x:c r="F206" s="12" t="n">
        <x:f>C206/'月度趋势'!$C$14</x:f>
        <x:v>0.008410106531016722</x:v>
      </x:c>
      <x:c r="G206" s="12" t="n">
        <x:f>D206/'月度趋势'!$D$14</x:f>
        <x:v>-0.006897703781556473</x:v>
      </x:c>
      <x:c r="H206" s="2"/>
      <x:c r="I206" s="2"/>
      <x:c r="J206" s="2"/>
    </x:row>
    <x:row r="207" ht="23" customHeight="1">
      <x:c r="A207" s="2" t="str">
        <x:v>Lead</x:v>
      </x:c>
      <x:c r="B207" s="11" t="n">
        <x:v>10849</x:v>
      </x:c>
      <x:c r="C207" s="11" t="n">
        <x:v>8468</x:v>
      </x:c>
      <x:c r="D207" s="11" t="n">
        <x:f>C207-B207</x:f>
        <x:v>-2381</x:v>
      </x:c>
      <x:c r="E207" s="12" t="n">
        <x:f>IF(B207=0,"不适用",D207/B207)</x:f>
        <x:v>-0.21946723200294957</x:v>
      </x:c>
      <x:c r="F207" s="12" t="n">
        <x:f>C207/'月度趋势'!$C$14</x:f>
        <x:v>0.0031762011464030685</x:v>
      </x:c>
      <x:c r="G207" s="12" t="n">
        <x:f>D207/'月度趋势'!$D$14</x:f>
        <x:v>-0.008286292988842564</x:v>
      </x:c>
      <x:c r="H207" s="2"/>
      <x:c r="I207" s="2"/>
      <x:c r="J207" s="2"/>
    </x:row>
    <x:row r="208" ht="23" customHeight="1">
      <x:c r="A208" s="2" t="str">
        <x:v>Residential Disposal Complaint</x:v>
      </x:c>
      <x:c r="B208" s="11" t="n">
        <x:v>12377</x:v>
      </x:c>
      <x:c r="C208" s="11" t="n">
        <x:v>9293</x:v>
      </x:c>
      <x:c r="D208" s="11" t="n">
        <x:f>C208-B208</x:f>
        <x:v>-3084</x:v>
      </x:c>
      <x:c r="E208" s="12" t="n">
        <x:f>IF(B208=0,"不适用",D208/B208)</x:f>
        <x:v>-0.24917185101397754</x:v>
      </x:c>
      <x:c r="F208" s="12" t="n">
        <x:f>C208/'月度趋势'!$C$14</x:f>
        <x:v>0.003485644456013665</x:v>
      </x:c>
      <x:c r="G208" s="12" t="n">
        <x:f>D208/'月度趋势'!$D$14</x:f>
        <x:v>-0.010732854925489487</x:v>
      </x:c>
      <x:c r="H208" s="2"/>
      <x:c r="I208" s="2"/>
      <x:c r="J208" s="2"/>
    </x:row>
    <x:row r="209" ht="23" customHeight="1">
      <x:c r="A209" s="2" t="str">
        <x:v>Traffic</x:v>
      </x:c>
      <x:c r="B209" s="11" t="n">
        <x:v>8982</x:v>
      </x:c>
      <x:c r="C209" s="11" t="n">
        <x:v>5707</x:v>
      </x:c>
      <x:c r="D209" s="11" t="n">
        <x:f>C209-B209</x:f>
        <x:v>-3275</x:v>
      </x:c>
      <x:c r="E209" s="12" t="n">
        <x:f>IF(B209=0,"不适用",D209/B209)</x:f>
        <x:v>-0.36461812513916725</x:v>
      </x:c>
      <x:c r="F209" s="12" t="n">
        <x:f>C209/'月度趋势'!$C$14</x:f>
        <x:v>0.002140597536906272</x:v>
      </x:c>
      <x:c r="G209" s="12" t="n">
        <x:f>D209/'月度趋势'!$D$14</x:f>
        <x:v>-0.01139756805479185</x:v>
      </x:c>
      <x:c r="H209" s="2"/>
      <x:c r="I209" s="2"/>
      <x:c r="J209" s="2"/>
    </x:row>
    <x:row r="210" ht="23" customHeight="1">
      <x:c r="A210" s="2" t="str">
        <x:v>Noise - Commercial</x:v>
      </x:c>
      <x:c r="B210" s="11" t="n">
        <x:v>42802</x:v>
      </x:c>
      <x:c r="C210" s="11" t="n">
        <x:v>39441</x:v>
      </x:c>
      <x:c r="D210" s="11" t="n">
        <x:f>C210-B210</x:f>
        <x:v>-3361</x:v>
      </x:c>
      <x:c r="E210" s="12" t="n">
        <x:f>IF(B210=0,"不适用",D210/B210)</x:f>
        <x:v>-0.07852436802018598</x:v>
      </x:c>
      <x:c r="F210" s="12" t="n">
        <x:f>C210/'月度趋势'!$C$14</x:f>
        <x:v>0.014793640696183682</x:v>
      </x:c>
      <x:c r="G210" s="12" t="n">
        <x:f>D210/'月度趋势'!$D$14</x:f>
        <x:v>-0.011696862971650507</x:v>
      </x:c>
      <x:c r="H210" s="2"/>
      <x:c r="I210" s="2"/>
      <x:c r="J210" s="2"/>
    </x:row>
    <x:row r="211" ht="23" customHeight="1">
      <x:c r="A211" s="2" t="str">
        <x:v>Water System</x:v>
      </x:c>
      <x:c r="B211" s="11" t="n">
        <x:v>60401</x:v>
      </x:c>
      <x:c r="C211" s="11" t="n">
        <x:v>56938</x:v>
      </x:c>
      <x:c r="D211" s="11" t="n">
        <x:f>C211-B211</x:f>
        <x:v>-3463</x:v>
      </x:c>
      <x:c r="E211" s="12" t="n">
        <x:f>IF(B211=0,"不适用",D211/B211)</x:f>
        <x:v>-0.057333487856161325</x:v>
      </x:c>
      <x:c r="F211" s="12" t="n">
        <x:f>C211/'月度趋势'!$C$14</x:f>
        <x:v>0.021356464439525026</x:v>
      </x:c>
      <x:c r="G211" s="12" t="n">
        <x:f>D211/'月度趋势'!$D$14</x:f>
        <x:v>-0.012051840663738682</x:v>
      </x:c>
      <x:c r="H211" s="2"/>
      <x:c r="I211" s="2"/>
      <x:c r="J211" s="2"/>
    </x:row>
    <x:row r="212" ht="23" customHeight="1">
      <x:c r="A212" s="2" t="str">
        <x:v>Vendor Enforcement</x:v>
      </x:c>
      <x:c r="B212" s="11" t="n">
        <x:v>20106</x:v>
      </x:c>
      <x:c r="C212" s="11" t="n">
        <x:v>15990</x:v>
      </x:c>
      <x:c r="D212" s="11" t="n">
        <x:f>C212-B212</x:f>
        <x:v>-4116</x:v>
      </x:c>
      <x:c r="E212" s="12" t="n">
        <x:f>IF(B212=0,"不适用",D212/B212)</x:f>
        <x:v>-0.20471501044464338</x:v>
      </x:c>
      <x:c r="F212" s="12" t="n">
        <x:f>C212/'月度趋势'!$C$14</x:f>
        <x:v>0.005997573964452653</x:v>
      </x:c>
      <x:c r="G212" s="12" t="n">
        <x:f>D212/'月度趋势'!$D$14</x:f>
        <x:v>-0.01432439392779336</x:v>
      </x:c>
      <x:c r="H212" s="2"/>
      <x:c r="I212" s="2"/>
      <x:c r="J212" s="2"/>
    </x:row>
    <x:row r="213" ht="23" customHeight="1">
      <x:c r="A213" s="2" t="str">
        <x:v>Rodent</x:v>
      </x:c>
      <x:c r="B213" s="11" t="n">
        <x:v>24105</x:v>
      </x:c>
      <x:c r="C213" s="11" t="n">
        <x:v>18174</x:v>
      </x:c>
      <x:c r="D213" s="11" t="n">
        <x:f>C213-B213</x:f>
        <x:v>-5931</x:v>
      </x:c>
      <x:c r="E213" s="12" t="n">
        <x:f>IF(B213=0,"不适用",D213/B213)</x:f>
        <x:v>-0.24604853764779092</x:v>
      </x:c>
      <x:c r="F213" s="12" t="n">
        <x:f>C213/'月度趋势'!$C$14</x:f>
        <x:v>0.006816754798621796</x:v>
      </x:c>
      <x:c r="G213" s="12" t="n">
        <x:f>D213/'月度趋势'!$D$14</x:f>
        <x:v>-0.020640908742891744</x:v>
      </x:c>
      <x:c r="H213" s="2"/>
      <x:c r="I213" s="2"/>
      <x:c r="J213" s="2"/>
    </x:row>
    <x:row r="214" ht="23" customHeight="1">
      <x:c r="A214" s="2" t="str">
        <x:v>Derelict Vehicles</x:v>
      </x:c>
      <x:c r="B214" s="11" t="n">
        <x:v>30470</x:v>
      </x:c>
      <x:c r="C214" s="11" t="n">
        <x:v>24531</x:v>
      </x:c>
      <x:c r="D214" s="11" t="n">
        <x:f>C214-B214</x:f>
        <x:v>-5939</x:v>
      </x:c>
      <x:c r="E214" s="12" t="n">
        <x:f>IF(B214=0,"不适用",D214/B214)</x:f>
        <x:v>-0.1949130292090581</x:v>
      </x:c>
      <x:c r="F214" s="12" t="n">
        <x:f>C214/'月度趋势'!$C$14</x:f>
        <x:v>0.009201156155221265</x:v>
      </x:c>
      <x:c r="G214" s="12" t="n">
        <x:f>D214/'月度趋势'!$D$14</x:f>
        <x:v>-0.020668750130506505</x:v>
      </x:c>
      <x:c r="H214" s="2"/>
      <x:c r="I214" s="2"/>
      <x:c r="J214" s="2"/>
    </x:row>
    <x:row r="215" ht="23" customHeight="1">
      <x:c r="A215" s="2" t="str">
        <x:v>Noise - Helicopter</x:v>
      </x:c>
      <x:c r="B215" s="11" t="n">
        <x:v>13257</x:v>
      </x:c>
      <x:c r="C215" s="11" t="n">
        <x:v>6994</x:v>
      </x:c>
      <x:c r="D215" s="11" t="n">
        <x:f>C215-B215</x:f>
        <x:v>-6263</x:v>
      </x:c>
      <x:c r="E215" s="12" t="n">
        <x:f>IF(B215=0,"不适用",D215/B215)</x:f>
        <x:v>-0.47242965980236856</x:v>
      </x:c>
      <x:c r="F215" s="12" t="n">
        <x:f>C215/'月度趋势'!$C$14</x:f>
        <x:v>0.0026233290998988025</x:v>
      </x:c>
      <x:c r="G215" s="12" t="n">
        <x:f>D215/'月度趋势'!$D$14</x:f>
        <x:v>-0.02179632632890423</x:v>
      </x:c>
      <x:c r="H215" s="2"/>
      <x:c r="I215" s="2"/>
      <x:c r="J215" s="2"/>
    </x:row>
    <x:row r="216" ht="23" customHeight="1">
      <x:c r="A216" s="2" t="str">
        <x:v>Missed Collection</x:v>
      </x:c>
      <x:c r="B216" s="11" t="n">
        <x:v>31150</x:v>
      </x:c>
      <x:c r="C216" s="11" t="n">
        <x:v>23827</x:v>
      </x:c>
      <x:c r="D216" s="11" t="n">
        <x:f>C216-B216</x:f>
        <x:v>-7323</x:v>
      </x:c>
      <x:c r="E216" s="12" t="n">
        <x:f>IF(B216=0,"不适用",D216/B216)</x:f>
        <x:v>-0.23508828250401284</x:v>
      </x:c>
      <x:c r="F216" s="12" t="n">
        <x:f>C216/'月度趋势'!$C$14</x:f>
        <x:v>0.008937097864353555</x:v>
      </x:c>
      <x:c r="G216" s="12" t="n">
        <x:f>D216/'月度趋势'!$D$14</x:f>
        <x:v>-0.025485310187859763</x:v>
      </x:c>
      <x:c r="H216" s="2"/>
      <x:c r="I216" s="2"/>
      <x:c r="J216" s="2"/>
    </x:row>
    <x:row r="217" ht="23" customHeight="1">
      <x:c r="A217" s="2" t="str">
        <x:v>Drug Activity</x:v>
      </x:c>
      <x:c r="B217" s="11" t="n">
        <x:v>22840</x:v>
      </x:c>
      <x:c r="C217" s="11" t="n">
        <x:v>6439</x:v>
      </x:c>
      <x:c r="D217" s="11" t="n">
        <x:f>C217-B217</x:f>
        <x:v>-16401</x:v>
      </x:c>
      <x:c r="E217" s="12" t="n">
        <x:f>IF(B217=0,"不适用",D217/B217)</x:f>
        <x:v>-0.7180823117338003</x:v>
      </x:c>
      <x:c r="F217" s="12" t="n">
        <x:f>C217/'月度趋势'!$C$14</x:f>
        <x:v>0.002415158146160765</x:v>
      </x:c>
      <x:c r="G217" s="12" t="n">
        <x:f>D217/'月度趋势'!$D$14</x:f>
        <x:v>-0.05707832478370722</x:v>
      </x:c>
      <x:c r="H217" s="2"/>
      <x:c r="I217" s="2"/>
      <x:c r="J217" s="2"/>
    </x:row>
    <x:row r="218" ht="23" customHeight="1">
      <x:c r="A218" s="2" t="str">
        <x:v>Noise - Residential</x:v>
      </x:c>
      <x:c r="B218" s="11" t="n">
        <x:v>276711</x:v>
      </x:c>
      <x:c r="C218" s="11" t="n">
        <x:v>250333</x:v>
      </x:c>
      <x:c r="D218" s="11" t="n">
        <x:f>C218-B218</x:f>
        <x:v>-26378</x:v>
      </x:c>
      <x:c r="E218" s="12" t="n">
        <x:f>IF(B218=0,"不适用",D218/B218)</x:f>
        <x:v>-0.09532689340141881</x:v>
      </x:c>
      <x:c r="F218" s="12" t="n">
        <x:f>C218/'月度趋势'!$C$14</x:f>
        <x:v>0.09389560245424178</x:v>
      </x:c>
      <x:c r="G218" s="12" t="n">
        <x:f>D218/'月度趋势'!$D$14</x:f>
        <x:v>-0.09180001531276319</x:v>
      </x:c>
      <x:c r="H218" s="2"/>
      <x:c r="I218" s="2"/>
      <x:c r="J218" s="2"/>
    </x:row>
    <x:row r="219" ht="23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 ht="23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</x:row>
    <x:row r="221" ht="23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</x:row>
    <x:row r="222" ht="23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</x:row>
    <x:row r="223" ht="23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</x:row>
    <x:row r="224" ht="23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</x:row>
    <x:row r="225" ht="23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</x:row>
    <x:row r="226" ht="23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</x:row>
    <x:row r="227" ht="23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</x:row>
    <x:row r="228" ht="23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</x:row>
  </x:sheetData>
  <x:conditionalFormatting sqref="D19:D218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a90cc697cf438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23" hidden="0" customWidth="1"/>
    <x:col min="3" max="3" width="22" hidden="0" customWidth="1"/>
    <x:col min="4" max="4" width="3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5" t="str">
        <x:v>范围、质量与来源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3" customHeight="1">
      <x:c r="A3" s="4" t="str">
        <x:v>来源：任务指定的 25 个 Parquet 分片；与 input/data_manifest.json 的文件大小和 SHA-256 逐一核对。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0" t="str">
        <x:v>质量项目</x:v>
      </x:c>
      <x:c r="B5" s="10" t="str">
        <x:v>结果</x:v>
      </x:c>
      <x:c r="C5" s="10" t="str">
        <x:v>含义 / 单位</x:v>
      </x:c>
      <x:c r="D5" s="2"/>
      <x:c r="E5" s="2"/>
      <x:c r="F5" s="2"/>
      <x:c r="G5" s="2"/>
      <x:c r="H5" s="2"/>
      <x:c r="I5" s="2"/>
      <x:c r="J5" s="2"/>
    </x:row>
    <x:row r="6" ht="23" customHeight="1">
      <x:c r="A6" s="2" t="str">
        <x:v>全量请求记录</x:v>
      </x:c>
      <x:c r="B6" s="11" t="n">
        <x:v>7525498</x:v>
      </x:c>
      <x:c r="C6" s="18" t="str">
        <x:v>条</x:v>
      </x:c>
      <x:c r="D6" s="2"/>
      <x:c r="E6" s="2"/>
      <x:c r="F6" s="2"/>
      <x:c r="G6" s="2"/>
      <x:c r="H6" s="2"/>
      <x:c r="I6" s="2"/>
      <x:c r="J6" s="2"/>
    </x:row>
    <x:row r="7" ht="23" customHeight="1">
      <x:c r="A7" s="2" t="str">
        <x:v>唯一 unique_key</x:v>
      </x:c>
      <x:c r="B7" s="11" t="n">
        <x:v>7525498</x:v>
      </x:c>
      <x:c r="C7" s="18" t="str">
        <x:v>个</x:v>
      </x:c>
      <x:c r="D7" s="2"/>
      <x:c r="E7" s="2"/>
      <x:c r="F7" s="2"/>
      <x:c r="G7" s="2"/>
      <x:c r="H7" s="2"/>
      <x:c r="I7" s="2"/>
      <x:c r="J7" s="2"/>
    </x:row>
    <x:row r="8" ht="23" customHeight="1">
      <x:c r="A8" s="2" t="str">
        <x:v>重复编号 / 空编号</x:v>
      </x:c>
      <x:c r="B8" s="11" t="n">
        <x:v>0</x:v>
      </x:c>
      <x:c r="C8" s="18" t="str">
        <x:v>条</x:v>
      </x:c>
      <x:c r="D8" s="2"/>
      <x:c r="E8" s="2"/>
      <x:c r="F8" s="2"/>
      <x:c r="G8" s="2"/>
      <x:c r="H8" s="2"/>
      <x:c r="I8" s="2"/>
      <x:c r="J8" s="2"/>
    </x:row>
    <x:row r="9" ht="23" customHeight="1">
      <x:c r="A9" s="2" t="str">
        <x:v>最早创建时间</x:v>
      </x:c>
      <x:c r="B9" s="20" t="str">
        <x:v>2024-09-07 00:00:00</x:v>
      </x:c>
      <x:c r="C9" s="18" t="str">
        <x:v>原字段无时区</x:v>
      </x:c>
      <x:c r="D9" s="2"/>
      <x:c r="E9" s="2"/>
      <x:c r="F9" s="2"/>
      <x:c r="G9" s="2"/>
      <x:c r="H9" s="2"/>
      <x:c r="I9" s="2"/>
      <x:c r="J9" s="2"/>
    </x:row>
    <x:row r="10" ht="23" customHeight="1">
      <x:c r="A10" s="2" t="str">
        <x:v>最晚创建时间</x:v>
      </x:c>
      <x:c r="B10" s="20" t="str">
        <x:v>2026-09-05 01:50:33</x:v>
      </x:c>
      <x:c r="C10" s="18" t="str">
        <x:v>原字段无时区</x:v>
      </x:c>
      <x:c r="D10" s="2"/>
      <x:c r="E10" s="2"/>
      <x:c r="F10" s="2"/>
      <x:c r="G10" s="2"/>
      <x:c r="H10" s="2"/>
      <x:c r="I10" s="2"/>
      <x:c r="J10" s="2"/>
    </x:row>
    <x:row r="11" ht="23" customHeight="1">
      <x:c r="A11" s="2" t="str">
        <x:v>文件数 / 哈希匹配</x:v>
      </x:c>
      <x:c r="B11" s="11" t="n">
        <x:v>25</x:v>
      </x:c>
      <x:c r="C11" s="18" t="str">
        <x:v>25 个全部匹配</x:v>
      </x:c>
      <x:c r="D11" s="2"/>
      <x:c r="E11" s="2"/>
      <x:c r="F11" s="2"/>
      <x:c r="G11" s="2"/>
      <x:c r="H11" s="2"/>
      <x:c r="I11" s="2"/>
      <x:c r="J11" s="2"/>
    </x:row>
    <x:row r="12" ht="23" customHeight="1">
      <x:c r="A12" s="2" t="str">
        <x:v>创建日期解析失败</x:v>
      </x:c>
      <x:c r="B12" s="11" t="n">
        <x:v>0</x:v>
      </x:c>
      <x:c r="C12" s="18" t="str">
        <x:v>条</x:v>
      </x:c>
      <x:c r="D12" s="2"/>
      <x:c r="E12" s="2"/>
      <x:c r="F12" s="2"/>
      <x:c r="G12" s="2"/>
      <x:c r="H12" s="2"/>
      <x:c r="I12" s="2"/>
      <x:c r="J12" s="2"/>
    </x:row>
    <x:row r="13" ht="23" customHeight="1">
      <x:c r="A13" s="2" t="str">
        <x:v>超出文件时间分区</x:v>
      </x:c>
      <x:c r="B13" s="11" t="n">
        <x:v>0</x:v>
      </x:c>
      <x:c r="C13" s="18" t="str">
        <x:v>条</x:v>
      </x:c>
      <x:c r="D13" s="2"/>
      <x:c r="E13" s="2"/>
      <x:c r="F13" s="2"/>
      <x:c r="G13" s="2"/>
      <x:c r="H13" s="2"/>
      <x:c r="I13" s="2"/>
      <x:c r="J13" s="2"/>
    </x:row>
    <x:row r="14" ht="23" customHeight="1">
      <x:c r="A14" s="2" t="str">
        <x:v>关闭早于创建</x:v>
      </x:c>
      <x:c r="B14" s="11" t="n">
        <x:v>1877</x:v>
      </x:c>
      <x:c r="C14" s="18" t="str">
        <x:v>条</x:v>
      </x:c>
      <x:c r="D14" s="2"/>
      <x:c r="E14" s="2"/>
      <x:c r="F14" s="2"/>
      <x:c r="G14" s="2"/>
      <x:c r="H14" s="2"/>
      <x:c r="I14" s="2"/>
      <x:c r="J14" s="2"/>
    </x:row>
    <x:row r="15" ht="23" customHeight="1">
      <x:c r="A15" s="2" t="str">
        <x:v>Closed 但无关闭日期</x:v>
      </x:c>
      <x:c r="B15" s="11" t="n">
        <x:v>15543</x:v>
      </x:c>
      <x:c r="C15" s="18" t="str">
        <x:v>条</x:v>
      </x:c>
      <x:c r="D15" s="2"/>
      <x:c r="E15" s="2"/>
      <x:c r="F15" s="2"/>
      <x:c r="G15" s="2"/>
      <x:c r="H15" s="2"/>
      <x:c r="I15" s="2"/>
      <x:c r="J15" s="2"/>
    </x:row>
    <x:row r="16" ht="23" customHeight="1">
      <x:c r="A16" s="2" t="str">
        <x:v>非 Closed 但有关闭日期</x:v>
      </x:c>
      <x:c r="B16" s="11" t="n">
        <x:v>25388</x:v>
      </x:c>
      <x:c r="C16" s="18" t="str">
        <x:v>条</x:v>
      </x:c>
      <x:c r="D16" s="2"/>
      <x:c r="E16" s="2"/>
      <x:c r="F16" s="2"/>
      <x:c r="G16" s="2"/>
      <x:c r="H16" s="2"/>
      <x:c r="I16" s="2"/>
      <x:c r="J16" s="2"/>
    </x:row>
    <x:row r="17" ht="23" customHeight="1">
      <x:c r="A17" s="2" t="str">
        <x:v>关闭日期≥2026-09-07</x:v>
      </x:c>
      <x:c r="B17" s="11" t="n">
        <x:v>1</x:v>
      </x:c>
      <x:c r="C17" s="18" t="str">
        <x:v>条</x:v>
      </x:c>
      <x:c r="D17" s="2"/>
      <x:c r="E17" s="2"/>
      <x:c r="F17" s="2"/>
      <x:c r="G17" s="2"/>
      <x:c r="H17" s="2"/>
      <x:c r="I17" s="2"/>
      <x:c r="J17" s="2"/>
    </x:row>
    <x:row r="18" ht="23" customHeight="1">
      <x:c r="A18" s="2" t="str">
        <x:v>坐标超出宽泛 NYC 矩形</x:v>
      </x:c>
      <x:c r="B18" s="11" t="n">
        <x:v>0</x:v>
      </x:c>
      <x:c r="C18" s="18" t="str">
        <x:v>仅用于异常筛查</x:v>
      </x:c>
      <x:c r="D18" s="2"/>
      <x:c r="E18" s="2"/>
      <x:c r="F18" s="2"/>
      <x:c r="G18" s="2"/>
      <x:c r="H18" s="2"/>
      <x:c r="I18" s="2"/>
      <x:c r="J18" s="2"/>
    </x:row>
    <x:row r="19" ht="23" customHeight="1">
      <x:c r="A19" s="2" t="str">
        <x:v>覆盖范围内无记录的日期</x:v>
      </x:c>
      <x:c r="B19" s="11" t="n">
        <x:v>0</x:v>
      </x:c>
      <x:c r="C19" s="18" t="str">
        <x:v>天</x:v>
      </x:c>
      <x:c r="D19" s="2"/>
      <x:c r="E19" s="2"/>
      <x:c r="F19" s="2"/>
      <x:c r="G19" s="2"/>
      <x:c r="H19" s="2"/>
      <x:c r="I19" s="2"/>
      <x:c r="J19" s="2"/>
    </x:row>
    <x:row r="20" ht="23" customHeight="1">
      <x:c r="A20" s="2" t="str">
        <x:v>各维度汇总与总量差额</x:v>
      </x:c>
      <x:c r="B20" s="11" t="n">
        <x:v>0</x:v>
      </x:c>
      <x:c r="C20" s="18" t="str">
        <x:v>7 个维度均核平</x:v>
      </x:c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 t="str">
        <x:v>空值统计：原始 null 或去除两端空格后为空；不把 Unspecified 等占位值计为空。</x:v>
      </x:c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 t="str">
        <x:v>记录数保留全部有效编号。不填补地址、邮编或关闭时间，不合并疑似同义投诉类型。</x:v>
      </x:c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 t="str">
        <x:v>字段含义依据列名与数据内容解释；没有官方字典，未验证业务规则、时区或采集完整性。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30" customHeight="1">
      <x:c r="A28" s="10" t="str">
        <x:v>字段（原文）</x:v>
      </x:c>
      <x:c r="B28" s="10" t="str">
        <x:v>空值（条）</x:v>
      </x:c>
      <x:c r="C28" s="10" t="str">
        <x:v>空值比例</x:v>
      </x:c>
      <x:c r="D28" s="10" t="str">
        <x:v>分析用途</x:v>
      </x:c>
      <x:c r="E28" s="2"/>
      <x:c r="F28" s="2"/>
      <x:c r="G28" s="2"/>
      <x:c r="H28" s="2"/>
      <x:c r="I28" s="2"/>
      <x:c r="J28" s="2"/>
    </x:row>
    <x:row r="29" ht="23" customHeight="1">
      <x:c r="A29" s="2" t="str">
        <x:v>unique_key</x:v>
      </x:c>
      <x:c r="B29" s="11" t="n">
        <x:v>0</x:v>
      </x:c>
      <x:c r="C29" s="12" t="n">
        <x:v>0</x:v>
      </x:c>
      <x:c r="D29" s="11" t="str">
        <x:v>请求编号；用于粒度及去重检查</x:v>
      </x:c>
      <x:c r="E29" s="2"/>
      <x:c r="F29" s="2"/>
      <x:c r="G29" s="2"/>
      <x:c r="H29" s="2"/>
      <x:c r="I29" s="2"/>
      <x:c r="J29" s="2"/>
    </x:row>
    <x:row r="30" ht="23" customHeight="1">
      <x:c r="A30" s="2" t="str">
        <x:v>created_date</x:v>
      </x:c>
      <x:c r="B30" s="11" t="n">
        <x:v>0</x:v>
      </x:c>
      <x:c r="C30" s="12" t="n">
        <x:v>0</x:v>
      </x:c>
      <x:c r="D30" s="11" t="str">
        <x:v>创建时间；划分月份及同比窗口</x:v>
      </x:c>
      <x:c r="E30" s="2"/>
      <x:c r="F30" s="2"/>
      <x:c r="G30" s="2"/>
      <x:c r="H30" s="2"/>
      <x:c r="I30" s="2"/>
      <x:c r="J30" s="2"/>
    </x:row>
    <x:row r="31" ht="23" customHeight="1">
      <x:c r="A31" s="2" t="str">
        <x:v>closed_date</x:v>
      </x:c>
      <x:c r="B31" s="11" t="n">
        <x:v>240304</x:v>
      </x:c>
      <x:c r="C31" s="12" t="n">
        <x:v>0.0319319731398506</x:v>
      </x:c>
      <x:c r="D31" s="11" t="str">
        <x:v>关闭时间；仅用于质量检查</x:v>
      </x:c>
      <x:c r="E31" s="2"/>
      <x:c r="F31" s="2"/>
      <x:c r="G31" s="2"/>
      <x:c r="H31" s="2"/>
      <x:c r="I31" s="2"/>
      <x:c r="J31" s="2"/>
    </x:row>
    <x:row r="32" ht="23" customHeight="1">
      <x:c r="A32" s="2" t="str">
        <x:v>agency</x:v>
      </x:c>
      <x:c r="B32" s="11" t="n">
        <x:v>0</x:v>
      </x:c>
      <x:c r="C32" s="12" t="n">
        <x:v>0</x:v>
      </x:c>
      <x:c r="D32" s="11" t="str">
        <x:v>机构代码；辅助探索</x:v>
      </x:c>
      <x:c r="E32" s="2"/>
      <x:c r="F32" s="2"/>
      <x:c r="G32" s="2"/>
      <x:c r="H32" s="2"/>
      <x:c r="I32" s="2"/>
      <x:c r="J32" s="2"/>
    </x:row>
    <x:row r="33" ht="23" customHeight="1">
      <x:c r="A33" s="2" t="str">
        <x:v>agency_name</x:v>
      </x:c>
      <x:c r="B33" s="11" t="n">
        <x:v>0</x:v>
      </x:c>
      <x:c r="C33" s="12" t="n">
        <x:v>0</x:v>
      </x:c>
      <x:c r="D33" s="11" t="str">
        <x:v>机构名称；辅助解释代码</x:v>
      </x:c>
      <x:c r="E33" s="2"/>
      <x:c r="F33" s="2"/>
      <x:c r="G33" s="2"/>
      <x:c r="H33" s="2"/>
      <x:c r="I33" s="2"/>
      <x:c r="J33" s="2"/>
    </x:row>
    <x:row r="34" ht="23" customHeight="1">
      <x:c r="A34" s="2" t="str">
        <x:v>complaint_type</x:v>
      </x:c>
      <x:c r="B34" s="11" t="n">
        <x:v>0</x:v>
      </x:c>
      <x:c r="C34" s="12" t="n">
        <x:v>0</x:v>
      </x:c>
      <x:c r="D34" s="11" t="str">
        <x:v>投诉类型；核心增量分解</x:v>
      </x:c>
      <x:c r="E34" s="2"/>
      <x:c r="F34" s="2"/>
      <x:c r="G34" s="2"/>
      <x:c r="H34" s="2"/>
      <x:c r="I34" s="2"/>
      <x:c r="J34" s="2"/>
    </x:row>
    <x:row r="35" ht="23" customHeight="1">
      <x:c r="A35" s="2" t="str">
        <x:v>descriptor</x:v>
      </x:c>
      <x:c r="B35" s="11" t="n">
        <x:v>21828</x:v>
      </x:c>
      <x:c r="C35" s="12" t="n">
        <x:v>0.0029005389410773</x:v>
      </x:c>
      <x:c r="D35" s="11" t="str">
        <x:v>问题细分描述；本轮未合并映射</x:v>
      </x:c>
      <x:c r="E35" s="2"/>
      <x:c r="F35" s="2"/>
      <x:c r="G35" s="2"/>
      <x:c r="H35" s="2"/>
      <x:c r="I35" s="2"/>
      <x:c r="J35" s="2"/>
    </x:row>
    <x:row r="36" ht="23" customHeight="1">
      <x:c r="A36" s="2" t="str">
        <x:v>location_type</x:v>
      </x:c>
      <x:c r="B36" s="11" t="n">
        <x:v>925173</x:v>
      </x:c>
      <x:c r="C36" s="12" t="n">
        <x:v>0.1229384420805108</x:v>
      </x:c>
      <x:c r="D36" s="11" t="str">
        <x:v>扩展描述 / 本轮未采用</x:v>
      </x:c>
      <x:c r="E36" s="2"/>
      <x:c r="F36" s="2"/>
      <x:c r="G36" s="2"/>
      <x:c r="H36" s="2"/>
      <x:c r="I36" s="2"/>
      <x:c r="J36" s="2"/>
    </x:row>
    <x:row r="37" ht="23" customHeight="1">
      <x:c r="A37" s="2" t="str">
        <x:v>incident_zip</x:v>
      </x:c>
      <x:c r="B37" s="11" t="n">
        <x:v>65559</x:v>
      </x:c>
      <x:c r="C37" s="12" t="n">
        <x:v>0.008711582941089</x:v>
      </x:c>
      <x:c r="D37" s="11" t="str">
        <x:v>邮编；本轮未作邮编排名</x:v>
      </x:c>
      <x:c r="E37" s="2"/>
      <x:c r="F37" s="2"/>
      <x:c r="G37" s="2"/>
      <x:c r="H37" s="2"/>
      <x:c r="I37" s="2"/>
      <x:c r="J37" s="2"/>
    </x:row>
    <x:row r="38" ht="23" customHeight="1">
      <x:c r="A38" s="2" t="str">
        <x:v>incident_address</x:v>
      </x:c>
      <x:c r="B38" s="11" t="n">
        <x:v>270483</x:v>
      </x:c>
      <x:c r="C38" s="12" t="n">
        <x:v>0.035942206083903</x:v>
      </x:c>
      <x:c r="D38" s="11" t="str">
        <x:v>事件地址；不输出个人地址明细</x:v>
      </x:c>
      <x:c r="E38" s="2"/>
      <x:c r="F38" s="2"/>
      <x:c r="G38" s="2"/>
      <x:c r="H38" s="2"/>
      <x:c r="I38" s="2"/>
      <x:c r="J38" s="2"/>
    </x:row>
    <x:row r="39" ht="23" customHeight="1">
      <x:c r="A39" s="2" t="str">
        <x:v>street_name</x:v>
      </x:c>
      <x:c r="B39" s="11" t="n">
        <x:v>270674</x:v>
      </x:c>
      <x:c r="C39" s="12" t="n">
        <x:v>0.0359675864640453</x:v>
      </x:c>
      <x:c r="D39" s="11" t="str">
        <x:v>扩展描述 / 本轮未采用</x:v>
      </x:c>
      <x:c r="E39" s="2"/>
      <x:c r="F39" s="2"/>
      <x:c r="G39" s="2"/>
      <x:c r="H39" s="2"/>
      <x:c r="I39" s="2"/>
      <x:c r="J39" s="2"/>
    </x:row>
    <x:row r="40" ht="23" customHeight="1">
      <x:c r="A40" s="2" t="str">
        <x:v>cross_street_1</x:v>
      </x:c>
      <x:c r="B40" s="11" t="n">
        <x:v>2174860</x:v>
      </x:c>
      <x:c r="C40" s="12" t="n">
        <x:v>0.2889988144306197</x:v>
      </x:c>
      <x:c r="D40" s="11" t="str">
        <x:v>扩展描述 / 本轮未采用</x:v>
      </x:c>
      <x:c r="E40" s="2"/>
      <x:c r="F40" s="2"/>
      <x:c r="G40" s="2"/>
      <x:c r="H40" s="2"/>
      <x:c r="I40" s="2"/>
      <x:c r="J40" s="2"/>
    </x:row>
    <x:row r="41" ht="23" customHeight="1">
      <x:c r="A41" s="2" t="str">
        <x:v>cross_street_2</x:v>
      </x:c>
      <x:c r="B41" s="11" t="n">
        <x:v>2174123</x:v>
      </x:c>
      <x:c r="C41" s="12" t="n">
        <x:v>0.2889008807124791</x:v>
      </x:c>
      <x:c r="D41" s="11" t="str">
        <x:v>扩展描述 / 本轮未采用</x:v>
      </x:c>
      <x:c r="E41" s="2"/>
      <x:c r="F41" s="2"/>
      <x:c r="G41" s="2"/>
      <x:c r="H41" s="2"/>
      <x:c r="I41" s="2"/>
      <x:c r="J41" s="2"/>
    </x:row>
    <x:row r="42" ht="23" customHeight="1">
      <x:c r="A42" s="2" t="str">
        <x:v>intersection_street_1</x:v>
      </x:c>
      <x:c r="B42" s="11" t="n">
        <x:v>2445572</x:v>
      </x:c>
      <x:c r="C42" s="12" t="n">
        <x:v>0.3249714503943792</x:v>
      </x:c>
      <x:c r="D42" s="11" t="str">
        <x:v>扩展描述 / 本轮未采用</x:v>
      </x:c>
      <x:c r="E42" s="2"/>
      <x:c r="F42" s="2"/>
      <x:c r="G42" s="2"/>
      <x:c r="H42" s="2"/>
      <x:c r="I42" s="2"/>
      <x:c r="J42" s="2"/>
    </x:row>
    <x:row r="43" ht="23" customHeight="1">
      <x:c r="A43" s="2" t="str">
        <x:v>intersection_street_2</x:v>
      </x:c>
      <x:c r="B43" s="11" t="n">
        <x:v>2443099</x:v>
      </x:c>
      <x:c r="C43" s="12" t="n">
        <x:v>0.3246428342682437</x:v>
      </x:c>
      <x:c r="D43" s="11" t="str">
        <x:v>扩展描述 / 本轮未采用</x:v>
      </x:c>
      <x:c r="E43" s="2"/>
      <x:c r="F43" s="2"/>
      <x:c r="G43" s="2"/>
      <x:c r="H43" s="2"/>
      <x:c r="I43" s="2"/>
      <x:c r="J43" s="2"/>
    </x:row>
    <x:row r="44" ht="23" customHeight="1">
      <x:c r="A44" s="2" t="str">
        <x:v>address_type</x:v>
      </x:c>
      <x:c r="B44" s="11" t="n">
        <x:v>34337</x:v>
      </x:c>
      <x:c r="C44" s="12" t="n">
        <x:v>0.0045627545180398</x:v>
      </x:c>
      <x:c r="D44" s="11" t="str">
        <x:v>扩展描述 / 本轮未采用</x:v>
      </x:c>
      <x:c r="E44" s="2"/>
      <x:c r="F44" s="2"/>
      <x:c r="G44" s="2"/>
      <x:c r="H44" s="2"/>
      <x:c r="I44" s="2"/>
      <x:c r="J44" s="2"/>
    </x:row>
    <x:row r="45" ht="23" customHeight="1">
      <x:c r="A45" s="2" t="str">
        <x:v>city</x:v>
      </x:c>
      <x:c r="B45" s="11" t="n">
        <x:v>354849</x:v>
      </x:c>
      <x:c r="C45" s="12" t="n">
        <x:v>0.0471528927387928</x:v>
      </x:c>
      <x:c r="D45" s="11" t="str">
        <x:v>扩展描述 / 本轮未采用</x:v>
      </x:c>
      <x:c r="E45" s="2"/>
      <x:c r="F45" s="2"/>
      <x:c r="G45" s="2"/>
      <x:c r="H45" s="2"/>
      <x:c r="I45" s="2"/>
      <x:c r="J45" s="2"/>
    </x:row>
    <x:row r="46" ht="23" customHeight="1">
      <x:c r="A46" s="2" t="str">
        <x:v>landmark</x:v>
      </x:c>
      <x:c r="B46" s="11" t="n">
        <x:v>2993250</x:v>
      </x:c>
      <x:c r="C46" s="12" t="n">
        <x:v>0.3977477636695937</x:v>
      </x:c>
      <x:c r="D46" s="11" t="str">
        <x:v>扩展描述 / 本轮未采用</x:v>
      </x:c>
      <x:c r="E46" s="2"/>
      <x:c r="F46" s="2"/>
      <x:c r="G46" s="2"/>
      <x:c r="H46" s="2"/>
      <x:c r="I46" s="2"/>
      <x:c r="J46" s="2"/>
    </x:row>
    <x:row r="47" ht="23" customHeight="1">
      <x:c r="A47" s="2" t="str">
        <x:v>facility_type</x:v>
      </x:c>
      <x:c r="B47" s="11" t="n">
        <x:v>6971776</x:v>
      </x:c>
      <x:c r="C47" s="12" t="n">
        <x:v>0.9264205505070894</x:v>
      </x:c>
      <x:c r="D47" s="11" t="str">
        <x:v>扩展描述 / 本轮未采用</x:v>
      </x:c>
      <x:c r="E47" s="2"/>
      <x:c r="F47" s="2"/>
      <x:c r="G47" s="2"/>
      <x:c r="H47" s="2"/>
      <x:c r="I47" s="2"/>
      <x:c r="J47" s="2"/>
    </x:row>
    <x:row r="48" ht="23" customHeight="1">
      <x:c r="A48" s="2" t="str">
        <x:v>status</x:v>
      </x:c>
      <x:c r="B48" s="11" t="n">
        <x:v>0</x:v>
      </x:c>
      <x:c r="C48" s="12" t="n">
        <x:v>0</x:v>
      </x:c>
      <x:c r="D48" s="11" t="str">
        <x:v>记录状态；不等同现实问题已解决</x:v>
      </x:c>
      <x:c r="E48" s="2"/>
      <x:c r="F48" s="2"/>
      <x:c r="G48" s="2"/>
      <x:c r="H48" s="2"/>
      <x:c r="I48" s="2"/>
      <x:c r="J48" s="2"/>
    </x:row>
    <x:row r="49" ht="23" customHeight="1">
      <x:c r="A49" s="2" t="str">
        <x:v>due_date</x:v>
      </x:c>
      <x:c r="B49" s="11" t="n">
        <x:v>7492053</x:v>
      </x:c>
      <x:c r="C49" s="12" t="n">
        <x:v>0.9955557758436716</x:v>
      </x:c>
      <x:c r="D49" s="11" t="str">
        <x:v>到期时间；缺失过高，弃用 SLA 分析</x:v>
      </x:c>
      <x:c r="E49" s="2"/>
      <x:c r="F49" s="2"/>
      <x:c r="G49" s="2"/>
      <x:c r="H49" s="2"/>
      <x:c r="I49" s="2"/>
      <x:c r="J49" s="2"/>
    </x:row>
    <x:row r="50" ht="23" customHeight="1">
      <x:c r="A50" s="2" t="str">
        <x:v>resolution_description</x:v>
      </x:c>
      <x:c r="B50" s="11" t="n">
        <x:v>111987</x:v>
      </x:c>
      <x:c r="C50" s="12" t="n">
        <x:v>0.0148810085392355</x:v>
      </x:c>
      <x:c r="D50" s="11" t="str">
        <x:v>扩展描述 / 本轮未采用</x:v>
      </x:c>
      <x:c r="E50" s="2"/>
      <x:c r="F50" s="2"/>
      <x:c r="G50" s="2"/>
      <x:c r="H50" s="2"/>
      <x:c r="I50" s="2"/>
      <x:c r="J50" s="2"/>
    </x:row>
    <x:row r="51" ht="23" customHeight="1">
      <x:c r="A51" s="2" t="str">
        <x:v>resolution_action_updated_date</x:v>
      </x:c>
      <x:c r="B51" s="11" t="n">
        <x:v>87983</x:v>
      </x:c>
      <x:c r="C51" s="12" t="n">
        <x:v>0.0116913192987361</x:v>
      </x:c>
      <x:c r="D51" s="11" t="str">
        <x:v>处置记录更新时间；非采集时间</x:v>
      </x:c>
      <x:c r="E51" s="2"/>
      <x:c r="F51" s="2"/>
      <x:c r="G51" s="2"/>
      <x:c r="H51" s="2"/>
      <x:c r="I51" s="2"/>
      <x:c r="J51" s="2"/>
    </x:row>
    <x:row r="52" ht="23" customHeight="1">
      <x:c r="A52" s="2" t="str">
        <x:v>community_board</x:v>
      </x:c>
      <x:c r="B52" s="11" t="n">
        <x:v>0</x:v>
      </x:c>
      <x:c r="C52" s="12" t="n">
        <x:v>0</x:v>
      </x:c>
      <x:c r="D52" s="11" t="str">
        <x:v>社区委员会区；本轮未采用</x:v>
      </x:c>
      <x:c r="E52" s="2"/>
      <x:c r="F52" s="2"/>
      <x:c r="G52" s="2"/>
      <x:c r="H52" s="2"/>
      <x:c r="I52" s="2"/>
      <x:c r="J52" s="2"/>
    </x:row>
    <x:row r="53" ht="23" customHeight="1">
      <x:c r="A53" s="2" t="str">
        <x:v>bbl</x:v>
      </x:c>
      <x:c r="B53" s="11" t="n">
        <x:v>846896</x:v>
      </x:c>
      <x:c r="C53" s="12" t="n">
        <x:v>0.1125368713140313</x:v>
      </x:c>
      <x:c r="D53" s="11" t="str">
        <x:v>地块标识；本轮未采用</x:v>
      </x:c>
      <x:c r="E53" s="2"/>
      <x:c r="F53" s="2"/>
      <x:c r="G53" s="2"/>
      <x:c r="H53" s="2"/>
      <x:c r="I53" s="2"/>
      <x:c r="J53" s="2"/>
    </x:row>
    <x:row r="54" ht="23" customHeight="1">
      <x:c r="A54" s="2" t="str">
        <x:v>borough</x:v>
      </x:c>
      <x:c r="B54" s="11" t="n">
        <x:v>0</x:v>
      </x:c>
      <x:c r="C54" s="12" t="n">
        <x:v>0</x:v>
      </x:c>
      <x:c r="D54" s="11" t="str">
        <x:v>行政区；区域比较</x:v>
      </x:c>
      <x:c r="E54" s="2"/>
      <x:c r="F54" s="2"/>
      <x:c r="G54" s="2"/>
      <x:c r="H54" s="2"/>
      <x:c r="I54" s="2"/>
      <x:c r="J54" s="2"/>
    </x:row>
    <x:row r="55" ht="23" customHeight="1">
      <x:c r="A55" s="2" t="str">
        <x:v>council_district</x:v>
      </x:c>
      <x:c r="B55" s="11" t="n">
        <x:v>164171</x:v>
      </x:c>
      <x:c r="C55" s="12" t="n">
        <x:v>0.0218153004625075</x:v>
      </x:c>
      <x:c r="D55" s="11" t="str">
        <x:v>扩展描述 / 本轮未采用</x:v>
      </x:c>
      <x:c r="E55" s="2"/>
      <x:c r="F55" s="2"/>
      <x:c r="G55" s="2"/>
      <x:c r="H55" s="2"/>
      <x:c r="I55" s="2"/>
      <x:c r="J55" s="2"/>
    </x:row>
    <x:row r="56" ht="23" customHeight="1">
      <x:c r="A56" s="2" t="str">
        <x:v>police_precinct</x:v>
      </x:c>
      <x:c r="B56" s="11" t="n">
        <x:v>0</x:v>
      </x:c>
      <x:c r="C56" s="12" t="n">
        <x:v>0</x:v>
      </x:c>
      <x:c r="D56" s="11" t="str">
        <x:v>警区；本轮未采用</x:v>
      </x:c>
      <x:c r="E56" s="2"/>
      <x:c r="F56" s="2"/>
      <x:c r="G56" s="2"/>
      <x:c r="H56" s="2"/>
      <x:c r="I56" s="2"/>
      <x:c r="J56" s="2"/>
    </x:row>
    <x:row r="57" ht="23" customHeight="1">
      <x:c r="A57" s="2" t="str">
        <x:v>descriptor_2</x:v>
      </x:c>
      <x:c r="B57" s="11" t="n">
        <x:v>3970301</x:v>
      </x:c>
      <x:c r="C57" s="12" t="n">
        <x:v>0.5275798359125203</x:v>
      </x:c>
      <x:c r="D57" s="11" t="str">
        <x:v>扩展描述 / 本轮未采用</x:v>
      </x:c>
      <x:c r="E57" s="2"/>
      <x:c r="F57" s="2"/>
      <x:c r="G57" s="2"/>
      <x:c r="H57" s="2"/>
      <x:c r="I57" s="2"/>
      <x:c r="J57" s="2"/>
    </x:row>
    <x:row r="58" ht="23" customHeight="1">
      <x:c r="A58" s="2" t="str">
        <x:v>x_coordinate_state_plane</x:v>
      </x:c>
      <x:c r="B58" s="11" t="n">
        <x:v>129622</x:v>
      </x:c>
      <x:c r="C58" s="12" t="n">
        <x:v>0.0172243750513255</x:v>
      </x:c>
      <x:c r="D58" s="11" t="str">
        <x:v>扩展描述 / 本轮未采用</x:v>
      </x:c>
      <x:c r="E58" s="2"/>
      <x:c r="F58" s="2"/>
      <x:c r="G58" s="2"/>
      <x:c r="H58" s="2"/>
      <x:c r="I58" s="2"/>
      <x:c r="J58" s="2"/>
    </x:row>
    <x:row r="59" ht="23" customHeight="1">
      <x:c r="A59" s="2" t="str">
        <x:v>y_coordinate_state_plane</x:v>
      </x:c>
      <x:c r="B59" s="11" t="n">
        <x:v>129268</x:v>
      </x:c>
      <x:c r="C59" s="12" t="n">
        <x:v>0.0171773349750408</x:v>
      </x:c>
      <x:c r="D59" s="11" t="str">
        <x:v>扩展描述 / 本轮未采用</x:v>
      </x:c>
      <x:c r="E59" s="2"/>
      <x:c r="F59" s="2"/>
      <x:c r="G59" s="2"/>
      <x:c r="H59" s="2"/>
      <x:c r="I59" s="2"/>
      <x:c r="J59" s="2"/>
    </x:row>
    <x:row r="60" ht="23" customHeight="1">
      <x:c r="A60" s="2" t="str">
        <x:v>open_data_channel_type</x:v>
      </x:c>
      <x:c r="B60" s="11" t="n">
        <x:v>0</x:v>
      </x:c>
      <x:c r="C60" s="12" t="n">
        <x:v>0</x:v>
      </x:c>
      <x:c r="D60" s="11" t="str">
        <x:v>提交渠道；可作后续报告行为分析</x:v>
      </x:c>
      <x:c r="E60" s="2"/>
      <x:c r="F60" s="2"/>
      <x:c r="G60" s="2"/>
      <x:c r="H60" s="2"/>
      <x:c r="I60" s="2"/>
      <x:c r="J60" s="2"/>
    </x:row>
    <x:row r="61" ht="23" customHeight="1">
      <x:c r="A61" s="2" t="str">
        <x:v>park_facility_name</x:v>
      </x:c>
      <x:c r="B61" s="11" t="n">
        <x:v>0</x:v>
      </x:c>
      <x:c r="C61" s="12" t="n">
        <x:v>0</x:v>
      </x:c>
      <x:c r="D61" s="11" t="str">
        <x:v>扩展描述 / 本轮未采用</x:v>
      </x:c>
      <x:c r="E61" s="2"/>
      <x:c r="F61" s="2"/>
      <x:c r="G61" s="2"/>
      <x:c r="H61" s="2"/>
      <x:c r="I61" s="2"/>
      <x:c r="J61" s="2"/>
    </x:row>
    <x:row r="62" ht="23" customHeight="1">
      <x:c r="A62" s="2" t="str">
        <x:v>park_borough</x:v>
      </x:c>
      <x:c r="B62" s="11" t="n">
        <x:v>0</x:v>
      </x:c>
      <x:c r="C62" s="12" t="n">
        <x:v>0</x:v>
      </x:c>
      <x:c r="D62" s="11" t="str">
        <x:v>扩展描述 / 本轮未采用</x:v>
      </x:c>
      <x:c r="E62" s="2"/>
      <x:c r="F62" s="2"/>
      <x:c r="G62" s="2"/>
      <x:c r="H62" s="2"/>
      <x:c r="I62" s="2"/>
      <x:c r="J62" s="2"/>
    </x:row>
    <x:row r="63" ht="23" customHeight="1">
      <x:c r="A63" s="2" t="str">
        <x:v>vehicle_type</x:v>
      </x:c>
      <x:c r="B63" s="11" t="n">
        <x:v>7195669</x:v>
      </x:c>
      <x:c r="C63" s="12" t="n">
        <x:v>0.956171804178275</x:v>
      </x:c>
      <x:c r="D63" s="11" t="str">
        <x:v>扩展描述 / 本轮未采用</x:v>
      </x:c>
      <x:c r="E63" s="2"/>
      <x:c r="F63" s="2"/>
      <x:c r="G63" s="2"/>
      <x:c r="H63" s="2"/>
      <x:c r="I63" s="2"/>
      <x:c r="J63" s="2"/>
    </x:row>
    <x:row r="64" ht="23" customHeight="1">
      <x:c r="A64" s="2" t="str">
        <x:v>taxi_company_borough</x:v>
      </x:c>
      <x:c r="B64" s="11" t="n">
        <x:v>7520366</x:v>
      </x:c>
      <x:c r="C64" s="12" t="n">
        <x:v>0.999318051775444</x:v>
      </x:c>
      <x:c r="D64" s="11" t="str">
        <x:v>扩展描述 / 本轮未采用</x:v>
      </x:c>
      <x:c r="E64" s="2"/>
      <x:c r="F64" s="2"/>
      <x:c r="G64" s="2"/>
      <x:c r="H64" s="2"/>
      <x:c r="I64" s="2"/>
      <x:c r="J64" s="2"/>
    </x:row>
    <x:row r="65" ht="23" customHeight="1">
      <x:c r="A65" s="2" t="str">
        <x:v>taxi_pick_up_location</x:v>
      </x:c>
      <x:c r="B65" s="11" t="n">
        <x:v>7451522</x:v>
      </x:c>
      <x:c r="C65" s="12" t="n">
        <x:v>0.990169952872222</x:v>
      </x:c>
      <x:c r="D65" s="11" t="str">
        <x:v>扩展描述 / 本轮未采用</x:v>
      </x:c>
      <x:c r="E65" s="2"/>
      <x:c r="F65" s="2"/>
      <x:c r="G65" s="2"/>
      <x:c r="H65" s="2"/>
      <x:c r="I65" s="2"/>
      <x:c r="J65" s="2"/>
    </x:row>
    <x:row r="66" ht="23" customHeight="1">
      <x:c r="A66" s="2" t="str">
        <x:v>bridge_highway_name</x:v>
      </x:c>
      <x:c r="B66" s="11" t="n">
        <x:v>7484954</x:v>
      </x:c>
      <x:c r="C66" s="12" t="n">
        <x:v>0.9946124495681216</x:v>
      </x:c>
      <x:c r="D66" s="11" t="str">
        <x:v>扩展描述 / 本轮未采用</x:v>
      </x:c>
      <x:c r="E66" s="2"/>
      <x:c r="F66" s="2"/>
      <x:c r="G66" s="2"/>
      <x:c r="H66" s="2"/>
      <x:c r="I66" s="2"/>
      <x:c r="J66" s="2"/>
    </x:row>
    <x:row r="67" ht="23" customHeight="1">
      <x:c r="A67" s="2" t="str">
        <x:v>bridge_highway_direction</x:v>
      </x:c>
      <x:c r="B67" s="11" t="n">
        <x:v>7502639</x:v>
      </x:c>
      <x:c r="C67" s="12" t="n">
        <x:v>0.9969624601587828</x:v>
      </x:c>
      <x:c r="D67" s="11" t="str">
        <x:v>扩展描述 / 本轮未采用</x:v>
      </x:c>
      <x:c r="E67" s="2"/>
      <x:c r="F67" s="2"/>
      <x:c r="G67" s="2"/>
      <x:c r="H67" s="2"/>
      <x:c r="I67" s="2"/>
      <x:c r="J67" s="2"/>
    </x:row>
    <x:row r="68" ht="23" customHeight="1">
      <x:c r="A68" s="2" t="str">
        <x:v>road_ramp</x:v>
      </x:c>
      <x:c r="B68" s="11" t="n">
        <x:v>7505306</x:v>
      </x:c>
      <x:c r="C68" s="12" t="n">
        <x:v>0.9973168553097748</x:v>
      </x:c>
      <x:c r="D68" s="11" t="str">
        <x:v>扩展描述 / 本轮未采用</x:v>
      </x:c>
      <x:c r="E68" s="2"/>
      <x:c r="F68" s="2"/>
      <x:c r="G68" s="2"/>
      <x:c r="H68" s="2"/>
      <x:c r="I68" s="2"/>
      <x:c r="J68" s="2"/>
    </x:row>
    <x:row r="69" ht="23" customHeight="1">
      <x:c r="A69" s="2" t="str">
        <x:v>bridge_highway_segment</x:v>
      </x:c>
      <x:c r="B69" s="11" t="n">
        <x:v>7484942</x:v>
      </x:c>
      <x:c r="C69" s="12" t="n">
        <x:v>0.9946108549892644</x:v>
      </x:c>
      <x:c r="D69" s="11" t="str">
        <x:v>扩展描述 / 本轮未采用</x:v>
      </x:c>
      <x:c r="E69" s="2"/>
      <x:c r="F69" s="2"/>
      <x:c r="G69" s="2"/>
      <x:c r="H69" s="2"/>
      <x:c r="I69" s="2"/>
      <x:c r="J69" s="2"/>
    </x:row>
    <x:row r="70" ht="23" customHeight="1">
      <x:c r="A70" s="2" t="str">
        <x:v>latitude</x:v>
      </x:c>
      <x:c r="B70" s="11" t="n">
        <x:v>129696</x:v>
      </x:c>
      <x:c r="C70" s="12" t="n">
        <x:v>0.017234208287611</x:v>
      </x:c>
      <x:c r="D70" s="11" t="str">
        <x:v>纬度；粗略边界检查</x:v>
      </x:c>
      <x:c r="E70" s="2"/>
      <x:c r="F70" s="2"/>
      <x:c r="G70" s="2"/>
      <x:c r="H70" s="2"/>
      <x:c r="I70" s="2"/>
      <x:c r="J70" s="2"/>
    </x:row>
    <x:row r="71" ht="23" customHeight="1">
      <x:c r="A71" s="2" t="str">
        <x:v>longitude</x:v>
      </x:c>
      <x:c r="B71" s="11" t="n">
        <x:v>129696</x:v>
      </x:c>
      <x:c r="C71" s="12" t="n">
        <x:v>0.017234208287611</x:v>
      </x:c>
      <x:c r="D71" s="11" t="str">
        <x:v>经度；粗略边界检查</x:v>
      </x:c>
      <x:c r="E71" s="2"/>
      <x:c r="F71" s="2"/>
      <x:c r="G71" s="2"/>
      <x:c r="H71" s="2"/>
      <x:c r="I71" s="2"/>
      <x:c r="J71" s="2"/>
    </x:row>
    <x:row r="72" ht="23" customHeight="1">
      <x:c r="A72" s="2" t="str">
        <x:v>location</x:v>
      </x:c>
      <x:c r="B72" s="11" t="n">
        <x:v>129696</x:v>
      </x:c>
      <x:c r="C72" s="12" t="n">
        <x:v>0.017234208287611</x:v>
      </x:c>
      <x:c r="D72" s="11" t="str">
        <x:v>地理点表示；本轮未采用</x:v>
      </x:c>
      <x:c r="E72" s="2"/>
      <x:c r="F72" s="2"/>
      <x:c r="G72" s="2"/>
      <x:c r="H72" s="2"/>
      <x:c r="I72" s="2"/>
      <x:c r="J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30" customHeight="1">
      <x:c r="A76" s="10" t="str">
        <x:v>文件时间窗口</x:v>
      </x:c>
      <x:c r="B76" s="10" t="str">
        <x:v>记录数（条）</x:v>
      </x:c>
      <x:c r="C76" s="10" t="str">
        <x:v>文件大小（字节）</x:v>
      </x:c>
      <x:c r="D76" s="2"/>
      <x:c r="E76" s="2"/>
      <x:c r="F76" s="2"/>
      <x:c r="G76" s="2"/>
      <x:c r="H76" s="2"/>
      <x:c r="I76" s="2"/>
      <x:c r="J76" s="2"/>
    </x:row>
    <x:row r="77" ht="23" customHeight="1">
      <x:c r="A77" s="2" t="str">
        <x:v>2024-09-07_to_2024-10-01</x:v>
      </x:c>
      <x:c r="B77" s="11" t="n">
        <x:v>248139</x:v>
      </x:c>
      <x:c r="C77" s="11" t="n">
        <x:v>19821603</x:v>
      </x:c>
      <x:c r="D77" s="2"/>
      <x:c r="E77" s="2"/>
      <x:c r="F77" s="2"/>
      <x:c r="G77" s="2"/>
      <x:c r="H77" s="2"/>
      <x:c r="I77" s="2"/>
      <x:c r="J77" s="2"/>
    </x:row>
    <x:row r="78" ht="23" customHeight="1">
      <x:c r="A78" s="2" t="str">
        <x:v>2024-10-01_to_2024-11-01</x:v>
      </x:c>
      <x:c r="B78" s="11" t="n">
        <x:v>306803</x:v>
      </x:c>
      <x:c r="C78" s="11" t="n">
        <x:v>24744123</x:v>
      </x:c>
      <x:c r="D78" s="2"/>
      <x:c r="E78" s="2"/>
      <x:c r="F78" s="2"/>
      <x:c r="G78" s="2"/>
      <x:c r="H78" s="2"/>
      <x:c r="I78" s="2"/>
      <x:c r="J78" s="2"/>
    </x:row>
    <x:row r="79" ht="23" customHeight="1">
      <x:c r="A79" s="2" t="str">
        <x:v>2024-11-01_to_2024-12-01</x:v>
      </x:c>
      <x:c r="B79" s="11" t="n">
        <x:v>293515</x:v>
      </x:c>
      <x:c r="C79" s="11" t="n">
        <x:v>22946401</x:v>
      </x:c>
      <x:c r="D79" s="2"/>
      <x:c r="E79" s="2"/>
      <x:c r="F79" s="2"/>
      <x:c r="G79" s="2"/>
      <x:c r="H79" s="2"/>
      <x:c r="I79" s="2"/>
      <x:c r="J79" s="2"/>
    </x:row>
    <x:row r="80" ht="23" customHeight="1">
      <x:c r="A80" s="2" t="str">
        <x:v>2024-12-01_to_2025-01-01</x:v>
      </x:c>
      <x:c r="B80" s="11" t="n">
        <x:v>313949</x:v>
      </x:c>
      <x:c r="C80" s="11" t="n">
        <x:v>23269247</x:v>
      </x:c>
      <x:c r="D80" s="2"/>
      <x:c r="E80" s="2"/>
      <x:c r="F80" s="2"/>
      <x:c r="G80" s="2"/>
      <x:c r="H80" s="2"/>
      <x:c r="I80" s="2"/>
      <x:c r="J80" s="2"/>
    </x:row>
    <x:row r="81" ht="23" customHeight="1">
      <x:c r="A81" s="2" t="str">
        <x:v>2025-01-01_to_2025-02-01</x:v>
      </x:c>
      <x:c r="B81" s="11" t="n">
        <x:v>348180</x:v>
      </x:c>
      <x:c r="C81" s="11" t="n">
        <x:v>24738882</x:v>
      </x:c>
      <x:c r="D81" s="2"/>
      <x:c r="E81" s="2"/>
      <x:c r="F81" s="2"/>
      <x:c r="G81" s="2"/>
      <x:c r="H81" s="2"/>
      <x:c r="I81" s="2"/>
      <x:c r="J81" s="2"/>
    </x:row>
    <x:row r="82" ht="23" customHeight="1">
      <x:c r="A82" s="2" t="str">
        <x:v>2025-02-01_to_2025-03-01</x:v>
      </x:c>
      <x:c r="B82" s="11" t="n">
        <x:v>255364</x:v>
      </x:c>
      <x:c r="C82" s="11" t="n">
        <x:v>19744122</x:v>
      </x:c>
      <x:c r="D82" s="2"/>
      <x:c r="E82" s="2"/>
      <x:c r="F82" s="2"/>
      <x:c r="G82" s="2"/>
      <x:c r="H82" s="2"/>
      <x:c r="I82" s="2"/>
      <x:c r="J82" s="2"/>
    </x:row>
    <x:row r="83" ht="23" customHeight="1">
      <x:c r="A83" s="2" t="str">
        <x:v>2025-03-01_to_2025-04-01</x:v>
      </x:c>
      <x:c r="B83" s="11" t="n">
        <x:v>281221</x:v>
      </x:c>
      <x:c r="C83" s="11" t="n">
        <x:v>22487252</x:v>
      </x:c>
      <x:c r="D83" s="2"/>
      <x:c r="E83" s="2"/>
      <x:c r="F83" s="2"/>
      <x:c r="G83" s="2"/>
      <x:c r="H83" s="2"/>
      <x:c r="I83" s="2"/>
      <x:c r="J83" s="2"/>
    </x:row>
    <x:row r="84" ht="23" customHeight="1">
      <x:c r="A84" s="2" t="str">
        <x:v>2025-04-01_to_2025-05-01</x:v>
      </x:c>
      <x:c r="B84" s="11" t="n">
        <x:v>272549</x:v>
      </x:c>
      <x:c r="C84" s="11" t="n">
        <x:v>22219132</x:v>
      </x:c>
      <x:c r="D84" s="2"/>
      <x:c r="E84" s="2"/>
      <x:c r="F84" s="2"/>
      <x:c r="G84" s="2"/>
      <x:c r="H84" s="2"/>
      <x:c r="I84" s="2"/>
      <x:c r="J84" s="2"/>
    </x:row>
    <x:row r="85" ht="23" customHeight="1">
      <x:c r="A85" s="2" t="str">
        <x:v>2025-05-01_to_2025-06-01</x:v>
      </x:c>
      <x:c r="B85" s="11" t="n">
        <x:v>295058</x:v>
      </x:c>
      <x:c r="C85" s="11" t="n">
        <x:v>24333988</x:v>
      </x:c>
      <x:c r="D85" s="2"/>
      <x:c r="E85" s="2"/>
      <x:c r="F85" s="2"/>
      <x:c r="G85" s="2"/>
      <x:c r="H85" s="2"/>
      <x:c r="I85" s="2"/>
      <x:c r="J85" s="2"/>
    </x:row>
    <x:row r="86" ht="23" customHeight="1">
      <x:c r="A86" s="2" t="str">
        <x:v>2025-06-01_to_2025-07-01</x:v>
      </x:c>
      <x:c r="B86" s="11" t="n">
        <x:v>306442</x:v>
      </x:c>
      <x:c r="C86" s="11" t="n">
        <x:v>25297346</x:v>
      </x:c>
      <x:c r="D86" s="2"/>
      <x:c r="E86" s="2"/>
      <x:c r="F86" s="2"/>
      <x:c r="G86" s="2"/>
      <x:c r="H86" s="2"/>
      <x:c r="I86" s="2"/>
      <x:c r="J86" s="2"/>
    </x:row>
    <x:row r="87" ht="23" customHeight="1">
      <x:c r="A87" s="2" t="str">
        <x:v>2025-07-01_to_2025-08-01</x:v>
      </x:c>
      <x:c r="B87" s="11" t="n">
        <x:v>315883</x:v>
      </x:c>
      <x:c r="C87" s="11" t="n">
        <x:v>26114179</x:v>
      </x:c>
      <x:c r="D87" s="2"/>
      <x:c r="E87" s="2"/>
      <x:c r="F87" s="2"/>
      <x:c r="G87" s="2"/>
      <x:c r="H87" s="2"/>
      <x:c r="I87" s="2"/>
      <x:c r="J87" s="2"/>
    </x:row>
    <x:row r="88" ht="23" customHeight="1">
      <x:c r="A88" s="2" t="str">
        <x:v>2025-08-01_to_2025-09-01</x:v>
      </x:c>
      <x:c r="B88" s="11" t="n">
        <x:v>304039</x:v>
      </x:c>
      <x:c r="C88" s="11" t="n">
        <x:v>25152623</x:v>
      </x:c>
      <x:c r="D88" s="2"/>
      <x:c r="E88" s="2"/>
      <x:c r="F88" s="2"/>
      <x:c r="G88" s="2"/>
      <x:c r="H88" s="2"/>
      <x:c r="I88" s="2"/>
      <x:c r="J88" s="2"/>
    </x:row>
    <x:row r="89" ht="23" customHeight="1">
      <x:c r="A89" s="2" t="str">
        <x:v>2025-09-01_to_2025-10-01</x:v>
      </x:c>
      <x:c r="B89" s="11" t="n">
        <x:v>302684</x:v>
      </x:c>
      <x:c r="C89" s="11" t="n">
        <x:v>24897774</x:v>
      </x:c>
      <x:c r="D89" s="2"/>
      <x:c r="E89" s="2"/>
      <x:c r="F89" s="2"/>
      <x:c r="G89" s="2"/>
      <x:c r="H89" s="2"/>
      <x:c r="I89" s="2"/>
      <x:c r="J89" s="2"/>
    </x:row>
    <x:row r="90" ht="23" customHeight="1">
      <x:c r="A90" s="2" t="str">
        <x:v>2025-10-01_to_2025-11-01</x:v>
      </x:c>
      <x:c r="B90" s="11" t="n">
        <x:v>336612</x:v>
      </x:c>
      <x:c r="C90" s="11" t="n">
        <x:v>26598862</x:v>
      </x:c>
      <x:c r="D90" s="2"/>
      <x:c r="E90" s="2"/>
      <x:c r="F90" s="2"/>
      <x:c r="G90" s="2"/>
      <x:c r="H90" s="2"/>
      <x:c r="I90" s="2"/>
      <x:c r="J90" s="2"/>
    </x:row>
    <x:row r="91" ht="23" customHeight="1">
      <x:c r="A91" s="2" t="str">
        <x:v>2025-11-01_to_2025-12-01</x:v>
      </x:c>
      <x:c r="B91" s="11" t="n">
        <x:v>304905</x:v>
      </x:c>
      <x:c r="C91" s="11" t="n">
        <x:v>23648806</x:v>
      </x:c>
      <x:c r="D91" s="2"/>
      <x:c r="E91" s="2"/>
      <x:c r="F91" s="2"/>
      <x:c r="G91" s="2"/>
      <x:c r="H91" s="2"/>
      <x:c r="I91" s="2"/>
      <x:c r="J91" s="2"/>
    </x:row>
    <x:row r="92" ht="23" customHeight="1">
      <x:c r="A92" s="2" t="str">
        <x:v>2025-12-01_to_2026-01-01</x:v>
      </x:c>
      <x:c r="B92" s="11" t="n">
        <x:v>332103</x:v>
      </x:c>
      <x:c r="C92" s="11" t="n">
        <x:v>24855096</x:v>
      </x:c>
      <x:c r="D92" s="2"/>
      <x:c r="E92" s="2"/>
      <x:c r="F92" s="2"/>
      <x:c r="G92" s="2"/>
      <x:c r="H92" s="2"/>
      <x:c r="I92" s="2"/>
      <x:c r="J92" s="2"/>
    </x:row>
    <x:row r="93" ht="23" customHeight="1">
      <x:c r="A93" s="2" t="str">
        <x:v>2026-01-01_to_2026-02-01</x:v>
      </x:c>
      <x:c r="B93" s="11" t="n">
        <x:v>348511</x:v>
      </x:c>
      <x:c r="C93" s="11" t="n">
        <x:v>26749529</x:v>
      </x:c>
      <x:c r="D93" s="2"/>
      <x:c r="E93" s="2"/>
      <x:c r="F93" s="2"/>
      <x:c r="G93" s="2"/>
      <x:c r="H93" s="2"/>
      <x:c r="I93" s="2"/>
      <x:c r="J93" s="2"/>
    </x:row>
    <x:row r="94" ht="23" customHeight="1">
      <x:c r="A94" s="2" t="str">
        <x:v>2026-02-01_to_2026-03-01</x:v>
      </x:c>
      <x:c r="B94" s="11" t="n">
        <x:v>334690</x:v>
      </x:c>
      <x:c r="C94" s="11" t="n">
        <x:v>25853297</x:v>
      </x:c>
      <x:c r="D94" s="2"/>
      <x:c r="E94" s="2"/>
      <x:c r="F94" s="2"/>
      <x:c r="G94" s="2"/>
      <x:c r="H94" s="2"/>
      <x:c r="I94" s="2"/>
      <x:c r="J94" s="2"/>
    </x:row>
    <x:row r="95" ht="23" customHeight="1">
      <x:c r="A95" s="2" t="str">
        <x:v>2026-03-01_to_2026-04-01</x:v>
      </x:c>
      <x:c r="B95" s="11" t="n">
        <x:v>342387</x:v>
      </x:c>
      <x:c r="C95" s="11" t="n">
        <x:v>27043417</x:v>
      </x:c>
      <x:c r="D95" s="2"/>
      <x:c r="E95" s="2"/>
      <x:c r="F95" s="2"/>
      <x:c r="G95" s="2"/>
      <x:c r="H95" s="2"/>
      <x:c r="I95" s="2"/>
      <x:c r="J95" s="2"/>
    </x:row>
    <x:row r="96" ht="23" customHeight="1">
      <x:c r="A96" s="2" t="str">
        <x:v>2026-04-01_to_2026-05-01</x:v>
      </x:c>
      <x:c r="B96" s="11" t="n">
        <x:v>302190</x:v>
      </x:c>
      <x:c r="C96" s="11" t="n">
        <x:v>24389345</x:v>
      </x:c>
      <x:c r="D96" s="2"/>
      <x:c r="E96" s="2"/>
      <x:c r="F96" s="2"/>
      <x:c r="G96" s="2"/>
      <x:c r="H96" s="2"/>
      <x:c r="I96" s="2"/>
      <x:c r="J96" s="2"/>
    </x:row>
    <x:row r="97" ht="23" customHeight="1">
      <x:c r="A97" s="2" t="str">
        <x:v>2026-05-01_to_2026-06-01</x:v>
      </x:c>
      <x:c r="B97" s="11" t="n">
        <x:v>331978</x:v>
      </x:c>
      <x:c r="C97" s="11" t="n">
        <x:v>27137718</x:v>
      </x:c>
      <x:c r="D97" s="2"/>
      <x:c r="E97" s="2"/>
      <x:c r="F97" s="2"/>
      <x:c r="G97" s="2"/>
      <x:c r="H97" s="2"/>
      <x:c r="I97" s="2"/>
      <x:c r="J97" s="2"/>
    </x:row>
    <x:row r="98" ht="23" customHeight="1">
      <x:c r="A98" s="2" t="str">
        <x:v>2026-06-01_to_2026-07-01</x:v>
      </x:c>
      <x:c r="B98" s="11" t="n">
        <x:v>334833</x:v>
      </x:c>
      <x:c r="C98" s="11" t="n">
        <x:v>27552377</x:v>
      </x:c>
      <x:c r="D98" s="2"/>
      <x:c r="E98" s="2"/>
      <x:c r="F98" s="2"/>
      <x:c r="G98" s="2"/>
      <x:c r="H98" s="2"/>
      <x:c r="I98" s="2"/>
      <x:c r="J98" s="2"/>
    </x:row>
    <x:row r="99" ht="23" customHeight="1">
      <x:c r="A99" s="2" t="str">
        <x:v>2026-07-01_to_2026-08-01</x:v>
      </x:c>
      <x:c r="B99" s="11" t="n">
        <x:v>343043</x:v>
      </x:c>
      <x:c r="C99" s="11" t="n">
        <x:v>27705510</x:v>
      </x:c>
      <x:c r="D99" s="2"/>
      <x:c r="E99" s="2"/>
      <x:c r="F99" s="2"/>
      <x:c r="G99" s="2"/>
      <x:c r="H99" s="2"/>
      <x:c r="I99" s="2"/>
      <x:c r="J99" s="2"/>
    </x:row>
    <x:row r="100" ht="23" customHeight="1">
      <x:c r="A100" s="2" t="str">
        <x:v>2026-08-01_to_2026-09-01</x:v>
      </x:c>
      <x:c r="B100" s="11" t="n">
        <x:v>328446</x:v>
      </x:c>
      <x:c r="C100" s="11" t="n">
        <x:v>26113689</x:v>
      </x:c>
      <x:c r="D100" s="2"/>
      <x:c r="E100" s="2"/>
      <x:c r="F100" s="2"/>
      <x:c r="G100" s="2"/>
      <x:c r="H100" s="2"/>
      <x:c r="I100" s="2"/>
      <x:c r="J100" s="2"/>
    </x:row>
    <x:row r="101" ht="23" customHeight="1">
      <x:c r="A101" s="2" t="str">
        <x:v>2026-09-01_to_2026-09-07</x:v>
      </x:c>
      <x:c r="B101" s="11" t="n">
        <x:v>41974</x:v>
      </x:c>
      <x:c r="C101" s="11" t="n">
        <x:v>3290596</x:v>
      </x:c>
      <x:c r="D101" s="2"/>
      <x:c r="E101" s="2"/>
      <x:c r="F101" s="2"/>
      <x:c r="G101" s="2"/>
      <x:c r="H101" s="2"/>
      <x:c r="I101" s="2"/>
      <x:c r="J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</x:sheetData>
  <x:pageMargins left="0.7" right="0.7" top="0.75" bottom="0.75" header="0.3" footer="0.3"/>
</x:worksheet>
</file>