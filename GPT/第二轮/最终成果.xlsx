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项目2\增强实验\GPT\"/>
    </mc:Choice>
  </mc:AlternateContent>
  <xr:revisionPtr revIDLastSave="0" documentId="13_ncr:1_{F5E32A1C-0E55-4C1E-8748-0C3F96E8E9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总览" sheetId="1" r:id="rId1"/>
    <sheet name="月度趋势" sheetId="2" r:id="rId2"/>
    <sheet name="同比拆解" sheetId="3" r:id="rId3"/>
    <sheet name="峰值核查" sheetId="4" r:id="rId4"/>
    <sheet name="渠道变化" sheetId="5" r:id="rId5"/>
    <sheet name="数据质量" sheetId="6" r:id="rId6"/>
    <sheet name="口径与复现" sheetId="7" r:id="rId7"/>
  </sheets>
  <definedNames>
    <definedName name="_xlnm._FilterDatabase" localSheetId="4" hidden="1">渠道变化!$A$29:$L$1350</definedName>
    <definedName name="_xlnm._FilterDatabase" localSheetId="5" hidden="1">数据质量!$A$26:$D$70</definedName>
    <definedName name="_xlnm._FilterDatabase" localSheetId="2" hidden="1">同比拆解!$A$5:$F$205</definedName>
    <definedName name="_xlnm.Print_Area" localSheetId="3">峰值核查!$A$1:$H$41</definedName>
    <definedName name="_xlnm.Print_Area" localSheetId="6">口径与复现!$A$1:$B$23</definedName>
    <definedName name="_xlnm.Print_Area" localSheetId="4">渠道变化!$A$1:$G$26</definedName>
    <definedName name="_xlnm.Print_Area" localSheetId="5">数据质量!$A$1:$D$70</definedName>
    <definedName name="_xlnm.Print_Area" localSheetId="2">同比拆解!$A$1:$L$206</definedName>
    <definedName name="_xlnm.Print_Area" localSheetId="1">月度趋势!$A$1:$L$46</definedName>
    <definedName name="_xlnm.Print_Area" localSheetId="0">总览!$A$1:$L$40</definedName>
    <definedName name="_xlnm.Print_Titles" localSheetId="3">峰值核查!$1:$5</definedName>
    <definedName name="_xlnm.Print_Titles" localSheetId="6">口径与复现!$1:$5</definedName>
    <definedName name="_xlnm.Print_Titles" localSheetId="4">渠道变化!$1:$5</definedName>
    <definedName name="_xlnm.Print_Titles" localSheetId="5">数据质量!$1:$5</definedName>
    <definedName name="_xlnm.Print_Titles" localSheetId="2">同比拆解!$1:$5</definedName>
    <definedName name="_xlnm.Print_Titles" localSheetId="1">月度趋势!$1:$5</definedName>
    <definedName name="_xlnm.Print_Titles" localSheetId="0">总览!$1:$5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" i="6" l="1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J1350" i="5"/>
  <c r="I1350" i="5"/>
  <c r="J1349" i="5"/>
  <c r="I1349" i="5"/>
  <c r="J1348" i="5"/>
  <c r="I1348" i="5"/>
  <c r="J1347" i="5"/>
  <c r="I1347" i="5"/>
  <c r="J1346" i="5"/>
  <c r="I1346" i="5"/>
  <c r="J1345" i="5"/>
  <c r="I1345" i="5"/>
  <c r="J1344" i="5"/>
  <c r="I1344" i="5"/>
  <c r="J1343" i="5"/>
  <c r="I1343" i="5"/>
  <c r="J1342" i="5"/>
  <c r="I1342" i="5"/>
  <c r="J1341" i="5"/>
  <c r="I1341" i="5"/>
  <c r="J1340" i="5"/>
  <c r="I1340" i="5"/>
  <c r="J1339" i="5"/>
  <c r="I1339" i="5"/>
  <c r="J1338" i="5"/>
  <c r="I1338" i="5"/>
  <c r="J1337" i="5"/>
  <c r="I1337" i="5"/>
  <c r="J1336" i="5"/>
  <c r="I1336" i="5"/>
  <c r="J1335" i="5"/>
  <c r="I1335" i="5"/>
  <c r="J1334" i="5"/>
  <c r="I1334" i="5"/>
  <c r="J1333" i="5"/>
  <c r="I1333" i="5"/>
  <c r="J1332" i="5"/>
  <c r="I1332" i="5"/>
  <c r="J1331" i="5"/>
  <c r="I1331" i="5"/>
  <c r="J1330" i="5"/>
  <c r="I1330" i="5"/>
  <c r="J1329" i="5"/>
  <c r="I1329" i="5"/>
  <c r="J1328" i="5"/>
  <c r="I1328" i="5"/>
  <c r="J1327" i="5"/>
  <c r="I1327" i="5"/>
  <c r="J1326" i="5"/>
  <c r="I1326" i="5"/>
  <c r="J1325" i="5"/>
  <c r="I1325" i="5"/>
  <c r="J1324" i="5"/>
  <c r="I1324" i="5"/>
  <c r="J1323" i="5"/>
  <c r="I1323" i="5"/>
  <c r="J1322" i="5"/>
  <c r="I1322" i="5"/>
  <c r="J1321" i="5"/>
  <c r="I1321" i="5"/>
  <c r="J1320" i="5"/>
  <c r="I1320" i="5"/>
  <c r="J1319" i="5"/>
  <c r="I1319" i="5"/>
  <c r="J1318" i="5"/>
  <c r="I1318" i="5"/>
  <c r="J1317" i="5"/>
  <c r="I1317" i="5"/>
  <c r="J1316" i="5"/>
  <c r="I1316" i="5"/>
  <c r="J1315" i="5"/>
  <c r="I1315" i="5"/>
  <c r="J1314" i="5"/>
  <c r="I1314" i="5"/>
  <c r="J1313" i="5"/>
  <c r="I1313" i="5"/>
  <c r="J1312" i="5"/>
  <c r="I1312" i="5"/>
  <c r="J1311" i="5"/>
  <c r="I1311" i="5"/>
  <c r="J1310" i="5"/>
  <c r="I1310" i="5"/>
  <c r="J1309" i="5"/>
  <c r="I1309" i="5"/>
  <c r="J1308" i="5"/>
  <c r="I1308" i="5"/>
  <c r="J1307" i="5"/>
  <c r="I1307" i="5"/>
  <c r="J1306" i="5"/>
  <c r="I1306" i="5"/>
  <c r="J1305" i="5"/>
  <c r="I1305" i="5"/>
  <c r="J1304" i="5"/>
  <c r="I1304" i="5"/>
  <c r="J1303" i="5"/>
  <c r="I1303" i="5"/>
  <c r="J1302" i="5"/>
  <c r="I1302" i="5"/>
  <c r="J1301" i="5"/>
  <c r="I1301" i="5"/>
  <c r="J1300" i="5"/>
  <c r="I1300" i="5"/>
  <c r="J1299" i="5"/>
  <c r="I1299" i="5"/>
  <c r="J1298" i="5"/>
  <c r="I1298" i="5"/>
  <c r="J1297" i="5"/>
  <c r="I1297" i="5"/>
  <c r="J1296" i="5"/>
  <c r="I1296" i="5"/>
  <c r="J1295" i="5"/>
  <c r="I1295" i="5"/>
  <c r="J1294" i="5"/>
  <c r="I1294" i="5"/>
  <c r="J1293" i="5"/>
  <c r="I1293" i="5"/>
  <c r="J1292" i="5"/>
  <c r="I1292" i="5"/>
  <c r="J1291" i="5"/>
  <c r="I1291" i="5"/>
  <c r="J1290" i="5"/>
  <c r="I1290" i="5"/>
  <c r="J1289" i="5"/>
  <c r="I1289" i="5"/>
  <c r="J1288" i="5"/>
  <c r="I1288" i="5"/>
  <c r="J1287" i="5"/>
  <c r="I1287" i="5"/>
  <c r="J1286" i="5"/>
  <c r="I1286" i="5"/>
  <c r="J1285" i="5"/>
  <c r="I1285" i="5"/>
  <c r="J1284" i="5"/>
  <c r="I1284" i="5"/>
  <c r="J1283" i="5"/>
  <c r="I1283" i="5"/>
  <c r="J1282" i="5"/>
  <c r="I1282" i="5"/>
  <c r="J1281" i="5"/>
  <c r="I1281" i="5"/>
  <c r="J1280" i="5"/>
  <c r="I1280" i="5"/>
  <c r="J1279" i="5"/>
  <c r="I1279" i="5"/>
  <c r="J1278" i="5"/>
  <c r="I1278" i="5"/>
  <c r="J1277" i="5"/>
  <c r="I1277" i="5"/>
  <c r="J1276" i="5"/>
  <c r="I1276" i="5"/>
  <c r="J1275" i="5"/>
  <c r="I1275" i="5"/>
  <c r="J1274" i="5"/>
  <c r="I1274" i="5"/>
  <c r="J1273" i="5"/>
  <c r="I1273" i="5"/>
  <c r="J1272" i="5"/>
  <c r="I1272" i="5"/>
  <c r="J1271" i="5"/>
  <c r="I1271" i="5"/>
  <c r="J1270" i="5"/>
  <c r="I1270" i="5"/>
  <c r="J1269" i="5"/>
  <c r="I1269" i="5"/>
  <c r="J1268" i="5"/>
  <c r="I1268" i="5"/>
  <c r="J1267" i="5"/>
  <c r="I1267" i="5"/>
  <c r="J1266" i="5"/>
  <c r="I1266" i="5"/>
  <c r="J1265" i="5"/>
  <c r="I1265" i="5"/>
  <c r="J1264" i="5"/>
  <c r="I1264" i="5"/>
  <c r="J1263" i="5"/>
  <c r="I1263" i="5"/>
  <c r="J1262" i="5"/>
  <c r="I1262" i="5"/>
  <c r="J1261" i="5"/>
  <c r="I1261" i="5"/>
  <c r="J1260" i="5"/>
  <c r="I1260" i="5"/>
  <c r="J1259" i="5"/>
  <c r="I1259" i="5"/>
  <c r="J1258" i="5"/>
  <c r="I1258" i="5"/>
  <c r="J1257" i="5"/>
  <c r="I1257" i="5"/>
  <c r="J1256" i="5"/>
  <c r="I1256" i="5"/>
  <c r="J1255" i="5"/>
  <c r="I1255" i="5"/>
  <c r="J1254" i="5"/>
  <c r="I1254" i="5"/>
  <c r="J1253" i="5"/>
  <c r="I1253" i="5"/>
  <c r="J1252" i="5"/>
  <c r="I1252" i="5"/>
  <c r="J1251" i="5"/>
  <c r="I1251" i="5"/>
  <c r="J1250" i="5"/>
  <c r="I1250" i="5"/>
  <c r="J1249" i="5"/>
  <c r="I1249" i="5"/>
  <c r="J1248" i="5"/>
  <c r="I1248" i="5"/>
  <c r="J1247" i="5"/>
  <c r="I1247" i="5"/>
  <c r="J1246" i="5"/>
  <c r="I1246" i="5"/>
  <c r="J1245" i="5"/>
  <c r="I1245" i="5"/>
  <c r="J1244" i="5"/>
  <c r="I1244" i="5"/>
  <c r="J1243" i="5"/>
  <c r="I1243" i="5"/>
  <c r="J1242" i="5"/>
  <c r="I1242" i="5"/>
  <c r="J1241" i="5"/>
  <c r="I1241" i="5"/>
  <c r="J1240" i="5"/>
  <c r="I1240" i="5"/>
  <c r="J1239" i="5"/>
  <c r="I1239" i="5"/>
  <c r="J1238" i="5"/>
  <c r="I1238" i="5"/>
  <c r="J1237" i="5"/>
  <c r="I1237" i="5"/>
  <c r="J1236" i="5"/>
  <c r="I1236" i="5"/>
  <c r="J1235" i="5"/>
  <c r="I1235" i="5"/>
  <c r="J1234" i="5"/>
  <c r="I1234" i="5"/>
  <c r="J1233" i="5"/>
  <c r="I1233" i="5"/>
  <c r="J1232" i="5"/>
  <c r="I1232" i="5"/>
  <c r="J1231" i="5"/>
  <c r="I1231" i="5"/>
  <c r="J1230" i="5"/>
  <c r="I1230" i="5"/>
  <c r="J1229" i="5"/>
  <c r="I1229" i="5"/>
  <c r="J1228" i="5"/>
  <c r="I1228" i="5"/>
  <c r="J1227" i="5"/>
  <c r="I1227" i="5"/>
  <c r="J1226" i="5"/>
  <c r="I1226" i="5"/>
  <c r="J1225" i="5"/>
  <c r="I1225" i="5"/>
  <c r="J1224" i="5"/>
  <c r="I1224" i="5"/>
  <c r="J1223" i="5"/>
  <c r="I1223" i="5"/>
  <c r="J1222" i="5"/>
  <c r="I1222" i="5"/>
  <c r="J1221" i="5"/>
  <c r="I1221" i="5"/>
  <c r="J1220" i="5"/>
  <c r="I1220" i="5"/>
  <c r="J1219" i="5"/>
  <c r="I1219" i="5"/>
  <c r="J1218" i="5"/>
  <c r="I1218" i="5"/>
  <c r="J1217" i="5"/>
  <c r="I1217" i="5"/>
  <c r="J1216" i="5"/>
  <c r="I1216" i="5"/>
  <c r="J1215" i="5"/>
  <c r="I1215" i="5"/>
  <c r="J1214" i="5"/>
  <c r="I1214" i="5"/>
  <c r="J1213" i="5"/>
  <c r="I1213" i="5"/>
  <c r="J1212" i="5"/>
  <c r="I1212" i="5"/>
  <c r="J1211" i="5"/>
  <c r="I1211" i="5"/>
  <c r="J1210" i="5"/>
  <c r="I1210" i="5"/>
  <c r="J1209" i="5"/>
  <c r="I1209" i="5"/>
  <c r="J1208" i="5"/>
  <c r="I1208" i="5"/>
  <c r="J1207" i="5"/>
  <c r="I1207" i="5"/>
  <c r="J1206" i="5"/>
  <c r="I1206" i="5"/>
  <c r="J1205" i="5"/>
  <c r="I1205" i="5"/>
  <c r="J1204" i="5"/>
  <c r="I1204" i="5"/>
  <c r="J1203" i="5"/>
  <c r="I1203" i="5"/>
  <c r="J1202" i="5"/>
  <c r="I1202" i="5"/>
  <c r="J1201" i="5"/>
  <c r="I1201" i="5"/>
  <c r="J1200" i="5"/>
  <c r="I1200" i="5"/>
  <c r="J1199" i="5"/>
  <c r="I1199" i="5"/>
  <c r="J1198" i="5"/>
  <c r="I1198" i="5"/>
  <c r="J1197" i="5"/>
  <c r="I1197" i="5"/>
  <c r="J1196" i="5"/>
  <c r="I1196" i="5"/>
  <c r="J1195" i="5"/>
  <c r="I1195" i="5"/>
  <c r="J1194" i="5"/>
  <c r="I1194" i="5"/>
  <c r="J1193" i="5"/>
  <c r="I1193" i="5"/>
  <c r="J1192" i="5"/>
  <c r="I1192" i="5"/>
  <c r="J1191" i="5"/>
  <c r="I1191" i="5"/>
  <c r="J1190" i="5"/>
  <c r="I1190" i="5"/>
  <c r="J1189" i="5"/>
  <c r="I1189" i="5"/>
  <c r="J1188" i="5"/>
  <c r="I1188" i="5"/>
  <c r="J1187" i="5"/>
  <c r="I1187" i="5"/>
  <c r="J1186" i="5"/>
  <c r="I1186" i="5"/>
  <c r="J1185" i="5"/>
  <c r="I1185" i="5"/>
  <c r="J1184" i="5"/>
  <c r="I1184" i="5"/>
  <c r="J1183" i="5"/>
  <c r="I1183" i="5"/>
  <c r="J1182" i="5"/>
  <c r="I1182" i="5"/>
  <c r="J1181" i="5"/>
  <c r="I1181" i="5"/>
  <c r="J1180" i="5"/>
  <c r="I1180" i="5"/>
  <c r="J1179" i="5"/>
  <c r="I1179" i="5"/>
  <c r="J1178" i="5"/>
  <c r="I1178" i="5"/>
  <c r="J1177" i="5"/>
  <c r="I1177" i="5"/>
  <c r="J1176" i="5"/>
  <c r="I1176" i="5"/>
  <c r="J1175" i="5"/>
  <c r="I1175" i="5"/>
  <c r="J1174" i="5"/>
  <c r="I1174" i="5"/>
  <c r="J1173" i="5"/>
  <c r="I1173" i="5"/>
  <c r="J1172" i="5"/>
  <c r="I1172" i="5"/>
  <c r="J1171" i="5"/>
  <c r="I1171" i="5"/>
  <c r="J1170" i="5"/>
  <c r="I1170" i="5"/>
  <c r="J1169" i="5"/>
  <c r="I1169" i="5"/>
  <c r="J1168" i="5"/>
  <c r="I1168" i="5"/>
  <c r="J1167" i="5"/>
  <c r="I1167" i="5"/>
  <c r="J1166" i="5"/>
  <c r="I1166" i="5"/>
  <c r="J1165" i="5"/>
  <c r="I1165" i="5"/>
  <c r="J1164" i="5"/>
  <c r="I1164" i="5"/>
  <c r="J1163" i="5"/>
  <c r="I1163" i="5"/>
  <c r="J1162" i="5"/>
  <c r="I1162" i="5"/>
  <c r="J1161" i="5"/>
  <c r="I1161" i="5"/>
  <c r="J1160" i="5"/>
  <c r="I1160" i="5"/>
  <c r="J1159" i="5"/>
  <c r="I1159" i="5"/>
  <c r="J1158" i="5"/>
  <c r="I1158" i="5"/>
  <c r="J1157" i="5"/>
  <c r="I1157" i="5"/>
  <c r="J1156" i="5"/>
  <c r="I1156" i="5"/>
  <c r="J1155" i="5"/>
  <c r="I1155" i="5"/>
  <c r="J1154" i="5"/>
  <c r="I1154" i="5"/>
  <c r="J1153" i="5"/>
  <c r="I1153" i="5"/>
  <c r="J1152" i="5"/>
  <c r="I1152" i="5"/>
  <c r="J1151" i="5"/>
  <c r="I1151" i="5"/>
  <c r="J1150" i="5"/>
  <c r="I1150" i="5"/>
  <c r="J1149" i="5"/>
  <c r="I1149" i="5"/>
  <c r="J1148" i="5"/>
  <c r="I1148" i="5"/>
  <c r="J1147" i="5"/>
  <c r="I1147" i="5"/>
  <c r="J1146" i="5"/>
  <c r="I1146" i="5"/>
  <c r="J1145" i="5"/>
  <c r="I1145" i="5"/>
  <c r="J1144" i="5"/>
  <c r="I1144" i="5"/>
  <c r="J1143" i="5"/>
  <c r="I1143" i="5"/>
  <c r="J1142" i="5"/>
  <c r="I1142" i="5"/>
  <c r="J1141" i="5"/>
  <c r="I1141" i="5"/>
  <c r="J1140" i="5"/>
  <c r="I1140" i="5"/>
  <c r="J1139" i="5"/>
  <c r="I1139" i="5"/>
  <c r="J1138" i="5"/>
  <c r="I1138" i="5"/>
  <c r="J1137" i="5"/>
  <c r="I1137" i="5"/>
  <c r="J1136" i="5"/>
  <c r="I1136" i="5"/>
  <c r="J1135" i="5"/>
  <c r="I1135" i="5"/>
  <c r="J1134" i="5"/>
  <c r="I1134" i="5"/>
  <c r="J1133" i="5"/>
  <c r="I1133" i="5"/>
  <c r="J1132" i="5"/>
  <c r="I1132" i="5"/>
  <c r="J1131" i="5"/>
  <c r="I1131" i="5"/>
  <c r="J1130" i="5"/>
  <c r="I1130" i="5"/>
  <c r="J1129" i="5"/>
  <c r="I1129" i="5"/>
  <c r="J1128" i="5"/>
  <c r="I1128" i="5"/>
  <c r="J1127" i="5"/>
  <c r="I1127" i="5"/>
  <c r="J1126" i="5"/>
  <c r="I1126" i="5"/>
  <c r="J1125" i="5"/>
  <c r="I1125" i="5"/>
  <c r="J1124" i="5"/>
  <c r="I1124" i="5"/>
  <c r="J1123" i="5"/>
  <c r="I1123" i="5"/>
  <c r="J1122" i="5"/>
  <c r="I1122" i="5"/>
  <c r="J1121" i="5"/>
  <c r="I1121" i="5"/>
  <c r="J1120" i="5"/>
  <c r="I1120" i="5"/>
  <c r="J1119" i="5"/>
  <c r="I1119" i="5"/>
  <c r="J1118" i="5"/>
  <c r="I1118" i="5"/>
  <c r="J1117" i="5"/>
  <c r="I1117" i="5"/>
  <c r="J1116" i="5"/>
  <c r="I1116" i="5"/>
  <c r="J1115" i="5"/>
  <c r="I1115" i="5"/>
  <c r="J1114" i="5"/>
  <c r="I1114" i="5"/>
  <c r="J1113" i="5"/>
  <c r="I1113" i="5"/>
  <c r="J1112" i="5"/>
  <c r="I1112" i="5"/>
  <c r="J1111" i="5"/>
  <c r="I1111" i="5"/>
  <c r="J1110" i="5"/>
  <c r="I1110" i="5"/>
  <c r="J1109" i="5"/>
  <c r="I1109" i="5"/>
  <c r="J1108" i="5"/>
  <c r="I1108" i="5"/>
  <c r="J1107" i="5"/>
  <c r="I1107" i="5"/>
  <c r="J1106" i="5"/>
  <c r="I1106" i="5"/>
  <c r="J1105" i="5"/>
  <c r="I1105" i="5"/>
  <c r="J1104" i="5"/>
  <c r="I1104" i="5"/>
  <c r="J1103" i="5"/>
  <c r="I1103" i="5"/>
  <c r="J1102" i="5"/>
  <c r="I1102" i="5"/>
  <c r="J1101" i="5"/>
  <c r="I1101" i="5"/>
  <c r="J1100" i="5"/>
  <c r="I1100" i="5"/>
  <c r="J1099" i="5"/>
  <c r="I1099" i="5"/>
  <c r="J1098" i="5"/>
  <c r="I1098" i="5"/>
  <c r="J1097" i="5"/>
  <c r="I1097" i="5"/>
  <c r="J1096" i="5"/>
  <c r="I1096" i="5"/>
  <c r="J1095" i="5"/>
  <c r="I1095" i="5"/>
  <c r="J1094" i="5"/>
  <c r="I1094" i="5"/>
  <c r="J1093" i="5"/>
  <c r="I1093" i="5"/>
  <c r="J1092" i="5"/>
  <c r="I1092" i="5"/>
  <c r="J1091" i="5"/>
  <c r="I1091" i="5"/>
  <c r="J1090" i="5"/>
  <c r="I1090" i="5"/>
  <c r="J1089" i="5"/>
  <c r="I1089" i="5"/>
  <c r="J1088" i="5"/>
  <c r="I1088" i="5"/>
  <c r="J1087" i="5"/>
  <c r="I1087" i="5"/>
  <c r="J1086" i="5"/>
  <c r="I1086" i="5"/>
  <c r="J1085" i="5"/>
  <c r="I1085" i="5"/>
  <c r="J1084" i="5"/>
  <c r="I1084" i="5"/>
  <c r="J1083" i="5"/>
  <c r="I1083" i="5"/>
  <c r="J1082" i="5"/>
  <c r="I1082" i="5"/>
  <c r="J1081" i="5"/>
  <c r="I1081" i="5"/>
  <c r="J1080" i="5"/>
  <c r="I1080" i="5"/>
  <c r="J1079" i="5"/>
  <c r="I1079" i="5"/>
  <c r="J1078" i="5"/>
  <c r="I1078" i="5"/>
  <c r="J1077" i="5"/>
  <c r="I1077" i="5"/>
  <c r="J1076" i="5"/>
  <c r="I1076" i="5"/>
  <c r="J1075" i="5"/>
  <c r="I1075" i="5"/>
  <c r="J1074" i="5"/>
  <c r="I1074" i="5"/>
  <c r="J1073" i="5"/>
  <c r="I1073" i="5"/>
  <c r="J1072" i="5"/>
  <c r="I1072" i="5"/>
  <c r="J1071" i="5"/>
  <c r="I1071" i="5"/>
  <c r="J1070" i="5"/>
  <c r="I1070" i="5"/>
  <c r="J1069" i="5"/>
  <c r="I1069" i="5"/>
  <c r="J1068" i="5"/>
  <c r="I1068" i="5"/>
  <c r="J1067" i="5"/>
  <c r="I1067" i="5"/>
  <c r="J1066" i="5"/>
  <c r="I1066" i="5"/>
  <c r="J1065" i="5"/>
  <c r="I1065" i="5"/>
  <c r="J1064" i="5"/>
  <c r="I1064" i="5"/>
  <c r="J1063" i="5"/>
  <c r="I1063" i="5"/>
  <c r="J1062" i="5"/>
  <c r="I1062" i="5"/>
  <c r="J1061" i="5"/>
  <c r="I1061" i="5"/>
  <c r="J1060" i="5"/>
  <c r="I1060" i="5"/>
  <c r="J1059" i="5"/>
  <c r="I1059" i="5"/>
  <c r="J1058" i="5"/>
  <c r="I1058" i="5"/>
  <c r="J1057" i="5"/>
  <c r="I1057" i="5"/>
  <c r="J1056" i="5"/>
  <c r="I1056" i="5"/>
  <c r="J1055" i="5"/>
  <c r="I1055" i="5"/>
  <c r="J1054" i="5"/>
  <c r="I1054" i="5"/>
  <c r="J1053" i="5"/>
  <c r="I1053" i="5"/>
  <c r="J1052" i="5"/>
  <c r="I1052" i="5"/>
  <c r="J1051" i="5"/>
  <c r="I1051" i="5"/>
  <c r="J1050" i="5"/>
  <c r="I1050" i="5"/>
  <c r="J1049" i="5"/>
  <c r="I1049" i="5"/>
  <c r="J1048" i="5"/>
  <c r="I1048" i="5"/>
  <c r="J1047" i="5"/>
  <c r="I1047" i="5"/>
  <c r="J1046" i="5"/>
  <c r="I1046" i="5"/>
  <c r="J1045" i="5"/>
  <c r="I1045" i="5"/>
  <c r="J1044" i="5"/>
  <c r="I1044" i="5"/>
  <c r="J1043" i="5"/>
  <c r="I1043" i="5"/>
  <c r="J1042" i="5"/>
  <c r="I1042" i="5"/>
  <c r="J1041" i="5"/>
  <c r="I1041" i="5"/>
  <c r="J1040" i="5"/>
  <c r="I1040" i="5"/>
  <c r="J1039" i="5"/>
  <c r="I1039" i="5"/>
  <c r="J1038" i="5"/>
  <c r="I1038" i="5"/>
  <c r="J1037" i="5"/>
  <c r="I1037" i="5"/>
  <c r="J1036" i="5"/>
  <c r="I1036" i="5"/>
  <c r="J1035" i="5"/>
  <c r="I1035" i="5"/>
  <c r="J1034" i="5"/>
  <c r="I1034" i="5"/>
  <c r="J1033" i="5"/>
  <c r="I1033" i="5"/>
  <c r="J1032" i="5"/>
  <c r="I1032" i="5"/>
  <c r="J1031" i="5"/>
  <c r="I1031" i="5"/>
  <c r="J1030" i="5"/>
  <c r="I1030" i="5"/>
  <c r="J1029" i="5"/>
  <c r="I1029" i="5"/>
  <c r="J1028" i="5"/>
  <c r="I1028" i="5"/>
  <c r="J1027" i="5"/>
  <c r="I1027" i="5"/>
  <c r="J1026" i="5"/>
  <c r="I1026" i="5"/>
  <c r="J1025" i="5"/>
  <c r="I1025" i="5"/>
  <c r="J1024" i="5"/>
  <c r="I1024" i="5"/>
  <c r="J1023" i="5"/>
  <c r="I1023" i="5"/>
  <c r="J1022" i="5"/>
  <c r="I1022" i="5"/>
  <c r="J1021" i="5"/>
  <c r="I1021" i="5"/>
  <c r="J1020" i="5"/>
  <c r="I1020" i="5"/>
  <c r="J1019" i="5"/>
  <c r="I1019" i="5"/>
  <c r="J1018" i="5"/>
  <c r="I1018" i="5"/>
  <c r="J1017" i="5"/>
  <c r="I1017" i="5"/>
  <c r="J1016" i="5"/>
  <c r="I1016" i="5"/>
  <c r="J1015" i="5"/>
  <c r="I1015" i="5"/>
  <c r="J1014" i="5"/>
  <c r="I1014" i="5"/>
  <c r="J1013" i="5"/>
  <c r="I1013" i="5"/>
  <c r="J1012" i="5"/>
  <c r="I1012" i="5"/>
  <c r="J1011" i="5"/>
  <c r="I1011" i="5"/>
  <c r="J1010" i="5"/>
  <c r="I1010" i="5"/>
  <c r="J1009" i="5"/>
  <c r="I1009" i="5"/>
  <c r="J1008" i="5"/>
  <c r="I1008" i="5"/>
  <c r="J1007" i="5"/>
  <c r="I1007" i="5"/>
  <c r="J1006" i="5"/>
  <c r="I1006" i="5"/>
  <c r="J1005" i="5"/>
  <c r="I1005" i="5"/>
  <c r="J1004" i="5"/>
  <c r="I1004" i="5"/>
  <c r="J1003" i="5"/>
  <c r="I1003" i="5"/>
  <c r="J1002" i="5"/>
  <c r="I1002" i="5"/>
  <c r="J1001" i="5"/>
  <c r="I1001" i="5"/>
  <c r="J1000" i="5"/>
  <c r="I1000" i="5"/>
  <c r="J999" i="5"/>
  <c r="I999" i="5"/>
  <c r="J998" i="5"/>
  <c r="I998" i="5"/>
  <c r="J997" i="5"/>
  <c r="I997" i="5"/>
  <c r="J996" i="5"/>
  <c r="I996" i="5"/>
  <c r="J995" i="5"/>
  <c r="I995" i="5"/>
  <c r="J994" i="5"/>
  <c r="I994" i="5"/>
  <c r="J993" i="5"/>
  <c r="I993" i="5"/>
  <c r="J992" i="5"/>
  <c r="I992" i="5"/>
  <c r="J991" i="5"/>
  <c r="I991" i="5"/>
  <c r="J990" i="5"/>
  <c r="I990" i="5"/>
  <c r="J989" i="5"/>
  <c r="I989" i="5"/>
  <c r="J988" i="5"/>
  <c r="I988" i="5"/>
  <c r="J987" i="5"/>
  <c r="I987" i="5"/>
  <c r="J986" i="5"/>
  <c r="I986" i="5"/>
  <c r="J985" i="5"/>
  <c r="I985" i="5"/>
  <c r="J984" i="5"/>
  <c r="I984" i="5"/>
  <c r="J983" i="5"/>
  <c r="I983" i="5"/>
  <c r="J982" i="5"/>
  <c r="I982" i="5"/>
  <c r="J981" i="5"/>
  <c r="I981" i="5"/>
  <c r="J980" i="5"/>
  <c r="I980" i="5"/>
  <c r="J979" i="5"/>
  <c r="I979" i="5"/>
  <c r="J978" i="5"/>
  <c r="I978" i="5"/>
  <c r="J977" i="5"/>
  <c r="I977" i="5"/>
  <c r="J976" i="5"/>
  <c r="I976" i="5"/>
  <c r="J975" i="5"/>
  <c r="I975" i="5"/>
  <c r="J974" i="5"/>
  <c r="I974" i="5"/>
  <c r="J973" i="5"/>
  <c r="I973" i="5"/>
  <c r="J972" i="5"/>
  <c r="I972" i="5"/>
  <c r="J971" i="5"/>
  <c r="I971" i="5"/>
  <c r="J970" i="5"/>
  <c r="I970" i="5"/>
  <c r="J969" i="5"/>
  <c r="I969" i="5"/>
  <c r="J968" i="5"/>
  <c r="I968" i="5"/>
  <c r="J967" i="5"/>
  <c r="I967" i="5"/>
  <c r="J966" i="5"/>
  <c r="I966" i="5"/>
  <c r="J965" i="5"/>
  <c r="I965" i="5"/>
  <c r="J964" i="5"/>
  <c r="I964" i="5"/>
  <c r="J963" i="5"/>
  <c r="I963" i="5"/>
  <c r="J962" i="5"/>
  <c r="I962" i="5"/>
  <c r="J961" i="5"/>
  <c r="I961" i="5"/>
  <c r="J960" i="5"/>
  <c r="I960" i="5"/>
  <c r="J959" i="5"/>
  <c r="I959" i="5"/>
  <c r="J958" i="5"/>
  <c r="I958" i="5"/>
  <c r="J957" i="5"/>
  <c r="I957" i="5"/>
  <c r="J956" i="5"/>
  <c r="I956" i="5"/>
  <c r="J955" i="5"/>
  <c r="I955" i="5"/>
  <c r="J954" i="5"/>
  <c r="I954" i="5"/>
  <c r="J953" i="5"/>
  <c r="I953" i="5"/>
  <c r="J952" i="5"/>
  <c r="I952" i="5"/>
  <c r="J951" i="5"/>
  <c r="I951" i="5"/>
  <c r="J950" i="5"/>
  <c r="I950" i="5"/>
  <c r="J949" i="5"/>
  <c r="I949" i="5"/>
  <c r="J948" i="5"/>
  <c r="I948" i="5"/>
  <c r="J947" i="5"/>
  <c r="I947" i="5"/>
  <c r="J946" i="5"/>
  <c r="I946" i="5"/>
  <c r="J945" i="5"/>
  <c r="I945" i="5"/>
  <c r="J944" i="5"/>
  <c r="I944" i="5"/>
  <c r="J943" i="5"/>
  <c r="I943" i="5"/>
  <c r="J942" i="5"/>
  <c r="I942" i="5"/>
  <c r="J941" i="5"/>
  <c r="I941" i="5"/>
  <c r="J940" i="5"/>
  <c r="I940" i="5"/>
  <c r="J939" i="5"/>
  <c r="I939" i="5"/>
  <c r="J938" i="5"/>
  <c r="I938" i="5"/>
  <c r="J937" i="5"/>
  <c r="I937" i="5"/>
  <c r="J936" i="5"/>
  <c r="I936" i="5"/>
  <c r="J935" i="5"/>
  <c r="I935" i="5"/>
  <c r="J934" i="5"/>
  <c r="I934" i="5"/>
  <c r="J933" i="5"/>
  <c r="I933" i="5"/>
  <c r="J932" i="5"/>
  <c r="I932" i="5"/>
  <c r="J931" i="5"/>
  <c r="I931" i="5"/>
  <c r="J930" i="5"/>
  <c r="I930" i="5"/>
  <c r="J929" i="5"/>
  <c r="I929" i="5"/>
  <c r="J928" i="5"/>
  <c r="I928" i="5"/>
  <c r="J927" i="5"/>
  <c r="I927" i="5"/>
  <c r="J926" i="5"/>
  <c r="I926" i="5"/>
  <c r="J925" i="5"/>
  <c r="I925" i="5"/>
  <c r="J924" i="5"/>
  <c r="I924" i="5"/>
  <c r="J923" i="5"/>
  <c r="I923" i="5"/>
  <c r="J922" i="5"/>
  <c r="I922" i="5"/>
  <c r="J921" i="5"/>
  <c r="I921" i="5"/>
  <c r="J920" i="5"/>
  <c r="I920" i="5"/>
  <c r="J919" i="5"/>
  <c r="I919" i="5"/>
  <c r="J918" i="5"/>
  <c r="I918" i="5"/>
  <c r="J917" i="5"/>
  <c r="I917" i="5"/>
  <c r="J916" i="5"/>
  <c r="I916" i="5"/>
  <c r="J915" i="5"/>
  <c r="I915" i="5"/>
  <c r="J914" i="5"/>
  <c r="I914" i="5"/>
  <c r="J913" i="5"/>
  <c r="I913" i="5"/>
  <c r="J912" i="5"/>
  <c r="I912" i="5"/>
  <c r="J911" i="5"/>
  <c r="I911" i="5"/>
  <c r="J910" i="5"/>
  <c r="I910" i="5"/>
  <c r="J909" i="5"/>
  <c r="I909" i="5"/>
  <c r="J908" i="5"/>
  <c r="I908" i="5"/>
  <c r="J907" i="5"/>
  <c r="I907" i="5"/>
  <c r="J906" i="5"/>
  <c r="I906" i="5"/>
  <c r="J905" i="5"/>
  <c r="I905" i="5"/>
  <c r="J904" i="5"/>
  <c r="I904" i="5"/>
  <c r="J903" i="5"/>
  <c r="I903" i="5"/>
  <c r="J902" i="5"/>
  <c r="I902" i="5"/>
  <c r="J901" i="5"/>
  <c r="I901" i="5"/>
  <c r="J900" i="5"/>
  <c r="I900" i="5"/>
  <c r="J899" i="5"/>
  <c r="I899" i="5"/>
  <c r="J898" i="5"/>
  <c r="I898" i="5"/>
  <c r="J897" i="5"/>
  <c r="I897" i="5"/>
  <c r="J896" i="5"/>
  <c r="I896" i="5"/>
  <c r="J895" i="5"/>
  <c r="I895" i="5"/>
  <c r="J894" i="5"/>
  <c r="I894" i="5"/>
  <c r="J893" i="5"/>
  <c r="I893" i="5"/>
  <c r="J892" i="5"/>
  <c r="I892" i="5"/>
  <c r="J891" i="5"/>
  <c r="I891" i="5"/>
  <c r="J890" i="5"/>
  <c r="I890" i="5"/>
  <c r="J889" i="5"/>
  <c r="I889" i="5"/>
  <c r="J888" i="5"/>
  <c r="I888" i="5"/>
  <c r="J887" i="5"/>
  <c r="I887" i="5"/>
  <c r="J886" i="5"/>
  <c r="I886" i="5"/>
  <c r="J885" i="5"/>
  <c r="I885" i="5"/>
  <c r="J884" i="5"/>
  <c r="I884" i="5"/>
  <c r="J883" i="5"/>
  <c r="I883" i="5"/>
  <c r="J882" i="5"/>
  <c r="I882" i="5"/>
  <c r="J881" i="5"/>
  <c r="I881" i="5"/>
  <c r="J880" i="5"/>
  <c r="I880" i="5"/>
  <c r="J879" i="5"/>
  <c r="I879" i="5"/>
  <c r="J878" i="5"/>
  <c r="I878" i="5"/>
  <c r="J877" i="5"/>
  <c r="I877" i="5"/>
  <c r="J876" i="5"/>
  <c r="I876" i="5"/>
  <c r="J875" i="5"/>
  <c r="I875" i="5"/>
  <c r="J874" i="5"/>
  <c r="I874" i="5"/>
  <c r="J873" i="5"/>
  <c r="I873" i="5"/>
  <c r="J872" i="5"/>
  <c r="I872" i="5"/>
  <c r="J871" i="5"/>
  <c r="I871" i="5"/>
  <c r="J870" i="5"/>
  <c r="I870" i="5"/>
  <c r="J869" i="5"/>
  <c r="I869" i="5"/>
  <c r="J868" i="5"/>
  <c r="I868" i="5"/>
  <c r="J867" i="5"/>
  <c r="I867" i="5"/>
  <c r="J866" i="5"/>
  <c r="I866" i="5"/>
  <c r="J865" i="5"/>
  <c r="I865" i="5"/>
  <c r="J864" i="5"/>
  <c r="I864" i="5"/>
  <c r="J863" i="5"/>
  <c r="I863" i="5"/>
  <c r="J862" i="5"/>
  <c r="I862" i="5"/>
  <c r="J861" i="5"/>
  <c r="I861" i="5"/>
  <c r="J860" i="5"/>
  <c r="I860" i="5"/>
  <c r="J859" i="5"/>
  <c r="I859" i="5"/>
  <c r="J858" i="5"/>
  <c r="I858" i="5"/>
  <c r="J857" i="5"/>
  <c r="I857" i="5"/>
  <c r="J856" i="5"/>
  <c r="I856" i="5"/>
  <c r="J855" i="5"/>
  <c r="I855" i="5"/>
  <c r="J854" i="5"/>
  <c r="I854" i="5"/>
  <c r="J853" i="5"/>
  <c r="I853" i="5"/>
  <c r="J852" i="5"/>
  <c r="I852" i="5"/>
  <c r="J851" i="5"/>
  <c r="I851" i="5"/>
  <c r="J850" i="5"/>
  <c r="I850" i="5"/>
  <c r="J849" i="5"/>
  <c r="I849" i="5"/>
  <c r="J848" i="5"/>
  <c r="I848" i="5"/>
  <c r="J847" i="5"/>
  <c r="I847" i="5"/>
  <c r="J846" i="5"/>
  <c r="I846" i="5"/>
  <c r="J845" i="5"/>
  <c r="I845" i="5"/>
  <c r="J844" i="5"/>
  <c r="I844" i="5"/>
  <c r="J843" i="5"/>
  <c r="I843" i="5"/>
  <c r="J842" i="5"/>
  <c r="I842" i="5"/>
  <c r="J841" i="5"/>
  <c r="I841" i="5"/>
  <c r="J840" i="5"/>
  <c r="I840" i="5"/>
  <c r="J839" i="5"/>
  <c r="I839" i="5"/>
  <c r="J838" i="5"/>
  <c r="I838" i="5"/>
  <c r="J837" i="5"/>
  <c r="I837" i="5"/>
  <c r="J836" i="5"/>
  <c r="I836" i="5"/>
  <c r="J835" i="5"/>
  <c r="I835" i="5"/>
  <c r="J834" i="5"/>
  <c r="I834" i="5"/>
  <c r="J833" i="5"/>
  <c r="I833" i="5"/>
  <c r="J832" i="5"/>
  <c r="I832" i="5"/>
  <c r="J831" i="5"/>
  <c r="I831" i="5"/>
  <c r="J830" i="5"/>
  <c r="I830" i="5"/>
  <c r="J829" i="5"/>
  <c r="I829" i="5"/>
  <c r="J828" i="5"/>
  <c r="I828" i="5"/>
  <c r="J827" i="5"/>
  <c r="I827" i="5"/>
  <c r="J826" i="5"/>
  <c r="I826" i="5"/>
  <c r="J825" i="5"/>
  <c r="I825" i="5"/>
  <c r="J824" i="5"/>
  <c r="I824" i="5"/>
  <c r="J823" i="5"/>
  <c r="I823" i="5"/>
  <c r="J822" i="5"/>
  <c r="I822" i="5"/>
  <c r="J821" i="5"/>
  <c r="I821" i="5"/>
  <c r="J820" i="5"/>
  <c r="I820" i="5"/>
  <c r="J819" i="5"/>
  <c r="I819" i="5"/>
  <c r="J818" i="5"/>
  <c r="I818" i="5"/>
  <c r="J817" i="5"/>
  <c r="I817" i="5"/>
  <c r="J816" i="5"/>
  <c r="I816" i="5"/>
  <c r="J815" i="5"/>
  <c r="I815" i="5"/>
  <c r="J814" i="5"/>
  <c r="I814" i="5"/>
  <c r="J813" i="5"/>
  <c r="I813" i="5"/>
  <c r="J812" i="5"/>
  <c r="I812" i="5"/>
  <c r="J811" i="5"/>
  <c r="I811" i="5"/>
  <c r="J810" i="5"/>
  <c r="I810" i="5"/>
  <c r="J809" i="5"/>
  <c r="I809" i="5"/>
  <c r="J808" i="5"/>
  <c r="I808" i="5"/>
  <c r="J807" i="5"/>
  <c r="I807" i="5"/>
  <c r="J806" i="5"/>
  <c r="I806" i="5"/>
  <c r="J805" i="5"/>
  <c r="I805" i="5"/>
  <c r="J804" i="5"/>
  <c r="I804" i="5"/>
  <c r="J803" i="5"/>
  <c r="I803" i="5"/>
  <c r="J802" i="5"/>
  <c r="I802" i="5"/>
  <c r="J801" i="5"/>
  <c r="I801" i="5"/>
  <c r="J800" i="5"/>
  <c r="I800" i="5"/>
  <c r="J799" i="5"/>
  <c r="I799" i="5"/>
  <c r="J798" i="5"/>
  <c r="I798" i="5"/>
  <c r="J797" i="5"/>
  <c r="I797" i="5"/>
  <c r="J796" i="5"/>
  <c r="I796" i="5"/>
  <c r="J795" i="5"/>
  <c r="I795" i="5"/>
  <c r="J794" i="5"/>
  <c r="I794" i="5"/>
  <c r="J793" i="5"/>
  <c r="I793" i="5"/>
  <c r="J792" i="5"/>
  <c r="I792" i="5"/>
  <c r="J791" i="5"/>
  <c r="I791" i="5"/>
  <c r="J790" i="5"/>
  <c r="I790" i="5"/>
  <c r="J789" i="5"/>
  <c r="I789" i="5"/>
  <c r="J788" i="5"/>
  <c r="I788" i="5"/>
  <c r="J787" i="5"/>
  <c r="I787" i="5"/>
  <c r="J786" i="5"/>
  <c r="I786" i="5"/>
  <c r="J785" i="5"/>
  <c r="I785" i="5"/>
  <c r="J784" i="5"/>
  <c r="I784" i="5"/>
  <c r="J783" i="5"/>
  <c r="I783" i="5"/>
  <c r="J782" i="5"/>
  <c r="I782" i="5"/>
  <c r="J781" i="5"/>
  <c r="I781" i="5"/>
  <c r="J780" i="5"/>
  <c r="I780" i="5"/>
  <c r="J779" i="5"/>
  <c r="I779" i="5"/>
  <c r="J778" i="5"/>
  <c r="I778" i="5"/>
  <c r="J777" i="5"/>
  <c r="I777" i="5"/>
  <c r="J776" i="5"/>
  <c r="I776" i="5"/>
  <c r="J775" i="5"/>
  <c r="I775" i="5"/>
  <c r="J774" i="5"/>
  <c r="I774" i="5"/>
  <c r="J773" i="5"/>
  <c r="I773" i="5"/>
  <c r="J772" i="5"/>
  <c r="I772" i="5"/>
  <c r="J771" i="5"/>
  <c r="I771" i="5"/>
  <c r="J770" i="5"/>
  <c r="I770" i="5"/>
  <c r="J769" i="5"/>
  <c r="I769" i="5"/>
  <c r="J768" i="5"/>
  <c r="I768" i="5"/>
  <c r="J767" i="5"/>
  <c r="I767" i="5"/>
  <c r="J766" i="5"/>
  <c r="I766" i="5"/>
  <c r="J765" i="5"/>
  <c r="I765" i="5"/>
  <c r="J764" i="5"/>
  <c r="I764" i="5"/>
  <c r="J763" i="5"/>
  <c r="I763" i="5"/>
  <c r="J762" i="5"/>
  <c r="I762" i="5"/>
  <c r="J761" i="5"/>
  <c r="I761" i="5"/>
  <c r="J760" i="5"/>
  <c r="I760" i="5"/>
  <c r="J759" i="5"/>
  <c r="I759" i="5"/>
  <c r="J758" i="5"/>
  <c r="I758" i="5"/>
  <c r="J757" i="5"/>
  <c r="I757" i="5"/>
  <c r="J756" i="5"/>
  <c r="I756" i="5"/>
  <c r="J755" i="5"/>
  <c r="I755" i="5"/>
  <c r="J754" i="5"/>
  <c r="I754" i="5"/>
  <c r="J753" i="5"/>
  <c r="I753" i="5"/>
  <c r="J752" i="5"/>
  <c r="I752" i="5"/>
  <c r="J751" i="5"/>
  <c r="I751" i="5"/>
  <c r="J750" i="5"/>
  <c r="I750" i="5"/>
  <c r="J749" i="5"/>
  <c r="I749" i="5"/>
  <c r="J748" i="5"/>
  <c r="I748" i="5"/>
  <c r="J747" i="5"/>
  <c r="I747" i="5"/>
  <c r="J746" i="5"/>
  <c r="I746" i="5"/>
  <c r="J745" i="5"/>
  <c r="I745" i="5"/>
  <c r="J744" i="5"/>
  <c r="I744" i="5"/>
  <c r="J743" i="5"/>
  <c r="I743" i="5"/>
  <c r="J742" i="5"/>
  <c r="I742" i="5"/>
  <c r="J741" i="5"/>
  <c r="I741" i="5"/>
  <c r="J740" i="5"/>
  <c r="I740" i="5"/>
  <c r="J739" i="5"/>
  <c r="I739" i="5"/>
  <c r="J738" i="5"/>
  <c r="I738" i="5"/>
  <c r="J737" i="5"/>
  <c r="I737" i="5"/>
  <c r="J736" i="5"/>
  <c r="I736" i="5"/>
  <c r="J735" i="5"/>
  <c r="I735" i="5"/>
  <c r="J734" i="5"/>
  <c r="I734" i="5"/>
  <c r="J733" i="5"/>
  <c r="I733" i="5"/>
  <c r="J732" i="5"/>
  <c r="I732" i="5"/>
  <c r="J731" i="5"/>
  <c r="I731" i="5"/>
  <c r="J730" i="5"/>
  <c r="I730" i="5"/>
  <c r="J729" i="5"/>
  <c r="I729" i="5"/>
  <c r="J728" i="5"/>
  <c r="I728" i="5"/>
  <c r="J727" i="5"/>
  <c r="I727" i="5"/>
  <c r="J726" i="5"/>
  <c r="I726" i="5"/>
  <c r="J725" i="5"/>
  <c r="I725" i="5"/>
  <c r="J724" i="5"/>
  <c r="I724" i="5"/>
  <c r="J723" i="5"/>
  <c r="I723" i="5"/>
  <c r="J722" i="5"/>
  <c r="I722" i="5"/>
  <c r="J721" i="5"/>
  <c r="I721" i="5"/>
  <c r="J720" i="5"/>
  <c r="I720" i="5"/>
  <c r="J719" i="5"/>
  <c r="I719" i="5"/>
  <c r="J718" i="5"/>
  <c r="I718" i="5"/>
  <c r="J717" i="5"/>
  <c r="I717" i="5"/>
  <c r="J716" i="5"/>
  <c r="I716" i="5"/>
  <c r="J715" i="5"/>
  <c r="I715" i="5"/>
  <c r="J714" i="5"/>
  <c r="I714" i="5"/>
  <c r="J713" i="5"/>
  <c r="I713" i="5"/>
  <c r="J712" i="5"/>
  <c r="I712" i="5"/>
  <c r="J711" i="5"/>
  <c r="I711" i="5"/>
  <c r="J710" i="5"/>
  <c r="I710" i="5"/>
  <c r="J709" i="5"/>
  <c r="I709" i="5"/>
  <c r="J708" i="5"/>
  <c r="I708" i="5"/>
  <c r="J707" i="5"/>
  <c r="I707" i="5"/>
  <c r="J706" i="5"/>
  <c r="I706" i="5"/>
  <c r="J705" i="5"/>
  <c r="I705" i="5"/>
  <c r="J704" i="5"/>
  <c r="I704" i="5"/>
  <c r="J703" i="5"/>
  <c r="I703" i="5"/>
  <c r="J702" i="5"/>
  <c r="I702" i="5"/>
  <c r="J701" i="5"/>
  <c r="I701" i="5"/>
  <c r="J700" i="5"/>
  <c r="I700" i="5"/>
  <c r="J699" i="5"/>
  <c r="I699" i="5"/>
  <c r="J698" i="5"/>
  <c r="I698" i="5"/>
  <c r="J697" i="5"/>
  <c r="I697" i="5"/>
  <c r="J696" i="5"/>
  <c r="I696" i="5"/>
  <c r="J695" i="5"/>
  <c r="I695" i="5"/>
  <c r="J694" i="5"/>
  <c r="I694" i="5"/>
  <c r="J693" i="5"/>
  <c r="I693" i="5"/>
  <c r="J692" i="5"/>
  <c r="I692" i="5"/>
  <c r="J691" i="5"/>
  <c r="I691" i="5"/>
  <c r="J690" i="5"/>
  <c r="I690" i="5"/>
  <c r="J689" i="5"/>
  <c r="I689" i="5"/>
  <c r="J688" i="5"/>
  <c r="I688" i="5"/>
  <c r="J687" i="5"/>
  <c r="I687" i="5"/>
  <c r="J686" i="5"/>
  <c r="I686" i="5"/>
  <c r="J685" i="5"/>
  <c r="I685" i="5"/>
  <c r="J684" i="5"/>
  <c r="I684" i="5"/>
  <c r="J683" i="5"/>
  <c r="I683" i="5"/>
  <c r="J682" i="5"/>
  <c r="I682" i="5"/>
  <c r="J681" i="5"/>
  <c r="I681" i="5"/>
  <c r="J680" i="5"/>
  <c r="I680" i="5"/>
  <c r="J679" i="5"/>
  <c r="I679" i="5"/>
  <c r="J678" i="5"/>
  <c r="I678" i="5"/>
  <c r="J677" i="5"/>
  <c r="I677" i="5"/>
  <c r="J676" i="5"/>
  <c r="I676" i="5"/>
  <c r="J675" i="5"/>
  <c r="I675" i="5"/>
  <c r="J674" i="5"/>
  <c r="I674" i="5"/>
  <c r="J673" i="5"/>
  <c r="I673" i="5"/>
  <c r="J672" i="5"/>
  <c r="I672" i="5"/>
  <c r="J671" i="5"/>
  <c r="I671" i="5"/>
  <c r="J670" i="5"/>
  <c r="I670" i="5"/>
  <c r="J669" i="5"/>
  <c r="I669" i="5"/>
  <c r="J668" i="5"/>
  <c r="I668" i="5"/>
  <c r="J667" i="5"/>
  <c r="I667" i="5"/>
  <c r="J666" i="5"/>
  <c r="I666" i="5"/>
  <c r="J665" i="5"/>
  <c r="I665" i="5"/>
  <c r="J664" i="5"/>
  <c r="I664" i="5"/>
  <c r="J663" i="5"/>
  <c r="I663" i="5"/>
  <c r="J662" i="5"/>
  <c r="I662" i="5"/>
  <c r="J661" i="5"/>
  <c r="I661" i="5"/>
  <c r="J660" i="5"/>
  <c r="I660" i="5"/>
  <c r="J659" i="5"/>
  <c r="I659" i="5"/>
  <c r="J658" i="5"/>
  <c r="I658" i="5"/>
  <c r="J657" i="5"/>
  <c r="I657" i="5"/>
  <c r="J656" i="5"/>
  <c r="I656" i="5"/>
  <c r="J655" i="5"/>
  <c r="I655" i="5"/>
  <c r="J654" i="5"/>
  <c r="I654" i="5"/>
  <c r="J653" i="5"/>
  <c r="I653" i="5"/>
  <c r="J652" i="5"/>
  <c r="I652" i="5"/>
  <c r="J651" i="5"/>
  <c r="I651" i="5"/>
  <c r="J650" i="5"/>
  <c r="I650" i="5"/>
  <c r="J649" i="5"/>
  <c r="I649" i="5"/>
  <c r="J648" i="5"/>
  <c r="I648" i="5"/>
  <c r="J647" i="5"/>
  <c r="I647" i="5"/>
  <c r="J646" i="5"/>
  <c r="I646" i="5"/>
  <c r="J645" i="5"/>
  <c r="I645" i="5"/>
  <c r="J644" i="5"/>
  <c r="I644" i="5"/>
  <c r="J643" i="5"/>
  <c r="I643" i="5"/>
  <c r="J642" i="5"/>
  <c r="I642" i="5"/>
  <c r="J641" i="5"/>
  <c r="I641" i="5"/>
  <c r="J640" i="5"/>
  <c r="I640" i="5"/>
  <c r="J639" i="5"/>
  <c r="I639" i="5"/>
  <c r="J638" i="5"/>
  <c r="I638" i="5"/>
  <c r="J637" i="5"/>
  <c r="I637" i="5"/>
  <c r="J636" i="5"/>
  <c r="I636" i="5"/>
  <c r="J635" i="5"/>
  <c r="I635" i="5"/>
  <c r="J634" i="5"/>
  <c r="I634" i="5"/>
  <c r="J633" i="5"/>
  <c r="I633" i="5"/>
  <c r="J632" i="5"/>
  <c r="I632" i="5"/>
  <c r="J631" i="5"/>
  <c r="I631" i="5"/>
  <c r="J630" i="5"/>
  <c r="I630" i="5"/>
  <c r="J629" i="5"/>
  <c r="I629" i="5"/>
  <c r="J628" i="5"/>
  <c r="I628" i="5"/>
  <c r="J627" i="5"/>
  <c r="I627" i="5"/>
  <c r="J626" i="5"/>
  <c r="I626" i="5"/>
  <c r="J625" i="5"/>
  <c r="I625" i="5"/>
  <c r="J624" i="5"/>
  <c r="I624" i="5"/>
  <c r="J623" i="5"/>
  <c r="I623" i="5"/>
  <c r="J622" i="5"/>
  <c r="I622" i="5"/>
  <c r="J621" i="5"/>
  <c r="I621" i="5"/>
  <c r="J620" i="5"/>
  <c r="I620" i="5"/>
  <c r="J619" i="5"/>
  <c r="I619" i="5"/>
  <c r="J618" i="5"/>
  <c r="I618" i="5"/>
  <c r="J617" i="5"/>
  <c r="I617" i="5"/>
  <c r="J616" i="5"/>
  <c r="I616" i="5"/>
  <c r="J615" i="5"/>
  <c r="I615" i="5"/>
  <c r="J614" i="5"/>
  <c r="I614" i="5"/>
  <c r="J613" i="5"/>
  <c r="I613" i="5"/>
  <c r="J612" i="5"/>
  <c r="I612" i="5"/>
  <c r="J611" i="5"/>
  <c r="I611" i="5"/>
  <c r="J610" i="5"/>
  <c r="I610" i="5"/>
  <c r="J609" i="5"/>
  <c r="I609" i="5"/>
  <c r="J608" i="5"/>
  <c r="I608" i="5"/>
  <c r="J607" i="5"/>
  <c r="I607" i="5"/>
  <c r="J606" i="5"/>
  <c r="I606" i="5"/>
  <c r="J605" i="5"/>
  <c r="I605" i="5"/>
  <c r="J604" i="5"/>
  <c r="I604" i="5"/>
  <c r="J603" i="5"/>
  <c r="I603" i="5"/>
  <c r="J602" i="5"/>
  <c r="I602" i="5"/>
  <c r="J601" i="5"/>
  <c r="I601" i="5"/>
  <c r="J600" i="5"/>
  <c r="I600" i="5"/>
  <c r="J599" i="5"/>
  <c r="I599" i="5"/>
  <c r="J598" i="5"/>
  <c r="I598" i="5"/>
  <c r="J597" i="5"/>
  <c r="I597" i="5"/>
  <c r="J596" i="5"/>
  <c r="I596" i="5"/>
  <c r="J595" i="5"/>
  <c r="I595" i="5"/>
  <c r="J594" i="5"/>
  <c r="I594" i="5"/>
  <c r="J593" i="5"/>
  <c r="I593" i="5"/>
  <c r="J592" i="5"/>
  <c r="I592" i="5"/>
  <c r="J591" i="5"/>
  <c r="I591" i="5"/>
  <c r="J590" i="5"/>
  <c r="I590" i="5"/>
  <c r="J589" i="5"/>
  <c r="I589" i="5"/>
  <c r="J588" i="5"/>
  <c r="I588" i="5"/>
  <c r="J587" i="5"/>
  <c r="I587" i="5"/>
  <c r="J586" i="5"/>
  <c r="I586" i="5"/>
  <c r="J585" i="5"/>
  <c r="I585" i="5"/>
  <c r="J584" i="5"/>
  <c r="I584" i="5"/>
  <c r="J583" i="5"/>
  <c r="I583" i="5"/>
  <c r="J582" i="5"/>
  <c r="I582" i="5"/>
  <c r="J581" i="5"/>
  <c r="I581" i="5"/>
  <c r="J580" i="5"/>
  <c r="I580" i="5"/>
  <c r="J579" i="5"/>
  <c r="I579" i="5"/>
  <c r="J578" i="5"/>
  <c r="I578" i="5"/>
  <c r="J577" i="5"/>
  <c r="I577" i="5"/>
  <c r="J576" i="5"/>
  <c r="I576" i="5"/>
  <c r="J575" i="5"/>
  <c r="I575" i="5"/>
  <c r="J574" i="5"/>
  <c r="I574" i="5"/>
  <c r="J573" i="5"/>
  <c r="I573" i="5"/>
  <c r="J572" i="5"/>
  <c r="I572" i="5"/>
  <c r="J571" i="5"/>
  <c r="I571" i="5"/>
  <c r="J570" i="5"/>
  <c r="I570" i="5"/>
  <c r="J569" i="5"/>
  <c r="I569" i="5"/>
  <c r="J568" i="5"/>
  <c r="I568" i="5"/>
  <c r="J567" i="5"/>
  <c r="I567" i="5"/>
  <c r="J566" i="5"/>
  <c r="I566" i="5"/>
  <c r="J565" i="5"/>
  <c r="I565" i="5"/>
  <c r="J564" i="5"/>
  <c r="I564" i="5"/>
  <c r="J563" i="5"/>
  <c r="I563" i="5"/>
  <c r="J562" i="5"/>
  <c r="I562" i="5"/>
  <c r="J561" i="5"/>
  <c r="I561" i="5"/>
  <c r="J560" i="5"/>
  <c r="I560" i="5"/>
  <c r="J559" i="5"/>
  <c r="I559" i="5"/>
  <c r="J558" i="5"/>
  <c r="I558" i="5"/>
  <c r="J557" i="5"/>
  <c r="I557" i="5"/>
  <c r="J556" i="5"/>
  <c r="I556" i="5"/>
  <c r="J555" i="5"/>
  <c r="I555" i="5"/>
  <c r="J554" i="5"/>
  <c r="I554" i="5"/>
  <c r="J553" i="5"/>
  <c r="I553" i="5"/>
  <c r="J552" i="5"/>
  <c r="I552" i="5"/>
  <c r="J551" i="5"/>
  <c r="I551" i="5"/>
  <c r="J550" i="5"/>
  <c r="I550" i="5"/>
  <c r="J549" i="5"/>
  <c r="I549" i="5"/>
  <c r="J548" i="5"/>
  <c r="I548" i="5"/>
  <c r="J547" i="5"/>
  <c r="I547" i="5"/>
  <c r="J546" i="5"/>
  <c r="I546" i="5"/>
  <c r="J545" i="5"/>
  <c r="I545" i="5"/>
  <c r="J544" i="5"/>
  <c r="I544" i="5"/>
  <c r="J543" i="5"/>
  <c r="I543" i="5"/>
  <c r="J542" i="5"/>
  <c r="I542" i="5"/>
  <c r="J541" i="5"/>
  <c r="I541" i="5"/>
  <c r="J540" i="5"/>
  <c r="I540" i="5"/>
  <c r="J539" i="5"/>
  <c r="I539" i="5"/>
  <c r="J538" i="5"/>
  <c r="I538" i="5"/>
  <c r="J537" i="5"/>
  <c r="I537" i="5"/>
  <c r="J536" i="5"/>
  <c r="I536" i="5"/>
  <c r="J535" i="5"/>
  <c r="I535" i="5"/>
  <c r="J534" i="5"/>
  <c r="I534" i="5"/>
  <c r="J533" i="5"/>
  <c r="I533" i="5"/>
  <c r="J532" i="5"/>
  <c r="I532" i="5"/>
  <c r="J531" i="5"/>
  <c r="I531" i="5"/>
  <c r="J530" i="5"/>
  <c r="I530" i="5"/>
  <c r="J529" i="5"/>
  <c r="I529" i="5"/>
  <c r="J528" i="5"/>
  <c r="I528" i="5"/>
  <c r="J527" i="5"/>
  <c r="I527" i="5"/>
  <c r="J526" i="5"/>
  <c r="I526" i="5"/>
  <c r="J525" i="5"/>
  <c r="I525" i="5"/>
  <c r="J524" i="5"/>
  <c r="I524" i="5"/>
  <c r="J523" i="5"/>
  <c r="I523" i="5"/>
  <c r="J522" i="5"/>
  <c r="I522" i="5"/>
  <c r="J521" i="5"/>
  <c r="I521" i="5"/>
  <c r="J520" i="5"/>
  <c r="I520" i="5"/>
  <c r="J519" i="5"/>
  <c r="I519" i="5"/>
  <c r="J518" i="5"/>
  <c r="I518" i="5"/>
  <c r="J517" i="5"/>
  <c r="I517" i="5"/>
  <c r="J516" i="5"/>
  <c r="I516" i="5"/>
  <c r="J515" i="5"/>
  <c r="I515" i="5"/>
  <c r="J514" i="5"/>
  <c r="I514" i="5"/>
  <c r="J513" i="5"/>
  <c r="I513" i="5"/>
  <c r="J512" i="5"/>
  <c r="I512" i="5"/>
  <c r="J511" i="5"/>
  <c r="I511" i="5"/>
  <c r="J510" i="5"/>
  <c r="I510" i="5"/>
  <c r="J509" i="5"/>
  <c r="I509" i="5"/>
  <c r="J508" i="5"/>
  <c r="I508" i="5"/>
  <c r="J507" i="5"/>
  <c r="I507" i="5"/>
  <c r="J506" i="5"/>
  <c r="I506" i="5"/>
  <c r="J505" i="5"/>
  <c r="I505" i="5"/>
  <c r="J504" i="5"/>
  <c r="I504" i="5"/>
  <c r="J503" i="5"/>
  <c r="I503" i="5"/>
  <c r="J502" i="5"/>
  <c r="I502" i="5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H202" i="5"/>
  <c r="J201" i="5"/>
  <c r="I201" i="5"/>
  <c r="J200" i="5"/>
  <c r="I200" i="5"/>
  <c r="J199" i="5"/>
  <c r="I199" i="5"/>
  <c r="J198" i="5"/>
  <c r="I198" i="5"/>
  <c r="J197" i="5"/>
  <c r="I197" i="5"/>
  <c r="J196" i="5"/>
  <c r="I196" i="5"/>
  <c r="J195" i="5"/>
  <c r="I195" i="5"/>
  <c r="J194" i="5"/>
  <c r="I194" i="5"/>
  <c r="J193" i="5"/>
  <c r="I193" i="5"/>
  <c r="J192" i="5"/>
  <c r="I192" i="5"/>
  <c r="J191" i="5"/>
  <c r="I191" i="5"/>
  <c r="J190" i="5"/>
  <c r="I190" i="5"/>
  <c r="J189" i="5"/>
  <c r="I189" i="5"/>
  <c r="J188" i="5"/>
  <c r="I188" i="5"/>
  <c r="J187" i="5"/>
  <c r="I187" i="5"/>
  <c r="J186" i="5"/>
  <c r="I186" i="5"/>
  <c r="J185" i="5"/>
  <c r="I185" i="5"/>
  <c r="J184" i="5"/>
  <c r="I184" i="5"/>
  <c r="J183" i="5"/>
  <c r="I183" i="5"/>
  <c r="J182" i="5"/>
  <c r="I182" i="5"/>
  <c r="J181" i="5"/>
  <c r="I181" i="5"/>
  <c r="J180" i="5"/>
  <c r="I180" i="5"/>
  <c r="J179" i="5"/>
  <c r="I179" i="5"/>
  <c r="J178" i="5"/>
  <c r="I178" i="5"/>
  <c r="J177" i="5"/>
  <c r="I177" i="5"/>
  <c r="J176" i="5"/>
  <c r="I176" i="5"/>
  <c r="J175" i="5"/>
  <c r="I175" i="5"/>
  <c r="J174" i="5"/>
  <c r="I174" i="5"/>
  <c r="J173" i="5"/>
  <c r="I173" i="5"/>
  <c r="J172" i="5"/>
  <c r="I172" i="5"/>
  <c r="J171" i="5"/>
  <c r="I171" i="5"/>
  <c r="J170" i="5"/>
  <c r="I170" i="5"/>
  <c r="J169" i="5"/>
  <c r="I169" i="5"/>
  <c r="J168" i="5"/>
  <c r="I168" i="5"/>
  <c r="J167" i="5"/>
  <c r="I167" i="5"/>
  <c r="J166" i="5"/>
  <c r="I166" i="5"/>
  <c r="J165" i="5"/>
  <c r="I165" i="5"/>
  <c r="J164" i="5"/>
  <c r="I164" i="5"/>
  <c r="J163" i="5"/>
  <c r="I163" i="5"/>
  <c r="J162" i="5"/>
  <c r="I162" i="5"/>
  <c r="J161" i="5"/>
  <c r="I161" i="5"/>
  <c r="J160" i="5"/>
  <c r="I160" i="5"/>
  <c r="J159" i="5"/>
  <c r="I159" i="5"/>
  <c r="J158" i="5"/>
  <c r="I158" i="5"/>
  <c r="J157" i="5"/>
  <c r="I157" i="5"/>
  <c r="J156" i="5"/>
  <c r="I156" i="5"/>
  <c r="H156" i="5"/>
  <c r="J155" i="5"/>
  <c r="I155" i="5"/>
  <c r="J154" i="5"/>
  <c r="I154" i="5"/>
  <c r="J153" i="5"/>
  <c r="I153" i="5"/>
  <c r="J152" i="5"/>
  <c r="I152" i="5"/>
  <c r="J151" i="5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H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H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H76" i="5"/>
  <c r="L76" i="5" s="1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H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H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B17" i="5"/>
  <c r="B19" i="5" s="1"/>
  <c r="B16" i="5"/>
  <c r="H454" i="5" s="1"/>
  <c r="D10" i="5"/>
  <c r="F9" i="5"/>
  <c r="D9" i="5"/>
  <c r="D8" i="5"/>
  <c r="D7" i="5"/>
  <c r="D6" i="5"/>
  <c r="E25" i="4"/>
  <c r="E24" i="4"/>
  <c r="E23" i="4"/>
  <c r="E22" i="4"/>
  <c r="E21" i="4"/>
  <c r="E20" i="4"/>
  <c r="E19" i="4"/>
  <c r="E18" i="4"/>
  <c r="E17" i="4"/>
  <c r="E16" i="4"/>
  <c r="E15" i="4"/>
  <c r="E14" i="4"/>
  <c r="F8" i="4"/>
  <c r="G8" i="4" s="1"/>
  <c r="E8" i="4"/>
  <c r="F7" i="4"/>
  <c r="G7" i="4" s="1"/>
  <c r="E7" i="4"/>
  <c r="F6" i="4"/>
  <c r="G6" i="4" s="1"/>
  <c r="E6" i="4"/>
  <c r="C206" i="3"/>
  <c r="B206" i="3"/>
  <c r="D205" i="3"/>
  <c r="D204" i="3"/>
  <c r="E204" i="3" s="1"/>
  <c r="D203" i="3"/>
  <c r="D202" i="3"/>
  <c r="E202" i="3" s="1"/>
  <c r="D201" i="3"/>
  <c r="D200" i="3"/>
  <c r="E200" i="3" s="1"/>
  <c r="D199" i="3"/>
  <c r="D198" i="3"/>
  <c r="E197" i="3"/>
  <c r="D197" i="3"/>
  <c r="D196" i="3"/>
  <c r="E196" i="3" s="1"/>
  <c r="D195" i="3"/>
  <c r="E195" i="3" s="1"/>
  <c r="E194" i="3"/>
  <c r="D194" i="3"/>
  <c r="D193" i="3"/>
  <c r="E193" i="3" s="1"/>
  <c r="D192" i="3"/>
  <c r="E192" i="3" s="1"/>
  <c r="D191" i="3"/>
  <c r="E191" i="3" s="1"/>
  <c r="D190" i="3"/>
  <c r="D189" i="3"/>
  <c r="E188" i="3"/>
  <c r="D188" i="3"/>
  <c r="D187" i="3"/>
  <c r="E186" i="3"/>
  <c r="D186" i="3"/>
  <c r="D185" i="3"/>
  <c r="D184" i="3"/>
  <c r="E184" i="3" s="1"/>
  <c r="D183" i="3"/>
  <c r="D182" i="3"/>
  <c r="D181" i="3"/>
  <c r="E181" i="3" s="1"/>
  <c r="D180" i="3"/>
  <c r="E180" i="3" s="1"/>
  <c r="D179" i="3"/>
  <c r="E179" i="3" s="1"/>
  <c r="D178" i="3"/>
  <c r="E178" i="3" s="1"/>
  <c r="D177" i="3"/>
  <c r="E177" i="3" s="1"/>
  <c r="D176" i="3"/>
  <c r="E175" i="3"/>
  <c r="D175" i="3"/>
  <c r="D174" i="3"/>
  <c r="D173" i="3"/>
  <c r="D172" i="3"/>
  <c r="E172" i="3" s="1"/>
  <c r="D171" i="3"/>
  <c r="D170" i="3"/>
  <c r="E170" i="3" s="1"/>
  <c r="D169" i="3"/>
  <c r="D168" i="3"/>
  <c r="E168" i="3" s="1"/>
  <c r="D167" i="3"/>
  <c r="D166" i="3"/>
  <c r="D165" i="3"/>
  <c r="E165" i="3" s="1"/>
  <c r="D164" i="3"/>
  <c r="E164" i="3" s="1"/>
  <c r="E163" i="3"/>
  <c r="D163" i="3"/>
  <c r="D162" i="3"/>
  <c r="D161" i="3"/>
  <c r="E161" i="3" s="1"/>
  <c r="D160" i="3"/>
  <c r="E160" i="3" s="1"/>
  <c r="E159" i="3"/>
  <c r="D159" i="3"/>
  <c r="D158" i="3"/>
  <c r="D157" i="3"/>
  <c r="D156" i="3"/>
  <c r="E156" i="3" s="1"/>
  <c r="D155" i="3"/>
  <c r="D154" i="3"/>
  <c r="E154" i="3" s="1"/>
  <c r="D153" i="3"/>
  <c r="D152" i="3"/>
  <c r="E152" i="3" s="1"/>
  <c r="D151" i="3"/>
  <c r="D150" i="3"/>
  <c r="E149" i="3"/>
  <c r="D149" i="3"/>
  <c r="D148" i="3"/>
  <c r="E148" i="3" s="1"/>
  <c r="E147" i="3"/>
  <c r="D147" i="3"/>
  <c r="D146" i="3"/>
  <c r="D145" i="3"/>
  <c r="D144" i="3"/>
  <c r="D143" i="3"/>
  <c r="E143" i="3" s="1"/>
  <c r="D142" i="3"/>
  <c r="E141" i="3"/>
  <c r="D141" i="3"/>
  <c r="E140" i="3"/>
  <c r="D140" i="3"/>
  <c r="D139" i="3"/>
  <c r="E138" i="3"/>
  <c r="D138" i="3"/>
  <c r="D137" i="3"/>
  <c r="D136" i="3"/>
  <c r="E136" i="3" s="1"/>
  <c r="D135" i="3"/>
  <c r="D134" i="3"/>
  <c r="D133" i="3"/>
  <c r="E133" i="3" s="1"/>
  <c r="D132" i="3"/>
  <c r="E132" i="3" s="1"/>
  <c r="D131" i="3"/>
  <c r="E131" i="3" s="1"/>
  <c r="D130" i="3"/>
  <c r="D129" i="3"/>
  <c r="E129" i="3" s="1"/>
  <c r="D128" i="3"/>
  <c r="E127" i="3"/>
  <c r="D127" i="3"/>
  <c r="D126" i="3"/>
  <c r="E126" i="3" s="1"/>
  <c r="D125" i="3"/>
  <c r="E124" i="3"/>
  <c r="D124" i="3"/>
  <c r="E123" i="3"/>
  <c r="D123" i="3"/>
  <c r="D122" i="3"/>
  <c r="E122" i="3" s="1"/>
  <c r="E121" i="3"/>
  <c r="D121" i="3"/>
  <c r="D120" i="3"/>
  <c r="E120" i="3" s="1"/>
  <c r="D119" i="3"/>
  <c r="D118" i="3"/>
  <c r="E117" i="3"/>
  <c r="D117" i="3"/>
  <c r="D116" i="3"/>
  <c r="E116" i="3" s="1"/>
  <c r="E115" i="3"/>
  <c r="D115" i="3"/>
  <c r="E114" i="3"/>
  <c r="D114" i="3"/>
  <c r="D113" i="3"/>
  <c r="E113" i="3" s="1"/>
  <c r="E112" i="3"/>
  <c r="D112" i="3"/>
  <c r="D111" i="3"/>
  <c r="E111" i="3" s="1"/>
  <c r="D110" i="3"/>
  <c r="D109" i="3"/>
  <c r="E108" i="3"/>
  <c r="D108" i="3"/>
  <c r="D107" i="3"/>
  <c r="E106" i="3"/>
  <c r="D106" i="3"/>
  <c r="D105" i="3"/>
  <c r="D104" i="3"/>
  <c r="E104" i="3" s="1"/>
  <c r="D103" i="3"/>
  <c r="D102" i="3"/>
  <c r="D101" i="3"/>
  <c r="E101" i="3" s="1"/>
  <c r="D100" i="3"/>
  <c r="E100" i="3" s="1"/>
  <c r="D99" i="3"/>
  <c r="E99" i="3" s="1"/>
  <c r="D98" i="3"/>
  <c r="E98" i="3" s="1"/>
  <c r="D97" i="3"/>
  <c r="E97" i="3" s="1"/>
  <c r="D96" i="3"/>
  <c r="E96" i="3" s="1"/>
  <c r="E95" i="3"/>
  <c r="D95" i="3"/>
  <c r="D94" i="3"/>
  <c r="D93" i="3"/>
  <c r="E92" i="3"/>
  <c r="D92" i="3"/>
  <c r="D91" i="3"/>
  <c r="D90" i="3"/>
  <c r="E90" i="3" s="1"/>
  <c r="D89" i="3"/>
  <c r="D88" i="3"/>
  <c r="E88" i="3" s="1"/>
  <c r="D87" i="3"/>
  <c r="D86" i="3"/>
  <c r="E85" i="3"/>
  <c r="D85" i="3"/>
  <c r="D84" i="3"/>
  <c r="E84" i="3" s="1"/>
  <c r="E83" i="3"/>
  <c r="D83" i="3"/>
  <c r="E82" i="3"/>
  <c r="D82" i="3"/>
  <c r="D81" i="3"/>
  <c r="E81" i="3" s="1"/>
  <c r="D80" i="3"/>
  <c r="D79" i="3"/>
  <c r="E79" i="3" s="1"/>
  <c r="E78" i="3"/>
  <c r="D78" i="3"/>
  <c r="D77" i="3"/>
  <c r="D76" i="3"/>
  <c r="E76" i="3" s="1"/>
  <c r="D75" i="3"/>
  <c r="D74" i="3"/>
  <c r="E74" i="3" s="1"/>
  <c r="D73" i="3"/>
  <c r="D72" i="3"/>
  <c r="E72" i="3" s="1"/>
  <c r="D71" i="3"/>
  <c r="D70" i="3"/>
  <c r="E69" i="3"/>
  <c r="D69" i="3"/>
  <c r="D68" i="3"/>
  <c r="E68" i="3" s="1"/>
  <c r="D67" i="3"/>
  <c r="E67" i="3" s="1"/>
  <c r="D66" i="3"/>
  <c r="D65" i="3"/>
  <c r="E65" i="3" s="1"/>
  <c r="D64" i="3"/>
  <c r="E64" i="3" s="1"/>
  <c r="E63" i="3"/>
  <c r="D63" i="3"/>
  <c r="D62" i="3"/>
  <c r="E62" i="3" s="1"/>
  <c r="D61" i="3"/>
  <c r="E60" i="3"/>
  <c r="D60" i="3"/>
  <c r="D59" i="3"/>
  <c r="D58" i="3"/>
  <c r="E58" i="3" s="1"/>
  <c r="D57" i="3"/>
  <c r="D56" i="3"/>
  <c r="E56" i="3" s="1"/>
  <c r="D55" i="3"/>
  <c r="D54" i="3"/>
  <c r="D53" i="3"/>
  <c r="E53" i="3" s="1"/>
  <c r="D52" i="3"/>
  <c r="E52" i="3" s="1"/>
  <c r="D51" i="3"/>
  <c r="E51" i="3" s="1"/>
  <c r="D50" i="3"/>
  <c r="E50" i="3" s="1"/>
  <c r="D49" i="3"/>
  <c r="D48" i="3"/>
  <c r="E48" i="3" s="1"/>
  <c r="D47" i="3"/>
  <c r="E47" i="3" s="1"/>
  <c r="D46" i="3"/>
  <c r="D45" i="3"/>
  <c r="E44" i="3"/>
  <c r="D44" i="3"/>
  <c r="D43" i="3"/>
  <c r="D42" i="3"/>
  <c r="E42" i="3" s="1"/>
  <c r="D41" i="3"/>
  <c r="D40" i="3"/>
  <c r="E40" i="3" s="1"/>
  <c r="D39" i="3"/>
  <c r="D38" i="3"/>
  <c r="E37" i="3"/>
  <c r="D37" i="3"/>
  <c r="D36" i="3"/>
  <c r="E36" i="3" s="1"/>
  <c r="D35" i="3"/>
  <c r="E35" i="3" s="1"/>
  <c r="D34" i="3"/>
  <c r="E34" i="3" s="1"/>
  <c r="D33" i="3"/>
  <c r="K32" i="3"/>
  <c r="E32" i="3"/>
  <c r="D32" i="3"/>
  <c r="K31" i="3"/>
  <c r="D31" i="3"/>
  <c r="E31" i="3" s="1"/>
  <c r="K30" i="3"/>
  <c r="D30" i="3"/>
  <c r="E30" i="3" s="1"/>
  <c r="K29" i="3"/>
  <c r="D29" i="3"/>
  <c r="E29" i="3" s="1"/>
  <c r="K28" i="3"/>
  <c r="D28" i="3"/>
  <c r="K27" i="3"/>
  <c r="D27" i="3"/>
  <c r="D26" i="3"/>
  <c r="D25" i="3"/>
  <c r="E25" i="3" s="1"/>
  <c r="D24" i="3"/>
  <c r="E24" i="3" s="1"/>
  <c r="D23" i="3"/>
  <c r="E23" i="3" s="1"/>
  <c r="D22" i="3"/>
  <c r="K21" i="3"/>
  <c r="D21" i="3"/>
  <c r="K20" i="3"/>
  <c r="D20" i="3"/>
  <c r="E20" i="3" s="1"/>
  <c r="K19" i="3"/>
  <c r="D19" i="3"/>
  <c r="K18" i="3"/>
  <c r="D18" i="3"/>
  <c r="E18" i="3" s="1"/>
  <c r="K17" i="3"/>
  <c r="D17" i="3"/>
  <c r="E17" i="3" s="1"/>
  <c r="K16" i="3"/>
  <c r="D16" i="3"/>
  <c r="E16" i="3" s="1"/>
  <c r="K15" i="3"/>
  <c r="D15" i="3"/>
  <c r="K14" i="3"/>
  <c r="D14" i="3"/>
  <c r="E14" i="3" s="1"/>
  <c r="K13" i="3"/>
  <c r="D13" i="3"/>
  <c r="E13" i="3" s="1"/>
  <c r="K12" i="3"/>
  <c r="E12" i="3"/>
  <c r="D12" i="3"/>
  <c r="K11" i="3"/>
  <c r="D11" i="3"/>
  <c r="E11" i="3" s="1"/>
  <c r="K10" i="3"/>
  <c r="D10" i="3"/>
  <c r="E10" i="3" s="1"/>
  <c r="K9" i="3"/>
  <c r="D9" i="3"/>
  <c r="K8" i="3"/>
  <c r="D8" i="3"/>
  <c r="K7" i="3"/>
  <c r="D7" i="3"/>
  <c r="K6" i="3"/>
  <c r="D6" i="3"/>
  <c r="B46" i="2"/>
  <c r="C14" i="2"/>
  <c r="F8" i="5" s="1"/>
  <c r="B14" i="2"/>
  <c r="D13" i="2"/>
  <c r="E13" i="2" s="1"/>
  <c r="D12" i="2"/>
  <c r="E12" i="2" s="1"/>
  <c r="D11" i="2"/>
  <c r="E11" i="2" s="1"/>
  <c r="D10" i="2"/>
  <c r="E10" i="2" s="1"/>
  <c r="K9" i="2"/>
  <c r="L9" i="2" s="1"/>
  <c r="D9" i="2"/>
  <c r="E9" i="2" s="1"/>
  <c r="K8" i="2"/>
  <c r="L8" i="2" s="1"/>
  <c r="D8" i="2"/>
  <c r="K7" i="2"/>
  <c r="L7" i="2" s="1"/>
  <c r="D7" i="2"/>
  <c r="E7" i="2" s="1"/>
  <c r="K6" i="2"/>
  <c r="L6" i="2" s="1"/>
  <c r="D6" i="2"/>
  <c r="E6" i="2" s="1"/>
  <c r="H98" i="5" l="1"/>
  <c r="L98" i="5" s="1"/>
  <c r="H431" i="5"/>
  <c r="H136" i="5"/>
  <c r="L136" i="5" s="1"/>
  <c r="H31" i="5"/>
  <c r="L31" i="5" s="1"/>
  <c r="K136" i="5"/>
  <c r="H608" i="5"/>
  <c r="H63" i="5"/>
  <c r="L63" i="5" s="1"/>
  <c r="K98" i="5"/>
  <c r="H165" i="5"/>
  <c r="L165" i="5" s="1"/>
  <c r="K43" i="5"/>
  <c r="H121" i="5"/>
  <c r="L121" i="5" s="1"/>
  <c r="H197" i="5"/>
  <c r="L197" i="5" s="1"/>
  <c r="H72" i="5"/>
  <c r="L72" i="5" s="1"/>
  <c r="H152" i="5"/>
  <c r="H537" i="5"/>
  <c r="L537" i="5" s="1"/>
  <c r="H57" i="5"/>
  <c r="L57" i="5" s="1"/>
  <c r="H79" i="5"/>
  <c r="L79" i="5" s="1"/>
  <c r="H384" i="5"/>
  <c r="H59" i="5"/>
  <c r="L59" i="5" s="1"/>
  <c r="H66" i="5"/>
  <c r="L66" i="5" s="1"/>
  <c r="K79" i="5"/>
  <c r="H411" i="5"/>
  <c r="H43" i="5"/>
  <c r="L43" i="5" s="1"/>
  <c r="H109" i="5"/>
  <c r="K109" i="5" s="1"/>
  <c r="H37" i="5"/>
  <c r="K37" i="5" s="1"/>
  <c r="H53" i="5"/>
  <c r="L53" i="5" s="1"/>
  <c r="K59" i="5"/>
  <c r="H73" i="5"/>
  <c r="L73" i="5" s="1"/>
  <c r="H40" i="5"/>
  <c r="L40" i="5" s="1"/>
  <c r="H102" i="5"/>
  <c r="H117" i="5"/>
  <c r="H124" i="5"/>
  <c r="K124" i="5" s="1"/>
  <c r="H309" i="5"/>
  <c r="H91" i="5"/>
  <c r="L91" i="5" s="1"/>
  <c r="H47" i="5"/>
  <c r="L47" i="5" s="1"/>
  <c r="H255" i="5"/>
  <c r="L255" i="5" s="1"/>
  <c r="H216" i="5"/>
  <c r="H271" i="5"/>
  <c r="K271" i="5" s="1"/>
  <c r="H715" i="5"/>
  <c r="L715" i="5" s="1"/>
  <c r="H50" i="5"/>
  <c r="L50" i="5" s="1"/>
  <c r="H34" i="5"/>
  <c r="L34" i="5" s="1"/>
  <c r="H41" i="5"/>
  <c r="L41" i="5" s="1"/>
  <c r="H133" i="5"/>
  <c r="L133" i="5" s="1"/>
  <c r="H140" i="5"/>
  <c r="L140" i="5" s="1"/>
  <c r="H170" i="5"/>
  <c r="H287" i="5"/>
  <c r="L287" i="5" s="1"/>
  <c r="E8" i="5"/>
  <c r="G8" i="5" s="1"/>
  <c r="E7" i="5"/>
  <c r="B7" i="1"/>
  <c r="E10" i="5"/>
  <c r="E6" i="5"/>
  <c r="E80" i="3"/>
  <c r="F141" i="3"/>
  <c r="F151" i="3"/>
  <c r="F162" i="3"/>
  <c r="E203" i="3"/>
  <c r="L454" i="5"/>
  <c r="K454" i="5"/>
  <c r="K53" i="5"/>
  <c r="E171" i="3"/>
  <c r="F130" i="3"/>
  <c r="F91" i="3"/>
  <c r="E91" i="3"/>
  <c r="F112" i="3"/>
  <c r="K197" i="5"/>
  <c r="L411" i="5"/>
  <c r="K411" i="5"/>
  <c r="F41" i="3"/>
  <c r="F61" i="3"/>
  <c r="F174" i="3"/>
  <c r="L309" i="5"/>
  <c r="K309" i="5"/>
  <c r="L608" i="5"/>
  <c r="K608" i="5"/>
  <c r="F26" i="3"/>
  <c r="F93" i="3"/>
  <c r="F103" i="3"/>
  <c r="F114" i="3"/>
  <c r="F123" i="3"/>
  <c r="L271" i="5"/>
  <c r="F194" i="3"/>
  <c r="F73" i="3"/>
  <c r="F102" i="3"/>
  <c r="F204" i="3"/>
  <c r="L37" i="5"/>
  <c r="F192" i="3"/>
  <c r="L11" i="3"/>
  <c r="L18" i="3"/>
  <c r="L32" i="3"/>
  <c r="F8" i="3"/>
  <c r="E75" i="3"/>
  <c r="F145" i="3"/>
  <c r="F166" i="3"/>
  <c r="E187" i="3"/>
  <c r="F187" i="3"/>
  <c r="L56" i="5"/>
  <c r="K56" i="5"/>
  <c r="L156" i="5"/>
  <c r="K156" i="5"/>
  <c r="F110" i="3"/>
  <c r="E59" i="3"/>
  <c r="F59" i="3"/>
  <c r="D206" i="3"/>
  <c r="E8" i="2"/>
  <c r="D14" i="2"/>
  <c r="F150" i="3" s="1"/>
  <c r="E43" i="3"/>
  <c r="F43" i="3"/>
  <c r="F105" i="3"/>
  <c r="E176" i="3"/>
  <c r="E8" i="3"/>
  <c r="F54" i="3"/>
  <c r="F96" i="3"/>
  <c r="F125" i="3"/>
  <c r="F146" i="3"/>
  <c r="F167" i="3"/>
  <c r="F178" i="3"/>
  <c r="F188" i="3"/>
  <c r="F173" i="3"/>
  <c r="E144" i="3"/>
  <c r="F66" i="3"/>
  <c r="F137" i="3"/>
  <c r="F157" i="3"/>
  <c r="F198" i="3"/>
  <c r="F77" i="3"/>
  <c r="E107" i="3"/>
  <c r="F107" i="3"/>
  <c r="F169" i="3"/>
  <c r="F189" i="3"/>
  <c r="F199" i="3"/>
  <c r="L69" i="5"/>
  <c r="K69" i="5"/>
  <c r="L102" i="5"/>
  <c r="K102" i="5"/>
  <c r="L109" i="5"/>
  <c r="K384" i="5"/>
  <c r="L384" i="5"/>
  <c r="F183" i="3"/>
  <c r="F134" i="3"/>
  <c r="L8" i="3"/>
  <c r="F46" i="3"/>
  <c r="E21" i="3"/>
  <c r="F21" i="3"/>
  <c r="F87" i="3"/>
  <c r="F98" i="3"/>
  <c r="F190" i="3"/>
  <c r="L431" i="5"/>
  <c r="K431" i="5"/>
  <c r="F86" i="3"/>
  <c r="F158" i="3"/>
  <c r="F128" i="3"/>
  <c r="F201" i="3"/>
  <c r="L83" i="5"/>
  <c r="K83" i="5"/>
  <c r="L117" i="5"/>
  <c r="K117" i="5"/>
  <c r="L216" i="5"/>
  <c r="K216" i="5"/>
  <c r="F121" i="3"/>
  <c r="F27" i="3"/>
  <c r="F19" i="3"/>
  <c r="F64" i="3"/>
  <c r="E155" i="3"/>
  <c r="F155" i="3"/>
  <c r="F55" i="3"/>
  <c r="F9" i="3"/>
  <c r="L9" i="3"/>
  <c r="L14" i="3"/>
  <c r="F15" i="3"/>
  <c r="L29" i="3"/>
  <c r="F118" i="3"/>
  <c r="L15" i="3"/>
  <c r="F48" i="3"/>
  <c r="F89" i="3"/>
  <c r="F109" i="3"/>
  <c r="F119" i="3"/>
  <c r="E128" i="3"/>
  <c r="E139" i="3"/>
  <c r="F160" i="3"/>
  <c r="E9" i="5"/>
  <c r="G9" i="5" s="1"/>
  <c r="L152" i="5"/>
  <c r="K152" i="5"/>
  <c r="L90" i="5"/>
  <c r="K90" i="5"/>
  <c r="H232" i="5"/>
  <c r="H303" i="5"/>
  <c r="H479" i="5"/>
  <c r="H521" i="5"/>
  <c r="E86" i="3"/>
  <c r="E118" i="3"/>
  <c r="E134" i="3"/>
  <c r="E150" i="3"/>
  <c r="E166" i="3"/>
  <c r="E182" i="3"/>
  <c r="E198" i="3"/>
  <c r="H95" i="5"/>
  <c r="H106" i="5"/>
  <c r="H114" i="5"/>
  <c r="H125" i="5"/>
  <c r="H149" i="5"/>
  <c r="H166" i="5"/>
  <c r="H175" i="5"/>
  <c r="H184" i="5"/>
  <c r="H198" i="5"/>
  <c r="H207" i="5"/>
  <c r="H239" i="5"/>
  <c r="H293" i="5"/>
  <c r="H322" i="5"/>
  <c r="H341" i="5"/>
  <c r="L170" i="5"/>
  <c r="K170" i="5"/>
  <c r="E26" i="3"/>
  <c r="E38" i="3"/>
  <c r="E54" i="3"/>
  <c r="E70" i="3"/>
  <c r="E102" i="3"/>
  <c r="E15" i="3"/>
  <c r="F18" i="3"/>
  <c r="E33" i="3"/>
  <c r="E49" i="3"/>
  <c r="E145" i="3"/>
  <c r="H44" i="5"/>
  <c r="H60" i="5"/>
  <c r="H80" i="5"/>
  <c r="H99" i="5"/>
  <c r="H137" i="5"/>
  <c r="H141" i="5"/>
  <c r="H157" i="5"/>
  <c r="H189" i="5"/>
  <c r="H223" i="5"/>
  <c r="H277" i="5"/>
  <c r="H335" i="5"/>
  <c r="H392" i="5"/>
  <c r="H399" i="5"/>
  <c r="H531" i="5"/>
  <c r="H663" i="5"/>
  <c r="F6" i="5"/>
  <c r="G6" i="5" s="1"/>
  <c r="F10" i="5"/>
  <c r="G10" i="5" s="1"/>
  <c r="K66" i="5"/>
  <c r="H88" i="5"/>
  <c r="K91" i="5"/>
  <c r="H118" i="5"/>
  <c r="H130" i="5"/>
  <c r="H153" i="5"/>
  <c r="H162" i="5"/>
  <c r="H171" i="5"/>
  <c r="H194" i="5"/>
  <c r="H203" i="5"/>
  <c r="K255" i="5"/>
  <c r="H261" i="5"/>
  <c r="H354" i="5"/>
  <c r="H373" i="5"/>
  <c r="H419" i="5"/>
  <c r="H475" i="5"/>
  <c r="E27" i="3"/>
  <c r="E39" i="3"/>
  <c r="E55" i="3"/>
  <c r="E71" i="3"/>
  <c r="E87" i="3"/>
  <c r="E103" i="3"/>
  <c r="E119" i="3"/>
  <c r="E135" i="3"/>
  <c r="E151" i="3"/>
  <c r="E167" i="3"/>
  <c r="E183" i="3"/>
  <c r="E199" i="3"/>
  <c r="H38" i="5"/>
  <c r="K47" i="5"/>
  <c r="H54" i="5"/>
  <c r="K63" i="5"/>
  <c r="H70" i="5"/>
  <c r="K76" i="5"/>
  <c r="H107" i="5"/>
  <c r="H146" i="5"/>
  <c r="H245" i="5"/>
  <c r="H294" i="5"/>
  <c r="H367" i="5"/>
  <c r="H380" i="5"/>
  <c r="E6" i="3"/>
  <c r="E22" i="3"/>
  <c r="E66" i="3"/>
  <c r="E130" i="3"/>
  <c r="E146" i="3"/>
  <c r="E162" i="3"/>
  <c r="H1343" i="5"/>
  <c r="H1327" i="5"/>
  <c r="H1311" i="5"/>
  <c r="H1295" i="5"/>
  <c r="H1279" i="5"/>
  <c r="H1263" i="5"/>
  <c r="H1247" i="5"/>
  <c r="H1231" i="5"/>
  <c r="H1215" i="5"/>
  <c r="H1199" i="5"/>
  <c r="H1183" i="5"/>
  <c r="H1167" i="5"/>
  <c r="H1151" i="5"/>
  <c r="H1135" i="5"/>
  <c r="H1119" i="5"/>
  <c r="H1103" i="5"/>
  <c r="H1087" i="5"/>
  <c r="H1071" i="5"/>
  <c r="H1055" i="5"/>
  <c r="H1039" i="5"/>
  <c r="H1023" i="5"/>
  <c r="H1007" i="5"/>
  <c r="H991" i="5"/>
  <c r="H975" i="5"/>
  <c r="H959" i="5"/>
  <c r="H943" i="5"/>
  <c r="H927" i="5"/>
  <c r="H1346" i="5"/>
  <c r="H1330" i="5"/>
  <c r="H1314" i="5"/>
  <c r="H1298" i="5"/>
  <c r="H1282" i="5"/>
  <c r="H1266" i="5"/>
  <c r="H1250" i="5"/>
  <c r="H1234" i="5"/>
  <c r="H1218" i="5"/>
  <c r="H1202" i="5"/>
  <c r="H1186" i="5"/>
  <c r="H1170" i="5"/>
  <c r="H1154" i="5"/>
  <c r="H1138" i="5"/>
  <c r="H1122" i="5"/>
  <c r="H1106" i="5"/>
  <c r="H1090" i="5"/>
  <c r="H1074" i="5"/>
  <c r="H1058" i="5"/>
  <c r="H1042" i="5"/>
  <c r="H1026" i="5"/>
  <c r="H1010" i="5"/>
  <c r="H994" i="5"/>
  <c r="H978" i="5"/>
  <c r="H962" i="5"/>
  <c r="H946" i="5"/>
  <c r="H930" i="5"/>
  <c r="H914" i="5"/>
  <c r="H898" i="5"/>
  <c r="H1349" i="5"/>
  <c r="H1333" i="5"/>
  <c r="H1317" i="5"/>
  <c r="H1301" i="5"/>
  <c r="H1285" i="5"/>
  <c r="H1269" i="5"/>
  <c r="H1253" i="5"/>
  <c r="H1237" i="5"/>
  <c r="H1221" i="5"/>
  <c r="H1205" i="5"/>
  <c r="H1189" i="5"/>
  <c r="H1173" i="5"/>
  <c r="H1157" i="5"/>
  <c r="H1141" i="5"/>
  <c r="H1125" i="5"/>
  <c r="H1109" i="5"/>
  <c r="H1093" i="5"/>
  <c r="H1077" i="5"/>
  <c r="H1061" i="5"/>
  <c r="H1045" i="5"/>
  <c r="H1029" i="5"/>
  <c r="H1013" i="5"/>
  <c r="H997" i="5"/>
  <c r="H981" i="5"/>
  <c r="H965" i="5"/>
  <c r="H949" i="5"/>
  <c r="H933" i="5"/>
  <c r="H917" i="5"/>
  <c r="H901" i="5"/>
  <c r="H1336" i="5"/>
  <c r="H1320" i="5"/>
  <c r="H1304" i="5"/>
  <c r="H1288" i="5"/>
  <c r="H1272" i="5"/>
  <c r="H1256" i="5"/>
  <c r="H1240" i="5"/>
  <c r="H1224" i="5"/>
  <c r="H1208" i="5"/>
  <c r="H1192" i="5"/>
  <c r="H1176" i="5"/>
  <c r="H1160" i="5"/>
  <c r="H1144" i="5"/>
  <c r="H1128" i="5"/>
  <c r="H1112" i="5"/>
  <c r="H1096" i="5"/>
  <c r="H1080" i="5"/>
  <c r="H1064" i="5"/>
  <c r="H1048" i="5"/>
  <c r="H1032" i="5"/>
  <c r="H1016" i="5"/>
  <c r="H1000" i="5"/>
  <c r="H984" i="5"/>
  <c r="H968" i="5"/>
  <c r="H952" i="5"/>
  <c r="H936" i="5"/>
  <c r="H920" i="5"/>
  <c r="H1339" i="5"/>
  <c r="H1323" i="5"/>
  <c r="H1307" i="5"/>
  <c r="H1291" i="5"/>
  <c r="H1275" i="5"/>
  <c r="H1259" i="5"/>
  <c r="H1243" i="5"/>
  <c r="H1227" i="5"/>
  <c r="H1211" i="5"/>
  <c r="H1195" i="5"/>
  <c r="H1179" i="5"/>
  <c r="H1163" i="5"/>
  <c r="H1147" i="5"/>
  <c r="H1131" i="5"/>
  <c r="H1115" i="5"/>
  <c r="H1099" i="5"/>
  <c r="H1083" i="5"/>
  <c r="H1067" i="5"/>
  <c r="H1051" i="5"/>
  <c r="H1035" i="5"/>
  <c r="H1019" i="5"/>
  <c r="H1003" i="5"/>
  <c r="H987" i="5"/>
  <c r="H971" i="5"/>
  <c r="H955" i="5"/>
  <c r="H939" i="5"/>
  <c r="H923" i="5"/>
  <c r="H1342" i="5"/>
  <c r="H1326" i="5"/>
  <c r="H1310" i="5"/>
  <c r="H1294" i="5"/>
  <c r="H1278" i="5"/>
  <c r="H1262" i="5"/>
  <c r="H1246" i="5"/>
  <c r="H1230" i="5"/>
  <c r="H1214" i="5"/>
  <c r="H1198" i="5"/>
  <c r="H1182" i="5"/>
  <c r="H1166" i="5"/>
  <c r="H1150" i="5"/>
  <c r="H1134" i="5"/>
  <c r="H1118" i="5"/>
  <c r="H1102" i="5"/>
  <c r="H1086" i="5"/>
  <c r="H1070" i="5"/>
  <c r="H1054" i="5"/>
  <c r="H1038" i="5"/>
  <c r="H1022" i="5"/>
  <c r="H1006" i="5"/>
  <c r="H990" i="5"/>
  <c r="H974" i="5"/>
  <c r="H958" i="5"/>
  <c r="H942" i="5"/>
  <c r="H926" i="5"/>
  <c r="H910" i="5"/>
  <c r="H894" i="5"/>
  <c r="H1345" i="5"/>
  <c r="H1329" i="5"/>
  <c r="H1313" i="5"/>
  <c r="H1297" i="5"/>
  <c r="H1281" i="5"/>
  <c r="H1265" i="5"/>
  <c r="H1249" i="5"/>
  <c r="H1233" i="5"/>
  <c r="H1217" i="5"/>
  <c r="H1201" i="5"/>
  <c r="H1185" i="5"/>
  <c r="H1169" i="5"/>
  <c r="H1153" i="5"/>
  <c r="H1137" i="5"/>
  <c r="H1121" i="5"/>
  <c r="H1105" i="5"/>
  <c r="H1089" i="5"/>
  <c r="H1073" i="5"/>
  <c r="H1057" i="5"/>
  <c r="H1041" i="5"/>
  <c r="H1025" i="5"/>
  <c r="H1009" i="5"/>
  <c r="H993" i="5"/>
  <c r="H977" i="5"/>
  <c r="H961" i="5"/>
  <c r="H945" i="5"/>
  <c r="H929" i="5"/>
  <c r="H913" i="5"/>
  <c r="H897" i="5"/>
  <c r="H1348" i="5"/>
  <c r="H1332" i="5"/>
  <c r="H1316" i="5"/>
  <c r="H1300" i="5"/>
  <c r="H1284" i="5"/>
  <c r="H1268" i="5"/>
  <c r="H1252" i="5"/>
  <c r="H1236" i="5"/>
  <c r="H1220" i="5"/>
  <c r="H1204" i="5"/>
  <c r="H1188" i="5"/>
  <c r="H1172" i="5"/>
  <c r="H1156" i="5"/>
  <c r="H1140" i="5"/>
  <c r="H1124" i="5"/>
  <c r="H1108" i="5"/>
  <c r="H1092" i="5"/>
  <c r="H1076" i="5"/>
  <c r="H1060" i="5"/>
  <c r="H1044" i="5"/>
  <c r="H1028" i="5"/>
  <c r="H1012" i="5"/>
  <c r="H996" i="5"/>
  <c r="H980" i="5"/>
  <c r="H964" i="5"/>
  <c r="H948" i="5"/>
  <c r="H932" i="5"/>
  <c r="H916" i="5"/>
  <c r="H1335" i="5"/>
  <c r="H1319" i="5"/>
  <c r="H1303" i="5"/>
  <c r="H1287" i="5"/>
  <c r="H1271" i="5"/>
  <c r="H1255" i="5"/>
  <c r="H1239" i="5"/>
  <c r="H1223" i="5"/>
  <c r="H1207" i="5"/>
  <c r="H1191" i="5"/>
  <c r="H1175" i="5"/>
  <c r="H1159" i="5"/>
  <c r="H1143" i="5"/>
  <c r="H1127" i="5"/>
  <c r="H1111" i="5"/>
  <c r="H1095" i="5"/>
  <c r="H1079" i="5"/>
  <c r="H1063" i="5"/>
  <c r="H1047" i="5"/>
  <c r="H1031" i="5"/>
  <c r="H1015" i="5"/>
  <c r="H999" i="5"/>
  <c r="H983" i="5"/>
  <c r="H967" i="5"/>
  <c r="H951" i="5"/>
  <c r="H935" i="5"/>
  <c r="H919" i="5"/>
  <c r="H903" i="5"/>
  <c r="H1338" i="5"/>
  <c r="H1322" i="5"/>
  <c r="H1306" i="5"/>
  <c r="H1290" i="5"/>
  <c r="H1274" i="5"/>
  <c r="H1258" i="5"/>
  <c r="H1242" i="5"/>
  <c r="H1226" i="5"/>
  <c r="H1210" i="5"/>
  <c r="H1194" i="5"/>
  <c r="H1178" i="5"/>
  <c r="H1162" i="5"/>
  <c r="H1146" i="5"/>
  <c r="H1130" i="5"/>
  <c r="H1114" i="5"/>
  <c r="H1098" i="5"/>
  <c r="H1082" i="5"/>
  <c r="H1066" i="5"/>
  <c r="H1050" i="5"/>
  <c r="H1034" i="5"/>
  <c r="H1350" i="5"/>
  <c r="H1334" i="5"/>
  <c r="H1318" i="5"/>
  <c r="H1302" i="5"/>
  <c r="H1286" i="5"/>
  <c r="H1270" i="5"/>
  <c r="H1254" i="5"/>
  <c r="H1238" i="5"/>
  <c r="H1222" i="5"/>
  <c r="H1206" i="5"/>
  <c r="H1190" i="5"/>
  <c r="H1174" i="5"/>
  <c r="H1158" i="5"/>
  <c r="H1142" i="5"/>
  <c r="H1126" i="5"/>
  <c r="H1110" i="5"/>
  <c r="H1094" i="5"/>
  <c r="H1078" i="5"/>
  <c r="H1062" i="5"/>
  <c r="H1046" i="5"/>
  <c r="H1030" i="5"/>
  <c r="H1014" i="5"/>
  <c r="H998" i="5"/>
  <c r="H982" i="5"/>
  <c r="H1340" i="5"/>
  <c r="H1324" i="5"/>
  <c r="H1308" i="5"/>
  <c r="H1292" i="5"/>
  <c r="H1276" i="5"/>
  <c r="H1260" i="5"/>
  <c r="H1244" i="5"/>
  <c r="H1228" i="5"/>
  <c r="H1212" i="5"/>
  <c r="H1196" i="5"/>
  <c r="H1180" i="5"/>
  <c r="H1164" i="5"/>
  <c r="H1148" i="5"/>
  <c r="H1132" i="5"/>
  <c r="H1116" i="5"/>
  <c r="H1100" i="5"/>
  <c r="H1337" i="5"/>
  <c r="H1273" i="5"/>
  <c r="H1209" i="5"/>
  <c r="H1145" i="5"/>
  <c r="H1033" i="5"/>
  <c r="H878" i="5"/>
  <c r="H862" i="5"/>
  <c r="H846" i="5"/>
  <c r="H830" i="5"/>
  <c r="H814" i="5"/>
  <c r="H798" i="5"/>
  <c r="H782" i="5"/>
  <c r="H766" i="5"/>
  <c r="H750" i="5"/>
  <c r="H734" i="5"/>
  <c r="H718" i="5"/>
  <c r="H702" i="5"/>
  <c r="H686" i="5"/>
  <c r="H670" i="5"/>
  <c r="H654" i="5"/>
  <c r="H638" i="5"/>
  <c r="H1049" i="5"/>
  <c r="H986" i="5"/>
  <c r="H976" i="5"/>
  <c r="H947" i="5"/>
  <c r="H918" i="5"/>
  <c r="H881" i="5"/>
  <c r="H865" i="5"/>
  <c r="H849" i="5"/>
  <c r="H833" i="5"/>
  <c r="H817" i="5"/>
  <c r="H801" i="5"/>
  <c r="H785" i="5"/>
  <c r="H769" i="5"/>
  <c r="H753" i="5"/>
  <c r="H737" i="5"/>
  <c r="H721" i="5"/>
  <c r="H705" i="5"/>
  <c r="H689" i="5"/>
  <c r="H673" i="5"/>
  <c r="H657" i="5"/>
  <c r="H641" i="5"/>
  <c r="H625" i="5"/>
  <c r="H1065" i="5"/>
  <c r="H1043" i="5"/>
  <c r="H1037" i="5"/>
  <c r="H1017" i="5"/>
  <c r="H966" i="5"/>
  <c r="H937" i="5"/>
  <c r="H922" i="5"/>
  <c r="H884" i="5"/>
  <c r="H868" i="5"/>
  <c r="H852" i="5"/>
  <c r="H836" i="5"/>
  <c r="H820" i="5"/>
  <c r="H804" i="5"/>
  <c r="H788" i="5"/>
  <c r="H772" i="5"/>
  <c r="H756" i="5"/>
  <c r="H740" i="5"/>
  <c r="H724" i="5"/>
  <c r="H708" i="5"/>
  <c r="H692" i="5"/>
  <c r="H676" i="5"/>
  <c r="H660" i="5"/>
  <c r="H644" i="5"/>
  <c r="H628" i="5"/>
  <c r="H1347" i="5"/>
  <c r="H1341" i="5"/>
  <c r="H1312" i="5"/>
  <c r="H1283" i="5"/>
  <c r="H1277" i="5"/>
  <c r="H1248" i="5"/>
  <c r="H1219" i="5"/>
  <c r="H1213" i="5"/>
  <c r="H1184" i="5"/>
  <c r="H1155" i="5"/>
  <c r="H1149" i="5"/>
  <c r="H1120" i="5"/>
  <c r="H1081" i="5"/>
  <c r="H1059" i="5"/>
  <c r="H1053" i="5"/>
  <c r="H1027" i="5"/>
  <c r="H1021" i="5"/>
  <c r="H970" i="5"/>
  <c r="H956" i="5"/>
  <c r="H941" i="5"/>
  <c r="H908" i="5"/>
  <c r="H887" i="5"/>
  <c r="H871" i="5"/>
  <c r="H855" i="5"/>
  <c r="H839" i="5"/>
  <c r="H823" i="5"/>
  <c r="H807" i="5"/>
  <c r="H791" i="5"/>
  <c r="H775" i="5"/>
  <c r="H759" i="5"/>
  <c r="H1289" i="5"/>
  <c r="H1225" i="5"/>
  <c r="H1161" i="5"/>
  <c r="H1097" i="5"/>
  <c r="H1075" i="5"/>
  <c r="H1069" i="5"/>
  <c r="H1001" i="5"/>
  <c r="H912" i="5"/>
  <c r="H904" i="5"/>
  <c r="H890" i="5"/>
  <c r="H874" i="5"/>
  <c r="H858" i="5"/>
  <c r="H842" i="5"/>
  <c r="H826" i="5"/>
  <c r="H810" i="5"/>
  <c r="H794" i="5"/>
  <c r="H778" i="5"/>
  <c r="H762" i="5"/>
  <c r="H1091" i="5"/>
  <c r="H1085" i="5"/>
  <c r="H1011" i="5"/>
  <c r="H1005" i="5"/>
  <c r="H960" i="5"/>
  <c r="H900" i="5"/>
  <c r="H893" i="5"/>
  <c r="H877" i="5"/>
  <c r="H861" i="5"/>
  <c r="H845" i="5"/>
  <c r="H829" i="5"/>
  <c r="H813" i="5"/>
  <c r="H797" i="5"/>
  <c r="H781" i="5"/>
  <c r="H765" i="5"/>
  <c r="H749" i="5"/>
  <c r="H733" i="5"/>
  <c r="H717" i="5"/>
  <c r="H701" i="5"/>
  <c r="H685" i="5"/>
  <c r="H669" i="5"/>
  <c r="H985" i="5"/>
  <c r="H931" i="5"/>
  <c r="H880" i="5"/>
  <c r="H864" i="5"/>
  <c r="H848" i="5"/>
  <c r="H832" i="5"/>
  <c r="H816" i="5"/>
  <c r="H800" i="5"/>
  <c r="H784" i="5"/>
  <c r="H768" i="5"/>
  <c r="H752" i="5"/>
  <c r="H736" i="5"/>
  <c r="H720" i="5"/>
  <c r="H704" i="5"/>
  <c r="H688" i="5"/>
  <c r="H672" i="5"/>
  <c r="H656" i="5"/>
  <c r="H1328" i="5"/>
  <c r="H1299" i="5"/>
  <c r="H1293" i="5"/>
  <c r="H1264" i="5"/>
  <c r="H1235" i="5"/>
  <c r="H1229" i="5"/>
  <c r="H1200" i="5"/>
  <c r="H1171" i="5"/>
  <c r="H1165" i="5"/>
  <c r="H1136" i="5"/>
  <c r="H1107" i="5"/>
  <c r="H1101" i="5"/>
  <c r="H1036" i="5"/>
  <c r="H995" i="5"/>
  <c r="H989" i="5"/>
  <c r="H950" i="5"/>
  <c r="H921" i="5"/>
  <c r="H907" i="5"/>
  <c r="H896" i="5"/>
  <c r="H883" i="5"/>
  <c r="H867" i="5"/>
  <c r="H851" i="5"/>
  <c r="H835" i="5"/>
  <c r="H819" i="5"/>
  <c r="H1305" i="5"/>
  <c r="H1241" i="5"/>
  <c r="H1177" i="5"/>
  <c r="H1113" i="5"/>
  <c r="H1052" i="5"/>
  <c r="H1020" i="5"/>
  <c r="H969" i="5"/>
  <c r="H954" i="5"/>
  <c r="H940" i="5"/>
  <c r="H925" i="5"/>
  <c r="H886" i="5"/>
  <c r="H870" i="5"/>
  <c r="H854" i="5"/>
  <c r="H1068" i="5"/>
  <c r="H979" i="5"/>
  <c r="H973" i="5"/>
  <c r="H911" i="5"/>
  <c r="H889" i="5"/>
  <c r="H873" i="5"/>
  <c r="H857" i="5"/>
  <c r="H841" i="5"/>
  <c r="H825" i="5"/>
  <c r="H809" i="5"/>
  <c r="H1084" i="5"/>
  <c r="H1040" i="5"/>
  <c r="H1004" i="5"/>
  <c r="H944" i="5"/>
  <c r="H906" i="5"/>
  <c r="H899" i="5"/>
  <c r="H892" i="5"/>
  <c r="H876" i="5"/>
  <c r="H1088" i="5"/>
  <c r="H1018" i="5"/>
  <c r="H1008" i="5"/>
  <c r="H1331" i="5"/>
  <c r="H1325" i="5"/>
  <c r="H1296" i="5"/>
  <c r="H1267" i="5"/>
  <c r="H1261" i="5"/>
  <c r="H1232" i="5"/>
  <c r="H1203" i="5"/>
  <c r="H1197" i="5"/>
  <c r="H1168" i="5"/>
  <c r="H1139" i="5"/>
  <c r="H1133" i="5"/>
  <c r="H1104" i="5"/>
  <c r="H1002" i="5"/>
  <c r="H992" i="5"/>
  <c r="H928" i="5"/>
  <c r="H905" i="5"/>
  <c r="H891" i="5"/>
  <c r="H875" i="5"/>
  <c r="H859" i="5"/>
  <c r="H843" i="5"/>
  <c r="H827" i="5"/>
  <c r="H963" i="5"/>
  <c r="H909" i="5"/>
  <c r="H879" i="5"/>
  <c r="H771" i="5"/>
  <c r="H767" i="5"/>
  <c r="H754" i="5"/>
  <c r="H745" i="5"/>
  <c r="H738" i="5"/>
  <c r="H698" i="5"/>
  <c r="H694" i="5"/>
  <c r="H671" i="5"/>
  <c r="H659" i="5"/>
  <c r="H613" i="5"/>
  <c r="H597" i="5"/>
  <c r="H581" i="5"/>
  <c r="H565" i="5"/>
  <c r="H549" i="5"/>
  <c r="H533" i="5"/>
  <c r="H517" i="5"/>
  <c r="H501" i="5"/>
  <c r="H485" i="5"/>
  <c r="H469" i="5"/>
  <c r="H453" i="5"/>
  <c r="H437" i="5"/>
  <c r="H421" i="5"/>
  <c r="H405" i="5"/>
  <c r="H389" i="5"/>
  <c r="H1280" i="5"/>
  <c r="H1123" i="5"/>
  <c r="H915" i="5"/>
  <c r="H902" i="5"/>
  <c r="H815" i="5"/>
  <c r="H729" i="5"/>
  <c r="H722" i="5"/>
  <c r="H682" i="5"/>
  <c r="H678" i="5"/>
  <c r="H655" i="5"/>
  <c r="H633" i="5"/>
  <c r="H616" i="5"/>
  <c r="H600" i="5"/>
  <c r="H584" i="5"/>
  <c r="H568" i="5"/>
  <c r="H552" i="5"/>
  <c r="H536" i="5"/>
  <c r="H520" i="5"/>
  <c r="H504" i="5"/>
  <c r="H488" i="5"/>
  <c r="H472" i="5"/>
  <c r="H1257" i="5"/>
  <c r="H1056" i="5"/>
  <c r="H840" i="5"/>
  <c r="H1152" i="5"/>
  <c r="H856" i="5"/>
  <c r="H850" i="5"/>
  <c r="H805" i="5"/>
  <c r="H792" i="5"/>
  <c r="H725" i="5"/>
  <c r="H697" i="5"/>
  <c r="H690" i="5"/>
  <c r="H647" i="5"/>
  <c r="H640" i="5"/>
  <c r="H606" i="5"/>
  <c r="H590" i="5"/>
  <c r="H574" i="5"/>
  <c r="H558" i="5"/>
  <c r="H542" i="5"/>
  <c r="H526" i="5"/>
  <c r="H510" i="5"/>
  <c r="H494" i="5"/>
  <c r="H478" i="5"/>
  <c r="H462" i="5"/>
  <c r="H446" i="5"/>
  <c r="H430" i="5"/>
  <c r="H414" i="5"/>
  <c r="H398" i="5"/>
  <c r="H382" i="5"/>
  <c r="H1309" i="5"/>
  <c r="H1129" i="5"/>
  <c r="H895" i="5"/>
  <c r="H872" i="5"/>
  <c r="H866" i="5"/>
  <c r="H834" i="5"/>
  <c r="H824" i="5"/>
  <c r="H796" i="5"/>
  <c r="H779" i="5"/>
  <c r="H774" i="5"/>
  <c r="H761" i="5"/>
  <c r="H757" i="5"/>
  <c r="H709" i="5"/>
  <c r="H681" i="5"/>
  <c r="H674" i="5"/>
  <c r="H636" i="5"/>
  <c r="H629" i="5"/>
  <c r="H622" i="5"/>
  <c r="H609" i="5"/>
  <c r="H593" i="5"/>
  <c r="H577" i="5"/>
  <c r="H561" i="5"/>
  <c r="H545" i="5"/>
  <c r="H529" i="5"/>
  <c r="H513" i="5"/>
  <c r="H497" i="5"/>
  <c r="H481" i="5"/>
  <c r="H465" i="5"/>
  <c r="H449" i="5"/>
  <c r="H433" i="5"/>
  <c r="H417" i="5"/>
  <c r="H401" i="5"/>
  <c r="H385" i="5"/>
  <c r="H934" i="5"/>
  <c r="H844" i="5"/>
  <c r="H787" i="5"/>
  <c r="H783" i="5"/>
  <c r="H770" i="5"/>
  <c r="H748" i="5"/>
  <c r="H744" i="5"/>
  <c r="H693" i="5"/>
  <c r="H665" i="5"/>
  <c r="H658" i="5"/>
  <c r="H650" i="5"/>
  <c r="H612" i="5"/>
  <c r="H596" i="5"/>
  <c r="H580" i="5"/>
  <c r="H564" i="5"/>
  <c r="H548" i="5"/>
  <c r="H532" i="5"/>
  <c r="H516" i="5"/>
  <c r="H500" i="5"/>
  <c r="H1315" i="5"/>
  <c r="H1181" i="5"/>
  <c r="H860" i="5"/>
  <c r="H732" i="5"/>
  <c r="H728" i="5"/>
  <c r="H677" i="5"/>
  <c r="H643" i="5"/>
  <c r="H632" i="5"/>
  <c r="H615" i="5"/>
  <c r="H599" i="5"/>
  <c r="H583" i="5"/>
  <c r="H567" i="5"/>
  <c r="H551" i="5"/>
  <c r="H535" i="5"/>
  <c r="H519" i="5"/>
  <c r="H503" i="5"/>
  <c r="H487" i="5"/>
  <c r="H471" i="5"/>
  <c r="H455" i="5"/>
  <c r="H439" i="5"/>
  <c r="H423" i="5"/>
  <c r="H407" i="5"/>
  <c r="H391" i="5"/>
  <c r="H882" i="5"/>
  <c r="H838" i="5"/>
  <c r="H828" i="5"/>
  <c r="H818" i="5"/>
  <c r="H716" i="5"/>
  <c r="H712" i="5"/>
  <c r="H661" i="5"/>
  <c r="H618" i="5"/>
  <c r="H602" i="5"/>
  <c r="H586" i="5"/>
  <c r="H570" i="5"/>
  <c r="H554" i="5"/>
  <c r="H538" i="5"/>
  <c r="H522" i="5"/>
  <c r="H506" i="5"/>
  <c r="H490" i="5"/>
  <c r="H474" i="5"/>
  <c r="H458" i="5"/>
  <c r="H442" i="5"/>
  <c r="H426" i="5"/>
  <c r="H410" i="5"/>
  <c r="H1344" i="5"/>
  <c r="H1187" i="5"/>
  <c r="H988" i="5"/>
  <c r="H953" i="5"/>
  <c r="H888" i="5"/>
  <c r="H808" i="5"/>
  <c r="H700" i="5"/>
  <c r="H696" i="5"/>
  <c r="H653" i="5"/>
  <c r="H646" i="5"/>
  <c r="H639" i="5"/>
  <c r="H621" i="5"/>
  <c r="H605" i="5"/>
  <c r="H589" i="5"/>
  <c r="H573" i="5"/>
  <c r="H1216" i="5"/>
  <c r="H812" i="5"/>
  <c r="H803" i="5"/>
  <c r="H799" i="5"/>
  <c r="H786" i="5"/>
  <c r="H764" i="5"/>
  <c r="H747" i="5"/>
  <c r="H727" i="5"/>
  <c r="H668" i="5"/>
  <c r="H664" i="5"/>
  <c r="H649" i="5"/>
  <c r="H631" i="5"/>
  <c r="H624" i="5"/>
  <c r="H611" i="5"/>
  <c r="H595" i="5"/>
  <c r="H579" i="5"/>
  <c r="H1193" i="5"/>
  <c r="H938" i="5"/>
  <c r="H853" i="5"/>
  <c r="H837" i="5"/>
  <c r="H755" i="5"/>
  <c r="H751" i="5"/>
  <c r="H739" i="5"/>
  <c r="H731" i="5"/>
  <c r="H711" i="5"/>
  <c r="H642" i="5"/>
  <c r="H614" i="5"/>
  <c r="H598" i="5"/>
  <c r="H582" i="5"/>
  <c r="H566" i="5"/>
  <c r="H550" i="5"/>
  <c r="H534" i="5"/>
  <c r="H518" i="5"/>
  <c r="H1245" i="5"/>
  <c r="H863" i="5"/>
  <c r="H821" i="5"/>
  <c r="H746" i="5"/>
  <c r="H742" i="5"/>
  <c r="H719" i="5"/>
  <c r="H707" i="5"/>
  <c r="H699" i="5"/>
  <c r="H679" i="5"/>
  <c r="H652" i="5"/>
  <c r="H645" i="5"/>
  <c r="H627" i="5"/>
  <c r="H620" i="5"/>
  <c r="H604" i="5"/>
  <c r="H588" i="5"/>
  <c r="H572" i="5"/>
  <c r="H556" i="5"/>
  <c r="H540" i="5"/>
  <c r="H524" i="5"/>
  <c r="H508" i="5"/>
  <c r="H1251" i="5"/>
  <c r="H1117" i="5"/>
  <c r="H957" i="5"/>
  <c r="H885" i="5"/>
  <c r="H811" i="5"/>
  <c r="H802" i="5"/>
  <c r="H780" i="5"/>
  <c r="H763" i="5"/>
  <c r="H758" i="5"/>
  <c r="H714" i="5"/>
  <c r="H710" i="5"/>
  <c r="H687" i="5"/>
  <c r="H675" i="5"/>
  <c r="H667" i="5"/>
  <c r="H648" i="5"/>
  <c r="H637" i="5"/>
  <c r="H630" i="5"/>
  <c r="H623" i="5"/>
  <c r="H610" i="5"/>
  <c r="H594" i="5"/>
  <c r="H578" i="5"/>
  <c r="H562" i="5"/>
  <c r="H546" i="5"/>
  <c r="H530" i="5"/>
  <c r="H514" i="5"/>
  <c r="H498" i="5"/>
  <c r="H482" i="5"/>
  <c r="H869" i="5"/>
  <c r="H607" i="5"/>
  <c r="H515" i="5"/>
  <c r="H491" i="5"/>
  <c r="H434" i="5"/>
  <c r="H422" i="5"/>
  <c r="H376" i="5"/>
  <c r="H363" i="5"/>
  <c r="H347" i="5"/>
  <c r="H331" i="5"/>
  <c r="H315" i="5"/>
  <c r="H299" i="5"/>
  <c r="H283" i="5"/>
  <c r="H267" i="5"/>
  <c r="H251" i="5"/>
  <c r="H235" i="5"/>
  <c r="H219" i="5"/>
  <c r="H777" i="5"/>
  <c r="H713" i="5"/>
  <c r="H680" i="5"/>
  <c r="H601" i="5"/>
  <c r="H505" i="5"/>
  <c r="H461" i="5"/>
  <c r="H418" i="5"/>
  <c r="H406" i="5"/>
  <c r="H387" i="5"/>
  <c r="H366" i="5"/>
  <c r="H350" i="5"/>
  <c r="H334" i="5"/>
  <c r="H318" i="5"/>
  <c r="H302" i="5"/>
  <c r="H286" i="5"/>
  <c r="H270" i="5"/>
  <c r="H254" i="5"/>
  <c r="H238" i="5"/>
  <c r="H222" i="5"/>
  <c r="H206" i="5"/>
  <c r="H190" i="5"/>
  <c r="H174" i="5"/>
  <c r="H158" i="5"/>
  <c r="H142" i="5"/>
  <c r="H126" i="5"/>
  <c r="H110" i="5"/>
  <c r="H94" i="5"/>
  <c r="H78" i="5"/>
  <c r="H790" i="5"/>
  <c r="H743" i="5"/>
  <c r="H560" i="5"/>
  <c r="H509" i="5"/>
  <c r="H495" i="5"/>
  <c r="H486" i="5"/>
  <c r="H457" i="5"/>
  <c r="H445" i="5"/>
  <c r="H402" i="5"/>
  <c r="H394" i="5"/>
  <c r="H383" i="5"/>
  <c r="H369" i="5"/>
  <c r="H353" i="5"/>
  <c r="H337" i="5"/>
  <c r="H321" i="5"/>
  <c r="H305" i="5"/>
  <c r="H289" i="5"/>
  <c r="H273" i="5"/>
  <c r="H257" i="5"/>
  <c r="H241" i="5"/>
  <c r="H225" i="5"/>
  <c r="H209" i="5"/>
  <c r="H193" i="5"/>
  <c r="H177" i="5"/>
  <c r="H161" i="5"/>
  <c r="H145" i="5"/>
  <c r="H129" i="5"/>
  <c r="H113" i="5"/>
  <c r="H97" i="5"/>
  <c r="H81" i="5"/>
  <c r="H831" i="5"/>
  <c r="H706" i="5"/>
  <c r="H571" i="5"/>
  <c r="H555" i="5"/>
  <c r="H477" i="5"/>
  <c r="H441" i="5"/>
  <c r="H429" i="5"/>
  <c r="H379" i="5"/>
  <c r="H372" i="5"/>
  <c r="H356" i="5"/>
  <c r="H340" i="5"/>
  <c r="H324" i="5"/>
  <c r="H308" i="5"/>
  <c r="H292" i="5"/>
  <c r="H276" i="5"/>
  <c r="H260" i="5"/>
  <c r="H244" i="5"/>
  <c r="H228" i="5"/>
  <c r="H212" i="5"/>
  <c r="H196" i="5"/>
  <c r="H180" i="5"/>
  <c r="H164" i="5"/>
  <c r="H148" i="5"/>
  <c r="H132" i="5"/>
  <c r="H116" i="5"/>
  <c r="H100" i="5"/>
  <c r="H84" i="5"/>
  <c r="H776" i="5"/>
  <c r="H730" i="5"/>
  <c r="H635" i="5"/>
  <c r="H544" i="5"/>
  <c r="H499" i="5"/>
  <c r="H473" i="5"/>
  <c r="H425" i="5"/>
  <c r="H413" i="5"/>
  <c r="H390" i="5"/>
  <c r="H375" i="5"/>
  <c r="H359" i="5"/>
  <c r="H343" i="5"/>
  <c r="H327" i="5"/>
  <c r="H311" i="5"/>
  <c r="H295" i="5"/>
  <c r="H279" i="5"/>
  <c r="H263" i="5"/>
  <c r="H247" i="5"/>
  <c r="H231" i="5"/>
  <c r="H215" i="5"/>
  <c r="H199" i="5"/>
  <c r="H183" i="5"/>
  <c r="H167" i="5"/>
  <c r="H151" i="5"/>
  <c r="H135" i="5"/>
  <c r="H119" i="5"/>
  <c r="H103" i="5"/>
  <c r="H87" i="5"/>
  <c r="H789" i="5"/>
  <c r="H666" i="5"/>
  <c r="H617" i="5"/>
  <c r="H576" i="5"/>
  <c r="H539" i="5"/>
  <c r="H464" i="5"/>
  <c r="H409" i="5"/>
  <c r="H397" i="5"/>
  <c r="H362" i="5"/>
  <c r="H346" i="5"/>
  <c r="H330" i="5"/>
  <c r="H314" i="5"/>
  <c r="H298" i="5"/>
  <c r="H282" i="5"/>
  <c r="H266" i="5"/>
  <c r="H250" i="5"/>
  <c r="H234" i="5"/>
  <c r="H218" i="5"/>
  <c r="H1321" i="5"/>
  <c r="H795" i="5"/>
  <c r="H723" i="5"/>
  <c r="H559" i="5"/>
  <c r="H528" i="5"/>
  <c r="H460" i="5"/>
  <c r="H448" i="5"/>
  <c r="H386" i="5"/>
  <c r="H378" i="5"/>
  <c r="H365" i="5"/>
  <c r="H349" i="5"/>
  <c r="H333" i="5"/>
  <c r="H317" i="5"/>
  <c r="H301" i="5"/>
  <c r="H285" i="5"/>
  <c r="H269" i="5"/>
  <c r="H253" i="5"/>
  <c r="H237" i="5"/>
  <c r="H221" i="5"/>
  <c r="H822" i="5"/>
  <c r="H691" i="5"/>
  <c r="H684" i="5"/>
  <c r="H634" i="5"/>
  <c r="H587" i="5"/>
  <c r="H523" i="5"/>
  <c r="H493" i="5"/>
  <c r="H489" i="5"/>
  <c r="H480" i="5"/>
  <c r="H468" i="5"/>
  <c r="H456" i="5"/>
  <c r="H452" i="5"/>
  <c r="H444" i="5"/>
  <c r="H432" i="5"/>
  <c r="H393" i="5"/>
  <c r="H368" i="5"/>
  <c r="H352" i="5"/>
  <c r="H336" i="5"/>
  <c r="H320" i="5"/>
  <c r="H304" i="5"/>
  <c r="H288" i="5"/>
  <c r="H272" i="5"/>
  <c r="H256" i="5"/>
  <c r="H240" i="5"/>
  <c r="H224" i="5"/>
  <c r="H208" i="5"/>
  <c r="H192" i="5"/>
  <c r="H176" i="5"/>
  <c r="H160" i="5"/>
  <c r="H144" i="5"/>
  <c r="H128" i="5"/>
  <c r="H741" i="5"/>
  <c r="H735" i="5"/>
  <c r="H575" i="5"/>
  <c r="H543" i="5"/>
  <c r="H512" i="5"/>
  <c r="H476" i="5"/>
  <c r="H440" i="5"/>
  <c r="H436" i="5"/>
  <c r="H428" i="5"/>
  <c r="H416" i="5"/>
  <c r="H371" i="5"/>
  <c r="H355" i="5"/>
  <c r="H339" i="5"/>
  <c r="H323" i="5"/>
  <c r="H307" i="5"/>
  <c r="H291" i="5"/>
  <c r="H275" i="5"/>
  <c r="H259" i="5"/>
  <c r="H243" i="5"/>
  <c r="H227" i="5"/>
  <c r="H211" i="5"/>
  <c r="H195" i="5"/>
  <c r="H179" i="5"/>
  <c r="H163" i="5"/>
  <c r="H972" i="5"/>
  <c r="H592" i="5"/>
  <c r="H569" i="5"/>
  <c r="H424" i="5"/>
  <c r="H420" i="5"/>
  <c r="H412" i="5"/>
  <c r="H400" i="5"/>
  <c r="H381" i="5"/>
  <c r="H374" i="5"/>
  <c r="H358" i="5"/>
  <c r="H342" i="5"/>
  <c r="H326" i="5"/>
  <c r="H310" i="5"/>
  <c r="H760" i="5"/>
  <c r="H703" i="5"/>
  <c r="H683" i="5"/>
  <c r="H563" i="5"/>
  <c r="H553" i="5"/>
  <c r="H527" i="5"/>
  <c r="H507" i="5"/>
  <c r="H484" i="5"/>
  <c r="H467" i="5"/>
  <c r="H463" i="5"/>
  <c r="H451" i="5"/>
  <c r="H408" i="5"/>
  <c r="H404" i="5"/>
  <c r="H396" i="5"/>
  <c r="H361" i="5"/>
  <c r="H345" i="5"/>
  <c r="H329" i="5"/>
  <c r="H313" i="5"/>
  <c r="H297" i="5"/>
  <c r="H281" i="5"/>
  <c r="H265" i="5"/>
  <c r="H249" i="5"/>
  <c r="H233" i="5"/>
  <c r="H217" i="5"/>
  <c r="H201" i="5"/>
  <c r="H185" i="5"/>
  <c r="H169" i="5"/>
  <c r="H793" i="5"/>
  <c r="H773" i="5"/>
  <c r="H603" i="5"/>
  <c r="H557" i="5"/>
  <c r="H502" i="5"/>
  <c r="H459" i="5"/>
  <c r="H447" i="5"/>
  <c r="H435" i="5"/>
  <c r="H377" i="5"/>
  <c r="H364" i="5"/>
  <c r="H348" i="5"/>
  <c r="H332" i="5"/>
  <c r="H316" i="5"/>
  <c r="H300" i="5"/>
  <c r="H284" i="5"/>
  <c r="H268" i="5"/>
  <c r="H252" i="5"/>
  <c r="H236" i="5"/>
  <c r="H220" i="5"/>
  <c r="H204" i="5"/>
  <c r="H188" i="5"/>
  <c r="H172" i="5"/>
  <c r="H1024" i="5"/>
  <c r="H847" i="5"/>
  <c r="H662" i="5"/>
  <c r="H619" i="5"/>
  <c r="H525" i="5"/>
  <c r="H470" i="5"/>
  <c r="H466" i="5"/>
  <c r="H450" i="5"/>
  <c r="H438" i="5"/>
  <c r="H395" i="5"/>
  <c r="H360" i="5"/>
  <c r="H344" i="5"/>
  <c r="H328" i="5"/>
  <c r="H35" i="5"/>
  <c r="H51" i="5"/>
  <c r="H67" i="5"/>
  <c r="H92" i="5"/>
  <c r="H111" i="5"/>
  <c r="H122" i="5"/>
  <c r="H134" i="5"/>
  <c r="H213" i="5"/>
  <c r="H229" i="5"/>
  <c r="H278" i="5"/>
  <c r="H312" i="5"/>
  <c r="H427" i="5"/>
  <c r="H626" i="5"/>
  <c r="H695" i="5"/>
  <c r="H1072" i="5"/>
  <c r="L202" i="5"/>
  <c r="K202" i="5"/>
  <c r="F6" i="3"/>
  <c r="E19" i="3"/>
  <c r="F34" i="3"/>
  <c r="E45" i="3"/>
  <c r="E61" i="3"/>
  <c r="E77" i="3"/>
  <c r="E93" i="3"/>
  <c r="E109" i="3"/>
  <c r="E125" i="3"/>
  <c r="E157" i="3"/>
  <c r="E173" i="3"/>
  <c r="E189" i="3"/>
  <c r="E205" i="3"/>
  <c r="H32" i="5"/>
  <c r="K41" i="5"/>
  <c r="H48" i="5"/>
  <c r="K57" i="5"/>
  <c r="H64" i="5"/>
  <c r="K73" i="5"/>
  <c r="H77" i="5"/>
  <c r="H85" i="5"/>
  <c r="H96" i="5"/>
  <c r="H115" i="5"/>
  <c r="H138" i="5"/>
  <c r="H150" i="5"/>
  <c r="H181" i="5"/>
  <c r="H262" i="5"/>
  <c r="H306" i="5"/>
  <c r="H496" i="5"/>
  <c r="H726" i="5"/>
  <c r="C7" i="1"/>
  <c r="E9" i="3"/>
  <c r="F7" i="5"/>
  <c r="G7" i="5" s="1"/>
  <c r="B18" i="5"/>
  <c r="H45" i="5"/>
  <c r="H61" i="5"/>
  <c r="H104" i="5"/>
  <c r="H154" i="5"/>
  <c r="H246" i="5"/>
  <c r="H483" i="5"/>
  <c r="H42" i="5"/>
  <c r="H58" i="5"/>
  <c r="H74" i="5"/>
  <c r="H89" i="5"/>
  <c r="H123" i="5"/>
  <c r="H127" i="5"/>
  <c r="H131" i="5"/>
  <c r="H186" i="5"/>
  <c r="H214" i="5"/>
  <c r="H230" i="5"/>
  <c r="H290" i="5"/>
  <c r="H325" i="5"/>
  <c r="H388" i="5"/>
  <c r="H415" i="5"/>
  <c r="H511" i="5"/>
  <c r="H547" i="5"/>
  <c r="E142" i="3"/>
  <c r="E158" i="3"/>
  <c r="E174" i="3"/>
  <c r="E190" i="3"/>
  <c r="H39" i="5"/>
  <c r="H55" i="5"/>
  <c r="H71" i="5"/>
  <c r="H82" i="5"/>
  <c r="H108" i="5"/>
  <c r="H139" i="5"/>
  <c r="H143" i="5"/>
  <c r="H147" i="5"/>
  <c r="H159" i="5"/>
  <c r="H168" i="5"/>
  <c r="H182" i="5"/>
  <c r="H191" i="5"/>
  <c r="H200" i="5"/>
  <c r="H274" i="5"/>
  <c r="H296" i="5"/>
  <c r="H319" i="5"/>
  <c r="H591" i="5"/>
  <c r="H651" i="5"/>
  <c r="E28" i="3"/>
  <c r="E46" i="3"/>
  <c r="E94" i="3"/>
  <c r="E110" i="3"/>
  <c r="E7" i="3"/>
  <c r="F10" i="3"/>
  <c r="E41" i="3"/>
  <c r="E57" i="3"/>
  <c r="F62" i="3"/>
  <c r="E73" i="3"/>
  <c r="E89" i="3"/>
  <c r="E105" i="3"/>
  <c r="F126" i="3"/>
  <c r="E137" i="3"/>
  <c r="E153" i="3"/>
  <c r="E169" i="3"/>
  <c r="E185" i="3"/>
  <c r="E201" i="3"/>
  <c r="H36" i="5"/>
  <c r="H52" i="5"/>
  <c r="H68" i="5"/>
  <c r="H93" i="5"/>
  <c r="H101" i="5"/>
  <c r="H112" i="5"/>
  <c r="H155" i="5"/>
  <c r="H173" i="5"/>
  <c r="H205" i="5"/>
  <c r="H258" i="5"/>
  <c r="H280" i="5"/>
  <c r="H338" i="5"/>
  <c r="H357" i="5"/>
  <c r="H541" i="5"/>
  <c r="K537" i="5"/>
  <c r="H33" i="5"/>
  <c r="H49" i="5"/>
  <c r="H65" i="5"/>
  <c r="H86" i="5"/>
  <c r="H120" i="5"/>
  <c r="H178" i="5"/>
  <c r="H187" i="5"/>
  <c r="H210" i="5"/>
  <c r="H242" i="5"/>
  <c r="H264" i="5"/>
  <c r="H351" i="5"/>
  <c r="H443" i="5"/>
  <c r="H806" i="5"/>
  <c r="H30" i="5"/>
  <c r="H46" i="5"/>
  <c r="H62" i="5"/>
  <c r="H75" i="5"/>
  <c r="H105" i="5"/>
  <c r="H226" i="5"/>
  <c r="H248" i="5"/>
  <c r="H370" i="5"/>
  <c r="H403" i="5"/>
  <c r="H492" i="5"/>
  <c r="H585" i="5"/>
  <c r="H924" i="5"/>
  <c r="K72" i="5" l="1"/>
  <c r="K287" i="5"/>
  <c r="K140" i="5"/>
  <c r="K121" i="5"/>
  <c r="K715" i="5"/>
  <c r="F70" i="3"/>
  <c r="K133" i="5"/>
  <c r="F50" i="3"/>
  <c r="L124" i="5"/>
  <c r="K40" i="5"/>
  <c r="F39" i="3"/>
  <c r="K165" i="5"/>
  <c r="F28" i="3"/>
  <c r="F71" i="3"/>
  <c r="F153" i="3"/>
  <c r="L16" i="3"/>
  <c r="K50" i="5"/>
  <c r="L19" i="3"/>
  <c r="F49" i="3"/>
  <c r="F142" i="3"/>
  <c r="F171" i="3"/>
  <c r="K31" i="5"/>
  <c r="K34" i="5"/>
  <c r="F139" i="3"/>
  <c r="F45" i="3"/>
  <c r="L13" i="3"/>
  <c r="F82" i="3"/>
  <c r="K741" i="5"/>
  <c r="L741" i="5"/>
  <c r="L814" i="5"/>
  <c r="K814" i="5"/>
  <c r="L204" i="5"/>
  <c r="K204" i="5"/>
  <c r="L361" i="5"/>
  <c r="K361" i="5"/>
  <c r="L227" i="5"/>
  <c r="K227" i="5"/>
  <c r="L320" i="5"/>
  <c r="K320" i="5"/>
  <c r="L460" i="5"/>
  <c r="K460" i="5"/>
  <c r="K215" i="5"/>
  <c r="L215" i="5"/>
  <c r="K276" i="5"/>
  <c r="L276" i="5"/>
  <c r="K353" i="5"/>
  <c r="L353" i="5"/>
  <c r="L387" i="5"/>
  <c r="K387" i="5"/>
  <c r="L578" i="5"/>
  <c r="K578" i="5"/>
  <c r="K679" i="5"/>
  <c r="L679" i="5"/>
  <c r="L664" i="5"/>
  <c r="K664" i="5"/>
  <c r="L522" i="5"/>
  <c r="K522" i="5"/>
  <c r="K728" i="5"/>
  <c r="L728" i="5"/>
  <c r="L513" i="5"/>
  <c r="K513" i="5"/>
  <c r="K494" i="5"/>
  <c r="L494" i="5"/>
  <c r="L655" i="5"/>
  <c r="K655" i="5"/>
  <c r="K767" i="5"/>
  <c r="L767" i="5"/>
  <c r="L906" i="5"/>
  <c r="K906" i="5"/>
  <c r="L883" i="5"/>
  <c r="K883" i="5"/>
  <c r="L848" i="5"/>
  <c r="K848" i="5"/>
  <c r="L858" i="5"/>
  <c r="K858" i="5"/>
  <c r="L1155" i="5"/>
  <c r="K1155" i="5"/>
  <c r="L1043" i="5"/>
  <c r="K1043" i="5"/>
  <c r="L766" i="5"/>
  <c r="K766" i="5"/>
  <c r="L1030" i="5"/>
  <c r="K1030" i="5"/>
  <c r="L1210" i="5"/>
  <c r="K1210" i="5"/>
  <c r="L1271" i="5"/>
  <c r="K1271" i="5"/>
  <c r="L1348" i="5"/>
  <c r="K1348" i="5"/>
  <c r="L1137" i="5"/>
  <c r="K1137" i="5"/>
  <c r="L1182" i="5"/>
  <c r="K1182" i="5"/>
  <c r="L1003" i="5"/>
  <c r="K1003" i="5"/>
  <c r="K1080" i="5"/>
  <c r="L1080" i="5"/>
  <c r="K1141" i="5"/>
  <c r="L1141" i="5"/>
  <c r="L930" i="5"/>
  <c r="K930" i="5"/>
  <c r="L1186" i="5"/>
  <c r="K1186" i="5"/>
  <c r="K1263" i="5"/>
  <c r="L1263" i="5"/>
  <c r="L146" i="5"/>
  <c r="K146" i="5"/>
  <c r="L277" i="5"/>
  <c r="K277" i="5"/>
  <c r="L46" i="5"/>
  <c r="K46" i="5"/>
  <c r="K71" i="5"/>
  <c r="L71" i="5"/>
  <c r="L131" i="5"/>
  <c r="K131" i="5"/>
  <c r="L328" i="5"/>
  <c r="K328" i="5"/>
  <c r="L220" i="5"/>
  <c r="K220" i="5"/>
  <c r="K603" i="5"/>
  <c r="L603" i="5"/>
  <c r="L396" i="5"/>
  <c r="K396" i="5"/>
  <c r="L342" i="5"/>
  <c r="K342" i="5"/>
  <c r="L243" i="5"/>
  <c r="K243" i="5"/>
  <c r="L575" i="5"/>
  <c r="K575" i="5"/>
  <c r="L336" i="5"/>
  <c r="K336" i="5"/>
  <c r="L691" i="5"/>
  <c r="K691" i="5"/>
  <c r="L528" i="5"/>
  <c r="K528" i="5"/>
  <c r="L409" i="5"/>
  <c r="K409" i="5"/>
  <c r="L231" i="5"/>
  <c r="K231" i="5"/>
  <c r="L635" i="5"/>
  <c r="K635" i="5"/>
  <c r="K292" i="5"/>
  <c r="L292" i="5"/>
  <c r="L113" i="5"/>
  <c r="K113" i="5"/>
  <c r="K369" i="5"/>
  <c r="L369" i="5"/>
  <c r="L142" i="5"/>
  <c r="K142" i="5"/>
  <c r="L406" i="5"/>
  <c r="K406" i="5"/>
  <c r="L347" i="5"/>
  <c r="K347" i="5"/>
  <c r="L594" i="5"/>
  <c r="K594" i="5"/>
  <c r="L885" i="5"/>
  <c r="K885" i="5"/>
  <c r="K699" i="5"/>
  <c r="L699" i="5"/>
  <c r="K711" i="5"/>
  <c r="L711" i="5"/>
  <c r="L668" i="5"/>
  <c r="K668" i="5"/>
  <c r="L696" i="5"/>
  <c r="K696" i="5"/>
  <c r="L538" i="5"/>
  <c r="K538" i="5"/>
  <c r="K439" i="5"/>
  <c r="L439" i="5"/>
  <c r="L732" i="5"/>
  <c r="K732" i="5"/>
  <c r="L744" i="5"/>
  <c r="K744" i="5"/>
  <c r="L529" i="5"/>
  <c r="K529" i="5"/>
  <c r="L796" i="5"/>
  <c r="K796" i="5"/>
  <c r="K510" i="5"/>
  <c r="L510" i="5"/>
  <c r="L1152" i="5"/>
  <c r="K1152" i="5"/>
  <c r="K678" i="5"/>
  <c r="L678" i="5"/>
  <c r="K501" i="5"/>
  <c r="L501" i="5"/>
  <c r="L771" i="5"/>
  <c r="K771" i="5"/>
  <c r="L1168" i="5"/>
  <c r="K1168" i="5"/>
  <c r="L944" i="5"/>
  <c r="K944" i="5"/>
  <c r="L886" i="5"/>
  <c r="K886" i="5"/>
  <c r="L896" i="5"/>
  <c r="K896" i="5"/>
  <c r="L1293" i="5"/>
  <c r="K1293" i="5"/>
  <c r="L864" i="5"/>
  <c r="K864" i="5"/>
  <c r="L861" i="5"/>
  <c r="K861" i="5"/>
  <c r="L874" i="5"/>
  <c r="K874" i="5"/>
  <c r="K839" i="5"/>
  <c r="L839" i="5"/>
  <c r="L1184" i="5"/>
  <c r="K1184" i="5"/>
  <c r="L740" i="5"/>
  <c r="K740" i="5"/>
  <c r="K1065" i="5"/>
  <c r="L1065" i="5"/>
  <c r="L865" i="5"/>
  <c r="K865" i="5"/>
  <c r="L782" i="5"/>
  <c r="K782" i="5"/>
  <c r="L1164" i="5"/>
  <c r="K1164" i="5"/>
  <c r="L1046" i="5"/>
  <c r="K1046" i="5"/>
  <c r="L1302" i="5"/>
  <c r="K1302" i="5"/>
  <c r="L1226" i="5"/>
  <c r="K1226" i="5"/>
  <c r="L1031" i="5"/>
  <c r="K1031" i="5"/>
  <c r="L1287" i="5"/>
  <c r="K1287" i="5"/>
  <c r="L1108" i="5"/>
  <c r="K1108" i="5"/>
  <c r="K897" i="5"/>
  <c r="L897" i="5"/>
  <c r="L1153" i="5"/>
  <c r="K1153" i="5"/>
  <c r="L942" i="5"/>
  <c r="K942" i="5"/>
  <c r="L1198" i="5"/>
  <c r="K1198" i="5"/>
  <c r="L1019" i="5"/>
  <c r="K1019" i="5"/>
  <c r="L1275" i="5"/>
  <c r="K1275" i="5"/>
  <c r="K1096" i="5"/>
  <c r="L1096" i="5"/>
  <c r="L901" i="5"/>
  <c r="K901" i="5"/>
  <c r="K1157" i="5"/>
  <c r="L1157" i="5"/>
  <c r="L946" i="5"/>
  <c r="K946" i="5"/>
  <c r="L1202" i="5"/>
  <c r="K1202" i="5"/>
  <c r="K1023" i="5"/>
  <c r="L1023" i="5"/>
  <c r="K1279" i="5"/>
  <c r="L1279" i="5"/>
  <c r="L107" i="5"/>
  <c r="K107" i="5"/>
  <c r="L130" i="5"/>
  <c r="K130" i="5"/>
  <c r="L223" i="5"/>
  <c r="K223" i="5"/>
  <c r="L114" i="5"/>
  <c r="K114" i="5"/>
  <c r="L221" i="5"/>
  <c r="K221" i="5"/>
  <c r="L918" i="5"/>
  <c r="K918" i="5"/>
  <c r="L62" i="5"/>
  <c r="K62" i="5"/>
  <c r="K82" i="5"/>
  <c r="L82" i="5"/>
  <c r="L186" i="5"/>
  <c r="K186" i="5"/>
  <c r="L48" i="5"/>
  <c r="K48" i="5"/>
  <c r="L35" i="5"/>
  <c r="K35" i="5"/>
  <c r="L557" i="5"/>
  <c r="K557" i="5"/>
  <c r="L326" i="5"/>
  <c r="K326" i="5"/>
  <c r="K543" i="5"/>
  <c r="L543" i="5"/>
  <c r="L684" i="5"/>
  <c r="K684" i="5"/>
  <c r="L397" i="5"/>
  <c r="K397" i="5"/>
  <c r="L544" i="5"/>
  <c r="K544" i="5"/>
  <c r="L97" i="5"/>
  <c r="K97" i="5"/>
  <c r="L126" i="5"/>
  <c r="K126" i="5"/>
  <c r="L331" i="5"/>
  <c r="K331" i="5"/>
  <c r="L811" i="5"/>
  <c r="K811" i="5"/>
  <c r="L642" i="5"/>
  <c r="K642" i="5"/>
  <c r="L653" i="5"/>
  <c r="K653" i="5"/>
  <c r="K423" i="5"/>
  <c r="L423" i="5"/>
  <c r="L693" i="5"/>
  <c r="K693" i="5"/>
  <c r="L779" i="5"/>
  <c r="K779" i="5"/>
  <c r="K856" i="5"/>
  <c r="L856" i="5"/>
  <c r="L485" i="5"/>
  <c r="K485" i="5"/>
  <c r="L1139" i="5"/>
  <c r="K1139" i="5"/>
  <c r="L870" i="5"/>
  <c r="K870" i="5"/>
  <c r="L1264" i="5"/>
  <c r="K1264" i="5"/>
  <c r="L845" i="5"/>
  <c r="K845" i="5"/>
  <c r="K823" i="5"/>
  <c r="L823" i="5"/>
  <c r="L724" i="5"/>
  <c r="K724" i="5"/>
  <c r="L849" i="5"/>
  <c r="K849" i="5"/>
  <c r="L1148" i="5"/>
  <c r="K1148" i="5"/>
  <c r="L1286" i="5"/>
  <c r="K1286" i="5"/>
  <c r="L1015" i="5"/>
  <c r="K1015" i="5"/>
  <c r="L1092" i="5"/>
  <c r="K1092" i="5"/>
  <c r="L926" i="5"/>
  <c r="K926" i="5"/>
  <c r="L1259" i="5"/>
  <c r="K1259" i="5"/>
  <c r="K1336" i="5"/>
  <c r="L1336" i="5"/>
  <c r="K1007" i="5"/>
  <c r="L1007" i="5"/>
  <c r="L125" i="5"/>
  <c r="K125" i="5"/>
  <c r="L30" i="5"/>
  <c r="K30" i="5"/>
  <c r="L541" i="5"/>
  <c r="K541" i="5"/>
  <c r="K651" i="5"/>
  <c r="L651" i="5"/>
  <c r="K55" i="5"/>
  <c r="L55" i="5"/>
  <c r="L127" i="5"/>
  <c r="K127" i="5"/>
  <c r="K726" i="5"/>
  <c r="L726" i="5"/>
  <c r="L32" i="5"/>
  <c r="K32" i="5"/>
  <c r="L1072" i="5"/>
  <c r="K1072" i="5"/>
  <c r="L344" i="5"/>
  <c r="K344" i="5"/>
  <c r="L236" i="5"/>
  <c r="K236" i="5"/>
  <c r="L773" i="5"/>
  <c r="K773" i="5"/>
  <c r="L404" i="5"/>
  <c r="K404" i="5"/>
  <c r="L358" i="5"/>
  <c r="K358" i="5"/>
  <c r="L259" i="5"/>
  <c r="K259" i="5"/>
  <c r="L735" i="5"/>
  <c r="K735" i="5"/>
  <c r="L352" i="5"/>
  <c r="K352" i="5"/>
  <c r="L822" i="5"/>
  <c r="K822" i="5"/>
  <c r="K559" i="5"/>
  <c r="L559" i="5"/>
  <c r="K464" i="5"/>
  <c r="L464" i="5"/>
  <c r="L247" i="5"/>
  <c r="K247" i="5"/>
  <c r="L730" i="5"/>
  <c r="K730" i="5"/>
  <c r="K308" i="5"/>
  <c r="L308" i="5"/>
  <c r="L129" i="5"/>
  <c r="K129" i="5"/>
  <c r="K383" i="5"/>
  <c r="L383" i="5"/>
  <c r="L158" i="5"/>
  <c r="K158" i="5"/>
  <c r="L418" i="5"/>
  <c r="K418" i="5"/>
  <c r="L363" i="5"/>
  <c r="K363" i="5"/>
  <c r="L610" i="5"/>
  <c r="K610" i="5"/>
  <c r="L957" i="5"/>
  <c r="K957" i="5"/>
  <c r="K707" i="5"/>
  <c r="L707" i="5"/>
  <c r="L731" i="5"/>
  <c r="K731" i="5"/>
  <c r="K727" i="5"/>
  <c r="L727" i="5"/>
  <c r="L700" i="5"/>
  <c r="K700" i="5"/>
  <c r="L554" i="5"/>
  <c r="K554" i="5"/>
  <c r="K455" i="5"/>
  <c r="L455" i="5"/>
  <c r="L860" i="5"/>
  <c r="K860" i="5"/>
  <c r="L748" i="5"/>
  <c r="K748" i="5"/>
  <c r="L545" i="5"/>
  <c r="K545" i="5"/>
  <c r="L824" i="5"/>
  <c r="K824" i="5"/>
  <c r="K526" i="5"/>
  <c r="L526" i="5"/>
  <c r="K840" i="5"/>
  <c r="L840" i="5"/>
  <c r="L682" i="5"/>
  <c r="K682" i="5"/>
  <c r="K517" i="5"/>
  <c r="L517" i="5"/>
  <c r="L879" i="5"/>
  <c r="K879" i="5"/>
  <c r="L1197" i="5"/>
  <c r="K1197" i="5"/>
  <c r="L1004" i="5"/>
  <c r="K1004" i="5"/>
  <c r="L925" i="5"/>
  <c r="K925" i="5"/>
  <c r="K907" i="5"/>
  <c r="L907" i="5"/>
  <c r="L1299" i="5"/>
  <c r="K1299" i="5"/>
  <c r="L880" i="5"/>
  <c r="K880" i="5"/>
  <c r="L877" i="5"/>
  <c r="K877" i="5"/>
  <c r="L890" i="5"/>
  <c r="K890" i="5"/>
  <c r="K855" i="5"/>
  <c r="L855" i="5"/>
  <c r="L1213" i="5"/>
  <c r="K1213" i="5"/>
  <c r="L756" i="5"/>
  <c r="K756" i="5"/>
  <c r="L625" i="5"/>
  <c r="K625" i="5"/>
  <c r="L881" i="5"/>
  <c r="K881" i="5"/>
  <c r="L798" i="5"/>
  <c r="K798" i="5"/>
  <c r="K1180" i="5"/>
  <c r="L1180" i="5"/>
  <c r="L1062" i="5"/>
  <c r="K1062" i="5"/>
  <c r="L1318" i="5"/>
  <c r="K1318" i="5"/>
  <c r="L1242" i="5"/>
  <c r="K1242" i="5"/>
  <c r="L1047" i="5"/>
  <c r="K1047" i="5"/>
  <c r="L1303" i="5"/>
  <c r="K1303" i="5"/>
  <c r="L1124" i="5"/>
  <c r="K1124" i="5"/>
  <c r="L913" i="5"/>
  <c r="K913" i="5"/>
  <c r="L1169" i="5"/>
  <c r="K1169" i="5"/>
  <c r="L958" i="5"/>
  <c r="K958" i="5"/>
  <c r="L1214" i="5"/>
  <c r="K1214" i="5"/>
  <c r="L1035" i="5"/>
  <c r="K1035" i="5"/>
  <c r="L1291" i="5"/>
  <c r="K1291" i="5"/>
  <c r="K1112" i="5"/>
  <c r="L1112" i="5"/>
  <c r="L917" i="5"/>
  <c r="K917" i="5"/>
  <c r="K1173" i="5"/>
  <c r="L1173" i="5"/>
  <c r="L962" i="5"/>
  <c r="K962" i="5"/>
  <c r="L1218" i="5"/>
  <c r="K1218" i="5"/>
  <c r="K1039" i="5"/>
  <c r="L1039" i="5"/>
  <c r="K1295" i="5"/>
  <c r="L1295" i="5"/>
  <c r="L189" i="5"/>
  <c r="K189" i="5"/>
  <c r="L106" i="5"/>
  <c r="K106" i="5"/>
  <c r="L591" i="5"/>
  <c r="K591" i="5"/>
  <c r="K324" i="5"/>
  <c r="L324" i="5"/>
  <c r="L893" i="5"/>
  <c r="K893" i="5"/>
  <c r="L1315" i="5"/>
  <c r="K1315" i="5"/>
  <c r="L374" i="5"/>
  <c r="K374" i="5"/>
  <c r="K539" i="5"/>
  <c r="L539" i="5"/>
  <c r="L394" i="5"/>
  <c r="K394" i="5"/>
  <c r="L623" i="5"/>
  <c r="K623" i="5"/>
  <c r="L808" i="5"/>
  <c r="K808" i="5"/>
  <c r="L561" i="5"/>
  <c r="K561" i="5"/>
  <c r="L1203" i="5"/>
  <c r="K1203" i="5"/>
  <c r="L931" i="5"/>
  <c r="K931" i="5"/>
  <c r="K641" i="5"/>
  <c r="L641" i="5"/>
  <c r="L1063" i="5"/>
  <c r="K1063" i="5"/>
  <c r="L1230" i="5"/>
  <c r="K1230" i="5"/>
  <c r="K1189" i="5"/>
  <c r="L1189" i="5"/>
  <c r="L70" i="5"/>
  <c r="K70" i="5"/>
  <c r="L95" i="5"/>
  <c r="K95" i="5"/>
  <c r="K169" i="5"/>
  <c r="L169" i="5"/>
  <c r="L291" i="5"/>
  <c r="K291" i="5"/>
  <c r="L393" i="5"/>
  <c r="K393" i="5"/>
  <c r="L576" i="5"/>
  <c r="K576" i="5"/>
  <c r="L161" i="5"/>
  <c r="K161" i="5"/>
  <c r="L422" i="5"/>
  <c r="K422" i="5"/>
  <c r="K742" i="5"/>
  <c r="L742" i="5"/>
  <c r="K487" i="5"/>
  <c r="L487" i="5"/>
  <c r="L577" i="5"/>
  <c r="K577" i="5"/>
  <c r="L1257" i="5"/>
  <c r="K1257" i="5"/>
  <c r="K549" i="5"/>
  <c r="L549" i="5"/>
  <c r="L1232" i="5"/>
  <c r="K1232" i="5"/>
  <c r="L954" i="5"/>
  <c r="K954" i="5"/>
  <c r="L656" i="5"/>
  <c r="K656" i="5"/>
  <c r="L912" i="5"/>
  <c r="K912" i="5"/>
  <c r="L947" i="5"/>
  <c r="K947" i="5"/>
  <c r="L1212" i="5"/>
  <c r="K1212" i="5"/>
  <c r="L1350" i="5"/>
  <c r="K1350" i="5"/>
  <c r="L1079" i="5"/>
  <c r="K1079" i="5"/>
  <c r="L1156" i="5"/>
  <c r="K1156" i="5"/>
  <c r="L1201" i="5"/>
  <c r="K1201" i="5"/>
  <c r="L1246" i="5"/>
  <c r="K1246" i="5"/>
  <c r="L1323" i="5"/>
  <c r="K1323" i="5"/>
  <c r="L949" i="5"/>
  <c r="K949" i="5"/>
  <c r="L994" i="5"/>
  <c r="K994" i="5"/>
  <c r="K1327" i="5"/>
  <c r="L1327" i="5"/>
  <c r="L141" i="5"/>
  <c r="K141" i="5"/>
  <c r="L351" i="5"/>
  <c r="K351" i="5"/>
  <c r="L280" i="5"/>
  <c r="K280" i="5"/>
  <c r="L296" i="5"/>
  <c r="K296" i="5"/>
  <c r="K74" i="5"/>
  <c r="L74" i="5"/>
  <c r="L262" i="5"/>
  <c r="K262" i="5"/>
  <c r="L427" i="5"/>
  <c r="K427" i="5"/>
  <c r="L438" i="5"/>
  <c r="K438" i="5"/>
  <c r="L284" i="5"/>
  <c r="K284" i="5"/>
  <c r="K185" i="5"/>
  <c r="L185" i="5"/>
  <c r="L463" i="5"/>
  <c r="K463" i="5"/>
  <c r="K400" i="5"/>
  <c r="L400" i="5"/>
  <c r="L307" i="5"/>
  <c r="K307" i="5"/>
  <c r="L144" i="5"/>
  <c r="K144" i="5"/>
  <c r="K432" i="5"/>
  <c r="L432" i="5"/>
  <c r="L253" i="5"/>
  <c r="K253" i="5"/>
  <c r="L1321" i="5"/>
  <c r="K1321" i="5"/>
  <c r="L617" i="5"/>
  <c r="K617" i="5"/>
  <c r="L295" i="5"/>
  <c r="K295" i="5"/>
  <c r="L100" i="5"/>
  <c r="K100" i="5"/>
  <c r="K356" i="5"/>
  <c r="L356" i="5"/>
  <c r="L177" i="5"/>
  <c r="K177" i="5"/>
  <c r="L445" i="5"/>
  <c r="K445" i="5"/>
  <c r="L206" i="5"/>
  <c r="K206" i="5"/>
  <c r="L601" i="5"/>
  <c r="K601" i="5"/>
  <c r="L434" i="5"/>
  <c r="K434" i="5"/>
  <c r="L637" i="5"/>
  <c r="K637" i="5"/>
  <c r="L508" i="5"/>
  <c r="K508" i="5"/>
  <c r="L746" i="5"/>
  <c r="K746" i="5"/>
  <c r="L755" i="5"/>
  <c r="K755" i="5"/>
  <c r="L786" i="5"/>
  <c r="K786" i="5"/>
  <c r="L953" i="5"/>
  <c r="K953" i="5"/>
  <c r="L602" i="5"/>
  <c r="K602" i="5"/>
  <c r="K503" i="5"/>
  <c r="L503" i="5"/>
  <c r="L500" i="5"/>
  <c r="K500" i="5"/>
  <c r="L787" i="5"/>
  <c r="K787" i="5"/>
  <c r="L593" i="5"/>
  <c r="K593" i="5"/>
  <c r="L872" i="5"/>
  <c r="K872" i="5"/>
  <c r="K574" i="5"/>
  <c r="L574" i="5"/>
  <c r="L472" i="5"/>
  <c r="K472" i="5"/>
  <c r="L815" i="5"/>
  <c r="K815" i="5"/>
  <c r="K565" i="5"/>
  <c r="L565" i="5"/>
  <c r="L827" i="5"/>
  <c r="K827" i="5"/>
  <c r="L1261" i="5"/>
  <c r="K1261" i="5"/>
  <c r="L809" i="5"/>
  <c r="K809" i="5"/>
  <c r="L969" i="5"/>
  <c r="K969" i="5"/>
  <c r="L989" i="5"/>
  <c r="K989" i="5"/>
  <c r="L672" i="5"/>
  <c r="K672" i="5"/>
  <c r="L669" i="5"/>
  <c r="K669" i="5"/>
  <c r="L960" i="5"/>
  <c r="K960" i="5"/>
  <c r="L1001" i="5"/>
  <c r="K1001" i="5"/>
  <c r="K908" i="5"/>
  <c r="L908" i="5"/>
  <c r="L1277" i="5"/>
  <c r="K1277" i="5"/>
  <c r="L804" i="5"/>
  <c r="K804" i="5"/>
  <c r="L673" i="5"/>
  <c r="K673" i="5"/>
  <c r="L976" i="5"/>
  <c r="K976" i="5"/>
  <c r="L846" i="5"/>
  <c r="K846" i="5"/>
  <c r="L1228" i="5"/>
  <c r="K1228" i="5"/>
  <c r="L1110" i="5"/>
  <c r="K1110" i="5"/>
  <c r="L1034" i="5"/>
  <c r="K1034" i="5"/>
  <c r="L1290" i="5"/>
  <c r="K1290" i="5"/>
  <c r="L1095" i="5"/>
  <c r="K1095" i="5"/>
  <c r="L916" i="5"/>
  <c r="K916" i="5"/>
  <c r="L1172" i="5"/>
  <c r="K1172" i="5"/>
  <c r="L961" i="5"/>
  <c r="K961" i="5"/>
  <c r="L1217" i="5"/>
  <c r="K1217" i="5"/>
  <c r="L1006" i="5"/>
  <c r="K1006" i="5"/>
  <c r="L1262" i="5"/>
  <c r="K1262" i="5"/>
  <c r="L1083" i="5"/>
  <c r="K1083" i="5"/>
  <c r="L1339" i="5"/>
  <c r="K1339" i="5"/>
  <c r="K1160" i="5"/>
  <c r="L1160" i="5"/>
  <c r="L965" i="5"/>
  <c r="K965" i="5"/>
  <c r="K1221" i="5"/>
  <c r="L1221" i="5"/>
  <c r="L1010" i="5"/>
  <c r="K1010" i="5"/>
  <c r="L1266" i="5"/>
  <c r="K1266" i="5"/>
  <c r="K1087" i="5"/>
  <c r="L1087" i="5"/>
  <c r="K1343" i="5"/>
  <c r="L1343" i="5"/>
  <c r="L54" i="5"/>
  <c r="K54" i="5"/>
  <c r="L475" i="5"/>
  <c r="K475" i="5"/>
  <c r="L88" i="5"/>
  <c r="K88" i="5"/>
  <c r="K137" i="5"/>
  <c r="L137" i="5"/>
  <c r="L58" i="5"/>
  <c r="K58" i="5"/>
  <c r="L312" i="5"/>
  <c r="K312" i="5"/>
  <c r="L300" i="5"/>
  <c r="K300" i="5"/>
  <c r="K201" i="5"/>
  <c r="L201" i="5"/>
  <c r="L412" i="5"/>
  <c r="K412" i="5"/>
  <c r="L323" i="5"/>
  <c r="K323" i="5"/>
  <c r="L160" i="5"/>
  <c r="K160" i="5"/>
  <c r="L444" i="5"/>
  <c r="K444" i="5"/>
  <c r="L269" i="5"/>
  <c r="K269" i="5"/>
  <c r="L218" i="5"/>
  <c r="K218" i="5"/>
  <c r="L666" i="5"/>
  <c r="K666" i="5"/>
  <c r="L311" i="5"/>
  <c r="K311" i="5"/>
  <c r="K116" i="5"/>
  <c r="L116" i="5"/>
  <c r="K372" i="5"/>
  <c r="L372" i="5"/>
  <c r="L193" i="5"/>
  <c r="K193" i="5"/>
  <c r="K457" i="5"/>
  <c r="L457" i="5"/>
  <c r="K222" i="5"/>
  <c r="L222" i="5"/>
  <c r="L680" i="5"/>
  <c r="K680" i="5"/>
  <c r="K491" i="5"/>
  <c r="L491" i="5"/>
  <c r="L648" i="5"/>
  <c r="K648" i="5"/>
  <c r="L524" i="5"/>
  <c r="K524" i="5"/>
  <c r="L821" i="5"/>
  <c r="K821" i="5"/>
  <c r="L837" i="5"/>
  <c r="K837" i="5"/>
  <c r="L799" i="5"/>
  <c r="K799" i="5"/>
  <c r="L988" i="5"/>
  <c r="K988" i="5"/>
  <c r="L618" i="5"/>
  <c r="K618" i="5"/>
  <c r="K519" i="5"/>
  <c r="L519" i="5"/>
  <c r="L516" i="5"/>
  <c r="K516" i="5"/>
  <c r="L844" i="5"/>
  <c r="K844" i="5"/>
  <c r="L609" i="5"/>
  <c r="K609" i="5"/>
  <c r="L895" i="5"/>
  <c r="K895" i="5"/>
  <c r="K590" i="5"/>
  <c r="L590" i="5"/>
  <c r="L488" i="5"/>
  <c r="K488" i="5"/>
  <c r="L902" i="5"/>
  <c r="K902" i="5"/>
  <c r="K581" i="5"/>
  <c r="L581" i="5"/>
  <c r="L843" i="5"/>
  <c r="K843" i="5"/>
  <c r="L1267" i="5"/>
  <c r="K1267" i="5"/>
  <c r="L825" i="5"/>
  <c r="K825" i="5"/>
  <c r="L1020" i="5"/>
  <c r="K1020" i="5"/>
  <c r="L995" i="5"/>
  <c r="K995" i="5"/>
  <c r="L688" i="5"/>
  <c r="K688" i="5"/>
  <c r="L685" i="5"/>
  <c r="K685" i="5"/>
  <c r="L1005" i="5"/>
  <c r="K1005" i="5"/>
  <c r="L1069" i="5"/>
  <c r="K1069" i="5"/>
  <c r="L941" i="5"/>
  <c r="K941" i="5"/>
  <c r="L1283" i="5"/>
  <c r="K1283" i="5"/>
  <c r="K820" i="5"/>
  <c r="L820" i="5"/>
  <c r="L689" i="5"/>
  <c r="K689" i="5"/>
  <c r="L986" i="5"/>
  <c r="K986" i="5"/>
  <c r="K862" i="5"/>
  <c r="L862" i="5"/>
  <c r="K1244" i="5"/>
  <c r="L1244" i="5"/>
  <c r="L1126" i="5"/>
  <c r="K1126" i="5"/>
  <c r="L1050" i="5"/>
  <c r="K1050" i="5"/>
  <c r="L1306" i="5"/>
  <c r="K1306" i="5"/>
  <c r="L1111" i="5"/>
  <c r="K1111" i="5"/>
  <c r="L932" i="5"/>
  <c r="K932" i="5"/>
  <c r="L1188" i="5"/>
  <c r="K1188" i="5"/>
  <c r="L977" i="5"/>
  <c r="K977" i="5"/>
  <c r="L1233" i="5"/>
  <c r="K1233" i="5"/>
  <c r="L1022" i="5"/>
  <c r="K1022" i="5"/>
  <c r="L1278" i="5"/>
  <c r="K1278" i="5"/>
  <c r="L1099" i="5"/>
  <c r="K1099" i="5"/>
  <c r="K920" i="5"/>
  <c r="L920" i="5"/>
  <c r="K1176" i="5"/>
  <c r="L1176" i="5"/>
  <c r="L981" i="5"/>
  <c r="K981" i="5"/>
  <c r="K1237" i="5"/>
  <c r="L1237" i="5"/>
  <c r="L1026" i="5"/>
  <c r="K1026" i="5"/>
  <c r="L1282" i="5"/>
  <c r="K1282" i="5"/>
  <c r="K1103" i="5"/>
  <c r="L1103" i="5"/>
  <c r="L419" i="5"/>
  <c r="K419" i="5"/>
  <c r="L99" i="5"/>
  <c r="K99" i="5"/>
  <c r="L341" i="5"/>
  <c r="K341" i="5"/>
  <c r="K695" i="5"/>
  <c r="L695" i="5"/>
  <c r="L275" i="5"/>
  <c r="K275" i="5"/>
  <c r="L263" i="5"/>
  <c r="K263" i="5"/>
  <c r="L461" i="5"/>
  <c r="K461" i="5"/>
  <c r="L739" i="5"/>
  <c r="K739" i="5"/>
  <c r="L1181" i="5"/>
  <c r="K1181" i="5"/>
  <c r="L722" i="5"/>
  <c r="K722" i="5"/>
  <c r="L940" i="5"/>
  <c r="K940" i="5"/>
  <c r="K871" i="5"/>
  <c r="L871" i="5"/>
  <c r="L1078" i="5"/>
  <c r="K1078" i="5"/>
  <c r="L1140" i="5"/>
  <c r="K1140" i="5"/>
  <c r="L1307" i="5"/>
  <c r="K1307" i="5"/>
  <c r="L1234" i="5"/>
  <c r="K1234" i="5"/>
  <c r="L157" i="5"/>
  <c r="K157" i="5"/>
  <c r="L319" i="5"/>
  <c r="K319" i="5"/>
  <c r="L306" i="5"/>
  <c r="K306" i="5"/>
  <c r="L268" i="5"/>
  <c r="K268" i="5"/>
  <c r="L381" i="5"/>
  <c r="K381" i="5"/>
  <c r="L128" i="5"/>
  <c r="K128" i="5"/>
  <c r="L237" i="5"/>
  <c r="K237" i="5"/>
  <c r="L84" i="5"/>
  <c r="K84" i="5"/>
  <c r="K402" i="5"/>
  <c r="L402" i="5"/>
  <c r="K505" i="5"/>
  <c r="L505" i="5"/>
  <c r="L1251" i="5"/>
  <c r="K1251" i="5"/>
  <c r="L751" i="5"/>
  <c r="K751" i="5"/>
  <c r="L586" i="5"/>
  <c r="K586" i="5"/>
  <c r="L783" i="5"/>
  <c r="K783" i="5"/>
  <c r="L866" i="5"/>
  <c r="K866" i="5"/>
  <c r="K558" i="5"/>
  <c r="L558" i="5"/>
  <c r="L729" i="5"/>
  <c r="K729" i="5"/>
  <c r="L963" i="5"/>
  <c r="K963" i="5"/>
  <c r="L1084" i="5"/>
  <c r="K1084" i="5"/>
  <c r="L950" i="5"/>
  <c r="K950" i="5"/>
  <c r="L985" i="5"/>
  <c r="K985" i="5"/>
  <c r="L1248" i="5"/>
  <c r="K1248" i="5"/>
  <c r="K830" i="5"/>
  <c r="L830" i="5"/>
  <c r="L1094" i="5"/>
  <c r="K1094" i="5"/>
  <c r="L1274" i="5"/>
  <c r="K1274" i="5"/>
  <c r="L1335" i="5"/>
  <c r="K1335" i="5"/>
  <c r="L945" i="5"/>
  <c r="K945" i="5"/>
  <c r="L990" i="5"/>
  <c r="K990" i="5"/>
  <c r="L1067" i="5"/>
  <c r="K1067" i="5"/>
  <c r="K1144" i="5"/>
  <c r="L1144" i="5"/>
  <c r="K1205" i="5"/>
  <c r="L1205" i="5"/>
  <c r="L1250" i="5"/>
  <c r="K1250" i="5"/>
  <c r="K1071" i="5"/>
  <c r="L1071" i="5"/>
  <c r="L264" i="5"/>
  <c r="K264" i="5"/>
  <c r="K274" i="5"/>
  <c r="L274" i="5"/>
  <c r="L181" i="5"/>
  <c r="K181" i="5"/>
  <c r="L450" i="5"/>
  <c r="K450" i="5"/>
  <c r="L467" i="5"/>
  <c r="K467" i="5"/>
  <c r="L924" i="5"/>
  <c r="K924" i="5"/>
  <c r="K242" i="5"/>
  <c r="L242" i="5"/>
  <c r="L205" i="5"/>
  <c r="K205" i="5"/>
  <c r="L200" i="5"/>
  <c r="K200" i="5"/>
  <c r="L42" i="5"/>
  <c r="K42" i="5"/>
  <c r="L150" i="5"/>
  <c r="K150" i="5"/>
  <c r="L278" i="5"/>
  <c r="K278" i="5"/>
  <c r="L466" i="5"/>
  <c r="K466" i="5"/>
  <c r="L316" i="5"/>
  <c r="K316" i="5"/>
  <c r="L217" i="5"/>
  <c r="K217" i="5"/>
  <c r="L484" i="5"/>
  <c r="K484" i="5"/>
  <c r="L420" i="5"/>
  <c r="K420" i="5"/>
  <c r="L339" i="5"/>
  <c r="K339" i="5"/>
  <c r="L176" i="5"/>
  <c r="K176" i="5"/>
  <c r="L452" i="5"/>
  <c r="K452" i="5"/>
  <c r="L285" i="5"/>
  <c r="K285" i="5"/>
  <c r="L234" i="5"/>
  <c r="K234" i="5"/>
  <c r="L789" i="5"/>
  <c r="K789" i="5"/>
  <c r="L327" i="5"/>
  <c r="K327" i="5"/>
  <c r="L132" i="5"/>
  <c r="K132" i="5"/>
  <c r="K379" i="5"/>
  <c r="L379" i="5"/>
  <c r="L209" i="5"/>
  <c r="K209" i="5"/>
  <c r="L486" i="5"/>
  <c r="K486" i="5"/>
  <c r="L238" i="5"/>
  <c r="K238" i="5"/>
  <c r="L713" i="5"/>
  <c r="K713" i="5"/>
  <c r="L515" i="5"/>
  <c r="K515" i="5"/>
  <c r="L667" i="5"/>
  <c r="K667" i="5"/>
  <c r="K540" i="5"/>
  <c r="L540" i="5"/>
  <c r="L863" i="5"/>
  <c r="K863" i="5"/>
  <c r="L853" i="5"/>
  <c r="K853" i="5"/>
  <c r="L803" i="5"/>
  <c r="K803" i="5"/>
  <c r="L1187" i="5"/>
  <c r="K1187" i="5"/>
  <c r="L661" i="5"/>
  <c r="K661" i="5"/>
  <c r="K535" i="5"/>
  <c r="L535" i="5"/>
  <c r="L532" i="5"/>
  <c r="K532" i="5"/>
  <c r="L934" i="5"/>
  <c r="K934" i="5"/>
  <c r="L622" i="5"/>
  <c r="K622" i="5"/>
  <c r="L1129" i="5"/>
  <c r="K1129" i="5"/>
  <c r="K606" i="5"/>
  <c r="L606" i="5"/>
  <c r="L504" i="5"/>
  <c r="K504" i="5"/>
  <c r="L915" i="5"/>
  <c r="K915" i="5"/>
  <c r="K597" i="5"/>
  <c r="L597" i="5"/>
  <c r="L859" i="5"/>
  <c r="K859" i="5"/>
  <c r="L1296" i="5"/>
  <c r="K1296" i="5"/>
  <c r="L841" i="5"/>
  <c r="K841" i="5"/>
  <c r="L1052" i="5"/>
  <c r="K1052" i="5"/>
  <c r="L1036" i="5"/>
  <c r="K1036" i="5"/>
  <c r="L704" i="5"/>
  <c r="K704" i="5"/>
  <c r="L701" i="5"/>
  <c r="K701" i="5"/>
  <c r="L1011" i="5"/>
  <c r="K1011" i="5"/>
  <c r="L1075" i="5"/>
  <c r="K1075" i="5"/>
  <c r="K956" i="5"/>
  <c r="L956" i="5"/>
  <c r="L1312" i="5"/>
  <c r="K1312" i="5"/>
  <c r="K836" i="5"/>
  <c r="L836" i="5"/>
  <c r="L705" i="5"/>
  <c r="K705" i="5"/>
  <c r="L1049" i="5"/>
  <c r="K1049" i="5"/>
  <c r="L878" i="5"/>
  <c r="K878" i="5"/>
  <c r="L1260" i="5"/>
  <c r="K1260" i="5"/>
  <c r="L1142" i="5"/>
  <c r="K1142" i="5"/>
  <c r="L1066" i="5"/>
  <c r="K1066" i="5"/>
  <c r="L1322" i="5"/>
  <c r="K1322" i="5"/>
  <c r="L1127" i="5"/>
  <c r="K1127" i="5"/>
  <c r="L948" i="5"/>
  <c r="K948" i="5"/>
  <c r="L1204" i="5"/>
  <c r="K1204" i="5"/>
  <c r="L993" i="5"/>
  <c r="K993" i="5"/>
  <c r="L1249" i="5"/>
  <c r="K1249" i="5"/>
  <c r="L1038" i="5"/>
  <c r="K1038" i="5"/>
  <c r="L1294" i="5"/>
  <c r="K1294" i="5"/>
  <c r="L1115" i="5"/>
  <c r="K1115" i="5"/>
  <c r="K936" i="5"/>
  <c r="L936" i="5"/>
  <c r="K1192" i="5"/>
  <c r="L1192" i="5"/>
  <c r="K997" i="5"/>
  <c r="L997" i="5"/>
  <c r="K1253" i="5"/>
  <c r="L1253" i="5"/>
  <c r="L1042" i="5"/>
  <c r="K1042" i="5"/>
  <c r="L1298" i="5"/>
  <c r="K1298" i="5"/>
  <c r="K1119" i="5"/>
  <c r="L1119" i="5"/>
  <c r="L38" i="5"/>
  <c r="K38" i="5"/>
  <c r="L373" i="5"/>
  <c r="K373" i="5"/>
  <c r="L80" i="5"/>
  <c r="K80" i="5"/>
  <c r="L322" i="5"/>
  <c r="K322" i="5"/>
  <c r="K834" i="5"/>
  <c r="L834" i="5"/>
  <c r="K340" i="5"/>
  <c r="L340" i="5"/>
  <c r="K887" i="5"/>
  <c r="L887" i="5"/>
  <c r="L332" i="5"/>
  <c r="K332" i="5"/>
  <c r="L233" i="5"/>
  <c r="K233" i="5"/>
  <c r="K507" i="5"/>
  <c r="L507" i="5"/>
  <c r="L424" i="5"/>
  <c r="K424" i="5"/>
  <c r="L355" i="5"/>
  <c r="K355" i="5"/>
  <c r="L192" i="5"/>
  <c r="K192" i="5"/>
  <c r="L456" i="5"/>
  <c r="K456" i="5"/>
  <c r="L301" i="5"/>
  <c r="K301" i="5"/>
  <c r="L250" i="5"/>
  <c r="K250" i="5"/>
  <c r="K87" i="5"/>
  <c r="L87" i="5"/>
  <c r="L343" i="5"/>
  <c r="K343" i="5"/>
  <c r="L148" i="5"/>
  <c r="K148" i="5"/>
  <c r="L429" i="5"/>
  <c r="K429" i="5"/>
  <c r="L225" i="5"/>
  <c r="K225" i="5"/>
  <c r="K495" i="5"/>
  <c r="L495" i="5"/>
  <c r="L254" i="5"/>
  <c r="K254" i="5"/>
  <c r="L777" i="5"/>
  <c r="K777" i="5"/>
  <c r="L607" i="5"/>
  <c r="K607" i="5"/>
  <c r="L675" i="5"/>
  <c r="K675" i="5"/>
  <c r="L556" i="5"/>
  <c r="K556" i="5"/>
  <c r="L1245" i="5"/>
  <c r="K1245" i="5"/>
  <c r="L938" i="5"/>
  <c r="K938" i="5"/>
  <c r="L812" i="5"/>
  <c r="K812" i="5"/>
  <c r="L1344" i="5"/>
  <c r="K1344" i="5"/>
  <c r="L712" i="5"/>
  <c r="K712" i="5"/>
  <c r="K551" i="5"/>
  <c r="L551" i="5"/>
  <c r="L548" i="5"/>
  <c r="K548" i="5"/>
  <c r="L385" i="5"/>
  <c r="K385" i="5"/>
  <c r="L629" i="5"/>
  <c r="K629" i="5"/>
  <c r="L1309" i="5"/>
  <c r="K1309" i="5"/>
  <c r="L640" i="5"/>
  <c r="K640" i="5"/>
  <c r="L520" i="5"/>
  <c r="K520" i="5"/>
  <c r="L1123" i="5"/>
  <c r="K1123" i="5"/>
  <c r="K613" i="5"/>
  <c r="L613" i="5"/>
  <c r="K875" i="5"/>
  <c r="L875" i="5"/>
  <c r="L1325" i="5"/>
  <c r="K1325" i="5"/>
  <c r="L857" i="5"/>
  <c r="K857" i="5"/>
  <c r="L1113" i="5"/>
  <c r="K1113" i="5"/>
  <c r="L1101" i="5"/>
  <c r="K1101" i="5"/>
  <c r="L720" i="5"/>
  <c r="K720" i="5"/>
  <c r="L717" i="5"/>
  <c r="K717" i="5"/>
  <c r="L1085" i="5"/>
  <c r="K1085" i="5"/>
  <c r="L1097" i="5"/>
  <c r="K1097" i="5"/>
  <c r="L970" i="5"/>
  <c r="K970" i="5"/>
  <c r="L1341" i="5"/>
  <c r="K1341" i="5"/>
  <c r="K852" i="5"/>
  <c r="L852" i="5"/>
  <c r="K721" i="5"/>
  <c r="L721" i="5"/>
  <c r="K638" i="5"/>
  <c r="L638" i="5"/>
  <c r="K1033" i="5"/>
  <c r="L1033" i="5"/>
  <c r="L1276" i="5"/>
  <c r="K1276" i="5"/>
  <c r="L1158" i="5"/>
  <c r="K1158" i="5"/>
  <c r="L1082" i="5"/>
  <c r="K1082" i="5"/>
  <c r="L1338" i="5"/>
  <c r="K1338" i="5"/>
  <c r="L1143" i="5"/>
  <c r="K1143" i="5"/>
  <c r="L964" i="5"/>
  <c r="K964" i="5"/>
  <c r="L1220" i="5"/>
  <c r="K1220" i="5"/>
  <c r="L1009" i="5"/>
  <c r="K1009" i="5"/>
  <c r="L1265" i="5"/>
  <c r="K1265" i="5"/>
  <c r="L1054" i="5"/>
  <c r="K1054" i="5"/>
  <c r="L1310" i="5"/>
  <c r="K1310" i="5"/>
  <c r="L1131" i="5"/>
  <c r="K1131" i="5"/>
  <c r="K952" i="5"/>
  <c r="L952" i="5"/>
  <c r="K1208" i="5"/>
  <c r="L1208" i="5"/>
  <c r="K1013" i="5"/>
  <c r="L1013" i="5"/>
  <c r="K1269" i="5"/>
  <c r="L1269" i="5"/>
  <c r="L1058" i="5"/>
  <c r="K1058" i="5"/>
  <c r="L1314" i="5"/>
  <c r="K1314" i="5"/>
  <c r="K1135" i="5"/>
  <c r="L1135" i="5"/>
  <c r="L354" i="5"/>
  <c r="K354" i="5"/>
  <c r="L60" i="5"/>
  <c r="K60" i="5"/>
  <c r="L293" i="5"/>
  <c r="K293" i="5"/>
  <c r="K542" i="5"/>
  <c r="L542" i="5"/>
  <c r="L395" i="5"/>
  <c r="K395" i="5"/>
  <c r="L764" i="5"/>
  <c r="K764" i="5"/>
  <c r="L657" i="5"/>
  <c r="K657" i="5"/>
  <c r="K187" i="5"/>
  <c r="L187" i="5"/>
  <c r="K527" i="5"/>
  <c r="L527" i="5"/>
  <c r="K164" i="5"/>
  <c r="L164" i="5"/>
  <c r="L509" i="5"/>
  <c r="K509" i="5"/>
  <c r="K270" i="5"/>
  <c r="L270" i="5"/>
  <c r="L687" i="5"/>
  <c r="K687" i="5"/>
  <c r="K572" i="5"/>
  <c r="L572" i="5"/>
  <c r="L518" i="5"/>
  <c r="K518" i="5"/>
  <c r="L1193" i="5"/>
  <c r="K1193" i="5"/>
  <c r="L1216" i="5"/>
  <c r="K1216" i="5"/>
  <c r="L410" i="5"/>
  <c r="K410" i="5"/>
  <c r="L716" i="5"/>
  <c r="K716" i="5"/>
  <c r="K567" i="5"/>
  <c r="L567" i="5"/>
  <c r="L564" i="5"/>
  <c r="K564" i="5"/>
  <c r="L401" i="5"/>
  <c r="K401" i="5"/>
  <c r="L636" i="5"/>
  <c r="K636" i="5"/>
  <c r="K382" i="5"/>
  <c r="L382" i="5"/>
  <c r="K647" i="5"/>
  <c r="L647" i="5"/>
  <c r="K659" i="5"/>
  <c r="L659" i="5"/>
  <c r="L891" i="5"/>
  <c r="K891" i="5"/>
  <c r="L1331" i="5"/>
  <c r="K1331" i="5"/>
  <c r="L873" i="5"/>
  <c r="K873" i="5"/>
  <c r="L1177" i="5"/>
  <c r="K1177" i="5"/>
  <c r="L1107" i="5"/>
  <c r="K1107" i="5"/>
  <c r="L736" i="5"/>
  <c r="K736" i="5"/>
  <c r="L733" i="5"/>
  <c r="K733" i="5"/>
  <c r="L1091" i="5"/>
  <c r="K1091" i="5"/>
  <c r="L1161" i="5"/>
  <c r="K1161" i="5"/>
  <c r="L1021" i="5"/>
  <c r="K1021" i="5"/>
  <c r="L1347" i="5"/>
  <c r="K1347" i="5"/>
  <c r="K868" i="5"/>
  <c r="L868" i="5"/>
  <c r="L737" i="5"/>
  <c r="K737" i="5"/>
  <c r="K654" i="5"/>
  <c r="L654" i="5"/>
  <c r="K1145" i="5"/>
  <c r="L1145" i="5"/>
  <c r="L1292" i="5"/>
  <c r="K1292" i="5"/>
  <c r="L1174" i="5"/>
  <c r="K1174" i="5"/>
  <c r="L1098" i="5"/>
  <c r="K1098" i="5"/>
  <c r="K903" i="5"/>
  <c r="L903" i="5"/>
  <c r="L1159" i="5"/>
  <c r="K1159" i="5"/>
  <c r="L980" i="5"/>
  <c r="K980" i="5"/>
  <c r="L1236" i="5"/>
  <c r="K1236" i="5"/>
  <c r="L1025" i="5"/>
  <c r="K1025" i="5"/>
  <c r="L1281" i="5"/>
  <c r="K1281" i="5"/>
  <c r="L1070" i="5"/>
  <c r="K1070" i="5"/>
  <c r="L1326" i="5"/>
  <c r="K1326" i="5"/>
  <c r="L1147" i="5"/>
  <c r="K1147" i="5"/>
  <c r="K968" i="5"/>
  <c r="L968" i="5"/>
  <c r="K1224" i="5"/>
  <c r="L1224" i="5"/>
  <c r="L1029" i="5"/>
  <c r="K1029" i="5"/>
  <c r="K1285" i="5"/>
  <c r="L1285" i="5"/>
  <c r="L1074" i="5"/>
  <c r="K1074" i="5"/>
  <c r="L1330" i="5"/>
  <c r="K1330" i="5"/>
  <c r="K1151" i="5"/>
  <c r="L1151" i="5"/>
  <c r="L261" i="5"/>
  <c r="K261" i="5"/>
  <c r="L44" i="5"/>
  <c r="K44" i="5"/>
  <c r="L239" i="5"/>
  <c r="K239" i="5"/>
  <c r="L357" i="5"/>
  <c r="K357" i="5"/>
  <c r="L360" i="5"/>
  <c r="K360" i="5"/>
  <c r="L368" i="5"/>
  <c r="K368" i="5"/>
  <c r="L145" i="5"/>
  <c r="K145" i="5"/>
  <c r="L1117" i="5"/>
  <c r="K1117" i="5"/>
  <c r="K471" i="5"/>
  <c r="L471" i="5"/>
  <c r="K533" i="5"/>
  <c r="L533" i="5"/>
  <c r="L921" i="5"/>
  <c r="K921" i="5"/>
  <c r="L1219" i="5"/>
  <c r="K1219" i="5"/>
  <c r="L1258" i="5"/>
  <c r="K1258" i="5"/>
  <c r="L929" i="5"/>
  <c r="K929" i="5"/>
  <c r="L1051" i="5"/>
  <c r="K1051" i="5"/>
  <c r="L933" i="5"/>
  <c r="K933" i="5"/>
  <c r="K1055" i="5"/>
  <c r="L1055" i="5"/>
  <c r="L118" i="5"/>
  <c r="K118" i="5"/>
  <c r="L443" i="5"/>
  <c r="K443" i="5"/>
  <c r="K626" i="5"/>
  <c r="L626" i="5"/>
  <c r="L795" i="5"/>
  <c r="K795" i="5"/>
  <c r="L888" i="5"/>
  <c r="K888" i="5"/>
  <c r="K788" i="5"/>
  <c r="L788" i="5"/>
  <c r="L547" i="5"/>
  <c r="K547" i="5"/>
  <c r="L470" i="5"/>
  <c r="K470" i="5"/>
  <c r="L511" i="5"/>
  <c r="K511" i="5"/>
  <c r="L525" i="5"/>
  <c r="K525" i="5"/>
  <c r="L249" i="5"/>
  <c r="K249" i="5"/>
  <c r="L371" i="5"/>
  <c r="K371" i="5"/>
  <c r="L359" i="5"/>
  <c r="K359" i="5"/>
  <c r="L241" i="5"/>
  <c r="K241" i="5"/>
  <c r="L869" i="5"/>
  <c r="K869" i="5"/>
  <c r="L536" i="5"/>
  <c r="K536" i="5"/>
  <c r="K178" i="5"/>
  <c r="L178" i="5"/>
  <c r="L112" i="5"/>
  <c r="K112" i="5"/>
  <c r="L168" i="5"/>
  <c r="K168" i="5"/>
  <c r="L415" i="5"/>
  <c r="K415" i="5"/>
  <c r="L154" i="5"/>
  <c r="K154" i="5"/>
  <c r="L96" i="5"/>
  <c r="K96" i="5"/>
  <c r="L134" i="5"/>
  <c r="K134" i="5"/>
  <c r="K619" i="5"/>
  <c r="L619" i="5"/>
  <c r="L364" i="5"/>
  <c r="K364" i="5"/>
  <c r="L265" i="5"/>
  <c r="K265" i="5"/>
  <c r="L553" i="5"/>
  <c r="K553" i="5"/>
  <c r="L592" i="5"/>
  <c r="K592" i="5"/>
  <c r="K416" i="5"/>
  <c r="L416" i="5"/>
  <c r="L224" i="5"/>
  <c r="K224" i="5"/>
  <c r="K480" i="5"/>
  <c r="L480" i="5"/>
  <c r="L333" i="5"/>
  <c r="K333" i="5"/>
  <c r="L282" i="5"/>
  <c r="K282" i="5"/>
  <c r="K119" i="5"/>
  <c r="L119" i="5"/>
  <c r="K375" i="5"/>
  <c r="L375" i="5"/>
  <c r="L180" i="5"/>
  <c r="K180" i="5"/>
  <c r="L477" i="5"/>
  <c r="K477" i="5"/>
  <c r="L257" i="5"/>
  <c r="K257" i="5"/>
  <c r="L560" i="5"/>
  <c r="K560" i="5"/>
  <c r="K286" i="5"/>
  <c r="L286" i="5"/>
  <c r="L235" i="5"/>
  <c r="K235" i="5"/>
  <c r="K482" i="5"/>
  <c r="L482" i="5"/>
  <c r="K710" i="5"/>
  <c r="L710" i="5"/>
  <c r="K588" i="5"/>
  <c r="L588" i="5"/>
  <c r="L534" i="5"/>
  <c r="K534" i="5"/>
  <c r="L579" i="5"/>
  <c r="K579" i="5"/>
  <c r="L573" i="5"/>
  <c r="K573" i="5"/>
  <c r="L426" i="5"/>
  <c r="K426" i="5"/>
  <c r="K818" i="5"/>
  <c r="L818" i="5"/>
  <c r="K583" i="5"/>
  <c r="L583" i="5"/>
  <c r="L580" i="5"/>
  <c r="K580" i="5"/>
  <c r="L417" i="5"/>
  <c r="K417" i="5"/>
  <c r="L674" i="5"/>
  <c r="K674" i="5"/>
  <c r="K398" i="5"/>
  <c r="L398" i="5"/>
  <c r="K690" i="5"/>
  <c r="L690" i="5"/>
  <c r="L552" i="5"/>
  <c r="K552" i="5"/>
  <c r="L389" i="5"/>
  <c r="K389" i="5"/>
  <c r="K671" i="5"/>
  <c r="L671" i="5"/>
  <c r="L905" i="5"/>
  <c r="K905" i="5"/>
  <c r="L1008" i="5"/>
  <c r="K1008" i="5"/>
  <c r="L889" i="5"/>
  <c r="K889" i="5"/>
  <c r="L1241" i="5"/>
  <c r="K1241" i="5"/>
  <c r="L1136" i="5"/>
  <c r="K1136" i="5"/>
  <c r="L752" i="5"/>
  <c r="K752" i="5"/>
  <c r="L749" i="5"/>
  <c r="K749" i="5"/>
  <c r="L762" i="5"/>
  <c r="K762" i="5"/>
  <c r="L1225" i="5"/>
  <c r="K1225" i="5"/>
  <c r="L1027" i="5"/>
  <c r="K1027" i="5"/>
  <c r="L628" i="5"/>
  <c r="K628" i="5"/>
  <c r="K884" i="5"/>
  <c r="L884" i="5"/>
  <c r="L753" i="5"/>
  <c r="K753" i="5"/>
  <c r="L670" i="5"/>
  <c r="K670" i="5"/>
  <c r="K1209" i="5"/>
  <c r="L1209" i="5"/>
  <c r="K1308" i="5"/>
  <c r="L1308" i="5"/>
  <c r="L1190" i="5"/>
  <c r="K1190" i="5"/>
  <c r="L1114" i="5"/>
  <c r="K1114" i="5"/>
  <c r="L919" i="5"/>
  <c r="K919" i="5"/>
  <c r="L1175" i="5"/>
  <c r="K1175" i="5"/>
  <c r="L996" i="5"/>
  <c r="K996" i="5"/>
  <c r="L1252" i="5"/>
  <c r="K1252" i="5"/>
  <c r="L1041" i="5"/>
  <c r="K1041" i="5"/>
  <c r="L1297" i="5"/>
  <c r="K1297" i="5"/>
  <c r="L1086" i="5"/>
  <c r="K1086" i="5"/>
  <c r="L1342" i="5"/>
  <c r="K1342" i="5"/>
  <c r="L1163" i="5"/>
  <c r="K1163" i="5"/>
  <c r="K984" i="5"/>
  <c r="L984" i="5"/>
  <c r="K1240" i="5"/>
  <c r="L1240" i="5"/>
  <c r="L1045" i="5"/>
  <c r="K1045" i="5"/>
  <c r="K1301" i="5"/>
  <c r="L1301" i="5"/>
  <c r="L1090" i="5"/>
  <c r="K1090" i="5"/>
  <c r="L1346" i="5"/>
  <c r="K1346" i="5"/>
  <c r="K1167" i="5"/>
  <c r="L1167" i="5"/>
  <c r="L207" i="5"/>
  <c r="K207" i="5"/>
  <c r="L31" i="3"/>
  <c r="L806" i="5"/>
  <c r="K806" i="5"/>
  <c r="L123" i="5"/>
  <c r="K123" i="5"/>
  <c r="L408" i="5"/>
  <c r="K408" i="5"/>
  <c r="L723" i="5"/>
  <c r="K723" i="5"/>
  <c r="L776" i="5"/>
  <c r="K776" i="5"/>
  <c r="L174" i="5"/>
  <c r="K174" i="5"/>
  <c r="K376" i="5"/>
  <c r="L376" i="5"/>
  <c r="K719" i="5"/>
  <c r="L719" i="5"/>
  <c r="L747" i="5"/>
  <c r="K747" i="5"/>
  <c r="L570" i="5"/>
  <c r="K570" i="5"/>
  <c r="L770" i="5"/>
  <c r="K770" i="5"/>
  <c r="L1056" i="5"/>
  <c r="K1056" i="5"/>
  <c r="L909" i="5"/>
  <c r="K909" i="5"/>
  <c r="L1040" i="5"/>
  <c r="K1040" i="5"/>
  <c r="L1328" i="5"/>
  <c r="K1328" i="5"/>
  <c r="L904" i="5"/>
  <c r="K904" i="5"/>
  <c r="L772" i="5"/>
  <c r="K772" i="5"/>
  <c r="L1334" i="5"/>
  <c r="K1334" i="5"/>
  <c r="L1319" i="5"/>
  <c r="K1319" i="5"/>
  <c r="L1185" i="5"/>
  <c r="K1185" i="5"/>
  <c r="K1128" i="5"/>
  <c r="L1128" i="5"/>
  <c r="L978" i="5"/>
  <c r="K978" i="5"/>
  <c r="K1311" i="5"/>
  <c r="L1311" i="5"/>
  <c r="L451" i="5"/>
  <c r="K451" i="5"/>
  <c r="L630" i="5"/>
  <c r="K630" i="5"/>
  <c r="L900" i="5"/>
  <c r="K900" i="5"/>
  <c r="L483" i="5"/>
  <c r="K483" i="5"/>
  <c r="L229" i="5"/>
  <c r="K229" i="5"/>
  <c r="L115" i="5"/>
  <c r="K115" i="5"/>
  <c r="L213" i="5"/>
  <c r="K213" i="5"/>
  <c r="L348" i="5"/>
  <c r="K348" i="5"/>
  <c r="L569" i="5"/>
  <c r="K569" i="5"/>
  <c r="K103" i="5"/>
  <c r="L103" i="5"/>
  <c r="K441" i="5"/>
  <c r="L441" i="5"/>
  <c r="L219" i="5"/>
  <c r="K219" i="5"/>
  <c r="L1280" i="5"/>
  <c r="K1280" i="5"/>
  <c r="L403" i="5"/>
  <c r="K403" i="5"/>
  <c r="L370" i="5"/>
  <c r="K370" i="5"/>
  <c r="L120" i="5"/>
  <c r="K120" i="5"/>
  <c r="K101" i="5"/>
  <c r="L101" i="5"/>
  <c r="L159" i="5"/>
  <c r="K159" i="5"/>
  <c r="L388" i="5"/>
  <c r="K388" i="5"/>
  <c r="L104" i="5"/>
  <c r="K104" i="5"/>
  <c r="L85" i="5"/>
  <c r="K85" i="5"/>
  <c r="L122" i="5"/>
  <c r="K122" i="5"/>
  <c r="K662" i="5"/>
  <c r="L662" i="5"/>
  <c r="L377" i="5"/>
  <c r="K377" i="5"/>
  <c r="L281" i="5"/>
  <c r="K281" i="5"/>
  <c r="L563" i="5"/>
  <c r="K563" i="5"/>
  <c r="L972" i="5"/>
  <c r="K972" i="5"/>
  <c r="L428" i="5"/>
  <c r="K428" i="5"/>
  <c r="L240" i="5"/>
  <c r="K240" i="5"/>
  <c r="L489" i="5"/>
  <c r="K489" i="5"/>
  <c r="L349" i="5"/>
  <c r="K349" i="5"/>
  <c r="L298" i="5"/>
  <c r="K298" i="5"/>
  <c r="K135" i="5"/>
  <c r="L135" i="5"/>
  <c r="L390" i="5"/>
  <c r="K390" i="5"/>
  <c r="K196" i="5"/>
  <c r="L196" i="5"/>
  <c r="K555" i="5"/>
  <c r="L555" i="5"/>
  <c r="L273" i="5"/>
  <c r="K273" i="5"/>
  <c r="K743" i="5"/>
  <c r="L743" i="5"/>
  <c r="L302" i="5"/>
  <c r="K302" i="5"/>
  <c r="L251" i="5"/>
  <c r="K251" i="5"/>
  <c r="L498" i="5"/>
  <c r="K498" i="5"/>
  <c r="L714" i="5"/>
  <c r="K714" i="5"/>
  <c r="K604" i="5"/>
  <c r="L604" i="5"/>
  <c r="L550" i="5"/>
  <c r="K550" i="5"/>
  <c r="L595" i="5"/>
  <c r="K595" i="5"/>
  <c r="L589" i="5"/>
  <c r="K589" i="5"/>
  <c r="L442" i="5"/>
  <c r="K442" i="5"/>
  <c r="L828" i="5"/>
  <c r="K828" i="5"/>
  <c r="K599" i="5"/>
  <c r="L599" i="5"/>
  <c r="L596" i="5"/>
  <c r="K596" i="5"/>
  <c r="L433" i="5"/>
  <c r="K433" i="5"/>
  <c r="L681" i="5"/>
  <c r="K681" i="5"/>
  <c r="K414" i="5"/>
  <c r="L414" i="5"/>
  <c r="L697" i="5"/>
  <c r="K697" i="5"/>
  <c r="L568" i="5"/>
  <c r="K568" i="5"/>
  <c r="L405" i="5"/>
  <c r="K405" i="5"/>
  <c r="K694" i="5"/>
  <c r="L694" i="5"/>
  <c r="L928" i="5"/>
  <c r="K928" i="5"/>
  <c r="L1018" i="5"/>
  <c r="K1018" i="5"/>
  <c r="L911" i="5"/>
  <c r="K911" i="5"/>
  <c r="L1305" i="5"/>
  <c r="K1305" i="5"/>
  <c r="L1165" i="5"/>
  <c r="K1165" i="5"/>
  <c r="L768" i="5"/>
  <c r="K768" i="5"/>
  <c r="L765" i="5"/>
  <c r="K765" i="5"/>
  <c r="L778" i="5"/>
  <c r="K778" i="5"/>
  <c r="L1289" i="5"/>
  <c r="K1289" i="5"/>
  <c r="L1053" i="5"/>
  <c r="K1053" i="5"/>
  <c r="K644" i="5"/>
  <c r="L644" i="5"/>
  <c r="L922" i="5"/>
  <c r="K922" i="5"/>
  <c r="L769" i="5"/>
  <c r="K769" i="5"/>
  <c r="L686" i="5"/>
  <c r="K686" i="5"/>
  <c r="K1273" i="5"/>
  <c r="L1273" i="5"/>
  <c r="L1324" i="5"/>
  <c r="K1324" i="5"/>
  <c r="L1206" i="5"/>
  <c r="K1206" i="5"/>
  <c r="L1130" i="5"/>
  <c r="K1130" i="5"/>
  <c r="L935" i="5"/>
  <c r="K935" i="5"/>
  <c r="L1191" i="5"/>
  <c r="K1191" i="5"/>
  <c r="L1012" i="5"/>
  <c r="K1012" i="5"/>
  <c r="L1268" i="5"/>
  <c r="K1268" i="5"/>
  <c r="L1057" i="5"/>
  <c r="K1057" i="5"/>
  <c r="L1313" i="5"/>
  <c r="K1313" i="5"/>
  <c r="L1102" i="5"/>
  <c r="K1102" i="5"/>
  <c r="L923" i="5"/>
  <c r="K923" i="5"/>
  <c r="L1179" i="5"/>
  <c r="K1179" i="5"/>
  <c r="K1000" i="5"/>
  <c r="L1000" i="5"/>
  <c r="K1256" i="5"/>
  <c r="L1256" i="5"/>
  <c r="L1061" i="5"/>
  <c r="K1061" i="5"/>
  <c r="K1317" i="5"/>
  <c r="L1317" i="5"/>
  <c r="L1106" i="5"/>
  <c r="K1106" i="5"/>
  <c r="L927" i="5"/>
  <c r="K927" i="5"/>
  <c r="K1183" i="5"/>
  <c r="L1183" i="5"/>
  <c r="L203" i="5"/>
  <c r="K203" i="5"/>
  <c r="K663" i="5"/>
  <c r="L663" i="5"/>
  <c r="L198" i="5"/>
  <c r="K198" i="5"/>
  <c r="L521" i="5"/>
  <c r="K521" i="5"/>
  <c r="K39" i="5"/>
  <c r="L39" i="5"/>
  <c r="L279" i="5"/>
  <c r="K279" i="5"/>
  <c r="K210" i="5"/>
  <c r="L210" i="5"/>
  <c r="L138" i="5"/>
  <c r="K138" i="5"/>
  <c r="L246" i="5"/>
  <c r="K246" i="5"/>
  <c r="L208" i="5"/>
  <c r="K208" i="5"/>
  <c r="L86" i="5"/>
  <c r="K86" i="5"/>
  <c r="L147" i="5"/>
  <c r="K147" i="5"/>
  <c r="L325" i="5"/>
  <c r="K325" i="5"/>
  <c r="L61" i="5"/>
  <c r="K61" i="5"/>
  <c r="L77" i="5"/>
  <c r="K77" i="5"/>
  <c r="L111" i="5"/>
  <c r="K111" i="5"/>
  <c r="L847" i="5"/>
  <c r="K847" i="5"/>
  <c r="L435" i="5"/>
  <c r="K435" i="5"/>
  <c r="L297" i="5"/>
  <c r="K297" i="5"/>
  <c r="L683" i="5"/>
  <c r="K683" i="5"/>
  <c r="L163" i="5"/>
  <c r="K163" i="5"/>
  <c r="L436" i="5"/>
  <c r="K436" i="5"/>
  <c r="L256" i="5"/>
  <c r="K256" i="5"/>
  <c r="L493" i="5"/>
  <c r="K493" i="5"/>
  <c r="L365" i="5"/>
  <c r="K365" i="5"/>
  <c r="L314" i="5"/>
  <c r="K314" i="5"/>
  <c r="K151" i="5"/>
  <c r="L151" i="5"/>
  <c r="L413" i="5"/>
  <c r="K413" i="5"/>
  <c r="L212" i="5"/>
  <c r="K212" i="5"/>
  <c r="K571" i="5"/>
  <c r="L571" i="5"/>
  <c r="L289" i="5"/>
  <c r="K289" i="5"/>
  <c r="L790" i="5"/>
  <c r="K790" i="5"/>
  <c r="L318" i="5"/>
  <c r="K318" i="5"/>
  <c r="L267" i="5"/>
  <c r="K267" i="5"/>
  <c r="L514" i="5"/>
  <c r="K514" i="5"/>
  <c r="L758" i="5"/>
  <c r="K758" i="5"/>
  <c r="K620" i="5"/>
  <c r="L620" i="5"/>
  <c r="L566" i="5"/>
  <c r="K566" i="5"/>
  <c r="L611" i="5"/>
  <c r="K611" i="5"/>
  <c r="L605" i="5"/>
  <c r="K605" i="5"/>
  <c r="L458" i="5"/>
  <c r="K458" i="5"/>
  <c r="L838" i="5"/>
  <c r="K838" i="5"/>
  <c r="K615" i="5"/>
  <c r="L615" i="5"/>
  <c r="L612" i="5"/>
  <c r="K612" i="5"/>
  <c r="L449" i="5"/>
  <c r="K449" i="5"/>
  <c r="L709" i="5"/>
  <c r="K709" i="5"/>
  <c r="K430" i="5"/>
  <c r="L430" i="5"/>
  <c r="K725" i="5"/>
  <c r="L725" i="5"/>
  <c r="L584" i="5"/>
  <c r="K584" i="5"/>
  <c r="L421" i="5"/>
  <c r="K421" i="5"/>
  <c r="L698" i="5"/>
  <c r="K698" i="5"/>
  <c r="L992" i="5"/>
  <c r="K992" i="5"/>
  <c r="L1088" i="5"/>
  <c r="K1088" i="5"/>
  <c r="L973" i="5"/>
  <c r="K973" i="5"/>
  <c r="L819" i="5"/>
  <c r="K819" i="5"/>
  <c r="L1171" i="5"/>
  <c r="K1171" i="5"/>
  <c r="L784" i="5"/>
  <c r="K784" i="5"/>
  <c r="L781" i="5"/>
  <c r="K781" i="5"/>
  <c r="L794" i="5"/>
  <c r="K794" i="5"/>
  <c r="K759" i="5"/>
  <c r="L759" i="5"/>
  <c r="L1059" i="5"/>
  <c r="K1059" i="5"/>
  <c r="L660" i="5"/>
  <c r="K660" i="5"/>
  <c r="K937" i="5"/>
  <c r="L937" i="5"/>
  <c r="L785" i="5"/>
  <c r="K785" i="5"/>
  <c r="K702" i="5"/>
  <c r="L702" i="5"/>
  <c r="K1337" i="5"/>
  <c r="L1337" i="5"/>
  <c r="L1340" i="5"/>
  <c r="K1340" i="5"/>
  <c r="L1222" i="5"/>
  <c r="K1222" i="5"/>
  <c r="L1146" i="5"/>
  <c r="K1146" i="5"/>
  <c r="L951" i="5"/>
  <c r="K951" i="5"/>
  <c r="L1207" i="5"/>
  <c r="K1207" i="5"/>
  <c r="L1028" i="5"/>
  <c r="K1028" i="5"/>
  <c r="L1284" i="5"/>
  <c r="K1284" i="5"/>
  <c r="L1073" i="5"/>
  <c r="K1073" i="5"/>
  <c r="L1329" i="5"/>
  <c r="K1329" i="5"/>
  <c r="L1118" i="5"/>
  <c r="K1118" i="5"/>
  <c r="L939" i="5"/>
  <c r="K939" i="5"/>
  <c r="L1195" i="5"/>
  <c r="K1195" i="5"/>
  <c r="K1016" i="5"/>
  <c r="L1016" i="5"/>
  <c r="K1272" i="5"/>
  <c r="L1272" i="5"/>
  <c r="K1077" i="5"/>
  <c r="L1077" i="5"/>
  <c r="K1333" i="5"/>
  <c r="L1333" i="5"/>
  <c r="L1122" i="5"/>
  <c r="K1122" i="5"/>
  <c r="L943" i="5"/>
  <c r="K943" i="5"/>
  <c r="K1199" i="5"/>
  <c r="L1199" i="5"/>
  <c r="L380" i="5"/>
  <c r="K380" i="5"/>
  <c r="K194" i="5"/>
  <c r="L194" i="5"/>
  <c r="L531" i="5"/>
  <c r="K531" i="5"/>
  <c r="L184" i="5"/>
  <c r="K184" i="5"/>
  <c r="L479" i="5"/>
  <c r="K479" i="5"/>
  <c r="F135" i="3"/>
  <c r="L12" i="3"/>
  <c r="L793" i="5"/>
  <c r="K793" i="5"/>
  <c r="L190" i="5"/>
  <c r="K190" i="5"/>
  <c r="L585" i="5"/>
  <c r="K585" i="5"/>
  <c r="L492" i="5"/>
  <c r="K492" i="5"/>
  <c r="L317" i="5"/>
  <c r="K317" i="5"/>
  <c r="L248" i="5"/>
  <c r="K248" i="5"/>
  <c r="K143" i="5"/>
  <c r="L143" i="5"/>
  <c r="L1024" i="5"/>
  <c r="K1024" i="5"/>
  <c r="L447" i="5"/>
  <c r="K447" i="5"/>
  <c r="L313" i="5"/>
  <c r="K313" i="5"/>
  <c r="L440" i="5"/>
  <c r="K440" i="5"/>
  <c r="L272" i="5"/>
  <c r="K272" i="5"/>
  <c r="K523" i="5"/>
  <c r="L523" i="5"/>
  <c r="L378" i="5"/>
  <c r="K378" i="5"/>
  <c r="L330" i="5"/>
  <c r="K330" i="5"/>
  <c r="K167" i="5"/>
  <c r="L167" i="5"/>
  <c r="L425" i="5"/>
  <c r="K425" i="5"/>
  <c r="K228" i="5"/>
  <c r="L228" i="5"/>
  <c r="K706" i="5"/>
  <c r="L706" i="5"/>
  <c r="L305" i="5"/>
  <c r="K305" i="5"/>
  <c r="L78" i="5"/>
  <c r="K78" i="5"/>
  <c r="K334" i="5"/>
  <c r="L334" i="5"/>
  <c r="L283" i="5"/>
  <c r="K283" i="5"/>
  <c r="L530" i="5"/>
  <c r="K530" i="5"/>
  <c r="L763" i="5"/>
  <c r="K763" i="5"/>
  <c r="K627" i="5"/>
  <c r="L627" i="5"/>
  <c r="L582" i="5"/>
  <c r="K582" i="5"/>
  <c r="L624" i="5"/>
  <c r="K624" i="5"/>
  <c r="L621" i="5"/>
  <c r="K621" i="5"/>
  <c r="L474" i="5"/>
  <c r="K474" i="5"/>
  <c r="L882" i="5"/>
  <c r="K882" i="5"/>
  <c r="K632" i="5"/>
  <c r="L632" i="5"/>
  <c r="L650" i="5"/>
  <c r="K650" i="5"/>
  <c r="L465" i="5"/>
  <c r="K465" i="5"/>
  <c r="L757" i="5"/>
  <c r="K757" i="5"/>
  <c r="K446" i="5"/>
  <c r="L446" i="5"/>
  <c r="K792" i="5"/>
  <c r="L792" i="5"/>
  <c r="L600" i="5"/>
  <c r="K600" i="5"/>
  <c r="L437" i="5"/>
  <c r="K437" i="5"/>
  <c r="K738" i="5"/>
  <c r="L738" i="5"/>
  <c r="L1002" i="5"/>
  <c r="K1002" i="5"/>
  <c r="L876" i="5"/>
  <c r="K876" i="5"/>
  <c r="L979" i="5"/>
  <c r="K979" i="5"/>
  <c r="L835" i="5"/>
  <c r="K835" i="5"/>
  <c r="L1200" i="5"/>
  <c r="K1200" i="5"/>
  <c r="L800" i="5"/>
  <c r="K800" i="5"/>
  <c r="L797" i="5"/>
  <c r="K797" i="5"/>
  <c r="L810" i="5"/>
  <c r="K810" i="5"/>
  <c r="K775" i="5"/>
  <c r="L775" i="5"/>
  <c r="K1081" i="5"/>
  <c r="L1081" i="5"/>
  <c r="L676" i="5"/>
  <c r="K676" i="5"/>
  <c r="K966" i="5"/>
  <c r="L966" i="5"/>
  <c r="L801" i="5"/>
  <c r="K801" i="5"/>
  <c r="K718" i="5"/>
  <c r="L718" i="5"/>
  <c r="L1100" i="5"/>
  <c r="K1100" i="5"/>
  <c r="L982" i="5"/>
  <c r="K982" i="5"/>
  <c r="L1238" i="5"/>
  <c r="K1238" i="5"/>
  <c r="L1162" i="5"/>
  <c r="K1162" i="5"/>
  <c r="L967" i="5"/>
  <c r="K967" i="5"/>
  <c r="L1223" i="5"/>
  <c r="K1223" i="5"/>
  <c r="L1044" i="5"/>
  <c r="K1044" i="5"/>
  <c r="L1300" i="5"/>
  <c r="K1300" i="5"/>
  <c r="L1089" i="5"/>
  <c r="K1089" i="5"/>
  <c r="L1345" i="5"/>
  <c r="K1345" i="5"/>
  <c r="L1134" i="5"/>
  <c r="K1134" i="5"/>
  <c r="L955" i="5"/>
  <c r="K955" i="5"/>
  <c r="L1211" i="5"/>
  <c r="K1211" i="5"/>
  <c r="K1032" i="5"/>
  <c r="L1032" i="5"/>
  <c r="K1288" i="5"/>
  <c r="L1288" i="5"/>
  <c r="L1093" i="5"/>
  <c r="K1093" i="5"/>
  <c r="K1349" i="5"/>
  <c r="L1349" i="5"/>
  <c r="L1138" i="5"/>
  <c r="K1138" i="5"/>
  <c r="L959" i="5"/>
  <c r="K959" i="5"/>
  <c r="K1215" i="5"/>
  <c r="L1215" i="5"/>
  <c r="L367" i="5"/>
  <c r="K367" i="5"/>
  <c r="L171" i="5"/>
  <c r="K171" i="5"/>
  <c r="L399" i="5"/>
  <c r="K399" i="5"/>
  <c r="L175" i="5"/>
  <c r="K175" i="5"/>
  <c r="L303" i="5"/>
  <c r="K303" i="5"/>
  <c r="F196" i="3"/>
  <c r="F180" i="3"/>
  <c r="F164" i="3"/>
  <c r="F148" i="3"/>
  <c r="F132" i="3"/>
  <c r="F116" i="3"/>
  <c r="F100" i="3"/>
  <c r="F84" i="3"/>
  <c r="F68" i="3"/>
  <c r="F52" i="3"/>
  <c r="F36" i="3"/>
  <c r="L28" i="3"/>
  <c r="F24" i="3"/>
  <c r="F20" i="3"/>
  <c r="L10" i="3"/>
  <c r="F179" i="3"/>
  <c r="F115" i="3"/>
  <c r="F99" i="3"/>
  <c r="F51" i="3"/>
  <c r="F31" i="3"/>
  <c r="F23" i="3"/>
  <c r="F13" i="3"/>
  <c r="F88" i="3"/>
  <c r="F16" i="3"/>
  <c r="L6" i="3"/>
  <c r="F147" i="3"/>
  <c r="F131" i="3"/>
  <c r="F83" i="3"/>
  <c r="F67" i="3"/>
  <c r="F35" i="3"/>
  <c r="F56" i="3"/>
  <c r="F195" i="3"/>
  <c r="F163" i="3"/>
  <c r="F72" i="3"/>
  <c r="F40" i="3"/>
  <c r="F200" i="3"/>
  <c r="F184" i="3"/>
  <c r="F168" i="3"/>
  <c r="F152" i="3"/>
  <c r="F136" i="3"/>
  <c r="F120" i="3"/>
  <c r="F104" i="3"/>
  <c r="F65" i="3"/>
  <c r="L21" i="3"/>
  <c r="D7" i="1"/>
  <c r="F12" i="3"/>
  <c r="F97" i="3"/>
  <c r="F129" i="3"/>
  <c r="F172" i="3"/>
  <c r="F156" i="3"/>
  <c r="F140" i="3"/>
  <c r="F124" i="3"/>
  <c r="F108" i="3"/>
  <c r="F92" i="3"/>
  <c r="F76" i="3"/>
  <c r="F60" i="3"/>
  <c r="F44" i="3"/>
  <c r="F30" i="3"/>
  <c r="F81" i="3"/>
  <c r="F193" i="3"/>
  <c r="F177" i="3"/>
  <c r="F161" i="3"/>
  <c r="F113" i="3"/>
  <c r="E14" i="2"/>
  <c r="E7" i="1" s="1"/>
  <c r="F191" i="3"/>
  <c r="F175" i="3"/>
  <c r="F159" i="3"/>
  <c r="F143" i="3"/>
  <c r="F127" i="3"/>
  <c r="F111" i="3"/>
  <c r="F95" i="3"/>
  <c r="F79" i="3"/>
  <c r="F63" i="3"/>
  <c r="F47" i="3"/>
  <c r="F17" i="3"/>
  <c r="L7" i="3"/>
  <c r="F170" i="3"/>
  <c r="F29" i="3"/>
  <c r="F133" i="3"/>
  <c r="F122" i="3"/>
  <c r="L17" i="3"/>
  <c r="F58" i="3"/>
  <c r="F138" i="3"/>
  <c r="F14" i="3"/>
  <c r="F117" i="3"/>
  <c r="L20" i="3"/>
  <c r="F165" i="3"/>
  <c r="F32" i="3"/>
  <c r="F106" i="3"/>
  <c r="F85" i="3"/>
  <c r="F197" i="3"/>
  <c r="F42" i="3"/>
  <c r="F37" i="3"/>
  <c r="F53" i="3"/>
  <c r="F186" i="3"/>
  <c r="F74" i="3"/>
  <c r="F181" i="3"/>
  <c r="F69" i="3"/>
  <c r="F154" i="3"/>
  <c r="F25" i="3"/>
  <c r="F149" i="3"/>
  <c r="F101" i="3"/>
  <c r="F90" i="3"/>
  <c r="F11" i="3"/>
  <c r="F202" i="3"/>
  <c r="F75" i="3"/>
  <c r="F176" i="3"/>
  <c r="F185" i="3"/>
  <c r="F203" i="3"/>
  <c r="F80" i="3"/>
  <c r="L252" i="5"/>
  <c r="K252" i="5"/>
  <c r="L974" i="5"/>
  <c r="K974" i="5"/>
  <c r="L89" i="5"/>
  <c r="K89" i="5"/>
  <c r="K258" i="5"/>
  <c r="L258" i="5"/>
  <c r="L173" i="5"/>
  <c r="K173" i="5"/>
  <c r="K155" i="5"/>
  <c r="L155" i="5"/>
  <c r="L266" i="5"/>
  <c r="K266" i="5"/>
  <c r="L93" i="5"/>
  <c r="K93" i="5"/>
  <c r="L65" i="5"/>
  <c r="K65" i="5"/>
  <c r="L45" i="5"/>
  <c r="K45" i="5"/>
  <c r="L92" i="5"/>
  <c r="K92" i="5"/>
  <c r="L179" i="5"/>
  <c r="K179" i="5"/>
  <c r="L105" i="5"/>
  <c r="K105" i="5"/>
  <c r="K52" i="5"/>
  <c r="L52" i="5"/>
  <c r="K139" i="5"/>
  <c r="L139" i="5"/>
  <c r="L230" i="5"/>
  <c r="K230" i="5"/>
  <c r="L64" i="5"/>
  <c r="K64" i="5"/>
  <c r="L172" i="5"/>
  <c r="K172" i="5"/>
  <c r="L459" i="5"/>
  <c r="K459" i="5"/>
  <c r="L329" i="5"/>
  <c r="K329" i="5"/>
  <c r="L760" i="5"/>
  <c r="K760" i="5"/>
  <c r="L195" i="5"/>
  <c r="K195" i="5"/>
  <c r="L476" i="5"/>
  <c r="K476" i="5"/>
  <c r="L288" i="5"/>
  <c r="K288" i="5"/>
  <c r="K587" i="5"/>
  <c r="L587" i="5"/>
  <c r="L386" i="5"/>
  <c r="K386" i="5"/>
  <c r="L346" i="5"/>
  <c r="K346" i="5"/>
  <c r="K183" i="5"/>
  <c r="L183" i="5"/>
  <c r="L473" i="5"/>
  <c r="K473" i="5"/>
  <c r="K244" i="5"/>
  <c r="L244" i="5"/>
  <c r="L831" i="5"/>
  <c r="K831" i="5"/>
  <c r="K321" i="5"/>
  <c r="L321" i="5"/>
  <c r="L94" i="5"/>
  <c r="K94" i="5"/>
  <c r="L350" i="5"/>
  <c r="K350" i="5"/>
  <c r="L299" i="5"/>
  <c r="K299" i="5"/>
  <c r="L546" i="5"/>
  <c r="K546" i="5"/>
  <c r="L780" i="5"/>
  <c r="K780" i="5"/>
  <c r="K645" i="5"/>
  <c r="L645" i="5"/>
  <c r="L598" i="5"/>
  <c r="K598" i="5"/>
  <c r="K631" i="5"/>
  <c r="L631" i="5"/>
  <c r="L639" i="5"/>
  <c r="K639" i="5"/>
  <c r="L490" i="5"/>
  <c r="K490" i="5"/>
  <c r="K391" i="5"/>
  <c r="L391" i="5"/>
  <c r="K643" i="5"/>
  <c r="L643" i="5"/>
  <c r="L658" i="5"/>
  <c r="K658" i="5"/>
  <c r="L481" i="5"/>
  <c r="K481" i="5"/>
  <c r="L761" i="5"/>
  <c r="K761" i="5"/>
  <c r="K462" i="5"/>
  <c r="L462" i="5"/>
  <c r="K805" i="5"/>
  <c r="L805" i="5"/>
  <c r="L616" i="5"/>
  <c r="K616" i="5"/>
  <c r="K453" i="5"/>
  <c r="L453" i="5"/>
  <c r="L745" i="5"/>
  <c r="K745" i="5"/>
  <c r="L1104" i="5"/>
  <c r="K1104" i="5"/>
  <c r="L892" i="5"/>
  <c r="K892" i="5"/>
  <c r="L1068" i="5"/>
  <c r="K1068" i="5"/>
  <c r="L851" i="5"/>
  <c r="K851" i="5"/>
  <c r="L1229" i="5"/>
  <c r="K1229" i="5"/>
  <c r="L816" i="5"/>
  <c r="K816" i="5"/>
  <c r="L813" i="5"/>
  <c r="K813" i="5"/>
  <c r="L826" i="5"/>
  <c r="K826" i="5"/>
  <c r="K791" i="5"/>
  <c r="L791" i="5"/>
  <c r="L1120" i="5"/>
  <c r="K1120" i="5"/>
  <c r="L692" i="5"/>
  <c r="K692" i="5"/>
  <c r="K1017" i="5"/>
  <c r="L1017" i="5"/>
  <c r="L817" i="5"/>
  <c r="K817" i="5"/>
  <c r="L734" i="5"/>
  <c r="K734" i="5"/>
  <c r="K1116" i="5"/>
  <c r="L1116" i="5"/>
  <c r="L998" i="5"/>
  <c r="K998" i="5"/>
  <c r="L1254" i="5"/>
  <c r="K1254" i="5"/>
  <c r="L1178" i="5"/>
  <c r="K1178" i="5"/>
  <c r="L983" i="5"/>
  <c r="K983" i="5"/>
  <c r="L1239" i="5"/>
  <c r="K1239" i="5"/>
  <c r="L1060" i="5"/>
  <c r="K1060" i="5"/>
  <c r="L1316" i="5"/>
  <c r="K1316" i="5"/>
  <c r="L1105" i="5"/>
  <c r="K1105" i="5"/>
  <c r="L894" i="5"/>
  <c r="K894" i="5"/>
  <c r="L1150" i="5"/>
  <c r="K1150" i="5"/>
  <c r="L971" i="5"/>
  <c r="K971" i="5"/>
  <c r="L1227" i="5"/>
  <c r="K1227" i="5"/>
  <c r="K1048" i="5"/>
  <c r="L1048" i="5"/>
  <c r="K1304" i="5"/>
  <c r="L1304" i="5"/>
  <c r="K1109" i="5"/>
  <c r="L1109" i="5"/>
  <c r="L898" i="5"/>
  <c r="K898" i="5"/>
  <c r="L1154" i="5"/>
  <c r="K1154" i="5"/>
  <c r="K975" i="5"/>
  <c r="L975" i="5"/>
  <c r="K1231" i="5"/>
  <c r="L1231" i="5"/>
  <c r="L294" i="5"/>
  <c r="K294" i="5"/>
  <c r="K162" i="5"/>
  <c r="L162" i="5"/>
  <c r="L392" i="5"/>
  <c r="K392" i="5"/>
  <c r="L166" i="5"/>
  <c r="K166" i="5"/>
  <c r="L232" i="5"/>
  <c r="K232" i="5"/>
  <c r="F38" i="3"/>
  <c r="F78" i="3"/>
  <c r="L27" i="3"/>
  <c r="F144" i="3"/>
  <c r="L30" i="3"/>
  <c r="L496" i="5"/>
  <c r="K496" i="5"/>
  <c r="L1196" i="5"/>
  <c r="K1196" i="5"/>
  <c r="L338" i="5"/>
  <c r="K338" i="5"/>
  <c r="L191" i="5"/>
  <c r="K191" i="5"/>
  <c r="K182" i="5"/>
  <c r="L182" i="5"/>
  <c r="L468" i="5"/>
  <c r="K468" i="5"/>
  <c r="K226" i="5"/>
  <c r="L226" i="5"/>
  <c r="K68" i="5"/>
  <c r="L68" i="5"/>
  <c r="K290" i="5"/>
  <c r="L290" i="5"/>
  <c r="L703" i="5"/>
  <c r="K703" i="5"/>
  <c r="L49" i="5"/>
  <c r="K49" i="5"/>
  <c r="L67" i="5"/>
  <c r="K67" i="5"/>
  <c r="L75" i="5"/>
  <c r="K75" i="5"/>
  <c r="L33" i="5"/>
  <c r="K33" i="5"/>
  <c r="K36" i="5"/>
  <c r="L36" i="5"/>
  <c r="K108" i="5"/>
  <c r="L108" i="5"/>
  <c r="L214" i="5"/>
  <c r="K214" i="5"/>
  <c r="L51" i="5"/>
  <c r="K51" i="5"/>
  <c r="L188" i="5"/>
  <c r="K188" i="5"/>
  <c r="L502" i="5"/>
  <c r="K502" i="5"/>
  <c r="L345" i="5"/>
  <c r="K345" i="5"/>
  <c r="L310" i="5"/>
  <c r="K310" i="5"/>
  <c r="L211" i="5"/>
  <c r="K211" i="5"/>
  <c r="L512" i="5"/>
  <c r="K512" i="5"/>
  <c r="L304" i="5"/>
  <c r="K304" i="5"/>
  <c r="L634" i="5"/>
  <c r="K634" i="5"/>
  <c r="K448" i="5"/>
  <c r="L448" i="5"/>
  <c r="L362" i="5"/>
  <c r="K362" i="5"/>
  <c r="K199" i="5"/>
  <c r="L199" i="5"/>
  <c r="L499" i="5"/>
  <c r="K499" i="5"/>
  <c r="K260" i="5"/>
  <c r="L260" i="5"/>
  <c r="L81" i="5"/>
  <c r="K81" i="5"/>
  <c r="K337" i="5"/>
  <c r="L337" i="5"/>
  <c r="L110" i="5"/>
  <c r="K110" i="5"/>
  <c r="L366" i="5"/>
  <c r="K366" i="5"/>
  <c r="L315" i="5"/>
  <c r="K315" i="5"/>
  <c r="L562" i="5"/>
  <c r="K562" i="5"/>
  <c r="L802" i="5"/>
  <c r="K802" i="5"/>
  <c r="K652" i="5"/>
  <c r="L652" i="5"/>
  <c r="L614" i="5"/>
  <c r="K614" i="5"/>
  <c r="L649" i="5"/>
  <c r="K649" i="5"/>
  <c r="L646" i="5"/>
  <c r="K646" i="5"/>
  <c r="L506" i="5"/>
  <c r="K506" i="5"/>
  <c r="K407" i="5"/>
  <c r="L407" i="5"/>
  <c r="K677" i="5"/>
  <c r="L677" i="5"/>
  <c r="L665" i="5"/>
  <c r="K665" i="5"/>
  <c r="L497" i="5"/>
  <c r="K497" i="5"/>
  <c r="L774" i="5"/>
  <c r="K774" i="5"/>
  <c r="K478" i="5"/>
  <c r="L478" i="5"/>
  <c r="L850" i="5"/>
  <c r="K850" i="5"/>
  <c r="L633" i="5"/>
  <c r="K633" i="5"/>
  <c r="L469" i="5"/>
  <c r="K469" i="5"/>
  <c r="K754" i="5"/>
  <c r="L754" i="5"/>
  <c r="L1133" i="5"/>
  <c r="K1133" i="5"/>
  <c r="L899" i="5"/>
  <c r="K899" i="5"/>
  <c r="L854" i="5"/>
  <c r="K854" i="5"/>
  <c r="L867" i="5"/>
  <c r="K867" i="5"/>
  <c r="L1235" i="5"/>
  <c r="K1235" i="5"/>
  <c r="L832" i="5"/>
  <c r="K832" i="5"/>
  <c r="L829" i="5"/>
  <c r="K829" i="5"/>
  <c r="L842" i="5"/>
  <c r="K842" i="5"/>
  <c r="K807" i="5"/>
  <c r="L807" i="5"/>
  <c r="L1149" i="5"/>
  <c r="K1149" i="5"/>
  <c r="L708" i="5"/>
  <c r="K708" i="5"/>
  <c r="L1037" i="5"/>
  <c r="K1037" i="5"/>
  <c r="L833" i="5"/>
  <c r="K833" i="5"/>
  <c r="K750" i="5"/>
  <c r="L750" i="5"/>
  <c r="L1132" i="5"/>
  <c r="K1132" i="5"/>
  <c r="L1014" i="5"/>
  <c r="K1014" i="5"/>
  <c r="L1270" i="5"/>
  <c r="K1270" i="5"/>
  <c r="L1194" i="5"/>
  <c r="K1194" i="5"/>
  <c r="L999" i="5"/>
  <c r="K999" i="5"/>
  <c r="L1255" i="5"/>
  <c r="K1255" i="5"/>
  <c r="L1076" i="5"/>
  <c r="K1076" i="5"/>
  <c r="L1332" i="5"/>
  <c r="K1332" i="5"/>
  <c r="L1121" i="5"/>
  <c r="K1121" i="5"/>
  <c r="L910" i="5"/>
  <c r="K910" i="5"/>
  <c r="L1166" i="5"/>
  <c r="K1166" i="5"/>
  <c r="L987" i="5"/>
  <c r="K987" i="5"/>
  <c r="L1243" i="5"/>
  <c r="K1243" i="5"/>
  <c r="K1064" i="5"/>
  <c r="L1064" i="5"/>
  <c r="K1320" i="5"/>
  <c r="L1320" i="5"/>
  <c r="K1125" i="5"/>
  <c r="L1125" i="5"/>
  <c r="L914" i="5"/>
  <c r="K914" i="5"/>
  <c r="L1170" i="5"/>
  <c r="K1170" i="5"/>
  <c r="K991" i="5"/>
  <c r="L991" i="5"/>
  <c r="K1247" i="5"/>
  <c r="L1247" i="5"/>
  <c r="L245" i="5"/>
  <c r="K245" i="5"/>
  <c r="K153" i="5"/>
  <c r="L153" i="5"/>
  <c r="L335" i="5"/>
  <c r="K335" i="5"/>
  <c r="L149" i="5"/>
  <c r="K149" i="5"/>
  <c r="F22" i="3"/>
  <c r="F57" i="3"/>
  <c r="F7" i="3"/>
  <c r="F205" i="3"/>
  <c r="F33" i="3"/>
  <c r="F94" i="3"/>
  <c r="F182" i="3"/>
  <c r="F206" i="3" l="1"/>
  <c r="B20" i="5"/>
  <c r="B21" i="5"/>
  <c r="B22" i="5" s="1"/>
</calcChain>
</file>

<file path=xl/sharedStrings.xml><?xml version="1.0" encoding="utf-8"?>
<sst xmlns="http://schemas.openxmlformats.org/spreadsheetml/2006/main" count="3516" uniqueCount="781">
  <si>
    <t>NYC 311 服务请求看板</t>
  </si>
  <si>
    <t>请求量增长是否持续？</t>
  </si>
  <si>
    <t>哪些类别与机构贡献了增量？</t>
  </si>
  <si>
    <t>雪冰尖峰与道路持续增长</t>
  </si>
  <si>
    <t>ONLINE 占比的变化能否由构成解释？</t>
  </si>
  <si>
    <t>数据边界与影响结论的质量问题</t>
  </si>
  <si>
    <t>口径、字段解释与复现入口</t>
  </si>
  <si>
    <t>同比主窗：两年各 1 月 1 日至 9 月 1 日前，均为 243 天；单位：请求记录。</t>
  </si>
  <si>
    <t>月份</t>
  </si>
  <si>
    <t>2025年记录</t>
  </si>
  <si>
    <t>2026年记录</t>
  </si>
  <si>
    <t>增加记录</t>
  </si>
  <si>
    <t>同比增幅</t>
  </si>
  <si>
    <t>1—8月合计</t>
  </si>
  <si>
    <t>全量覆盖：首尾月份只展示，不纳入完整月份同比</t>
  </si>
  <si>
    <t>创建月份</t>
  </si>
  <si>
    <t>记录数</t>
  </si>
  <si>
    <t>有记录天数</t>
  </si>
  <si>
    <t>该月最早时间</t>
  </si>
  <si>
    <t>该月最晚时间</t>
  </si>
  <si>
    <t>覆盖判断</t>
  </si>
  <si>
    <t>2024-09-07 00:00:00</t>
  </si>
  <si>
    <t>2024-09-30 23:59:31</t>
  </si>
  <si>
    <t>部分月份</t>
  </si>
  <si>
    <t>2024-10-01 00:00:00</t>
  </si>
  <si>
    <t>2024-10-31 23:59:46</t>
  </si>
  <si>
    <t>日历日齐全</t>
  </si>
  <si>
    <t>2024-11-01 00:00:06</t>
  </si>
  <si>
    <t>2024-11-30 23:59:46</t>
  </si>
  <si>
    <t>2024-12-01 00:00:03</t>
  </si>
  <si>
    <t>2024-12-31 23:59:38</t>
  </si>
  <si>
    <t>2025-01-01 00:00:12</t>
  </si>
  <si>
    <t>2025-01-31 23:59:48</t>
  </si>
  <si>
    <t>2025-02-01 00:00:00</t>
  </si>
  <si>
    <t>2025-02-28 23:59:48</t>
  </si>
  <si>
    <t>2025-03-01 00:00:08</t>
  </si>
  <si>
    <t>2025-03-31 23:59:57</t>
  </si>
  <si>
    <t>2025-04-01 00:00:00</t>
  </si>
  <si>
    <t>2025-04-30 23:59:55</t>
  </si>
  <si>
    <t>2025-05-01 00:00:02</t>
  </si>
  <si>
    <t>2025-05-31 23:59:54</t>
  </si>
  <si>
    <t>2025-06-01 00:00:05</t>
  </si>
  <si>
    <t>2025-06-30 23:59:46</t>
  </si>
  <si>
    <t>2025-07-01 00:00:23</t>
  </si>
  <si>
    <t>2025-07-31 23:59:58</t>
  </si>
  <si>
    <t>2025-08-01 00:00:00</t>
  </si>
  <si>
    <t>2025-08-31 23:59:56</t>
  </si>
  <si>
    <t>2025-09-01 00:00:00</t>
  </si>
  <si>
    <t>2025-09-30 23:59:48</t>
  </si>
  <si>
    <t>2025-10-01 00:00:14</t>
  </si>
  <si>
    <t>2025-10-31 23:59:58</t>
  </si>
  <si>
    <t>2025-11-01 00:00:04</t>
  </si>
  <si>
    <t>2025-11-30 23:59:52</t>
  </si>
  <si>
    <t>2025-12-01 00:00:01</t>
  </si>
  <si>
    <t>2025-12-31 23:59:28</t>
  </si>
  <si>
    <t>2026-01-01 00:00:00</t>
  </si>
  <si>
    <t>2026-01-31 23:59:54</t>
  </si>
  <si>
    <t>2026-02-01 00:00:00</t>
  </si>
  <si>
    <t>2026-02-28 23:59:48</t>
  </si>
  <si>
    <t>2026-03-01 00:00:07</t>
  </si>
  <si>
    <t>2026-03-31 23:59:54</t>
  </si>
  <si>
    <t>2026-04-01 00:00:00</t>
  </si>
  <si>
    <t>2026-04-30 23:59:50</t>
  </si>
  <si>
    <t>2026-05-01 00:00:34</t>
  </si>
  <si>
    <t>2026-05-31 23:59:59</t>
  </si>
  <si>
    <t>2026-06-01 00:00:03</t>
  </si>
  <si>
    <t>2026-06-30 23:59:53</t>
  </si>
  <si>
    <t>2026-07-01 00:00:04</t>
  </si>
  <si>
    <t>2026-07-31 23:59:52</t>
  </si>
  <si>
    <t>2026-08-01 00:00:14</t>
  </si>
  <si>
    <t>2026-08-31 23:59:50</t>
  </si>
  <si>
    <t>2026-09-01 00:00:05</t>
  </si>
  <si>
    <t>2026-09-05 01:50:33</t>
  </si>
  <si>
    <t>合计</t>
  </si>
  <si>
    <t>敏感性检查</t>
  </si>
  <si>
    <t>2025记录</t>
  </si>
  <si>
    <t>2026记录</t>
  </si>
  <si>
    <t>全量</t>
  </si>
  <si>
    <t>排除雪冰与道路</t>
  </si>
  <si>
    <t>排除雪冰、道路与供暖</t>
  </si>
  <si>
    <t>只看4—8月</t>
  </si>
  <si>
    <t>同一排除规则应用于两年；仍保留全部状态和渠道。</t>
  </si>
  <si>
    <t>2026年1—8月 对比 2025年同期；贡献率 = 类别增量 / 全部净增量 287,342。负贡献会抵消增长。</t>
  </si>
  <si>
    <t>原始请求类别</t>
  </si>
  <si>
    <t>净增量贡献</t>
  </si>
  <si>
    <t>Street Condition</t>
  </si>
  <si>
    <t>Snow or Ice</t>
  </si>
  <si>
    <t>HEAT/HOT WATER</t>
  </si>
  <si>
    <t>Illegal Parking</t>
  </si>
  <si>
    <t>Blocked Driveway</t>
  </si>
  <si>
    <t>UNSANITARY CONDITION</t>
  </si>
  <si>
    <t>PLUMBING</t>
  </si>
  <si>
    <t>Damaged Tree</t>
  </si>
  <si>
    <t>Water Maintenance</t>
  </si>
  <si>
    <t>Traffic Signal Condition</t>
  </si>
  <si>
    <t>GENERAL</t>
  </si>
  <si>
    <t>WATER LEAK</t>
  </si>
  <si>
    <t>PAINT/PLASTER</t>
  </si>
  <si>
    <t>Dirty Condition</t>
  </si>
  <si>
    <t>Noise - Vehicle</t>
  </si>
  <si>
    <t>DOOR/WINDOW</t>
  </si>
  <si>
    <t>Sewer Maintenance</t>
  </si>
  <si>
    <t>Building/Use</t>
  </si>
  <si>
    <t>ELECTRIC</t>
  </si>
  <si>
    <t>Maintenance or Facility</t>
  </si>
  <si>
    <t>General Construction/Plumbing</t>
  </si>
  <si>
    <t>FLOORING/STAIRS</t>
  </si>
  <si>
    <t>Elevator</t>
  </si>
  <si>
    <t>Noise</t>
  </si>
  <si>
    <t>Overgrown Tree/Branches</t>
  </si>
  <si>
    <t>Street Light Condition</t>
  </si>
  <si>
    <t>Cannabis Retailer</t>
  </si>
  <si>
    <t>APPLIANCE</t>
  </si>
  <si>
    <t>Abandoned Vehicle</t>
  </si>
  <si>
    <t>Highway Condition</t>
  </si>
  <si>
    <t>Water Conservation</t>
  </si>
  <si>
    <t>Sewer</t>
  </si>
  <si>
    <t>Noise - Street/Sidewalk</t>
  </si>
  <si>
    <t>Consumer Complaint</t>
  </si>
  <si>
    <t>Indoor Air Quality</t>
  </si>
  <si>
    <t>Smoking or Vaping</t>
  </si>
  <si>
    <t>SAFETY</t>
  </si>
  <si>
    <t>Obstruction</t>
  </si>
  <si>
    <t>Bike/Roller/Skate</t>
  </si>
  <si>
    <t>Food Establishment</t>
  </si>
  <si>
    <t>For Hire Vehicle Complaint</t>
  </si>
  <si>
    <t>Taxi Complaint</t>
  </si>
  <si>
    <t>Violation of Park Rules</t>
  </si>
  <si>
    <t>Wood Pile Remaining</t>
  </si>
  <si>
    <t>Curb Condition</t>
  </si>
  <si>
    <t>Street Sweeping Complaint</t>
  </si>
  <si>
    <t>Bus Stop Shelter Complaint</t>
  </si>
  <si>
    <t>Animal-Abuse</t>
  </si>
  <si>
    <t>Dead/Dying Tree</t>
  </si>
  <si>
    <t>Plumbing</t>
  </si>
  <si>
    <t>Sidewalk Condition</t>
  </si>
  <si>
    <t>Real Time Enforcement</t>
  </si>
  <si>
    <t>Illegal Tree Damage</t>
  </si>
  <si>
    <t>Unsanitary Animal Pvt Property</t>
  </si>
  <si>
    <t>Non-Residential Heat</t>
  </si>
  <si>
    <t>ELEVATOR</t>
  </si>
  <si>
    <t>Lost Property</t>
  </si>
  <si>
    <t>Hazardous Material</t>
  </si>
  <si>
    <t>Encampment</t>
  </si>
  <si>
    <t>Electrical</t>
  </si>
  <si>
    <t>Industrial Waste</t>
  </si>
  <si>
    <t>Emergency Response Team (ERT)</t>
  </si>
  <si>
    <t>Dumpster Complaint</t>
  </si>
  <si>
    <t>Animal in a Park</t>
  </si>
  <si>
    <t>Urinating in Public</t>
  </si>
  <si>
    <t>Bridge Condition</t>
  </si>
  <si>
    <t>Street Sign - Damaged</t>
  </si>
  <si>
    <t>OUTSIDE BUILDING</t>
  </si>
  <si>
    <t>Illegal Posting</t>
  </si>
  <si>
    <t>For Hire Vehicle Report</t>
  </si>
  <si>
    <t>Standing Water</t>
  </si>
  <si>
    <t>Mosquitoes</t>
  </si>
  <si>
    <t>Green Infrastructure</t>
  </si>
  <si>
    <t>Boilers</t>
  </si>
  <si>
    <t>Indoor Sewage</t>
  </si>
  <si>
    <t>Sanitation Worker or Vehicle Complaint</t>
  </si>
  <si>
    <t>Street Sign - Dangling</t>
  </si>
  <si>
    <t>Street Sign - Missing</t>
  </si>
  <si>
    <t>Unleashed Dog</t>
  </si>
  <si>
    <t>Asbestos</t>
  </si>
  <si>
    <t>Uprooted Stump</t>
  </si>
  <si>
    <t>Lot Condition</t>
  </si>
  <si>
    <t>Bike Rack</t>
  </si>
  <si>
    <t>Unsanitary Pigeon Condition</t>
  </si>
  <si>
    <t>Litter Basket Complaint</t>
  </si>
  <si>
    <t>Food Poisoning</t>
  </si>
  <si>
    <t>Pet Sale</t>
  </si>
  <si>
    <t>AHV Inspection Unit</t>
  </si>
  <si>
    <t>Day Care</t>
  </si>
  <si>
    <t>Investigations and Discipline (IAD)</t>
  </si>
  <si>
    <t>Special Projects Inspection Team (SPIT)</t>
  </si>
  <si>
    <t>LinkNYC</t>
  </si>
  <si>
    <t>Bus Stop Shelter Placement</t>
  </si>
  <si>
    <t>Cooling Tower</t>
  </si>
  <si>
    <t>Abandoned Bike</t>
  </si>
  <si>
    <t>Plant</t>
  </si>
  <si>
    <t>Non-Emergency Police Matter</t>
  </si>
  <si>
    <t>Municipal Parking Facility</t>
  </si>
  <si>
    <t>Construction Lead Dust</t>
  </si>
  <si>
    <t>Poison Ivy</t>
  </si>
  <si>
    <t>Special Operations</t>
  </si>
  <si>
    <t>Ferry Complaint</t>
  </si>
  <si>
    <t>Bench</t>
  </si>
  <si>
    <t>SNW</t>
  </si>
  <si>
    <t>Taxi Report</t>
  </si>
  <si>
    <t>Ferry Inquiry</t>
  </si>
  <si>
    <t>Waste Water Treatment Plant</t>
  </si>
  <si>
    <t>Tattooing</t>
  </si>
  <si>
    <t>Building Marshal's Office</t>
  </si>
  <si>
    <t>Tobacco or Non-Tobacco Sale</t>
  </si>
  <si>
    <t>Public Toilet</t>
  </si>
  <si>
    <t>Beach/Pool/Sauna Complaint</t>
  </si>
  <si>
    <t>Taxi Compliment</t>
  </si>
  <si>
    <t>Building Drinking Water Tank</t>
  </si>
  <si>
    <t>BEST/Site Safety</t>
  </si>
  <si>
    <t>Dry Weather Discharge</t>
  </si>
  <si>
    <t>Window Guard</t>
  </si>
  <si>
    <t>DEP Sidewalk Condition</t>
  </si>
  <si>
    <t>Green Taxi Complaint</t>
  </si>
  <si>
    <t>Squeegee</t>
  </si>
  <si>
    <t>DEP Street Condition</t>
  </si>
  <si>
    <t>Taxi Licensee Complaint</t>
  </si>
  <si>
    <t>Noise - House of Worship</t>
  </si>
  <si>
    <t>Tanning</t>
  </si>
  <si>
    <t>Highway Sign - Missing</t>
  </si>
  <si>
    <t>Dept of Investigations</t>
  </si>
  <si>
    <t>DEP Highway Condition</t>
  </si>
  <si>
    <t>Calorie Labeling</t>
  </si>
  <si>
    <t>Leaning Bar</t>
  </si>
  <si>
    <t>Unsanitary Animal Facility</t>
  </si>
  <si>
    <t>Construction Safety Enforcement</t>
  </si>
  <si>
    <t>DSNY Internal</t>
  </si>
  <si>
    <t>Building Marshals office</t>
  </si>
  <si>
    <t>X-Ray Machine/Equipment</t>
  </si>
  <si>
    <t>Safety</t>
  </si>
  <si>
    <t>Trapping Pigeon</t>
  </si>
  <si>
    <t>Tunnel Condition</t>
  </si>
  <si>
    <t>FHV Licensee Complaint</t>
  </si>
  <si>
    <t>Cranes and Derricks</t>
  </si>
  <si>
    <t>Highway Sign - Dangling</t>
  </si>
  <si>
    <t>Wayfinding</t>
  </si>
  <si>
    <t>Transfer Station Complaint</t>
  </si>
  <si>
    <t>Oil or Gas Spill</t>
  </si>
  <si>
    <t>Public Payphone Complaint</t>
  </si>
  <si>
    <t>Building Condition</t>
  </si>
  <si>
    <t>ASBESTOS</t>
  </si>
  <si>
    <t>Disorderly Youth</t>
  </si>
  <si>
    <t>Institution Disposal Complaint</t>
  </si>
  <si>
    <t>Dead Animal</t>
  </si>
  <si>
    <t>Litter Basket Request</t>
  </si>
  <si>
    <t>Radioactive Material</t>
  </si>
  <si>
    <t>Lifeguard</t>
  </si>
  <si>
    <t>Animal Facility - No Permit</t>
  </si>
  <si>
    <t>Borough Office</t>
  </si>
  <si>
    <t>Special Natural Area District (SNAD)</t>
  </si>
  <si>
    <t>Scaffold Safety</t>
  </si>
  <si>
    <t>Illegal Animal Sold</t>
  </si>
  <si>
    <t>Drinking Water</t>
  </si>
  <si>
    <t>Recycling Basket Complaint</t>
  </si>
  <si>
    <t>Green Taxi Report</t>
  </si>
  <si>
    <t>New Tree Request</t>
  </si>
  <si>
    <t>Found Property</t>
  </si>
  <si>
    <t>Incorrect Data</t>
  </si>
  <si>
    <t>Posting Advertisement</t>
  </si>
  <si>
    <t>Highway Sign - Damaged</t>
  </si>
  <si>
    <t>Mold</t>
  </si>
  <si>
    <t>Unspecified</t>
  </si>
  <si>
    <t>E-Scooter</t>
  </si>
  <si>
    <t>Illegal Animal Kept as Pet</t>
  </si>
  <si>
    <t>Pet Shop</t>
  </si>
  <si>
    <t>Harboring Bees/Wasps</t>
  </si>
  <si>
    <t>Water Quality</t>
  </si>
  <si>
    <t>Root/Sewer/Sidewalk Condition</t>
  </si>
  <si>
    <t>Commercial Disposal Complaint</t>
  </si>
  <si>
    <t>Broken Parking Meter</t>
  </si>
  <si>
    <t>Hazardous Materials</t>
  </si>
  <si>
    <t>Illegal Fireworks</t>
  </si>
  <si>
    <t>Air Quality</t>
  </si>
  <si>
    <t>Drinking</t>
  </si>
  <si>
    <t>School Maintenance</t>
  </si>
  <si>
    <t>Outdoor Dining</t>
  </si>
  <si>
    <t>Panhandling</t>
  </si>
  <si>
    <t>Bike/Roller/Skate Chronic</t>
  </si>
  <si>
    <t>Graffiti</t>
  </si>
  <si>
    <t>Noise - Park</t>
  </si>
  <si>
    <t>Mobile Food Vendor</t>
  </si>
  <si>
    <t>Illegal Dumping</t>
  </si>
  <si>
    <t>Homeless Person Assistance</t>
  </si>
  <si>
    <t>Lead</t>
  </si>
  <si>
    <t>Residential Disposal Complaint</t>
  </si>
  <si>
    <t>Traffic</t>
  </si>
  <si>
    <t>Noise - Commercial</t>
  </si>
  <si>
    <t>Water System</t>
  </si>
  <si>
    <t>Vendor Enforcement</t>
  </si>
  <si>
    <t>Rodent</t>
  </si>
  <si>
    <t>Derelict Vehicles</t>
  </si>
  <si>
    <t>Noise - Helicopter</t>
  </si>
  <si>
    <t>Missed Collection</t>
  </si>
  <si>
    <t>Drug Activity</t>
  </si>
  <si>
    <t>Noise - Residential</t>
  </si>
  <si>
    <t>全部类别合计</t>
  </si>
  <si>
    <t>机构</t>
  </si>
  <si>
    <t>2025年</t>
  </si>
  <si>
    <t>2026年</t>
  </si>
  <si>
    <t>贡献率</t>
  </si>
  <si>
    <t>HPD</t>
  </si>
  <si>
    <t>DOT</t>
  </si>
  <si>
    <t>DSNY</t>
  </si>
  <si>
    <t>DPR</t>
  </si>
  <si>
    <t>DEP</t>
  </si>
  <si>
    <t>NYPD</t>
  </si>
  <si>
    <t>DOB</t>
  </si>
  <si>
    <t>OOS</t>
  </si>
  <si>
    <t>TLC</t>
  </si>
  <si>
    <t>DCWP</t>
  </si>
  <si>
    <t>NYC311-PRD</t>
  </si>
  <si>
    <t>OTI</t>
  </si>
  <si>
    <t>DOE</t>
  </si>
  <si>
    <t>DOHMH</t>
  </si>
  <si>
    <t>DHS</t>
  </si>
  <si>
    <t>EDC</t>
  </si>
  <si>
    <t>行政区</t>
  </si>
  <si>
    <t>BROOKLYN</t>
  </si>
  <si>
    <t>QUEENS</t>
  </si>
  <si>
    <t>MANHATTAN</t>
  </si>
  <si>
    <t>STATEN ISLAND</t>
  </si>
  <si>
    <t>BRONX</t>
  </si>
  <si>
    <t>行政区比较未按人口归一化。</t>
  </si>
  <si>
    <t>机构、类别、行政区是独立拆解，不可跨表相加。</t>
  </si>
  <si>
    <t>同窗记录数；“剔除最高5天”仅削减2026年，用作保守压力测试，不是等长窗口同比。</t>
  </si>
  <si>
    <t>类别</t>
  </si>
  <si>
    <t>2026最高5天</t>
  </si>
  <si>
    <t>最高5天占比</t>
  </si>
  <si>
    <t>剔除后2026</t>
  </si>
  <si>
    <t>相对2025增幅</t>
  </si>
  <si>
    <t>同比上升月数</t>
  </si>
  <si>
    <t>描述层核查：坑洞增加 35,310 条，占道路状况净增量的 74.0%。</t>
  </si>
  <si>
    <t>原始描述</t>
  </si>
  <si>
    <t>Pothole</t>
  </si>
  <si>
    <t>ENTIRE BUILDING</t>
  </si>
  <si>
    <t>Sidewalk</t>
  </si>
  <si>
    <t>APARTMENT ONLY</t>
  </si>
  <si>
    <t>Snow Tracking</t>
  </si>
  <si>
    <t>Roadway</t>
  </si>
  <si>
    <t>Cave-in</t>
  </si>
  <si>
    <t>Pedestrian Feature</t>
  </si>
  <si>
    <t>Rough, Pitted or Cracked Roads</t>
  </si>
  <si>
    <t>Defective Hardware</t>
  </si>
  <si>
    <t>Failed Street Repair</t>
  </si>
  <si>
    <t>Line/Marking - Faded</t>
  </si>
  <si>
    <t>雪冰集中度不能证明天气原因；缺少天气、人员和独立事件编号。</t>
  </si>
  <si>
    <t>排除 Snow Tracking 描述后：雪冰仍从 7,723 增至 40,651 条（+426.4%）。</t>
  </si>
  <si>
    <t>2026雪冰最高5天</t>
  </si>
  <si>
    <t>雪冰记录数</t>
  </si>
  <si>
    <t>最大单日 2026-02-24：11,370 条；涉及 9,355 个非空原始地址值。</t>
  </si>
  <si>
    <t>地址数仅检验集中性，同址可能多次请求；地址文本未标准化，不等于独立事件。</t>
  </si>
  <si>
    <t>日历月日</t>
  </si>
  <si>
    <t>2025雪冰</t>
  </si>
  <si>
    <t>2026雪冰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</si>
  <si>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</si>
  <si>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</si>
  <si>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</si>
  <si>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</si>
  <si>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</si>
  <si>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</si>
  <si>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</si>
  <si>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</si>
  <si>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</si>
  <si>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</si>
  <si>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</si>
  <si>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</si>
  <si>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</si>
  <si>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</si>
  <si>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</si>
  <si>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</si>
  <si>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</si>
  <si>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</si>
  <si>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</si>
  <si>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</si>
  <si>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</si>
  <si>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</si>
  <si>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</si>
  <si>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</si>
  <si>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</si>
  <si>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</si>
  <si>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</si>
  <si>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</si>
  <si>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</si>
  <si>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</si>
  <si>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</si>
  <si>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</si>
  <si>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</si>
  <si>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</si>
  <si>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</si>
  <si>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</si>
  <si>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</si>
  <si>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</si>
  <si>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</si>
  <si>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</si>
  <si>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</si>
  <si>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</si>
  <si>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</si>
  <si>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</si>
  <si>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</si>
  <si>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</si>
  <si>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</si>
  <si>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</si>
  <si>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</si>
  <si>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</si>
  <si>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</si>
  <si>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</si>
  <si>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</si>
  <si>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</si>
  <si>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</si>
  <si>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</si>
  <si>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</si>
  <si>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</si>
  <si>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</si>
  <si>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03-01</t>
  </si>
  <si>
    <t>03-02</t>
  </si>
  <si>
    <t>03-03</t>
  </si>
  <si>
    <t>03-04</t>
  </si>
  <si>
    <t>03-05</t>
  </si>
  <si>
    <t>03-06</t>
  </si>
  <si>
    <t>03-07</t>
  </si>
  <si>
    <t>03-08</t>
  </si>
  <si>
    <t>03-09</t>
  </si>
  <si>
    <t>03-10</t>
  </si>
  <si>
    <t>03-11</t>
  </si>
  <si>
    <t>03-12</t>
  </si>
  <si>
    <t>03-13</t>
  </si>
  <si>
    <t>03-14</t>
  </si>
  <si>
    <t>03-15</t>
  </si>
  <si>
    <t>03-16</t>
  </si>
  <si>
    <t>03-17</t>
  </si>
  <si>
    <t>03-18</t>
  </si>
  <si>
    <t>03-19</t>
  </si>
  <si>
    <t>03-20</t>
  </si>
  <si>
    <t>03-21</t>
  </si>
  <si>
    <t>03-22</t>
  </si>
  <si>
    <t>03-23</t>
  </si>
  <si>
    <t>03-24</t>
  </si>
  <si>
    <t>03-25</t>
  </si>
  <si>
    <t>03-26</t>
  </si>
  <si>
    <t>03-27</t>
  </si>
  <si>
    <t>03-28</t>
  </si>
  <si>
    <t>03-29</t>
  </si>
  <si>
    <t>03-30</t>
  </si>
  <si>
    <t>03-31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</si>
  <si>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</si>
  <si>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</si>
  <si>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</si>
  <si>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</si>
  <si>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</si>
  <si>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</si>
  <si>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</si>
  <si>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</si>
  <si>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</si>
  <si>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</si>
  <si>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</si>
  <si>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</si>
  <si>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</si>
  <si>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</si>
  <si>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</si>
  <si>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</si>
  <si>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</si>
  <si>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</si>
  <si>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</si>
  <si>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</si>
  <si>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</si>
  <si>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</si>
  <si>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</si>
  <si>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</si>
  <si>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</si>
  <si>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</si>
  <si>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</si>
  <si>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</si>
  <si>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</si>
  <si>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</si>
  <si>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05-01</t>
  </si>
  <si>
    <t>05-02</t>
  </si>
  <si>
    <t>05-03</t>
  </si>
  <si>
    <t>05-04</t>
  </si>
  <si>
    <t>05-05</t>
  </si>
  <si>
    <t>05-06</t>
  </si>
  <si>
    <t>05-07</t>
  </si>
  <si>
    <t>05-08</t>
  </si>
  <si>
    <t>05-09</t>
  </si>
  <si>
    <t>05-10</t>
  </si>
  <si>
    <t>05-11</t>
  </si>
  <si>
    <t>05-12</t>
  </si>
  <si>
    <t>05-13</t>
  </si>
  <si>
    <t>05-14</t>
  </si>
  <si>
    <t>05-15</t>
  </si>
  <si>
    <t>05-16</t>
  </si>
  <si>
    <t>05-17</t>
  </si>
  <si>
    <t>05-18</t>
  </si>
  <si>
    <t>05-19</t>
  </si>
  <si>
    <t>05-20</t>
  </si>
  <si>
    <t>05-21</t>
  </si>
  <si>
    <t>05-22</t>
  </si>
  <si>
    <t>05-23</t>
  </si>
  <si>
    <t>05-24</t>
  </si>
  <si>
    <t>05-25</t>
  </si>
  <si>
    <t>05-26</t>
  </si>
  <si>
    <t>05-27</t>
  </si>
  <si>
    <t>05-28</t>
  </si>
  <si>
    <t>05-29</t>
  </si>
  <si>
    <t>05-30</t>
  </si>
  <si>
    <t>05-31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</si>
  <si>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</si>
  <si>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</si>
  <si>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</si>
  <si>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</si>
  <si>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</si>
  <si>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</si>
  <si>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</si>
  <si>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</si>
  <si>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</si>
  <si>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</si>
  <si>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</si>
  <si>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</si>
  <si>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</si>
  <si>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</si>
  <si>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</si>
  <si>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</si>
  <si>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</si>
  <si>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</si>
  <si>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</si>
  <si>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</si>
  <si>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</si>
  <si>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</si>
  <si>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</si>
  <si>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</si>
  <si>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06-25</t>
  </si>
  <si>
    <t>06-26</t>
  </si>
  <si>
    <t>06-27</t>
  </si>
  <si>
    <t>06-28</t>
  </si>
  <si>
    <t>06-29</t>
  </si>
  <si>
    <t>06-30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</si>
  <si>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</si>
  <si>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</si>
  <si>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</si>
  <si>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</si>
  <si>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</si>
  <si>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</si>
  <si>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</si>
  <si>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</si>
  <si>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</si>
  <si>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</si>
  <si>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</si>
  <si>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</si>
  <si>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</si>
  <si>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</si>
  <si>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</si>
  <si>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</si>
  <si>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</si>
  <si>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</si>
  <si>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</si>
  <si>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</si>
  <si>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</si>
  <si>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</si>
  <si>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</si>
  <si>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</si>
  <si>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</si>
  <si>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</si>
  <si>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</si>
  <si>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</si>
  <si>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</si>
  <si>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</si>
  <si>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</si>
  <si>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</si>
  <si>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</si>
  <si>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</si>
  <si>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</si>
  <si>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</si>
  <si>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</si>
  <si>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</si>
  <si>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</si>
  <si>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</si>
  <si>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</si>
  <si>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08-11</t>
  </si>
  <si>
    <t>08-12</t>
  </si>
  <si>
    <t>08-13</t>
  </si>
  <si>
    <t>08-14</t>
  </si>
  <si>
    <t>08-15</t>
  </si>
  <si>
    <t>08-16</t>
  </si>
  <si>
    <t>08-17</t>
  </si>
  <si>
    <t>08-18</t>
  </si>
  <si>
    <t>08-19</t>
  </si>
  <si>
    <t>08-20</t>
  </si>
  <si>
    <t>08-21</t>
  </si>
  <si>
    <t>08-22</t>
  </si>
  <si>
    <t>08-23</t>
  </si>
  <si>
    <t>08-24</t>
  </si>
  <si>
    <t>08-25</t>
  </si>
  <si>
    <t>08-26</t>
  </si>
  <si>
    <t>08-27</t>
  </si>
  <si>
    <t>08-28</t>
  </si>
  <si>
    <t>08-29</t>
  </si>
  <si>
    <t>08-30</t>
  </si>
  <si>
    <t>08-31</t>
  </si>
  <si>
    <t>ONLINE 保留源系统标签；不假定等于所有数字渠道，也不据此识别用户迁移。</t>
  </si>
  <si>
    <t>原始渠道</t>
  </si>
  <si>
    <t>2025占比</t>
  </si>
  <si>
    <t>2026占比</t>
  </si>
  <si>
    <t>占比变化(pp)</t>
  </si>
  <si>
    <t>ONLINE</t>
  </si>
  <si>
    <t>UNKNOWN</t>
  </si>
  <si>
    <t>OTHER</t>
  </si>
  <si>
    <t>MOBILE</t>
  </si>
  <si>
    <t>PHONE</t>
  </si>
  <si>
    <t>固定构成检查：共同存在的“月份 × 类别 × 机构”单元，固定2025年记录权重。</t>
  </si>
  <si>
    <t>指标</t>
  </si>
  <si>
    <t>数值</t>
  </si>
  <si>
    <t>解释</t>
  </si>
  <si>
    <t>共同单元2025记录</t>
  </si>
  <si>
    <t>作为标准化权重分母</t>
  </si>
  <si>
    <t>共同单元2026记录</t>
  </si>
  <si>
    <t>2026年在相同单元内的记录</t>
  </si>
  <si>
    <t>2025覆盖率</t>
  </si>
  <si>
    <t>共同单元记录 / 全部2025同窗记录</t>
  </si>
  <si>
    <t>2026覆盖率</t>
  </si>
  <si>
    <t>共同单元记录 / 全部2026同窗记录</t>
  </si>
  <si>
    <t>2025 ONLINE占比</t>
  </si>
  <si>
    <t>共同单元，按2025年构成</t>
  </si>
  <si>
    <t>固定构成2026 ONLINE占比</t>
  </si>
  <si>
    <t>使用同一2025年构成权重</t>
  </si>
  <si>
    <t>固定构成占比变化(pp)</t>
  </si>
  <si>
    <t>同单元内的渠道结构仍有变化</t>
  </si>
  <si>
    <t>结果支持渠道记录结构改变；无法确认是用户选择、接入方式或编码规则变化。</t>
  </si>
  <si>
    <t>共同单元以外记录不参与标准化，覆盖率在上表披露；不把标准化比例当作实际比例。</t>
  </si>
  <si>
    <t>原始类别</t>
  </si>
  <si>
    <t>2025总数</t>
  </si>
  <si>
    <t>2026总数</t>
  </si>
  <si>
    <t>2025 ONLINE</t>
  </si>
  <si>
    <t>2026 ONLINE</t>
  </si>
  <si>
    <t>2025权重</t>
  </si>
  <si>
    <t>基期加权项</t>
  </si>
  <si>
    <t>当期加权项</t>
  </si>
  <si>
    <t>全量 7,525,498 条；缺失包括 NULL 和去除首尾空白后的空字符串，保留原始值。</t>
  </si>
  <si>
    <t>检查项</t>
  </si>
  <si>
    <t>记录数/数量</t>
  </si>
  <si>
    <t>占全量比例</t>
  </si>
  <si>
    <t>对本项目的处理</t>
  </si>
  <si>
    <t>全量请求记录</t>
  </si>
  <si>
    <t>全量分母；无原始行删除</t>
  </si>
  <si>
    <t>唯一键数量</t>
  </si>
  <si>
    <t>等于行数，未做去重</t>
  </si>
  <si>
    <t>缺失唯一键</t>
  </si>
  <si>
    <t>无需补值</t>
  </si>
  <si>
    <t>创建日期解析失败</t>
  </si>
  <si>
    <t>创建时间可用于同窗筛选</t>
  </si>
  <si>
    <t>关闭日期解析失败（非空）</t>
  </si>
  <si>
    <t>解析成功不代表业务有效</t>
  </si>
  <si>
    <t>关闭日期缺失</t>
  </si>
  <si>
    <t>不会影响创建请求量；不以已关闭样本替代全部请求</t>
  </si>
  <si>
    <t>关闭早于创建</t>
  </si>
  <si>
    <t>不进入有效关闭时长统计；请求量保留</t>
  </si>
  <si>
    <t>关闭等于创建</t>
  </si>
  <si>
    <t>未默认删除；可能含占位或行政动作，不能直接视为即时解决</t>
  </si>
  <si>
    <t>Closed 但无关闭日期</t>
  </si>
  <si>
    <t>状态与日期不等价，不做机构效率排名</t>
  </si>
  <si>
    <t>非Closed 但有关闭日期</t>
  </si>
  <si>
    <t>部分来自DOB；不能只凭关闭日期断言已完成</t>
  </si>
  <si>
    <t>关闭晚于2026-09-07</t>
  </si>
  <si>
    <t>记录67996481为2026-12-14；快照日期未提供，单独标记</t>
  </si>
  <si>
    <t>行政区 Unspecified</t>
  </si>
  <si>
    <t>无人口分母，行政区记录量不代表人均问题率</t>
  </si>
  <si>
    <t>渠道 UNKNOWN</t>
  </si>
  <si>
    <t>保留为渠道类别，不填入ONLINE或PHONE</t>
  </si>
  <si>
    <t>类别边界风险：DEP 的 Water System 在2026年8月降为0，同时维护类标签增多。</t>
  </si>
  <si>
    <t>这与分类切换相容，但缺少映射文档，不能把 Water Maintenance 的倍增直接解读为需求爆发。</t>
  </si>
  <si>
    <t>近月关闭观察期更短；本项目不发布平均结案时长排名或“处理效率提升”的结论。</t>
  </si>
  <si>
    <t>原始字段</t>
  </si>
  <si>
    <t>缺失数量</t>
  </si>
  <si>
    <t>缺失比例</t>
  </si>
  <si>
    <t>本项目中的含义 / 用途</t>
  </si>
  <si>
    <t>unique_key</t>
  </si>
  <si>
    <t>请求标识；实测全量唯一，不代表独立现实事件</t>
  </si>
  <si>
    <t>created_date</t>
  </si>
  <si>
    <t>创建时间；按源值解析，不自行换时区</t>
  </si>
  <si>
    <t>closed_date</t>
  </si>
  <si>
    <t>关闭日期；与状态不完全一致</t>
  </si>
  <si>
    <t>agency</t>
  </si>
  <si>
    <t>受理机构代码；不是人员或工时</t>
  </si>
  <si>
    <t>agency_name</t>
  </si>
  <si>
    <t>机构名称；描述性属性</t>
  </si>
  <si>
    <t>complaint_type</t>
  </si>
  <si>
    <t>原始请求类别；不擅自合并或重命名</t>
  </si>
  <si>
    <t>descriptor</t>
  </si>
  <si>
    <t>类别下的问题描述；用于钻取坑洞、雪冰等</t>
  </si>
  <si>
    <t>location_type</t>
  </si>
  <si>
    <t>未纳入核心计算；缺失不统一补0或删行</t>
  </si>
  <si>
    <t>incident_zip</t>
  </si>
  <si>
    <t>邮编标识；保留字符串</t>
  </si>
  <si>
    <t>incident_address</t>
  </si>
  <si>
    <t>地址文本；未标准化，仅检验集中性</t>
  </si>
  <si>
    <t>street_name</t>
  </si>
  <si>
    <t>cross_street_1</t>
  </si>
  <si>
    <t>cross_street_2</t>
  </si>
  <si>
    <t>intersection_street_1</t>
  </si>
  <si>
    <t>intersection_street_2</t>
  </si>
  <si>
    <t>address_type</t>
  </si>
  <si>
    <t>city</t>
  </si>
  <si>
    <t>landmark</t>
  </si>
  <si>
    <t>facility_type</t>
  </si>
  <si>
    <t>status</t>
  </si>
  <si>
    <t>快照状态；不是状态事件历史</t>
  </si>
  <si>
    <t>due_date</t>
  </si>
  <si>
    <t>截止时间字段几乎全缺，不做超时率</t>
  </si>
  <si>
    <t>resolution_description</t>
  </si>
  <si>
    <t>resolution_action_updated_date</t>
  </si>
  <si>
    <t>community_board</t>
  </si>
  <si>
    <t>bbl</t>
  </si>
  <si>
    <t>borough</t>
  </si>
  <si>
    <t>行政区标签；缺少人口分母</t>
  </si>
  <si>
    <t>council_district</t>
  </si>
  <si>
    <t>police_precinct</t>
  </si>
  <si>
    <t>descriptor_2</t>
  </si>
  <si>
    <t>x_coordinate_state_plane</t>
  </si>
  <si>
    <t>y_coordinate_state_plane</t>
  </si>
  <si>
    <t>open_data_channel_type</t>
  </si>
  <si>
    <t>源系统渠道标签；分类定义未另行提供</t>
  </si>
  <si>
    <t>park_facility_name</t>
  </si>
  <si>
    <t>park_borough</t>
  </si>
  <si>
    <t>vehicle_type</t>
  </si>
  <si>
    <t>taxi_company_borough</t>
  </si>
  <si>
    <t>taxi_pick_up_location</t>
  </si>
  <si>
    <t>bridge_highway_name</t>
  </si>
  <si>
    <t>bridge_highway_direction</t>
  </si>
  <si>
    <t>road_ramp</t>
  </si>
  <si>
    <t>bridge_highway_segment</t>
  </si>
  <si>
    <t>latitude</t>
  </si>
  <si>
    <t>纬度文本；本项目不进行地理编码或空间推算</t>
  </si>
  <si>
    <t>longitude</t>
  </si>
  <si>
    <t>经度文本；本项目不进行地理编码或空间推算</t>
  </si>
  <si>
    <t>location</t>
  </si>
  <si>
    <t>项目</t>
  </si>
  <si>
    <t>定义与说明</t>
  </si>
  <si>
    <t>数据来源</t>
  </si>
  <si>
    <t>D:\项目1\原始数据 中25个Parquet；配套 D:\项目2\input\data_manifest.json。只读原件，未复制原始数据。</t>
  </si>
  <si>
    <t>清单一致性</t>
  </si>
  <si>
    <t>25个文件的字节数、SHA-256、行数与结构已核对；44个字符串字段，各分片结构一致，日期均处于文件名界限内。</t>
  </si>
  <si>
    <t>实测时间范围</t>
  </si>
  <si>
    <t>2024-09-07 00:00:00 至 2026-09-05 01:50:33；2024年9月及2026年9月不完整。日历日齐全仅证明有记录，不证明外部系统没有漏采。</t>
  </si>
  <si>
    <t>记录粒度</t>
  </si>
  <si>
    <t>一行一条 unique_key 请求记录。键唯一不证明请求对应不同事件、不同人员或不同地址，重复投诉仍可能存在。</t>
  </si>
  <si>
    <t>比较窗口</t>
  </si>
  <si>
    <t>2025-01-01 ≤ created &lt; 2025-09-01，对比2026年相同月日，两窗各243天；不限制状态、类别、机构、行政区或渠道。</t>
  </si>
  <si>
    <t>字段语义边界</t>
  </si>
  <si>
    <t>未提供数据字典、分类变更说明或采集快照时点。字段解释依名称及实际值作最低限度操作定义，不当作经外部核实的业务规则。</t>
  </si>
  <si>
    <t>计数和比率</t>
  </si>
  <si>
    <t>记录数为COUNT(*)，核实unique_key全量唯一；增幅=(当期−基期)/基期，贡献率=分组净增/全部净增，零基期显示“无基期”。</t>
  </si>
  <si>
    <t>预处理</t>
  </si>
  <si>
    <t>日期用TRY_CAST解析；空值审计包含空白。类别与渠道保留原始标签，不更改大小写、不合并近似标签，不删除异常时长行。</t>
  </si>
  <si>
    <t>标准化方法</t>
  </si>
  <si>
    <t>仅共同存在的月份×类别×机构单元；每单元2025总数/共同单元2025总数为权重，分别加权两年ONLINE占比。明细及Excel公式见渠道变化。</t>
  </si>
  <si>
    <t>尖峰测试</t>
  </si>
  <si>
    <t>2026各类别自身最高5个自然日从当期剔除，基期保持完整，属于刻意更苛刻的单侧敏感性检查，不作等长同比指标。</t>
  </si>
  <si>
    <t>事实与解释</t>
  </si>
  <si>
    <t>增长、描述结构与渠道占比是数据内事实。天气、报送规则、真实问题数量和个体迁移均未被识别；仅可提出后续验证方向。</t>
  </si>
  <si>
    <t>建议用途</t>
  </si>
  <si>
    <t>按道路坑洞持续增量与雪冰集中日期分别审视日常和峰值需求；先核查渠道/分类规则，再研究报送变化。不据请求数直接配置精确工时或评定效率。</t>
  </si>
  <si>
    <t>Excel阅读顺序</t>
  </si>
  <si>
    <t>总览 → 月度趋势/同比拆解 → 峰值核查/渠道变化 → 数据质量。表格可筛选，渠道标准化明细位于第30行以下；图表为原生Excel对象。</t>
  </si>
  <si>
    <t>源汇总刷新</t>
  </si>
  <si>
    <t>Excel保存静态源汇总，公式计算增幅和占比；打开无需Python。换原始数据后需重跑脚本，修改单元格不会重新扫描Parquet，文字结论也不会自动改写。</t>
  </si>
  <si>
    <t>复现命令</t>
  </si>
  <si>
    <t>在本目录依次运行 python profile_data.py、python investigate.py、python deep_checks.py、python finalize_analysis.py、python build_workbook.py、python verify_workbook.py。</t>
  </si>
  <si>
    <t>依赖</t>
  </si>
  <si>
    <t>Python现有 duckdb / pyarrow / pandas / numpy / xlsxwriter；复核用 openpyxl / pywin32 / PyMuPDF 与本机 Microsoft Excel 16.0。不访问外部网页。</t>
  </si>
  <si>
    <t>证据入口</t>
  </si>
  <si>
    <t>evidence/source_verification.json、numerical_checks.json，及与各脚本同名逻辑生成的CSV；SQL在脚本及deep_queries.json/final_queries.json。</t>
  </si>
  <si>
    <t>原始记录回查</t>
  </si>
  <si>
    <t>evidence/peak_records.csv 与 anomaly_records.csv 保留请求键，可在原始Parquet定位；不输出完整地址明细。</t>
  </si>
  <si>
    <t>全量覆盖 2024-09-07 至 2026-09-05；主要比较 2025 与 2026 年 1—8 月。单位：请求记录。</t>
  </si>
  <si>
    <t>核心指标</t>
  </si>
  <si>
    <t>2025年1—8月</t>
  </si>
  <si>
    <t>2026年1—8月</t>
  </si>
  <si>
    <t>请求记录量</t>
  </si>
  <si>
    <t>1  增长有集中来源，也有广泛基础</t>
  </si>
  <si>
    <t>道路、雪冰、供暖合计贡献47.6%的净增量；排除这三类后，其余请求仍增长7.0%。</t>
  </si>
  <si>
    <t>2  雪冰尖峰与道路持续增长需要分别看待</t>
  </si>
  <si>
    <t>雪冰最高5天占59.4%；道路8个月中7个月上升，坑洞贡献道路净增量的74.0%。</t>
  </si>
  <si>
    <t>3  ONLINE 记录占比上升，固定构成后仍成立</t>
  </si>
  <si>
    <t>实际占比 42.5% → 48.2%；固定月份、类别、机构构成后提高6.74个百分点。</t>
  </si>
  <si>
    <t>使用边界</t>
  </si>
  <si>
    <t>请求记录不等于独立事件或居民数。数据无法证明天气原因、用户迁移或服务绩效变化。</t>
  </si>
  <si>
    <t>首尾不完整月份不参与同比；状态与关闭日期存在不一致，近期结案时长受观察期截断影响。</t>
  </si>
  <si>
    <t>月度趋势</t>
  </si>
  <si>
    <t>同比拆解</t>
  </si>
  <si>
    <t>峰值核查</t>
  </si>
  <si>
    <t>渠道变化</t>
  </si>
  <si>
    <t>数据质量</t>
  </si>
  <si>
    <t>口径与复现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</si>
</sst>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\-dd"/>
    <numFmt numFmtId="178" formatCode="0.00&quot; pp&quot;"/>
  </numFmts>
  <fonts count="9">
    <font>
      <sz val="11"/>
      <color theme="1"/>
      <name val="宋体"/>
      <family val="2"/>
      <scheme val="minor"/>
    </font>
    <font>
      <b/>
      <sz val="17"/>
      <color rgb="FF253247"/>
      <name val="Microsoft YaHei"/>
      <family val="2"/>
    </font>
    <font>
      <sz val="10"/>
      <color rgb="FF526176"/>
      <name val="Microsoft YaHei"/>
      <family val="2"/>
    </font>
    <font>
      <b/>
      <sz val="11"/>
      <color rgb="FFFFFFFF"/>
      <name val="Microsoft YaHei"/>
      <family val="2"/>
    </font>
    <font>
      <b/>
      <sz val="11"/>
      <color rgb="FF263F63"/>
      <name val="Microsoft YaHei"/>
      <family val="2"/>
    </font>
    <font>
      <sz val="11"/>
      <color rgb="FF253247"/>
      <name val="Microsoft YaHei"/>
      <family val="2"/>
    </font>
    <font>
      <u/>
      <sz val="11"/>
      <color rgb="FF2459A6"/>
      <name val="Microsoft YaHei"/>
      <family val="2"/>
    </font>
    <font>
      <sz val="10"/>
      <color rgb="FF253247"/>
      <name val="Microsoft YaHe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F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3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77" fontId="5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178" fontId="5" fillId="0" borderId="0" xfId="0" applyNumberFormat="1" applyFont="1" applyAlignment="1">
      <alignment vertical="center"/>
    </xf>
  </cellXfs>
  <cellStyles count="1">
    <cellStyle name="常规" xfId="0" builtinId="0"/>
  </cellStyles>
  <dxfs count="1">
    <dxf>
      <font>
        <color rgb="FFAA444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同月份请求量（条）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2025年</c:v>
          </c:tx>
          <c:spPr>
            <a:ln w="28575">
              <a:solidFill>
                <a:srgbClr val="8097B0"/>
              </a:solidFill>
            </a:ln>
          </c:spPr>
          <c:marker>
            <c:symbol val="circle"/>
            <c:size val="4"/>
            <c:spPr>
              <a:solidFill>
                <a:srgbClr val="8097B0"/>
              </a:solidFill>
              <a:ln>
                <a:solidFill>
                  <a:srgbClr val="8097B0"/>
                </a:solidFill>
              </a:ln>
            </c:spPr>
          </c:marker>
          <c:cat>
            <c:numRef>
              <c:f>月度趋势!$A$6:$A$13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月度趋势!$B$6:$B$13</c:f>
              <c:numCache>
                <c:formatCode>#,##0</c:formatCode>
                <c:ptCount val="8"/>
                <c:pt idx="0">
                  <c:v>348180</c:v>
                </c:pt>
                <c:pt idx="1">
                  <c:v>255364</c:v>
                </c:pt>
                <c:pt idx="2">
                  <c:v>281221</c:v>
                </c:pt>
                <c:pt idx="3">
                  <c:v>272549</c:v>
                </c:pt>
                <c:pt idx="4">
                  <c:v>295058</c:v>
                </c:pt>
                <c:pt idx="5">
                  <c:v>306442</c:v>
                </c:pt>
                <c:pt idx="6">
                  <c:v>315883</c:v>
                </c:pt>
                <c:pt idx="7">
                  <c:v>304039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0-4935-918C-E6D76AE9ED24}"/>
            </c:ext>
          </c:extLst>
        </c:ser>
        <c:ser>
          <c:idx val="1"/>
          <c:order val="1"/>
          <c:tx>
            <c:v>2026年</c:v>
          </c:tx>
          <c:spPr>
            <a:ln w="28575">
              <a:solidFill>
                <a:srgbClr val="275A91"/>
              </a:solidFill>
            </a:ln>
          </c:spPr>
          <c:marker>
            <c:symbol val="circle"/>
            <c:size val="4"/>
            <c:spPr>
              <a:solidFill>
                <a:srgbClr val="275A91"/>
              </a:solidFill>
              <a:ln>
                <a:solidFill>
                  <a:srgbClr val="275A91"/>
                </a:solidFill>
              </a:ln>
            </c:spPr>
          </c:marker>
          <c:cat>
            <c:numRef>
              <c:f>月度趋势!$A$6:$A$13</c:f>
              <c:numCache>
                <c:formatCode>#,##0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月度趋势!$C$6:$C$13</c:f>
              <c:numCache>
                <c:formatCode>#,##0</c:formatCode>
                <c:ptCount val="8"/>
                <c:pt idx="0">
                  <c:v>348511</c:v>
                </c:pt>
                <c:pt idx="1">
                  <c:v>334690</c:v>
                </c:pt>
                <c:pt idx="2">
                  <c:v>342387</c:v>
                </c:pt>
                <c:pt idx="3">
                  <c:v>302190</c:v>
                </c:pt>
                <c:pt idx="4">
                  <c:v>331978</c:v>
                </c:pt>
                <c:pt idx="5">
                  <c:v>334833</c:v>
                </c:pt>
                <c:pt idx="6">
                  <c:v>343043</c:v>
                </c:pt>
                <c:pt idx="7">
                  <c:v>328446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0-4935-918C-E6D76AE9E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7EBF0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主要类别净增量（条）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增加记录</c:v>
          </c:tx>
          <c:spPr>
            <a:solidFill>
              <a:srgbClr val="356EA0"/>
            </a:solidFill>
            <a:ln>
              <a:noFill/>
            </a:ln>
          </c:spPr>
          <c:invertIfNegative val="0"/>
          <c:cat>
            <c:strRef>
              <c:f>同比拆解!$A$6:$A$10</c:f>
              <c:strCache>
                <c:ptCount val="5"/>
                <c:pt idx="0">
                  <c:v>Street Condition</c:v>
                </c:pt>
                <c:pt idx="1">
                  <c:v>Snow or Ice</c:v>
                </c:pt>
                <c:pt idx="2">
                  <c:v>HEAT/HOT WATER</c:v>
                </c:pt>
                <c:pt idx="3">
                  <c:v>Illegal Parking</c:v>
                </c:pt>
                <c:pt idx="4">
                  <c:v>Blocked Driveway</c:v>
                </c:pt>
              </c:strCache>
            </c:strRef>
          </c:cat>
          <c:val>
            <c:numRef>
              <c:f>同比拆解!$D$6:$D$10</c:f>
              <c:numCache>
                <c:formatCode>#,##0</c:formatCode>
                <c:ptCount val="5"/>
                <c:pt idx="0">
                  <c:v>47709</c:v>
                </c:pt>
                <c:pt idx="1">
                  <c:v>47240</c:v>
                </c:pt>
                <c:pt idx="2">
                  <c:v>41874</c:v>
                </c:pt>
                <c:pt idx="3">
                  <c:v>35062</c:v>
                </c:pt>
                <c:pt idx="4">
                  <c:v>20981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F-497A-8110-538B78131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in val="0"/>
        </c:scaling>
        <c:delete val="0"/>
        <c:axPos val="t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4</xdr:col>
      <xdr:colOff>304800</xdr:colOff>
      <xdr:row>27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11</xdr:col>
      <xdr:colOff>390525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F63"/>
    <pageSetUpPr fitToPage="1"/>
  </sheetPr>
  <dimension ref="A2:K39"/>
  <sheetViews>
    <sheetView showGridLines="0" tabSelected="1" zoomScale="85" zoomScaleNormal="85" workbookViewId="0"/>
  </sheetViews>
  <sheetFormatPr defaultRowHeight="22.95" customHeight="1"/>
  <cols>
    <col min="1" max="1" width="28.6640625" customWidth="1"/>
    <col min="2" max="6" width="17.6640625" customWidth="1"/>
    <col min="7" max="12" width="12.6640625" customWidth="1"/>
  </cols>
  <sheetData>
    <row r="2" spans="1:5" ht="28.95" customHeight="1">
      <c r="A2" s="1" t="s">
        <v>0</v>
      </c>
    </row>
    <row r="4" spans="1:5" ht="22.95" customHeight="1">
      <c r="A4" s="2" t="s">
        <v>761</v>
      </c>
    </row>
    <row r="6" spans="1:5" ht="34.049999999999997" customHeight="1">
      <c r="A6" s="3" t="s">
        <v>762</v>
      </c>
      <c r="B6" s="3" t="s">
        <v>763</v>
      </c>
      <c r="C6" s="3" t="s">
        <v>764</v>
      </c>
      <c r="D6" s="3" t="s">
        <v>11</v>
      </c>
      <c r="E6" s="3" t="s">
        <v>12</v>
      </c>
    </row>
    <row r="7" spans="1:5" ht="22.95" customHeight="1">
      <c r="A7" s="4" t="s">
        <v>765</v>
      </c>
      <c r="B7" s="5">
        <f>月度趋势!B14</f>
        <v>2378736</v>
      </c>
      <c r="C7" s="5">
        <f>月度趋势!C14</f>
        <v>2666078</v>
      </c>
      <c r="D7" s="5">
        <f>月度趋势!D14</f>
        <v>287342</v>
      </c>
      <c r="E7" s="6">
        <f>月度趋势!E14</f>
        <v>0.12079608666115113</v>
      </c>
    </row>
    <row r="9" spans="1:5" ht="22.95" customHeight="1">
      <c r="A9" s="4" t="s">
        <v>766</v>
      </c>
    </row>
    <row r="10" spans="1:5" ht="22.95" customHeight="1">
      <c r="A10" s="7" t="s">
        <v>767</v>
      </c>
    </row>
    <row r="12" spans="1:5" ht="22.95" customHeight="1">
      <c r="A12" s="4" t="s">
        <v>768</v>
      </c>
    </row>
    <row r="13" spans="1:5" ht="22.95" customHeight="1">
      <c r="A13" s="7" t="s">
        <v>769</v>
      </c>
    </row>
    <row r="15" spans="1:5" ht="22.95" customHeight="1">
      <c r="A15" s="4" t="s">
        <v>770</v>
      </c>
    </row>
    <row r="16" spans="1:5" ht="22.95" customHeight="1">
      <c r="A16" s="7" t="s">
        <v>771</v>
      </c>
    </row>
    <row r="34" spans="1:11" ht="22.95" customHeight="1">
      <c r="A34" s="4" t="s">
        <v>772</v>
      </c>
    </row>
    <row r="35" spans="1:11" ht="22.95" customHeight="1">
      <c r="A35" s="7" t="s">
        <v>773</v>
      </c>
    </row>
    <row r="36" spans="1:11" ht="22.95" customHeight="1">
      <c r="A36" s="7" t="s">
        <v>774</v>
      </c>
    </row>
    <row r="39" spans="1:11" ht="22.95" customHeight="1">
      <c r="A39" s="8" t="s">
        <v>775</v>
      </c>
      <c r="C39" s="8" t="s">
        <v>776</v>
      </c>
      <c r="E39" s="8" t="s">
        <v>777</v>
      </c>
      <c r="G39" s="8" t="s">
        <v>778</v>
      </c>
      <c r="I39" s="8" t="s">
        <v>779</v>
      </c>
      <c r="K39" s="8" t="s">
        <v>780</v>
      </c>
    </row>
  </sheetData>
  <phoneticPr fontId="8" type="noConversion"/>
  <hyperlinks>
    <hyperlink ref="A39" location="'月度趋势'!A1" display="月度趋势" xr:uid="{00000000-0004-0000-0000-000000000000}"/>
    <hyperlink ref="C39" location="'同比拆解'!A1" display="同比拆解" xr:uid="{00000000-0004-0000-0000-000001000000}"/>
    <hyperlink ref="E39" location="'峰值核查'!A1" display="峰值核查" xr:uid="{00000000-0004-0000-0000-000002000000}"/>
    <hyperlink ref="G39" location="'渠道变化'!A1" display="渠道变化" xr:uid="{00000000-0004-0000-0000-000003000000}"/>
    <hyperlink ref="I39" location="'数据质量'!A1" display="数据质量" xr:uid="{00000000-0004-0000-0000-000004000000}"/>
    <hyperlink ref="K39" location="'口径与复现'!A1" display="口径与复现" xr:uid="{00000000-0004-0000-0000-000005000000}"/>
  </hyperlinks>
  <pageMargins left="0.3" right="0.3" top="0.4" bottom="0.4" header="0.3" footer="0.3"/>
  <pageSetup paperSize="9" orientation="landscape"/>
  <headerFooter>
    <oddFooter>&amp;LNYC 311 数据分析&amp;R&amp;P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6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.95" customHeight="1"/>
  <cols>
    <col min="1" max="1" width="30.6640625" style="7" customWidth="1"/>
    <col min="2" max="3" width="16.6640625" style="7" customWidth="1"/>
    <col min="4" max="5" width="23.6640625" customWidth="1"/>
    <col min="6" max="6" width="18.6640625" customWidth="1"/>
    <col min="7" max="7" width="3.6640625" customWidth="1"/>
    <col min="8" max="8" width="29.6640625" customWidth="1"/>
    <col min="9" max="12" width="16.6640625" customWidth="1"/>
  </cols>
  <sheetData>
    <row r="2" spans="1:12" ht="28.95" customHeight="1">
      <c r="A2" s="1" t="s">
        <v>1</v>
      </c>
    </row>
    <row r="4" spans="1:12" ht="22.95" customHeight="1">
      <c r="A4" s="2" t="s">
        <v>7</v>
      </c>
    </row>
    <row r="5" spans="1:12" ht="34.049999999999997" customHeight="1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H5" s="3" t="s">
        <v>74</v>
      </c>
      <c r="I5" s="3" t="s">
        <v>75</v>
      </c>
      <c r="J5" s="3" t="s">
        <v>76</v>
      </c>
      <c r="K5" s="3" t="s">
        <v>11</v>
      </c>
      <c r="L5" s="3" t="s">
        <v>12</v>
      </c>
    </row>
    <row r="6" spans="1:12" ht="22.95" customHeight="1">
      <c r="A6" s="5">
        <v>1</v>
      </c>
      <c r="B6" s="5">
        <v>348180</v>
      </c>
      <c r="C6" s="5">
        <v>348511</v>
      </c>
      <c r="D6" s="5">
        <f t="shared" ref="D6:D13" si="0">C6-B6</f>
        <v>331</v>
      </c>
      <c r="E6" s="6">
        <f t="shared" ref="E6:E14" si="1">D6/B6</f>
        <v>9.5065770578436437E-4</v>
      </c>
      <c r="H6" t="s">
        <v>77</v>
      </c>
      <c r="I6" s="5">
        <v>2378736</v>
      </c>
      <c r="J6" s="5">
        <v>2666078</v>
      </c>
      <c r="K6" s="5">
        <f>J6-I6</f>
        <v>287342</v>
      </c>
      <c r="L6" s="6">
        <f>K6/I6</f>
        <v>0.12079608666115113</v>
      </c>
    </row>
    <row r="7" spans="1:12" ht="22.95" customHeight="1">
      <c r="A7" s="5">
        <v>2</v>
      </c>
      <c r="B7" s="5">
        <v>255364</v>
      </c>
      <c r="C7" s="5">
        <v>334690</v>
      </c>
      <c r="D7" s="5">
        <f t="shared" si="0"/>
        <v>79326</v>
      </c>
      <c r="E7" s="6">
        <f t="shared" si="1"/>
        <v>0.31063893109443774</v>
      </c>
      <c r="H7" t="s">
        <v>78</v>
      </c>
      <c r="I7" s="5">
        <v>2319535</v>
      </c>
      <c r="J7" s="5">
        <v>2511928</v>
      </c>
      <c r="K7" s="5">
        <f>J7-I7</f>
        <v>192393</v>
      </c>
      <c r="L7" s="6">
        <f>K7/I7</f>
        <v>8.2944641921764498E-2</v>
      </c>
    </row>
    <row r="8" spans="1:12" ht="22.95" customHeight="1">
      <c r="A8" s="5">
        <v>3</v>
      </c>
      <c r="B8" s="5">
        <v>281221</v>
      </c>
      <c r="C8" s="5">
        <v>342387</v>
      </c>
      <c r="D8" s="5">
        <f t="shared" si="0"/>
        <v>61166</v>
      </c>
      <c r="E8" s="6">
        <f t="shared" si="1"/>
        <v>0.2175015379363561</v>
      </c>
      <c r="H8" t="s">
        <v>79</v>
      </c>
      <c r="I8" s="5">
        <v>2150890</v>
      </c>
      <c r="J8" s="5">
        <v>2301409</v>
      </c>
      <c r="K8" s="5">
        <f>J8-I8</f>
        <v>150519</v>
      </c>
      <c r="L8" s="6">
        <f>K8/I8</f>
        <v>6.9979868798497366E-2</v>
      </c>
    </row>
    <row r="9" spans="1:12" ht="22.95" customHeight="1">
      <c r="A9" s="5">
        <v>4</v>
      </c>
      <c r="B9" s="5">
        <v>272549</v>
      </c>
      <c r="C9" s="5">
        <v>302190</v>
      </c>
      <c r="D9" s="5">
        <f t="shared" si="0"/>
        <v>29641</v>
      </c>
      <c r="E9" s="6">
        <f t="shared" si="1"/>
        <v>0.10875475602552202</v>
      </c>
      <c r="H9" t="s">
        <v>80</v>
      </c>
      <c r="I9" s="5">
        <v>1493971</v>
      </c>
      <c r="J9" s="5">
        <v>1640490</v>
      </c>
      <c r="K9" s="5">
        <f>J9-I9</f>
        <v>146519</v>
      </c>
      <c r="L9" s="6">
        <f>K9/I9</f>
        <v>9.8073523515516695E-2</v>
      </c>
    </row>
    <row r="10" spans="1:12" ht="22.95" customHeight="1">
      <c r="A10" s="5">
        <v>5</v>
      </c>
      <c r="B10" s="5">
        <v>295058</v>
      </c>
      <c r="C10" s="5">
        <v>331978</v>
      </c>
      <c r="D10" s="5">
        <f t="shared" si="0"/>
        <v>36920</v>
      </c>
      <c r="E10" s="6">
        <f t="shared" si="1"/>
        <v>0.12512794094720361</v>
      </c>
    </row>
    <row r="11" spans="1:12" ht="22.95" customHeight="1">
      <c r="A11" s="5">
        <v>6</v>
      </c>
      <c r="B11" s="5">
        <v>306442</v>
      </c>
      <c r="C11" s="5">
        <v>334833</v>
      </c>
      <c r="D11" s="5">
        <f t="shared" si="0"/>
        <v>28391</v>
      </c>
      <c r="E11" s="6">
        <f t="shared" si="1"/>
        <v>9.2647221986542308E-2</v>
      </c>
    </row>
    <row r="12" spans="1:12" ht="22.95" customHeight="1">
      <c r="A12" s="5">
        <v>7</v>
      </c>
      <c r="B12" s="5">
        <v>315883</v>
      </c>
      <c r="C12" s="5">
        <v>343043</v>
      </c>
      <c r="D12" s="5">
        <f t="shared" si="0"/>
        <v>27160</v>
      </c>
      <c r="E12" s="6">
        <f t="shared" si="1"/>
        <v>8.5981201900703741E-2</v>
      </c>
      <c r="H12" s="2" t="s">
        <v>81</v>
      </c>
    </row>
    <row r="13" spans="1:12" ht="22.95" customHeight="1">
      <c r="A13" s="5">
        <v>8</v>
      </c>
      <c r="B13" s="5">
        <v>304039</v>
      </c>
      <c r="C13" s="5">
        <v>328446</v>
      </c>
      <c r="D13" s="5">
        <f t="shared" si="0"/>
        <v>24407</v>
      </c>
      <c r="E13" s="6">
        <f t="shared" si="1"/>
        <v>8.0275885659405535E-2</v>
      </c>
    </row>
    <row r="14" spans="1:12" ht="22.95" customHeight="1">
      <c r="A14" s="4" t="s">
        <v>13</v>
      </c>
      <c r="B14" s="5">
        <f>SUM(B6:B13)</f>
        <v>2378736</v>
      </c>
      <c r="C14" s="5">
        <f>SUM(C6:C13)</f>
        <v>2666078</v>
      </c>
      <c r="D14" s="5">
        <f>SUM(D6:D13)</f>
        <v>287342</v>
      </c>
      <c r="E14" s="6">
        <f t="shared" si="1"/>
        <v>0.12079608666115113</v>
      </c>
    </row>
    <row r="17" spans="1:6" ht="22.95" customHeight="1">
      <c r="A17" s="4" t="s">
        <v>14</v>
      </c>
    </row>
    <row r="19" spans="1:6" ht="34.049999999999997" customHeight="1">
      <c r="A19" s="3" t="s">
        <v>15</v>
      </c>
      <c r="B19" s="3" t="s">
        <v>16</v>
      </c>
      <c r="C19" s="3" t="s">
        <v>17</v>
      </c>
      <c r="D19" s="3" t="s">
        <v>18</v>
      </c>
      <c r="E19" s="3" t="s">
        <v>19</v>
      </c>
      <c r="F19" s="3" t="s">
        <v>20</v>
      </c>
    </row>
    <row r="20" spans="1:6" ht="31.95" customHeight="1">
      <c r="A20" s="9">
        <v>45536</v>
      </c>
      <c r="B20" s="5">
        <v>248139</v>
      </c>
      <c r="C20" s="5">
        <v>24</v>
      </c>
      <c r="D20" s="10" t="s">
        <v>21</v>
      </c>
      <c r="E20" s="10" t="s">
        <v>22</v>
      </c>
      <c r="F20" s="7" t="s">
        <v>23</v>
      </c>
    </row>
    <row r="21" spans="1:6" ht="31.95" customHeight="1">
      <c r="A21" s="9">
        <v>45566</v>
      </c>
      <c r="B21" s="5">
        <v>306803</v>
      </c>
      <c r="C21" s="5">
        <v>31</v>
      </c>
      <c r="D21" s="10" t="s">
        <v>24</v>
      </c>
      <c r="E21" s="10" t="s">
        <v>25</v>
      </c>
      <c r="F21" s="7" t="s">
        <v>26</v>
      </c>
    </row>
    <row r="22" spans="1:6" ht="31.95" customHeight="1">
      <c r="A22" s="9">
        <v>45597</v>
      </c>
      <c r="B22" s="5">
        <v>293515</v>
      </c>
      <c r="C22" s="5">
        <v>30</v>
      </c>
      <c r="D22" s="10" t="s">
        <v>27</v>
      </c>
      <c r="E22" s="10" t="s">
        <v>28</v>
      </c>
      <c r="F22" s="7" t="s">
        <v>26</v>
      </c>
    </row>
    <row r="23" spans="1:6" ht="31.95" customHeight="1">
      <c r="A23" s="9">
        <v>45627</v>
      </c>
      <c r="B23" s="5">
        <v>313949</v>
      </c>
      <c r="C23" s="5">
        <v>31</v>
      </c>
      <c r="D23" s="10" t="s">
        <v>29</v>
      </c>
      <c r="E23" s="10" t="s">
        <v>30</v>
      </c>
      <c r="F23" s="7" t="s">
        <v>26</v>
      </c>
    </row>
    <row r="24" spans="1:6" ht="31.95" customHeight="1">
      <c r="A24" s="9">
        <v>45658</v>
      </c>
      <c r="B24" s="5">
        <v>348180</v>
      </c>
      <c r="C24" s="5">
        <v>31</v>
      </c>
      <c r="D24" s="10" t="s">
        <v>31</v>
      </c>
      <c r="E24" s="10" t="s">
        <v>32</v>
      </c>
      <c r="F24" s="7" t="s">
        <v>26</v>
      </c>
    </row>
    <row r="25" spans="1:6" ht="31.95" customHeight="1">
      <c r="A25" s="9">
        <v>45689</v>
      </c>
      <c r="B25" s="5">
        <v>255364</v>
      </c>
      <c r="C25" s="5">
        <v>28</v>
      </c>
      <c r="D25" s="10" t="s">
        <v>33</v>
      </c>
      <c r="E25" s="10" t="s">
        <v>34</v>
      </c>
      <c r="F25" s="7" t="s">
        <v>26</v>
      </c>
    </row>
    <row r="26" spans="1:6" ht="31.95" customHeight="1">
      <c r="A26" s="9">
        <v>45717</v>
      </c>
      <c r="B26" s="5">
        <v>281221</v>
      </c>
      <c r="C26" s="5">
        <v>31</v>
      </c>
      <c r="D26" s="10" t="s">
        <v>35</v>
      </c>
      <c r="E26" s="10" t="s">
        <v>36</v>
      </c>
      <c r="F26" s="7" t="s">
        <v>26</v>
      </c>
    </row>
    <row r="27" spans="1:6" ht="31.95" customHeight="1">
      <c r="A27" s="9">
        <v>45748</v>
      </c>
      <c r="B27" s="5">
        <v>272549</v>
      </c>
      <c r="C27" s="5">
        <v>30</v>
      </c>
      <c r="D27" s="10" t="s">
        <v>37</v>
      </c>
      <c r="E27" s="10" t="s">
        <v>38</v>
      </c>
      <c r="F27" s="7" t="s">
        <v>26</v>
      </c>
    </row>
    <row r="28" spans="1:6" ht="31.95" customHeight="1">
      <c r="A28" s="9">
        <v>45778</v>
      </c>
      <c r="B28" s="5">
        <v>295058</v>
      </c>
      <c r="C28" s="5">
        <v>31</v>
      </c>
      <c r="D28" s="10" t="s">
        <v>39</v>
      </c>
      <c r="E28" s="10" t="s">
        <v>40</v>
      </c>
      <c r="F28" s="7" t="s">
        <v>26</v>
      </c>
    </row>
    <row r="29" spans="1:6" ht="31.95" customHeight="1">
      <c r="A29" s="9">
        <v>45809</v>
      </c>
      <c r="B29" s="5">
        <v>306442</v>
      </c>
      <c r="C29" s="5">
        <v>30</v>
      </c>
      <c r="D29" s="10" t="s">
        <v>41</v>
      </c>
      <c r="E29" s="10" t="s">
        <v>42</v>
      </c>
      <c r="F29" s="7" t="s">
        <v>26</v>
      </c>
    </row>
    <row r="30" spans="1:6" ht="31.95" customHeight="1">
      <c r="A30" s="9">
        <v>45839</v>
      </c>
      <c r="B30" s="5">
        <v>315883</v>
      </c>
      <c r="C30" s="5">
        <v>31</v>
      </c>
      <c r="D30" s="10" t="s">
        <v>43</v>
      </c>
      <c r="E30" s="10" t="s">
        <v>44</v>
      </c>
      <c r="F30" s="7" t="s">
        <v>26</v>
      </c>
    </row>
    <row r="31" spans="1:6" ht="31.95" customHeight="1">
      <c r="A31" s="9">
        <v>45870</v>
      </c>
      <c r="B31" s="5">
        <v>304039</v>
      </c>
      <c r="C31" s="5">
        <v>31</v>
      </c>
      <c r="D31" s="10" t="s">
        <v>45</v>
      </c>
      <c r="E31" s="10" t="s">
        <v>46</v>
      </c>
      <c r="F31" s="7" t="s">
        <v>26</v>
      </c>
    </row>
    <row r="32" spans="1:6" ht="31.95" customHeight="1">
      <c r="A32" s="9">
        <v>45901</v>
      </c>
      <c r="B32" s="5">
        <v>302684</v>
      </c>
      <c r="C32" s="5">
        <v>30</v>
      </c>
      <c r="D32" s="10" t="s">
        <v>47</v>
      </c>
      <c r="E32" s="10" t="s">
        <v>48</v>
      </c>
      <c r="F32" s="7" t="s">
        <v>26</v>
      </c>
    </row>
    <row r="33" spans="1:6" ht="31.95" customHeight="1">
      <c r="A33" s="9">
        <v>45931</v>
      </c>
      <c r="B33" s="5">
        <v>336612</v>
      </c>
      <c r="C33" s="5">
        <v>31</v>
      </c>
      <c r="D33" s="10" t="s">
        <v>49</v>
      </c>
      <c r="E33" s="10" t="s">
        <v>50</v>
      </c>
      <c r="F33" s="7" t="s">
        <v>26</v>
      </c>
    </row>
    <row r="34" spans="1:6" ht="31.95" customHeight="1">
      <c r="A34" s="9">
        <v>45962</v>
      </c>
      <c r="B34" s="5">
        <v>304905</v>
      </c>
      <c r="C34" s="5">
        <v>30</v>
      </c>
      <c r="D34" s="10" t="s">
        <v>51</v>
      </c>
      <c r="E34" s="10" t="s">
        <v>52</v>
      </c>
      <c r="F34" s="7" t="s">
        <v>26</v>
      </c>
    </row>
    <row r="35" spans="1:6" ht="31.95" customHeight="1">
      <c r="A35" s="9">
        <v>45992</v>
      </c>
      <c r="B35" s="5">
        <v>332103</v>
      </c>
      <c r="C35" s="5">
        <v>31</v>
      </c>
      <c r="D35" s="10" t="s">
        <v>53</v>
      </c>
      <c r="E35" s="10" t="s">
        <v>54</v>
      </c>
      <c r="F35" s="7" t="s">
        <v>26</v>
      </c>
    </row>
    <row r="36" spans="1:6" ht="31.95" customHeight="1">
      <c r="A36" s="9">
        <v>46023</v>
      </c>
      <c r="B36" s="5">
        <v>348511</v>
      </c>
      <c r="C36" s="5">
        <v>31</v>
      </c>
      <c r="D36" s="10" t="s">
        <v>55</v>
      </c>
      <c r="E36" s="10" t="s">
        <v>56</v>
      </c>
      <c r="F36" s="7" t="s">
        <v>26</v>
      </c>
    </row>
    <row r="37" spans="1:6" ht="31.95" customHeight="1">
      <c r="A37" s="9">
        <v>46054</v>
      </c>
      <c r="B37" s="5">
        <v>334690</v>
      </c>
      <c r="C37" s="5">
        <v>28</v>
      </c>
      <c r="D37" s="10" t="s">
        <v>57</v>
      </c>
      <c r="E37" s="10" t="s">
        <v>58</v>
      </c>
      <c r="F37" s="7" t="s">
        <v>26</v>
      </c>
    </row>
    <row r="38" spans="1:6" ht="31.95" customHeight="1">
      <c r="A38" s="9">
        <v>46082</v>
      </c>
      <c r="B38" s="5">
        <v>342387</v>
      </c>
      <c r="C38" s="5">
        <v>31</v>
      </c>
      <c r="D38" s="10" t="s">
        <v>59</v>
      </c>
      <c r="E38" s="10" t="s">
        <v>60</v>
      </c>
      <c r="F38" s="7" t="s">
        <v>26</v>
      </c>
    </row>
    <row r="39" spans="1:6" ht="31.95" customHeight="1">
      <c r="A39" s="9">
        <v>46113</v>
      </c>
      <c r="B39" s="5">
        <v>302190</v>
      </c>
      <c r="C39" s="5">
        <v>30</v>
      </c>
      <c r="D39" s="10" t="s">
        <v>61</v>
      </c>
      <c r="E39" s="10" t="s">
        <v>62</v>
      </c>
      <c r="F39" s="7" t="s">
        <v>26</v>
      </c>
    </row>
    <row r="40" spans="1:6" ht="31.95" customHeight="1">
      <c r="A40" s="9">
        <v>46143</v>
      </c>
      <c r="B40" s="5">
        <v>331978</v>
      </c>
      <c r="C40" s="5">
        <v>31</v>
      </c>
      <c r="D40" s="10" t="s">
        <v>63</v>
      </c>
      <c r="E40" s="10" t="s">
        <v>64</v>
      </c>
      <c r="F40" s="7" t="s">
        <v>26</v>
      </c>
    </row>
    <row r="41" spans="1:6" ht="31.95" customHeight="1">
      <c r="A41" s="9">
        <v>46174</v>
      </c>
      <c r="B41" s="5">
        <v>334833</v>
      </c>
      <c r="C41" s="5">
        <v>30</v>
      </c>
      <c r="D41" s="10" t="s">
        <v>65</v>
      </c>
      <c r="E41" s="10" t="s">
        <v>66</v>
      </c>
      <c r="F41" s="7" t="s">
        <v>26</v>
      </c>
    </row>
    <row r="42" spans="1:6" ht="31.95" customHeight="1">
      <c r="A42" s="9">
        <v>46204</v>
      </c>
      <c r="B42" s="5">
        <v>343043</v>
      </c>
      <c r="C42" s="5">
        <v>31</v>
      </c>
      <c r="D42" s="10" t="s">
        <v>67</v>
      </c>
      <c r="E42" s="10" t="s">
        <v>68</v>
      </c>
      <c r="F42" s="7" t="s">
        <v>26</v>
      </c>
    </row>
    <row r="43" spans="1:6" ht="31.95" customHeight="1">
      <c r="A43" s="9">
        <v>46235</v>
      </c>
      <c r="B43" s="5">
        <v>328446</v>
      </c>
      <c r="C43" s="5">
        <v>31</v>
      </c>
      <c r="D43" s="10" t="s">
        <v>69</v>
      </c>
      <c r="E43" s="10" t="s">
        <v>70</v>
      </c>
      <c r="F43" s="7" t="s">
        <v>26</v>
      </c>
    </row>
    <row r="44" spans="1:6" ht="31.95" customHeight="1">
      <c r="A44" s="9">
        <v>46266</v>
      </c>
      <c r="B44" s="5">
        <v>41974</v>
      </c>
      <c r="C44" s="5">
        <v>5</v>
      </c>
      <c r="D44" s="10" t="s">
        <v>71</v>
      </c>
      <c r="E44" s="10" t="s">
        <v>72</v>
      </c>
      <c r="F44" s="7" t="s">
        <v>23</v>
      </c>
    </row>
    <row r="46" spans="1:6" ht="22.95" customHeight="1">
      <c r="A46" s="4" t="s">
        <v>73</v>
      </c>
      <c r="B46" s="5">
        <f>SUM(B20:B44)</f>
        <v>7525498</v>
      </c>
    </row>
  </sheetData>
  <phoneticPr fontId="8" type="noConversion"/>
  <pageMargins left="0.3" right="0.3" top="0.4" bottom="0.4" header="0.3" footer="0.3"/>
  <pageSetup paperSize="9" fitToHeight="0" orientation="landscape"/>
  <headerFooter>
    <oddFooter>&amp;LNYC 311 数据分析&amp;R&amp;P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206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.95" customHeight="1"/>
  <cols>
    <col min="1" max="1" width="44.6640625" customWidth="1"/>
    <col min="2" max="6" width="16.6640625" style="7" customWidth="1"/>
    <col min="7" max="7" width="3.6640625" customWidth="1"/>
    <col min="8" max="8" width="20.6640625" customWidth="1"/>
    <col min="9" max="12" width="15.6640625" customWidth="1"/>
  </cols>
  <sheetData>
    <row r="2" spans="1:12" ht="28.95" customHeight="1">
      <c r="A2" s="1" t="s">
        <v>2</v>
      </c>
    </row>
    <row r="4" spans="1:12" ht="22.95" customHeight="1">
      <c r="A4" s="2" t="s">
        <v>82</v>
      </c>
    </row>
    <row r="5" spans="1:12" ht="34.049999999999997" customHeight="1">
      <c r="A5" s="3" t="s">
        <v>83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84</v>
      </c>
      <c r="H5" s="3" t="s">
        <v>286</v>
      </c>
      <c r="I5" s="3" t="s">
        <v>287</v>
      </c>
      <c r="J5" s="3" t="s">
        <v>288</v>
      </c>
      <c r="K5" s="3" t="s">
        <v>11</v>
      </c>
      <c r="L5" s="3" t="s">
        <v>289</v>
      </c>
    </row>
    <row r="6" spans="1:12" ht="22.95" customHeight="1">
      <c r="A6" t="s">
        <v>85</v>
      </c>
      <c r="B6" s="5">
        <v>51211</v>
      </c>
      <c r="C6" s="5">
        <v>98920</v>
      </c>
      <c r="D6" s="5">
        <f t="shared" ref="D6:D37" si="0">C6-B6</f>
        <v>47709</v>
      </c>
      <c r="E6" s="6">
        <f t="shared" ref="E6:E37" si="1">IF(B6=0,"无基期",D6/B6)</f>
        <v>0.93161625432036088</v>
      </c>
      <c r="F6" s="6">
        <f>D6/月度趋势!$D$14</f>
        <v>0.16603559521406547</v>
      </c>
      <c r="H6" t="s">
        <v>290</v>
      </c>
      <c r="I6" s="5">
        <v>465237</v>
      </c>
      <c r="J6" s="5">
        <v>581352</v>
      </c>
      <c r="K6" s="5">
        <f t="shared" ref="K6:K21" si="2">J6-I6</f>
        <v>116115</v>
      </c>
      <c r="L6" s="6">
        <f>K6/月度趋势!$D$14</f>
        <v>0.40410034036096359</v>
      </c>
    </row>
    <row r="7" spans="1:12" ht="22.95" customHeight="1">
      <c r="A7" t="s">
        <v>86</v>
      </c>
      <c r="B7" s="5">
        <v>7990</v>
      </c>
      <c r="C7" s="5">
        <v>55230</v>
      </c>
      <c r="D7" s="5">
        <f t="shared" si="0"/>
        <v>47240</v>
      </c>
      <c r="E7" s="6">
        <f t="shared" si="1"/>
        <v>5.9123904881101375</v>
      </c>
      <c r="F7" s="6">
        <f>D7/月度趋势!$D$14</f>
        <v>0.16440339386515024</v>
      </c>
      <c r="H7" t="s">
        <v>291</v>
      </c>
      <c r="I7" s="5">
        <v>146384</v>
      </c>
      <c r="J7" s="5">
        <v>210945</v>
      </c>
      <c r="K7" s="5">
        <f t="shared" si="2"/>
        <v>64561</v>
      </c>
      <c r="L7" s="6">
        <f>K7/月度趋势!$D$14</f>
        <v>0.2246834782245547</v>
      </c>
    </row>
    <row r="8" spans="1:12" ht="22.95" customHeight="1">
      <c r="A8" t="s">
        <v>87</v>
      </c>
      <c r="B8" s="5">
        <v>168645</v>
      </c>
      <c r="C8" s="5">
        <v>210519</v>
      </c>
      <c r="D8" s="5">
        <f t="shared" si="0"/>
        <v>41874</v>
      </c>
      <c r="E8" s="6">
        <f t="shared" si="1"/>
        <v>0.24829671795784045</v>
      </c>
      <c r="F8" s="6">
        <f>D8/月度趋势!$D$14</f>
        <v>0.14572878312255083</v>
      </c>
      <c r="H8" t="s">
        <v>292</v>
      </c>
      <c r="I8" s="5">
        <v>224037</v>
      </c>
      <c r="J8" s="5">
        <v>257553</v>
      </c>
      <c r="K8" s="5">
        <f t="shared" si="2"/>
        <v>33516</v>
      </c>
      <c r="L8" s="6">
        <f>K8/月度趋势!$D$14</f>
        <v>0.11664149341203166</v>
      </c>
    </row>
    <row r="9" spans="1:12" ht="22.95" customHeight="1">
      <c r="A9" t="s">
        <v>88</v>
      </c>
      <c r="B9" s="5">
        <v>380337</v>
      </c>
      <c r="C9" s="5">
        <v>415399</v>
      </c>
      <c r="D9" s="5">
        <f t="shared" si="0"/>
        <v>35062</v>
      </c>
      <c r="E9" s="6">
        <f t="shared" si="1"/>
        <v>9.2186666035647333E-2</v>
      </c>
      <c r="F9" s="6">
        <f>D9/月度趋势!$D$14</f>
        <v>0.12202184156858378</v>
      </c>
      <c r="H9" t="s">
        <v>293</v>
      </c>
      <c r="I9" s="5">
        <v>76607</v>
      </c>
      <c r="J9" s="5">
        <v>99558</v>
      </c>
      <c r="K9" s="5">
        <f t="shared" si="2"/>
        <v>22951</v>
      </c>
      <c r="L9" s="6">
        <f>K9/月度趋势!$D$14</f>
        <v>7.9873460893290921E-2</v>
      </c>
    </row>
    <row r="10" spans="1:12" ht="22.95" customHeight="1">
      <c r="A10" t="s">
        <v>89</v>
      </c>
      <c r="B10" s="5">
        <v>109480</v>
      </c>
      <c r="C10" s="5">
        <v>130461</v>
      </c>
      <c r="D10" s="5">
        <f t="shared" si="0"/>
        <v>20981</v>
      </c>
      <c r="E10" s="6">
        <f t="shared" si="1"/>
        <v>0.19164230909755206</v>
      </c>
      <c r="F10" s="6">
        <f>D10/月度趋势!$D$14</f>
        <v>7.3017519193156591E-2</v>
      </c>
      <c r="H10" t="s">
        <v>294</v>
      </c>
      <c r="I10" s="5">
        <v>137483</v>
      </c>
      <c r="J10" s="5">
        <v>157856</v>
      </c>
      <c r="K10" s="5">
        <f t="shared" si="2"/>
        <v>20373</v>
      </c>
      <c r="L10" s="6">
        <f>K10/月度趋势!$D$14</f>
        <v>7.0901573734434925E-2</v>
      </c>
    </row>
    <row r="11" spans="1:12" ht="22.95" customHeight="1">
      <c r="A11" t="s">
        <v>90</v>
      </c>
      <c r="B11" s="5">
        <v>75585</v>
      </c>
      <c r="C11" s="5">
        <v>91605</v>
      </c>
      <c r="D11" s="5">
        <f t="shared" si="0"/>
        <v>16020</v>
      </c>
      <c r="E11" s="6">
        <f t="shared" si="1"/>
        <v>0.21194681484421513</v>
      </c>
      <c r="F11" s="6">
        <f>D11/月度趋势!$D$14</f>
        <v>5.5752378698554338E-2</v>
      </c>
      <c r="H11" t="s">
        <v>295</v>
      </c>
      <c r="I11" s="5">
        <v>1119122</v>
      </c>
      <c r="J11" s="5">
        <v>1136571</v>
      </c>
      <c r="K11" s="5">
        <f t="shared" si="2"/>
        <v>17449</v>
      </c>
      <c r="L11" s="6">
        <f>K11/月度趋势!$D$14</f>
        <v>6.0725546561240615E-2</v>
      </c>
    </row>
    <row r="12" spans="1:12" ht="22.95" customHeight="1">
      <c r="A12" t="s">
        <v>91</v>
      </c>
      <c r="B12" s="5">
        <v>45429</v>
      </c>
      <c r="C12" s="5">
        <v>58930</v>
      </c>
      <c r="D12" s="5">
        <f t="shared" si="0"/>
        <v>13501</v>
      </c>
      <c r="E12" s="6">
        <f t="shared" si="1"/>
        <v>0.29718902022936888</v>
      </c>
      <c r="F12" s="6">
        <f>D12/月度趋势!$D$14</f>
        <v>4.6985821773357181E-2</v>
      </c>
      <c r="H12" t="s">
        <v>296</v>
      </c>
      <c r="I12" s="5">
        <v>66971</v>
      </c>
      <c r="J12" s="5">
        <v>81823</v>
      </c>
      <c r="K12" s="5">
        <f t="shared" si="2"/>
        <v>14852</v>
      </c>
      <c r="L12" s="6">
        <f>K12/月度趋势!$D$14</f>
        <v>5.1687536106799561E-2</v>
      </c>
    </row>
    <row r="13" spans="1:12" ht="22.95" customHeight="1">
      <c r="A13" t="s">
        <v>92</v>
      </c>
      <c r="B13" s="5">
        <v>19794</v>
      </c>
      <c r="C13" s="5">
        <v>32265</v>
      </c>
      <c r="D13" s="5">
        <f t="shared" si="0"/>
        <v>12471</v>
      </c>
      <c r="E13" s="6">
        <f t="shared" si="1"/>
        <v>0.63003940588056984</v>
      </c>
      <c r="F13" s="6">
        <f>D13/月度趋势!$D$14</f>
        <v>4.3401243117956997E-2</v>
      </c>
      <c r="H13" t="s">
        <v>297</v>
      </c>
      <c r="I13" s="5">
        <v>0</v>
      </c>
      <c r="J13" s="5">
        <v>3015</v>
      </c>
      <c r="K13" s="5">
        <f t="shared" si="2"/>
        <v>3015</v>
      </c>
      <c r="L13" s="6">
        <f>K13/月度趋势!$D$14</f>
        <v>1.0492722957312193E-2</v>
      </c>
    </row>
    <row r="14" spans="1:12" ht="22.95" customHeight="1">
      <c r="A14" t="s">
        <v>93</v>
      </c>
      <c r="B14" s="5">
        <v>7</v>
      </c>
      <c r="C14" s="5">
        <v>11284</v>
      </c>
      <c r="D14" s="5">
        <f t="shared" si="0"/>
        <v>11277</v>
      </c>
      <c r="E14" s="6">
        <f t="shared" si="1"/>
        <v>1611</v>
      </c>
      <c r="F14" s="6">
        <f>D14/月度趋势!$D$14</f>
        <v>3.924591601645426E-2</v>
      </c>
      <c r="H14" t="s">
        <v>298</v>
      </c>
      <c r="I14" s="5">
        <v>22949</v>
      </c>
      <c r="J14" s="5">
        <v>25679</v>
      </c>
      <c r="K14" s="5">
        <f t="shared" si="2"/>
        <v>2730</v>
      </c>
      <c r="L14" s="6">
        <f>K14/月度趋势!$D$14</f>
        <v>9.5008735235364138E-3</v>
      </c>
    </row>
    <row r="15" spans="1:12" ht="22.95" customHeight="1">
      <c r="A15" t="s">
        <v>94</v>
      </c>
      <c r="B15" s="5">
        <v>34208</v>
      </c>
      <c r="C15" s="5">
        <v>43417</v>
      </c>
      <c r="D15" s="5">
        <f t="shared" si="0"/>
        <v>9209</v>
      </c>
      <c r="E15" s="6">
        <f t="shared" si="1"/>
        <v>0.269206033676333</v>
      </c>
      <c r="F15" s="6">
        <f>D15/月度趋势!$D$14</f>
        <v>3.2048917318039133E-2</v>
      </c>
      <c r="H15" t="s">
        <v>299</v>
      </c>
      <c r="I15" s="5">
        <v>12313</v>
      </c>
      <c r="J15" s="5">
        <v>14323</v>
      </c>
      <c r="K15" s="5">
        <f t="shared" si="2"/>
        <v>2010</v>
      </c>
      <c r="L15" s="6">
        <f>K15/月度趋势!$D$14</f>
        <v>6.9951486382081283E-3</v>
      </c>
    </row>
    <row r="16" spans="1:12" ht="22.95" customHeight="1">
      <c r="A16" t="s">
        <v>95</v>
      </c>
      <c r="B16" s="5">
        <v>21191</v>
      </c>
      <c r="C16" s="5">
        <v>29848</v>
      </c>
      <c r="D16" s="5">
        <f t="shared" si="0"/>
        <v>8657</v>
      </c>
      <c r="E16" s="6">
        <f t="shared" si="1"/>
        <v>0.4085224859610212</v>
      </c>
      <c r="F16" s="6">
        <f>D16/月度趋势!$D$14</f>
        <v>3.0127861572620779E-2</v>
      </c>
      <c r="H16" t="s">
        <v>300</v>
      </c>
      <c r="I16" s="5">
        <v>0</v>
      </c>
      <c r="J16" s="5">
        <v>371</v>
      </c>
      <c r="K16" s="5">
        <f t="shared" si="2"/>
        <v>371</v>
      </c>
      <c r="L16" s="6">
        <f>K16/月度趋势!$D$14</f>
        <v>1.2911443506344357E-3</v>
      </c>
    </row>
    <row r="17" spans="1:12" ht="22.95" customHeight="1">
      <c r="A17" t="s">
        <v>96</v>
      </c>
      <c r="B17" s="5">
        <v>24817</v>
      </c>
      <c r="C17" s="5">
        <v>32874</v>
      </c>
      <c r="D17" s="5">
        <f t="shared" si="0"/>
        <v>8057</v>
      </c>
      <c r="E17" s="6">
        <f t="shared" si="1"/>
        <v>0.32465648547366727</v>
      </c>
      <c r="F17" s="6">
        <f>D17/月度趋势!$D$14</f>
        <v>2.8039757501513874E-2</v>
      </c>
      <c r="H17" t="s">
        <v>301</v>
      </c>
      <c r="I17" s="5">
        <v>152</v>
      </c>
      <c r="J17" s="5">
        <v>195</v>
      </c>
      <c r="K17" s="5">
        <f t="shared" si="2"/>
        <v>43</v>
      </c>
      <c r="L17" s="6">
        <f>K17/月度趋势!$D$14</f>
        <v>1.4964745842932812E-4</v>
      </c>
    </row>
    <row r="18" spans="1:12" ht="22.95" customHeight="1">
      <c r="A18" t="s">
        <v>97</v>
      </c>
      <c r="B18" s="5">
        <v>38716</v>
      </c>
      <c r="C18" s="5">
        <v>46328</v>
      </c>
      <c r="D18" s="5">
        <f t="shared" si="0"/>
        <v>7612</v>
      </c>
      <c r="E18" s="6">
        <f t="shared" si="1"/>
        <v>0.19661122016737267</v>
      </c>
      <c r="F18" s="6">
        <f>D18/月度趋势!$D$14</f>
        <v>2.6491080315442922E-2</v>
      </c>
      <c r="H18" t="s">
        <v>302</v>
      </c>
      <c r="I18" s="5">
        <v>1232</v>
      </c>
      <c r="J18" s="5">
        <v>666</v>
      </c>
      <c r="K18" s="5">
        <f t="shared" si="2"/>
        <v>-566</v>
      </c>
      <c r="L18" s="6">
        <f>K18/月度趋势!$D$14</f>
        <v>-1.9697781737441794E-3</v>
      </c>
    </row>
    <row r="19" spans="1:12" ht="22.95" customHeight="1">
      <c r="A19" t="s">
        <v>98</v>
      </c>
      <c r="B19" s="5">
        <v>41746</v>
      </c>
      <c r="C19" s="5">
        <v>48806</v>
      </c>
      <c r="D19" s="5">
        <f t="shared" si="0"/>
        <v>7060</v>
      </c>
      <c r="E19" s="6">
        <f t="shared" si="1"/>
        <v>0.16911799932927707</v>
      </c>
      <c r="F19" s="6">
        <f>D19/月度趋势!$D$14</f>
        <v>2.4570024570024569E-2</v>
      </c>
      <c r="H19" t="s">
        <v>303</v>
      </c>
      <c r="I19" s="5">
        <v>59231</v>
      </c>
      <c r="J19" s="5">
        <v>58079</v>
      </c>
      <c r="K19" s="5">
        <f t="shared" si="2"/>
        <v>-1152</v>
      </c>
      <c r="L19" s="6">
        <f>K19/月度趋势!$D$14</f>
        <v>-4.0091598165252554E-3</v>
      </c>
    </row>
    <row r="20" spans="1:12" ht="22.95" customHeight="1">
      <c r="A20" t="s">
        <v>99</v>
      </c>
      <c r="B20" s="5">
        <v>28749</v>
      </c>
      <c r="C20" s="5">
        <v>35732</v>
      </c>
      <c r="D20" s="5">
        <f t="shared" si="0"/>
        <v>6983</v>
      </c>
      <c r="E20" s="6">
        <f t="shared" si="1"/>
        <v>0.24289540505756721</v>
      </c>
      <c r="F20" s="6">
        <f>D20/月度趋势!$D$14</f>
        <v>2.4302051214232519E-2</v>
      </c>
      <c r="H20" t="s">
        <v>304</v>
      </c>
      <c r="I20" s="5">
        <v>33761</v>
      </c>
      <c r="J20" s="5">
        <v>31098</v>
      </c>
      <c r="K20" s="5">
        <f t="shared" si="2"/>
        <v>-2663</v>
      </c>
      <c r="L20" s="6">
        <f>K20/月度趋势!$D$14</f>
        <v>-9.2677019022628093E-3</v>
      </c>
    </row>
    <row r="21" spans="1:12" ht="22.95" customHeight="1">
      <c r="A21" t="s">
        <v>100</v>
      </c>
      <c r="B21" s="5">
        <v>29113</v>
      </c>
      <c r="C21" s="5">
        <v>35969</v>
      </c>
      <c r="D21" s="5">
        <f t="shared" si="0"/>
        <v>6856</v>
      </c>
      <c r="E21" s="6">
        <f t="shared" si="1"/>
        <v>0.23549617009583348</v>
      </c>
      <c r="F21" s="6">
        <f>D21/月度趋势!$D$14</f>
        <v>2.3860069185848223E-2</v>
      </c>
      <c r="H21" t="s">
        <v>305</v>
      </c>
      <c r="I21" s="5">
        <v>13257</v>
      </c>
      <c r="J21" s="5">
        <v>6994</v>
      </c>
      <c r="K21" s="5">
        <f t="shared" si="2"/>
        <v>-6263</v>
      </c>
      <c r="L21" s="6">
        <f>K21/月度趋势!$D$14</f>
        <v>-2.1796326328904232E-2</v>
      </c>
    </row>
    <row r="22" spans="1:12" ht="22.95" customHeight="1">
      <c r="A22" t="s">
        <v>101</v>
      </c>
      <c r="B22" s="5">
        <v>8</v>
      </c>
      <c r="C22" s="5">
        <v>6588</v>
      </c>
      <c r="D22" s="5">
        <f t="shared" si="0"/>
        <v>6580</v>
      </c>
      <c r="E22" s="6">
        <f t="shared" si="1"/>
        <v>822.5</v>
      </c>
      <c r="F22" s="6">
        <f>D22/月度趋势!$D$14</f>
        <v>2.2899541313139048E-2</v>
      </c>
    </row>
    <row r="23" spans="1:12" ht="22.95" customHeight="1">
      <c r="A23" t="s">
        <v>102</v>
      </c>
      <c r="B23" s="5">
        <v>13789</v>
      </c>
      <c r="C23" s="5">
        <v>18673</v>
      </c>
      <c r="D23" s="5">
        <f t="shared" si="0"/>
        <v>4884</v>
      </c>
      <c r="E23" s="6">
        <f t="shared" si="1"/>
        <v>0.35419537312350424</v>
      </c>
      <c r="F23" s="6">
        <f>D23/月度趋势!$D$14</f>
        <v>1.69971671388102E-2</v>
      </c>
    </row>
    <row r="24" spans="1:12" ht="22.95" customHeight="1">
      <c r="A24" t="s">
        <v>103</v>
      </c>
      <c r="B24" s="5">
        <v>20087</v>
      </c>
      <c r="C24" s="5">
        <v>24520</v>
      </c>
      <c r="D24" s="5">
        <f t="shared" si="0"/>
        <v>4433</v>
      </c>
      <c r="E24" s="6">
        <f t="shared" si="1"/>
        <v>0.22068999850649673</v>
      </c>
      <c r="F24" s="6">
        <f>D24/月度趋势!$D$14</f>
        <v>1.5427608912028176E-2</v>
      </c>
    </row>
    <row r="25" spans="1:12" ht="22.95" customHeight="1">
      <c r="A25" t="s">
        <v>104</v>
      </c>
      <c r="B25" s="5">
        <v>16999</v>
      </c>
      <c r="C25" s="5">
        <v>21081</v>
      </c>
      <c r="D25" s="5">
        <f t="shared" si="0"/>
        <v>4082</v>
      </c>
      <c r="E25" s="6">
        <f t="shared" si="1"/>
        <v>0.24013177245720335</v>
      </c>
      <c r="F25" s="6">
        <f>D25/月度趋势!$D$14</f>
        <v>1.4206068030430636E-2</v>
      </c>
    </row>
    <row r="26" spans="1:12" ht="34.049999999999997" customHeight="1">
      <c r="A26" t="s">
        <v>105</v>
      </c>
      <c r="B26" s="5">
        <v>23581</v>
      </c>
      <c r="C26" s="5">
        <v>27525</v>
      </c>
      <c r="D26" s="5">
        <f t="shared" si="0"/>
        <v>3944</v>
      </c>
      <c r="E26" s="6">
        <f t="shared" si="1"/>
        <v>0.16725329714600737</v>
      </c>
      <c r="F26" s="6">
        <f>D26/月度趋势!$D$14</f>
        <v>1.3725804094076048E-2</v>
      </c>
      <c r="H26" s="3" t="s">
        <v>306</v>
      </c>
      <c r="I26" s="3" t="s">
        <v>287</v>
      </c>
      <c r="J26" s="3" t="s">
        <v>288</v>
      </c>
      <c r="K26" s="3" t="s">
        <v>11</v>
      </c>
      <c r="L26" s="3" t="s">
        <v>289</v>
      </c>
    </row>
    <row r="27" spans="1:12" ht="22.95" customHeight="1">
      <c r="A27" t="s">
        <v>106</v>
      </c>
      <c r="B27" s="5">
        <v>17261</v>
      </c>
      <c r="C27" s="5">
        <v>21102</v>
      </c>
      <c r="D27" s="5">
        <f t="shared" si="0"/>
        <v>3841</v>
      </c>
      <c r="E27" s="6">
        <f t="shared" si="1"/>
        <v>0.22252476681536412</v>
      </c>
      <c r="F27" s="6">
        <f>D27/月度趋势!$D$14</f>
        <v>1.3367346228536031E-2</v>
      </c>
      <c r="H27" t="s">
        <v>307</v>
      </c>
      <c r="I27" s="5">
        <v>707179</v>
      </c>
      <c r="J27" s="5">
        <v>826230</v>
      </c>
      <c r="K27" s="5">
        <f t="shared" ref="K27:K32" si="3">J27-I27</f>
        <v>119051</v>
      </c>
      <c r="L27" s="6">
        <f>K27/月度趋势!$D$14</f>
        <v>0.41431812961558007</v>
      </c>
    </row>
    <row r="28" spans="1:12" ht="22.95" customHeight="1">
      <c r="A28" t="s">
        <v>107</v>
      </c>
      <c r="B28" s="5">
        <v>14590</v>
      </c>
      <c r="C28" s="5">
        <v>18398</v>
      </c>
      <c r="D28" s="5">
        <f t="shared" si="0"/>
        <v>3808</v>
      </c>
      <c r="E28" s="6">
        <f t="shared" si="1"/>
        <v>0.26100068540095955</v>
      </c>
      <c r="F28" s="6">
        <f>D28/月度趋势!$D$14</f>
        <v>1.3252500504625151E-2</v>
      </c>
      <c r="H28" t="s">
        <v>308</v>
      </c>
      <c r="I28" s="5">
        <v>582765</v>
      </c>
      <c r="J28" s="5">
        <v>669228</v>
      </c>
      <c r="K28" s="5">
        <f t="shared" si="3"/>
        <v>86463</v>
      </c>
      <c r="L28" s="6">
        <f>K28/月度趋势!$D$14</f>
        <v>0.30090623716686038</v>
      </c>
    </row>
    <row r="29" spans="1:12" ht="22.95" customHeight="1">
      <c r="A29" t="s">
        <v>108</v>
      </c>
      <c r="B29" s="5">
        <v>36082</v>
      </c>
      <c r="C29" s="5">
        <v>39588</v>
      </c>
      <c r="D29" s="5">
        <f t="shared" si="0"/>
        <v>3506</v>
      </c>
      <c r="E29" s="6">
        <f t="shared" si="1"/>
        <v>9.7167562773682173E-2</v>
      </c>
      <c r="F29" s="6">
        <f>D29/月度趋势!$D$14</f>
        <v>1.2201488122168008E-2</v>
      </c>
      <c r="H29" t="s">
        <v>309</v>
      </c>
      <c r="I29" s="5">
        <v>470739</v>
      </c>
      <c r="J29" s="5">
        <v>511268</v>
      </c>
      <c r="K29" s="5">
        <f t="shared" si="3"/>
        <v>40529</v>
      </c>
      <c r="L29" s="6">
        <f>K29/月度趋势!$D$14</f>
        <v>0.14104794982981952</v>
      </c>
    </row>
    <row r="30" spans="1:12" ht="22.95" customHeight="1">
      <c r="A30" t="s">
        <v>109</v>
      </c>
      <c r="B30" s="5">
        <v>13405</v>
      </c>
      <c r="C30" s="5">
        <v>16794</v>
      </c>
      <c r="D30" s="5">
        <f t="shared" si="0"/>
        <v>3389</v>
      </c>
      <c r="E30" s="6">
        <f t="shared" si="1"/>
        <v>0.2528161133905259</v>
      </c>
      <c r="F30" s="6">
        <f>D30/月度趋势!$D$14</f>
        <v>1.1794307828302163E-2</v>
      </c>
      <c r="H30" t="s">
        <v>310</v>
      </c>
      <c r="I30" s="5">
        <v>90416</v>
      </c>
      <c r="J30" s="5">
        <v>115849</v>
      </c>
      <c r="K30" s="5">
        <f t="shared" si="3"/>
        <v>25433</v>
      </c>
      <c r="L30" s="6">
        <f>K30/月度趋势!$D$14</f>
        <v>8.8511251400769819E-2</v>
      </c>
    </row>
    <row r="31" spans="1:12" ht="22.95" customHeight="1">
      <c r="A31" t="s">
        <v>110</v>
      </c>
      <c r="B31" s="5">
        <v>20685</v>
      </c>
      <c r="C31" s="5">
        <v>23886</v>
      </c>
      <c r="D31" s="5">
        <f t="shared" si="0"/>
        <v>3201</v>
      </c>
      <c r="E31" s="6">
        <f t="shared" si="1"/>
        <v>0.15474981870920956</v>
      </c>
      <c r="F31" s="6">
        <f>D31/月度趋势!$D$14</f>
        <v>1.1140035219355332E-2</v>
      </c>
      <c r="H31" t="s">
        <v>311</v>
      </c>
      <c r="I31" s="5">
        <v>525895</v>
      </c>
      <c r="J31" s="5">
        <v>540643</v>
      </c>
      <c r="K31" s="5">
        <f t="shared" si="3"/>
        <v>14748</v>
      </c>
      <c r="L31" s="6">
        <f>K31/月度趋势!$D$14</f>
        <v>5.1325598067807697E-2</v>
      </c>
    </row>
    <row r="32" spans="1:12" ht="22.95" customHeight="1">
      <c r="A32" t="s">
        <v>111</v>
      </c>
      <c r="B32" s="5">
        <v>0</v>
      </c>
      <c r="C32" s="5">
        <v>3015</v>
      </c>
      <c r="D32" s="5">
        <f t="shared" si="0"/>
        <v>3015</v>
      </c>
      <c r="E32" s="6" t="str">
        <f t="shared" si="1"/>
        <v>无基期</v>
      </c>
      <c r="F32" s="6">
        <f>D32/月度趋势!$D$14</f>
        <v>1.0492722957312193E-2</v>
      </c>
      <c r="H32" t="s">
        <v>251</v>
      </c>
      <c r="I32" s="5">
        <v>1742</v>
      </c>
      <c r="J32" s="5">
        <v>2860</v>
      </c>
      <c r="K32" s="5">
        <f t="shared" si="3"/>
        <v>1118</v>
      </c>
      <c r="L32" s="6">
        <f>K32/月度趋势!$D$14</f>
        <v>3.890833919162531E-3</v>
      </c>
    </row>
    <row r="33" spans="1:8" ht="22.95" customHeight="1">
      <c r="A33" t="s">
        <v>112</v>
      </c>
      <c r="B33" s="5">
        <v>14455</v>
      </c>
      <c r="C33" s="5">
        <v>17314</v>
      </c>
      <c r="D33" s="5">
        <f t="shared" si="0"/>
        <v>2859</v>
      </c>
      <c r="E33" s="6">
        <f t="shared" si="1"/>
        <v>0.19778623313732271</v>
      </c>
      <c r="F33" s="6">
        <f>D33/月度趋势!$D$14</f>
        <v>9.9498158988243976E-3</v>
      </c>
    </row>
    <row r="34" spans="1:8" ht="22.95" customHeight="1">
      <c r="A34" t="s">
        <v>113</v>
      </c>
      <c r="B34" s="5">
        <v>47387</v>
      </c>
      <c r="C34" s="5">
        <v>50044</v>
      </c>
      <c r="D34" s="5">
        <f t="shared" si="0"/>
        <v>2657</v>
      </c>
      <c r="E34" s="6">
        <f t="shared" si="1"/>
        <v>5.6070230231920148E-2</v>
      </c>
      <c r="F34" s="6">
        <f>D34/月度趋势!$D$14</f>
        <v>9.246820861551739E-3</v>
      </c>
    </row>
    <row r="35" spans="1:8" ht="22.95" customHeight="1">
      <c r="A35" t="s">
        <v>114</v>
      </c>
      <c r="B35" s="5">
        <v>2688</v>
      </c>
      <c r="C35" s="5">
        <v>5225</v>
      </c>
      <c r="D35" s="5">
        <f t="shared" si="0"/>
        <v>2537</v>
      </c>
      <c r="E35" s="6">
        <f t="shared" si="1"/>
        <v>0.94382440476190477</v>
      </c>
      <c r="F35" s="6">
        <f>D35/月度趋势!$D$14</f>
        <v>8.829200047330359E-3</v>
      </c>
      <c r="H35" s="2" t="s">
        <v>312</v>
      </c>
    </row>
    <row r="36" spans="1:8" ht="22.95" customHeight="1">
      <c r="A36" t="s">
        <v>115</v>
      </c>
      <c r="B36" s="5">
        <v>2978</v>
      </c>
      <c r="C36" s="5">
        <v>5476</v>
      </c>
      <c r="D36" s="5">
        <f t="shared" si="0"/>
        <v>2498</v>
      </c>
      <c r="E36" s="6">
        <f t="shared" si="1"/>
        <v>0.83881799865681661</v>
      </c>
      <c r="F36" s="6">
        <f>D36/月度趋势!$D$14</f>
        <v>8.6934732827084107E-3</v>
      </c>
    </row>
    <row r="37" spans="1:8" ht="22.95" customHeight="1">
      <c r="A37" t="s">
        <v>116</v>
      </c>
      <c r="B37" s="5">
        <v>16529</v>
      </c>
      <c r="C37" s="5">
        <v>18776</v>
      </c>
      <c r="D37" s="5">
        <f t="shared" si="0"/>
        <v>2247</v>
      </c>
      <c r="E37" s="6">
        <f t="shared" si="1"/>
        <v>0.13594288825700285</v>
      </c>
      <c r="F37" s="6">
        <f>D37/月度趋势!$D$14</f>
        <v>7.819949746295355E-3</v>
      </c>
      <c r="H37" s="2" t="s">
        <v>313</v>
      </c>
    </row>
    <row r="38" spans="1:8" ht="22.95" customHeight="1">
      <c r="A38" t="s">
        <v>117</v>
      </c>
      <c r="B38" s="5">
        <v>122920</v>
      </c>
      <c r="C38" s="5">
        <v>124971</v>
      </c>
      <c r="D38" s="5">
        <f t="shared" ref="D38:D69" si="4">C38-B38</f>
        <v>2051</v>
      </c>
      <c r="E38" s="6">
        <f t="shared" ref="E38:E69" si="5">IF(B38=0,"无基期",D38/B38)</f>
        <v>1.6685649202733487E-2</v>
      </c>
      <c r="F38" s="6">
        <f>D38/月度趋势!$D$14</f>
        <v>7.1378357497337667E-3</v>
      </c>
    </row>
    <row r="39" spans="1:8" ht="22.95" customHeight="1">
      <c r="A39" t="s">
        <v>118</v>
      </c>
      <c r="B39" s="5">
        <v>12313</v>
      </c>
      <c r="C39" s="5">
        <v>14323</v>
      </c>
      <c r="D39" s="5">
        <f t="shared" si="4"/>
        <v>2010</v>
      </c>
      <c r="E39" s="6">
        <f t="shared" si="5"/>
        <v>0.16324210184357996</v>
      </c>
      <c r="F39" s="6">
        <f>D39/月度趋势!$D$14</f>
        <v>6.9951486382081283E-3</v>
      </c>
    </row>
    <row r="40" spans="1:8" ht="22.95" customHeight="1">
      <c r="A40" t="s">
        <v>119</v>
      </c>
      <c r="B40" s="5">
        <v>5653</v>
      </c>
      <c r="C40" s="5">
        <v>7475</v>
      </c>
      <c r="D40" s="5">
        <f t="shared" si="4"/>
        <v>1822</v>
      </c>
      <c r="E40" s="6">
        <f t="shared" si="5"/>
        <v>0.32230673978418539</v>
      </c>
      <c r="F40" s="6">
        <f>D40/月度趋势!$D$14</f>
        <v>6.3408760292612987E-3</v>
      </c>
    </row>
    <row r="41" spans="1:8" ht="22.95" customHeight="1">
      <c r="A41" t="s">
        <v>120</v>
      </c>
      <c r="B41" s="5">
        <v>3831</v>
      </c>
      <c r="C41" s="5">
        <v>5631</v>
      </c>
      <c r="D41" s="5">
        <f t="shared" si="4"/>
        <v>1800</v>
      </c>
      <c r="E41" s="6">
        <f t="shared" si="5"/>
        <v>0.46985121378230227</v>
      </c>
      <c r="F41" s="6">
        <f>D41/月度趋势!$D$14</f>
        <v>6.264312213320712E-3</v>
      </c>
    </row>
    <row r="42" spans="1:8" ht="22.95" customHeight="1">
      <c r="A42" t="s">
        <v>121</v>
      </c>
      <c r="B42" s="5">
        <v>8297</v>
      </c>
      <c r="C42" s="5">
        <v>10069</v>
      </c>
      <c r="D42" s="5">
        <f t="shared" si="4"/>
        <v>1772</v>
      </c>
      <c r="E42" s="6">
        <f t="shared" si="5"/>
        <v>0.21357117030251899</v>
      </c>
      <c r="F42" s="6">
        <f>D42/月度趋势!$D$14</f>
        <v>6.1668673566690566E-3</v>
      </c>
    </row>
    <row r="43" spans="1:8" ht="22.95" customHeight="1">
      <c r="A43" t="s">
        <v>122</v>
      </c>
      <c r="B43" s="5">
        <v>13496</v>
      </c>
      <c r="C43" s="5">
        <v>15252</v>
      </c>
      <c r="D43" s="5">
        <f t="shared" si="4"/>
        <v>1756</v>
      </c>
      <c r="E43" s="6">
        <f t="shared" si="5"/>
        <v>0.13011262596324838</v>
      </c>
      <c r="F43" s="6">
        <f>D43/月度趋势!$D$14</f>
        <v>6.1111845814395393E-3</v>
      </c>
    </row>
    <row r="44" spans="1:8" ht="22.95" customHeight="1">
      <c r="A44" t="s">
        <v>123</v>
      </c>
      <c r="B44" s="5">
        <v>0</v>
      </c>
      <c r="C44" s="5">
        <v>1447</v>
      </c>
      <c r="D44" s="5">
        <f t="shared" si="4"/>
        <v>1447</v>
      </c>
      <c r="E44" s="6" t="str">
        <f t="shared" si="5"/>
        <v>无基期</v>
      </c>
      <c r="F44" s="6">
        <f>D44/月度趋势!$D$14</f>
        <v>5.0358109848194837E-3</v>
      </c>
    </row>
    <row r="45" spans="1:8" ht="22.95" customHeight="1">
      <c r="A45" t="s">
        <v>124</v>
      </c>
      <c r="B45" s="5">
        <v>8618</v>
      </c>
      <c r="C45" s="5">
        <v>9757</v>
      </c>
      <c r="D45" s="5">
        <f t="shared" si="4"/>
        <v>1139</v>
      </c>
      <c r="E45" s="6">
        <f t="shared" si="5"/>
        <v>0.13216523555349269</v>
      </c>
      <c r="F45" s="6">
        <f>D45/月度趋势!$D$14</f>
        <v>3.9639175616512723E-3</v>
      </c>
    </row>
    <row r="46" spans="1:8" ht="22.95" customHeight="1">
      <c r="A46" t="s">
        <v>125</v>
      </c>
      <c r="B46" s="5">
        <v>11677</v>
      </c>
      <c r="C46" s="5">
        <v>12785</v>
      </c>
      <c r="D46" s="5">
        <f t="shared" si="4"/>
        <v>1108</v>
      </c>
      <c r="E46" s="6">
        <f t="shared" si="5"/>
        <v>9.488738545859382E-2</v>
      </c>
      <c r="F46" s="6">
        <f>D46/月度趋势!$D$14</f>
        <v>3.8560321846440827E-3</v>
      </c>
    </row>
    <row r="47" spans="1:8" ht="22.95" customHeight="1">
      <c r="A47" t="s">
        <v>126</v>
      </c>
      <c r="B47" s="5">
        <v>5953</v>
      </c>
      <c r="C47" s="5">
        <v>6959</v>
      </c>
      <c r="D47" s="5">
        <f t="shared" si="4"/>
        <v>1006</v>
      </c>
      <c r="E47" s="6">
        <f t="shared" si="5"/>
        <v>0.16899042499580044</v>
      </c>
      <c r="F47" s="6">
        <f>D47/月度趋势!$D$14</f>
        <v>3.5010544925559088E-3</v>
      </c>
    </row>
    <row r="48" spans="1:8" ht="22.95" customHeight="1">
      <c r="A48" t="s">
        <v>127</v>
      </c>
      <c r="B48" s="5">
        <v>2803</v>
      </c>
      <c r="C48" s="5">
        <v>3717</v>
      </c>
      <c r="D48" s="5">
        <f t="shared" si="4"/>
        <v>914</v>
      </c>
      <c r="E48" s="6">
        <f t="shared" si="5"/>
        <v>0.32607920085622549</v>
      </c>
      <c r="F48" s="6">
        <f>D48/月度趋势!$D$14</f>
        <v>3.1808785349861837E-3</v>
      </c>
    </row>
    <row r="49" spans="1:6" ht="22.95" customHeight="1">
      <c r="A49" t="s">
        <v>128</v>
      </c>
      <c r="B49" s="5">
        <v>522</v>
      </c>
      <c r="C49" s="5">
        <v>1316</v>
      </c>
      <c r="D49" s="5">
        <f t="shared" si="4"/>
        <v>794</v>
      </c>
      <c r="E49" s="6">
        <f t="shared" si="5"/>
        <v>1.5210727969348659</v>
      </c>
      <c r="F49" s="6">
        <f>D49/月度趋势!$D$14</f>
        <v>2.7632577207648027E-3</v>
      </c>
    </row>
    <row r="50" spans="1:6" ht="22.95" customHeight="1">
      <c r="A50" t="s">
        <v>129</v>
      </c>
      <c r="B50" s="5">
        <v>5278</v>
      </c>
      <c r="C50" s="5">
        <v>6064</v>
      </c>
      <c r="D50" s="5">
        <f t="shared" si="4"/>
        <v>786</v>
      </c>
      <c r="E50" s="6">
        <f t="shared" si="5"/>
        <v>0.1489200454717696</v>
      </c>
      <c r="F50" s="6">
        <f>D50/月度趋势!$D$14</f>
        <v>2.7354163331500441E-3</v>
      </c>
    </row>
    <row r="51" spans="1:6" ht="22.95" customHeight="1">
      <c r="A51" t="s">
        <v>130</v>
      </c>
      <c r="B51" s="5">
        <v>4485</v>
      </c>
      <c r="C51" s="5">
        <v>5267</v>
      </c>
      <c r="D51" s="5">
        <f t="shared" si="4"/>
        <v>782</v>
      </c>
      <c r="E51" s="6">
        <f t="shared" si="5"/>
        <v>0.17435897435897435</v>
      </c>
      <c r="F51" s="6">
        <f>D51/月度趋势!$D$14</f>
        <v>2.7214956393426647E-3</v>
      </c>
    </row>
    <row r="52" spans="1:6" ht="22.95" customHeight="1">
      <c r="A52" t="s">
        <v>131</v>
      </c>
      <c r="B52" s="5">
        <v>788</v>
      </c>
      <c r="C52" s="5">
        <v>1569</v>
      </c>
      <c r="D52" s="5">
        <f t="shared" si="4"/>
        <v>781</v>
      </c>
      <c r="E52" s="6">
        <f t="shared" si="5"/>
        <v>0.99111675126903553</v>
      </c>
      <c r="F52" s="6">
        <f>D52/月度趋势!$D$14</f>
        <v>2.7180154658908201E-3</v>
      </c>
    </row>
    <row r="53" spans="1:6" ht="22.95" customHeight="1">
      <c r="A53" t="s">
        <v>132</v>
      </c>
      <c r="B53" s="5">
        <v>6821</v>
      </c>
      <c r="C53" s="5">
        <v>7601</v>
      </c>
      <c r="D53" s="5">
        <f t="shared" si="4"/>
        <v>780</v>
      </c>
      <c r="E53" s="6">
        <f t="shared" si="5"/>
        <v>0.11435273420319601</v>
      </c>
      <c r="F53" s="6">
        <f>D53/月度趋势!$D$14</f>
        <v>2.7145352924389751E-3</v>
      </c>
    </row>
    <row r="54" spans="1:6" ht="22.95" customHeight="1">
      <c r="A54" t="s">
        <v>133</v>
      </c>
      <c r="B54" s="5">
        <v>7660</v>
      </c>
      <c r="C54" s="5">
        <v>8371</v>
      </c>
      <c r="D54" s="5">
        <f t="shared" si="4"/>
        <v>711</v>
      </c>
      <c r="E54" s="6">
        <f t="shared" si="5"/>
        <v>9.2819843342036551E-2</v>
      </c>
      <c r="F54" s="6">
        <f>D54/月度趋势!$D$14</f>
        <v>2.4744033242616813E-3</v>
      </c>
    </row>
    <row r="55" spans="1:6" ht="22.95" customHeight="1">
      <c r="A55" t="s">
        <v>134</v>
      </c>
      <c r="B55" s="5">
        <v>2066</v>
      </c>
      <c r="C55" s="5">
        <v>2735</v>
      </c>
      <c r="D55" s="5">
        <f t="shared" si="4"/>
        <v>669</v>
      </c>
      <c r="E55" s="6">
        <f t="shared" si="5"/>
        <v>0.32381413359148115</v>
      </c>
      <c r="F55" s="6">
        <f>D55/月度趋势!$D$14</f>
        <v>2.3282360392841979E-3</v>
      </c>
    </row>
    <row r="56" spans="1:6" ht="22.95" customHeight="1">
      <c r="A56" t="s">
        <v>135</v>
      </c>
      <c r="B56" s="5">
        <v>17024</v>
      </c>
      <c r="C56" s="5">
        <v>17669</v>
      </c>
      <c r="D56" s="5">
        <f t="shared" si="4"/>
        <v>645</v>
      </c>
      <c r="E56" s="6">
        <f t="shared" si="5"/>
        <v>3.788768796992481E-2</v>
      </c>
      <c r="F56" s="6">
        <f>D56/月度趋势!$D$14</f>
        <v>2.2447118764399219E-3</v>
      </c>
    </row>
    <row r="57" spans="1:6" ht="22.95" customHeight="1">
      <c r="A57" t="s">
        <v>136</v>
      </c>
      <c r="B57" s="5">
        <v>3822</v>
      </c>
      <c r="C57" s="5">
        <v>4373</v>
      </c>
      <c r="D57" s="5">
        <f t="shared" si="4"/>
        <v>551</v>
      </c>
      <c r="E57" s="6">
        <f t="shared" si="5"/>
        <v>0.14416535845107273</v>
      </c>
      <c r="F57" s="6">
        <f>D57/月度趋势!$D$14</f>
        <v>1.9175755719665068E-3</v>
      </c>
    </row>
    <row r="58" spans="1:6" ht="22.95" customHeight="1">
      <c r="A58" t="s">
        <v>137</v>
      </c>
      <c r="B58" s="5">
        <v>3692</v>
      </c>
      <c r="C58" s="5">
        <v>4201</v>
      </c>
      <c r="D58" s="5">
        <f t="shared" si="4"/>
        <v>509</v>
      </c>
      <c r="E58" s="6">
        <f t="shared" si="5"/>
        <v>0.13786565547128926</v>
      </c>
      <c r="F58" s="6">
        <f>D58/月度趋势!$D$14</f>
        <v>1.7714082869890236E-3</v>
      </c>
    </row>
    <row r="59" spans="1:6" ht="22.95" customHeight="1">
      <c r="A59" t="s">
        <v>138</v>
      </c>
      <c r="B59" s="5">
        <v>1869</v>
      </c>
      <c r="C59" s="5">
        <v>2304</v>
      </c>
      <c r="D59" s="5">
        <f t="shared" si="4"/>
        <v>435</v>
      </c>
      <c r="E59" s="6">
        <f t="shared" si="5"/>
        <v>0.23274478330658105</v>
      </c>
      <c r="F59" s="6">
        <f>D59/月度趋势!$D$14</f>
        <v>1.5138754515525053E-3</v>
      </c>
    </row>
    <row r="60" spans="1:6" ht="22.95" customHeight="1">
      <c r="A60" t="s">
        <v>139</v>
      </c>
      <c r="B60" s="5">
        <v>678</v>
      </c>
      <c r="C60" s="5">
        <v>1109</v>
      </c>
      <c r="D60" s="5">
        <f t="shared" si="4"/>
        <v>431</v>
      </c>
      <c r="E60" s="6">
        <f t="shared" si="5"/>
        <v>0.63569321533923306</v>
      </c>
      <c r="F60" s="6">
        <f>D60/月度趋势!$D$14</f>
        <v>1.4999547577451259E-3</v>
      </c>
    </row>
    <row r="61" spans="1:6" ht="22.95" customHeight="1">
      <c r="A61" t="s">
        <v>140</v>
      </c>
      <c r="B61" s="5">
        <v>1029</v>
      </c>
      <c r="C61" s="5">
        <v>1454</v>
      </c>
      <c r="D61" s="5">
        <f t="shared" si="4"/>
        <v>425</v>
      </c>
      <c r="E61" s="6">
        <f t="shared" si="5"/>
        <v>0.41302235179786201</v>
      </c>
      <c r="F61" s="6">
        <f>D61/月度趋势!$D$14</f>
        <v>1.4790737170340569E-3</v>
      </c>
    </row>
    <row r="62" spans="1:6" ht="22.95" customHeight="1">
      <c r="A62" t="s">
        <v>141</v>
      </c>
      <c r="B62" s="5">
        <v>4079</v>
      </c>
      <c r="C62" s="5">
        <v>4485</v>
      </c>
      <c r="D62" s="5">
        <f t="shared" si="4"/>
        <v>406</v>
      </c>
      <c r="E62" s="6">
        <f t="shared" si="5"/>
        <v>9.9534199558715369E-2</v>
      </c>
      <c r="F62" s="6">
        <f>D62/月度趋势!$D$14</f>
        <v>1.4129504214490051E-3</v>
      </c>
    </row>
    <row r="63" spans="1:6" ht="22.95" customHeight="1">
      <c r="A63" t="s">
        <v>142</v>
      </c>
      <c r="B63" s="5">
        <v>0</v>
      </c>
      <c r="C63" s="5">
        <v>385</v>
      </c>
      <c r="D63" s="5">
        <f t="shared" si="4"/>
        <v>385</v>
      </c>
      <c r="E63" s="6" t="str">
        <f t="shared" si="5"/>
        <v>无基期</v>
      </c>
      <c r="F63" s="6">
        <f>D63/月度趋势!$D$14</f>
        <v>1.3398667789602634E-3</v>
      </c>
    </row>
    <row r="64" spans="1:6" ht="22.95" customHeight="1">
      <c r="A64" t="s">
        <v>143</v>
      </c>
      <c r="B64" s="5">
        <v>30997</v>
      </c>
      <c r="C64" s="5">
        <v>31370</v>
      </c>
      <c r="D64" s="5">
        <f t="shared" si="4"/>
        <v>373</v>
      </c>
      <c r="E64" s="6">
        <f t="shared" si="5"/>
        <v>1.2033422589282835E-2</v>
      </c>
      <c r="F64" s="6">
        <f>D64/月度趋势!$D$14</f>
        <v>1.2981046975381254E-3</v>
      </c>
    </row>
    <row r="65" spans="1:6" ht="22.95" customHeight="1">
      <c r="A65" t="s">
        <v>144</v>
      </c>
      <c r="B65" s="5">
        <v>1353</v>
      </c>
      <c r="C65" s="5">
        <v>1697</v>
      </c>
      <c r="D65" s="5">
        <f t="shared" si="4"/>
        <v>344</v>
      </c>
      <c r="E65" s="6">
        <f t="shared" si="5"/>
        <v>0.254249815225425</v>
      </c>
      <c r="F65" s="6">
        <f>D65/月度趋势!$D$14</f>
        <v>1.197179667434625E-3</v>
      </c>
    </row>
    <row r="66" spans="1:6" ht="22.95" customHeight="1">
      <c r="A66" t="s">
        <v>145</v>
      </c>
      <c r="B66" s="5">
        <v>547</v>
      </c>
      <c r="C66" s="5">
        <v>818</v>
      </c>
      <c r="D66" s="5">
        <f t="shared" si="4"/>
        <v>271</v>
      </c>
      <c r="E66" s="6">
        <f t="shared" si="5"/>
        <v>0.49542961608775138</v>
      </c>
      <c r="F66" s="6">
        <f>D66/月度趋势!$D$14</f>
        <v>9.4312700544995167E-4</v>
      </c>
    </row>
    <row r="67" spans="1:6" ht="22.95" customHeight="1">
      <c r="A67" t="s">
        <v>146</v>
      </c>
      <c r="B67" s="5">
        <v>2013</v>
      </c>
      <c r="C67" s="5">
        <v>2283</v>
      </c>
      <c r="D67" s="5">
        <f t="shared" si="4"/>
        <v>270</v>
      </c>
      <c r="E67" s="6">
        <f t="shared" si="5"/>
        <v>0.13412816691505217</v>
      </c>
      <c r="F67" s="6">
        <f>D67/月度趋势!$D$14</f>
        <v>9.3964683199810684E-4</v>
      </c>
    </row>
    <row r="68" spans="1:6" ht="22.95" customHeight="1">
      <c r="A68" t="s">
        <v>147</v>
      </c>
      <c r="B68" s="5">
        <v>1312</v>
      </c>
      <c r="C68" s="5">
        <v>1561</v>
      </c>
      <c r="D68" s="5">
        <f t="shared" si="4"/>
        <v>249</v>
      </c>
      <c r="E68" s="6">
        <f t="shared" si="5"/>
        <v>0.18978658536585366</v>
      </c>
      <c r="F68" s="6">
        <f>D68/月度趋势!$D$14</f>
        <v>8.6656318950936511E-4</v>
      </c>
    </row>
    <row r="69" spans="1:6" ht="22.95" customHeight="1">
      <c r="A69" t="s">
        <v>148</v>
      </c>
      <c r="B69" s="5">
        <v>4010</v>
      </c>
      <c r="C69" s="5">
        <v>4253</v>
      </c>
      <c r="D69" s="5">
        <f t="shared" si="4"/>
        <v>243</v>
      </c>
      <c r="E69" s="6">
        <f t="shared" si="5"/>
        <v>6.0598503740648381E-2</v>
      </c>
      <c r="F69" s="6">
        <f>D69/月度趋势!$D$14</f>
        <v>8.4568214879829611E-4</v>
      </c>
    </row>
    <row r="70" spans="1:6" ht="22.95" customHeight="1">
      <c r="A70" t="s">
        <v>149</v>
      </c>
      <c r="B70" s="5">
        <v>884</v>
      </c>
      <c r="C70" s="5">
        <v>1121</v>
      </c>
      <c r="D70" s="5">
        <f t="shared" ref="D70:D101" si="6">C70-B70</f>
        <v>237</v>
      </c>
      <c r="E70" s="6">
        <f t="shared" ref="E70:E101" si="7">IF(B70=0,"无基期",D70/B70)</f>
        <v>0.26809954751131221</v>
      </c>
      <c r="F70" s="6">
        <f>D70/月度趋势!$D$14</f>
        <v>8.2480110808722711E-4</v>
      </c>
    </row>
    <row r="71" spans="1:6" ht="22.95" customHeight="1">
      <c r="A71" t="s">
        <v>150</v>
      </c>
      <c r="B71" s="5">
        <v>158</v>
      </c>
      <c r="C71" s="5">
        <v>392</v>
      </c>
      <c r="D71" s="5">
        <f t="shared" si="6"/>
        <v>234</v>
      </c>
      <c r="E71" s="6">
        <f t="shared" si="7"/>
        <v>1.481012658227848</v>
      </c>
      <c r="F71" s="6">
        <f>D71/月度趋势!$D$14</f>
        <v>8.143605877316925E-4</v>
      </c>
    </row>
    <row r="72" spans="1:6" ht="22.95" customHeight="1">
      <c r="A72" t="s">
        <v>151</v>
      </c>
      <c r="B72" s="5">
        <v>3406</v>
      </c>
      <c r="C72" s="5">
        <v>3634</v>
      </c>
      <c r="D72" s="5">
        <f t="shared" si="6"/>
        <v>228</v>
      </c>
      <c r="E72" s="6">
        <f t="shared" si="7"/>
        <v>6.6940692894891365E-2</v>
      </c>
      <c r="F72" s="6">
        <f>D72/月度趋势!$D$14</f>
        <v>7.934795470206235E-4</v>
      </c>
    </row>
    <row r="73" spans="1:6" ht="22.95" customHeight="1">
      <c r="A73" t="s">
        <v>152</v>
      </c>
      <c r="B73" s="5">
        <v>612</v>
      </c>
      <c r="C73" s="5">
        <v>819</v>
      </c>
      <c r="D73" s="5">
        <f t="shared" si="6"/>
        <v>207</v>
      </c>
      <c r="E73" s="6">
        <f t="shared" si="7"/>
        <v>0.33823529411764708</v>
      </c>
      <c r="F73" s="6">
        <f>D73/月度趋势!$D$14</f>
        <v>7.2039590453188188E-4</v>
      </c>
    </row>
    <row r="74" spans="1:6" ht="22.95" customHeight="1">
      <c r="A74" t="s">
        <v>153</v>
      </c>
      <c r="B74" s="5">
        <v>3477</v>
      </c>
      <c r="C74" s="5">
        <v>3678</v>
      </c>
      <c r="D74" s="5">
        <f t="shared" si="6"/>
        <v>201</v>
      </c>
      <c r="E74" s="6">
        <f t="shared" si="7"/>
        <v>5.7808455565142365E-2</v>
      </c>
      <c r="F74" s="6">
        <f>D74/月度趋势!$D$14</f>
        <v>6.9951486382081288E-4</v>
      </c>
    </row>
    <row r="75" spans="1:6" ht="22.95" customHeight="1">
      <c r="A75" t="s">
        <v>154</v>
      </c>
      <c r="B75" s="5">
        <v>284</v>
      </c>
      <c r="C75" s="5">
        <v>482</v>
      </c>
      <c r="D75" s="5">
        <f t="shared" si="6"/>
        <v>198</v>
      </c>
      <c r="E75" s="6">
        <f t="shared" si="7"/>
        <v>0.69718309859154926</v>
      </c>
      <c r="F75" s="6">
        <f>D75/月度趋势!$D$14</f>
        <v>6.8907434346527827E-4</v>
      </c>
    </row>
    <row r="76" spans="1:6" ht="22.95" customHeight="1">
      <c r="A76" t="s">
        <v>155</v>
      </c>
      <c r="B76" s="5">
        <v>1082</v>
      </c>
      <c r="C76" s="5">
        <v>1261</v>
      </c>
      <c r="D76" s="5">
        <f t="shared" si="6"/>
        <v>179</v>
      </c>
      <c r="E76" s="6">
        <f t="shared" si="7"/>
        <v>0.16543438077634012</v>
      </c>
      <c r="F76" s="6">
        <f>D76/月度趋势!$D$14</f>
        <v>6.2295104788022632E-4</v>
      </c>
    </row>
    <row r="77" spans="1:6" ht="22.95" customHeight="1">
      <c r="A77" t="s">
        <v>156</v>
      </c>
      <c r="B77" s="5">
        <v>249</v>
      </c>
      <c r="C77" s="5">
        <v>426</v>
      </c>
      <c r="D77" s="5">
        <f t="shared" si="6"/>
        <v>177</v>
      </c>
      <c r="E77" s="6">
        <f t="shared" si="7"/>
        <v>0.71084337349397586</v>
      </c>
      <c r="F77" s="6">
        <f>D77/月度趋势!$D$14</f>
        <v>6.1599070097653665E-4</v>
      </c>
    </row>
    <row r="78" spans="1:6" ht="22.95" customHeight="1">
      <c r="A78" t="s">
        <v>157</v>
      </c>
      <c r="B78" s="5">
        <v>0</v>
      </c>
      <c r="C78" s="5">
        <v>174</v>
      </c>
      <c r="D78" s="5">
        <f t="shared" si="6"/>
        <v>174</v>
      </c>
      <c r="E78" s="6" t="str">
        <f t="shared" si="7"/>
        <v>无基期</v>
      </c>
      <c r="F78" s="6">
        <f>D78/月度趋势!$D$14</f>
        <v>6.0555018062100215E-4</v>
      </c>
    </row>
    <row r="79" spans="1:6" ht="22.95" customHeight="1">
      <c r="A79" t="s">
        <v>158</v>
      </c>
      <c r="B79" s="5">
        <v>2168</v>
      </c>
      <c r="C79" s="5">
        <v>2334</v>
      </c>
      <c r="D79" s="5">
        <f t="shared" si="6"/>
        <v>166</v>
      </c>
      <c r="E79" s="6">
        <f t="shared" si="7"/>
        <v>7.656826568265683E-2</v>
      </c>
      <c r="F79" s="6">
        <f>D79/月度趋势!$D$14</f>
        <v>5.7770879300624348E-4</v>
      </c>
    </row>
    <row r="80" spans="1:6" ht="22.95" customHeight="1">
      <c r="A80" t="s">
        <v>159</v>
      </c>
      <c r="B80" s="5">
        <v>341</v>
      </c>
      <c r="C80" s="5">
        <v>497</v>
      </c>
      <c r="D80" s="5">
        <f t="shared" si="6"/>
        <v>156</v>
      </c>
      <c r="E80" s="6">
        <f t="shared" si="7"/>
        <v>0.45747800586510262</v>
      </c>
      <c r="F80" s="6">
        <f>D80/月度趋势!$D$14</f>
        <v>5.4290705848779504E-4</v>
      </c>
    </row>
    <row r="81" spans="1:6" ht="22.95" customHeight="1">
      <c r="A81" t="s">
        <v>160</v>
      </c>
      <c r="B81" s="5">
        <v>2136</v>
      </c>
      <c r="C81" s="5">
        <v>2292</v>
      </c>
      <c r="D81" s="5">
        <f t="shared" si="6"/>
        <v>156</v>
      </c>
      <c r="E81" s="6">
        <f t="shared" si="7"/>
        <v>7.3033707865168537E-2</v>
      </c>
      <c r="F81" s="6">
        <f>D81/月度趋势!$D$14</f>
        <v>5.4290705848779504E-4</v>
      </c>
    </row>
    <row r="82" spans="1:6" ht="22.95" customHeight="1">
      <c r="A82" t="s">
        <v>161</v>
      </c>
      <c r="B82" s="5">
        <v>2589</v>
      </c>
      <c r="C82" s="5">
        <v>2736</v>
      </c>
      <c r="D82" s="5">
        <f t="shared" si="6"/>
        <v>147</v>
      </c>
      <c r="E82" s="6">
        <f t="shared" si="7"/>
        <v>5.6778679026651215E-2</v>
      </c>
      <c r="F82" s="6">
        <f>D82/月度趋势!$D$14</f>
        <v>5.1158549742119142E-4</v>
      </c>
    </row>
    <row r="83" spans="1:6" ht="22.95" customHeight="1">
      <c r="A83" t="s">
        <v>162</v>
      </c>
      <c r="B83" s="5">
        <v>2297</v>
      </c>
      <c r="C83" s="5">
        <v>2440</v>
      </c>
      <c r="D83" s="5">
        <f t="shared" si="6"/>
        <v>143</v>
      </c>
      <c r="E83" s="6">
        <f t="shared" si="7"/>
        <v>6.2255115367871136E-2</v>
      </c>
      <c r="F83" s="6">
        <f>D83/月度趋势!$D$14</f>
        <v>4.9766480361381209E-4</v>
      </c>
    </row>
    <row r="84" spans="1:6" ht="22.95" customHeight="1">
      <c r="A84" t="s">
        <v>163</v>
      </c>
      <c r="B84" s="5">
        <v>1219</v>
      </c>
      <c r="C84" s="5">
        <v>1334</v>
      </c>
      <c r="D84" s="5">
        <f t="shared" si="6"/>
        <v>115</v>
      </c>
      <c r="E84" s="6">
        <f t="shared" si="7"/>
        <v>9.4339622641509441E-2</v>
      </c>
      <c r="F84" s="6">
        <f>D84/月度趋势!$D$14</f>
        <v>4.0021994696215658E-4</v>
      </c>
    </row>
    <row r="85" spans="1:6" ht="22.95" customHeight="1">
      <c r="A85" t="s">
        <v>164</v>
      </c>
      <c r="B85" s="5">
        <v>979</v>
      </c>
      <c r="C85" s="5">
        <v>1093</v>
      </c>
      <c r="D85" s="5">
        <f t="shared" si="6"/>
        <v>114</v>
      </c>
      <c r="E85" s="6">
        <f t="shared" si="7"/>
        <v>0.11644535240040858</v>
      </c>
      <c r="F85" s="6">
        <f>D85/月度趋势!$D$14</f>
        <v>3.9673977351031175E-4</v>
      </c>
    </row>
    <row r="86" spans="1:6" ht="22.95" customHeight="1">
      <c r="A86" t="s">
        <v>165</v>
      </c>
      <c r="B86" s="5">
        <v>190</v>
      </c>
      <c r="C86" s="5">
        <v>298</v>
      </c>
      <c r="D86" s="5">
        <f t="shared" si="6"/>
        <v>108</v>
      </c>
      <c r="E86" s="6">
        <f t="shared" si="7"/>
        <v>0.56842105263157894</v>
      </c>
      <c r="F86" s="6">
        <f>D86/月度趋势!$D$14</f>
        <v>3.7585873279924269E-4</v>
      </c>
    </row>
    <row r="87" spans="1:6" ht="22.95" customHeight="1">
      <c r="A87" t="s">
        <v>166</v>
      </c>
      <c r="B87" s="5">
        <v>1143</v>
      </c>
      <c r="C87" s="5">
        <v>1237</v>
      </c>
      <c r="D87" s="5">
        <f t="shared" si="6"/>
        <v>94</v>
      </c>
      <c r="E87" s="6">
        <f t="shared" si="7"/>
        <v>8.223972003499562E-2</v>
      </c>
      <c r="F87" s="6">
        <f>D87/月度趋势!$D$14</f>
        <v>3.2713630447341497E-4</v>
      </c>
    </row>
    <row r="88" spans="1:6" ht="22.95" customHeight="1">
      <c r="A88" t="s">
        <v>167</v>
      </c>
      <c r="B88" s="5">
        <v>449</v>
      </c>
      <c r="C88" s="5">
        <v>542</v>
      </c>
      <c r="D88" s="5">
        <f t="shared" si="6"/>
        <v>93</v>
      </c>
      <c r="E88" s="6">
        <f t="shared" si="7"/>
        <v>0.20712694877505569</v>
      </c>
      <c r="F88" s="6">
        <f>D88/月度趋势!$D$14</f>
        <v>3.2365613102157013E-4</v>
      </c>
    </row>
    <row r="89" spans="1:6" ht="22.95" customHeight="1">
      <c r="A89" t="s">
        <v>168</v>
      </c>
      <c r="B89" s="5">
        <v>1214</v>
      </c>
      <c r="C89" s="5">
        <v>1301</v>
      </c>
      <c r="D89" s="5">
        <f t="shared" si="6"/>
        <v>87</v>
      </c>
      <c r="E89" s="6">
        <f t="shared" si="7"/>
        <v>7.1663920922570012E-2</v>
      </c>
      <c r="F89" s="6">
        <f>D89/月度趋势!$D$14</f>
        <v>3.0277509031050108E-4</v>
      </c>
    </row>
    <row r="90" spans="1:6" ht="22.95" customHeight="1">
      <c r="A90" t="s">
        <v>169</v>
      </c>
      <c r="B90" s="5">
        <v>923</v>
      </c>
      <c r="C90" s="5">
        <v>1004</v>
      </c>
      <c r="D90" s="5">
        <f t="shared" si="6"/>
        <v>81</v>
      </c>
      <c r="E90" s="6">
        <f t="shared" si="7"/>
        <v>8.7757313109425791E-2</v>
      </c>
      <c r="F90" s="6">
        <f>D90/月度趋势!$D$14</f>
        <v>2.8189404959943202E-4</v>
      </c>
    </row>
    <row r="91" spans="1:6" ht="22.95" customHeight="1">
      <c r="A91" t="s">
        <v>170</v>
      </c>
      <c r="B91" s="5">
        <v>2089</v>
      </c>
      <c r="C91" s="5">
        <v>2163</v>
      </c>
      <c r="D91" s="5">
        <f t="shared" si="6"/>
        <v>74</v>
      </c>
      <c r="E91" s="6">
        <f t="shared" si="7"/>
        <v>3.5423647678314983E-2</v>
      </c>
      <c r="F91" s="6">
        <f>D91/月度趋势!$D$14</f>
        <v>2.5753283543651818E-4</v>
      </c>
    </row>
    <row r="92" spans="1:6" ht="22.95" customHeight="1">
      <c r="A92" t="s">
        <v>171</v>
      </c>
      <c r="B92" s="5">
        <v>102</v>
      </c>
      <c r="C92" s="5">
        <v>175</v>
      </c>
      <c r="D92" s="5">
        <f t="shared" si="6"/>
        <v>73</v>
      </c>
      <c r="E92" s="6">
        <f t="shared" si="7"/>
        <v>0.71568627450980393</v>
      </c>
      <c r="F92" s="6">
        <f>D92/月度趋势!$D$14</f>
        <v>2.540526619846733E-4</v>
      </c>
    </row>
    <row r="93" spans="1:6" ht="22.95" customHeight="1">
      <c r="A93" t="s">
        <v>172</v>
      </c>
      <c r="B93" s="5">
        <v>18</v>
      </c>
      <c r="C93" s="5">
        <v>84</v>
      </c>
      <c r="D93" s="5">
        <f t="shared" si="6"/>
        <v>66</v>
      </c>
      <c r="E93" s="6">
        <f t="shared" si="7"/>
        <v>3.6666666666666665</v>
      </c>
      <c r="F93" s="6">
        <f>D93/月度趋势!$D$14</f>
        <v>2.2969144782175943E-4</v>
      </c>
    </row>
    <row r="94" spans="1:6" ht="22.95" customHeight="1">
      <c r="A94" t="s">
        <v>173</v>
      </c>
      <c r="B94" s="5">
        <v>1125</v>
      </c>
      <c r="C94" s="5">
        <v>1189</v>
      </c>
      <c r="D94" s="5">
        <f t="shared" si="6"/>
        <v>64</v>
      </c>
      <c r="E94" s="6">
        <f t="shared" si="7"/>
        <v>5.6888888888888892E-2</v>
      </c>
      <c r="F94" s="6">
        <f>D94/月度趋势!$D$14</f>
        <v>2.2273110091806976E-4</v>
      </c>
    </row>
    <row r="95" spans="1:6" ht="22.95" customHeight="1">
      <c r="A95" t="s">
        <v>174</v>
      </c>
      <c r="B95" s="5">
        <v>406</v>
      </c>
      <c r="C95" s="5">
        <v>466</v>
      </c>
      <c r="D95" s="5">
        <f t="shared" si="6"/>
        <v>60</v>
      </c>
      <c r="E95" s="6">
        <f t="shared" si="7"/>
        <v>0.14778325123152711</v>
      </c>
      <c r="F95" s="6">
        <f>D95/月度趋势!$D$14</f>
        <v>2.088104071106904E-4</v>
      </c>
    </row>
    <row r="96" spans="1:6" ht="22.95" customHeight="1">
      <c r="A96" t="s">
        <v>175</v>
      </c>
      <c r="B96" s="5">
        <v>2606</v>
      </c>
      <c r="C96" s="5">
        <v>2660</v>
      </c>
      <c r="D96" s="5">
        <f t="shared" si="6"/>
        <v>54</v>
      </c>
      <c r="E96" s="6">
        <f t="shared" si="7"/>
        <v>2.0721412125863391E-2</v>
      </c>
      <c r="F96" s="6">
        <f>D96/月度趋势!$D$14</f>
        <v>1.8792936639962135E-4</v>
      </c>
    </row>
    <row r="97" spans="1:6" ht="22.95" customHeight="1">
      <c r="A97" t="s">
        <v>176</v>
      </c>
      <c r="B97" s="5">
        <v>147</v>
      </c>
      <c r="C97" s="5">
        <v>191</v>
      </c>
      <c r="D97" s="5">
        <f t="shared" si="6"/>
        <v>44</v>
      </c>
      <c r="E97" s="6">
        <f t="shared" si="7"/>
        <v>0.29931972789115646</v>
      </c>
      <c r="F97" s="6">
        <f>D97/月度趋势!$D$14</f>
        <v>1.5312763188117295E-4</v>
      </c>
    </row>
    <row r="98" spans="1:6" ht="22.95" customHeight="1">
      <c r="A98" t="s">
        <v>177</v>
      </c>
      <c r="B98" s="5">
        <v>159</v>
      </c>
      <c r="C98" s="5">
        <v>201</v>
      </c>
      <c r="D98" s="5">
        <f t="shared" si="6"/>
        <v>42</v>
      </c>
      <c r="E98" s="6">
        <f t="shared" si="7"/>
        <v>0.26415094339622641</v>
      </c>
      <c r="F98" s="6">
        <f>D98/月度趋势!$D$14</f>
        <v>1.4616728497748329E-4</v>
      </c>
    </row>
    <row r="99" spans="1:6" ht="22.95" customHeight="1">
      <c r="A99" t="s">
        <v>178</v>
      </c>
      <c r="B99" s="5">
        <v>23</v>
      </c>
      <c r="C99" s="5">
        <v>64</v>
      </c>
      <c r="D99" s="5">
        <f t="shared" si="6"/>
        <v>41</v>
      </c>
      <c r="E99" s="6">
        <f t="shared" si="7"/>
        <v>1.7826086956521738</v>
      </c>
      <c r="F99" s="6">
        <f>D99/月度趋势!$D$14</f>
        <v>1.4268711152563843E-4</v>
      </c>
    </row>
    <row r="100" spans="1:6" ht="22.95" customHeight="1">
      <c r="A100" t="s">
        <v>179</v>
      </c>
      <c r="B100" s="5">
        <v>1484</v>
      </c>
      <c r="C100" s="5">
        <v>1524</v>
      </c>
      <c r="D100" s="5">
        <f t="shared" si="6"/>
        <v>40</v>
      </c>
      <c r="E100" s="6">
        <f t="shared" si="7"/>
        <v>2.6954177897574125E-2</v>
      </c>
      <c r="F100" s="6">
        <f>D100/月度趋势!$D$14</f>
        <v>1.3920693807379359E-4</v>
      </c>
    </row>
    <row r="101" spans="1:6" ht="22.95" customHeight="1">
      <c r="A101" t="s">
        <v>180</v>
      </c>
      <c r="B101" s="5">
        <v>94</v>
      </c>
      <c r="C101" s="5">
        <v>128</v>
      </c>
      <c r="D101" s="5">
        <f t="shared" si="6"/>
        <v>34</v>
      </c>
      <c r="E101" s="6">
        <f t="shared" si="7"/>
        <v>0.36170212765957449</v>
      </c>
      <c r="F101" s="6">
        <f>D101/月度趋势!$D$14</f>
        <v>1.1832589736272456E-4</v>
      </c>
    </row>
    <row r="102" spans="1:6" ht="22.95" customHeight="1">
      <c r="A102" t="s">
        <v>181</v>
      </c>
      <c r="B102" s="5">
        <v>15896</v>
      </c>
      <c r="C102" s="5">
        <v>15928</v>
      </c>
      <c r="D102" s="5">
        <f t="shared" ref="D102:D133" si="8">C102-B102</f>
        <v>32</v>
      </c>
      <c r="E102" s="6">
        <f t="shared" ref="E102:E133" si="9">IF(B102=0,"无基期",D102/B102)</f>
        <v>2.0130850528434826E-3</v>
      </c>
      <c r="F102" s="6">
        <f>D102/月度趋势!$D$14</f>
        <v>1.1136555045903488E-4</v>
      </c>
    </row>
    <row r="103" spans="1:6" ht="22.95" customHeight="1">
      <c r="A103" t="s">
        <v>182</v>
      </c>
      <c r="B103" s="5">
        <v>33</v>
      </c>
      <c r="C103" s="5">
        <v>65</v>
      </c>
      <c r="D103" s="5">
        <f t="shared" si="8"/>
        <v>32</v>
      </c>
      <c r="E103" s="6">
        <f t="shared" si="9"/>
        <v>0.96969696969696972</v>
      </c>
      <c r="F103" s="6">
        <f>D103/月度趋势!$D$14</f>
        <v>1.1136555045903488E-4</v>
      </c>
    </row>
    <row r="104" spans="1:6" ht="22.95" customHeight="1">
      <c r="A104" t="s">
        <v>183</v>
      </c>
      <c r="B104" s="5">
        <v>912</v>
      </c>
      <c r="C104" s="5">
        <v>944</v>
      </c>
      <c r="D104" s="5">
        <f t="shared" si="8"/>
        <v>32</v>
      </c>
      <c r="E104" s="6">
        <f t="shared" si="9"/>
        <v>3.5087719298245612E-2</v>
      </c>
      <c r="F104" s="6">
        <f>D104/月度趋势!$D$14</f>
        <v>1.1136555045903488E-4</v>
      </c>
    </row>
    <row r="105" spans="1:6" ht="22.95" customHeight="1">
      <c r="A105" t="s">
        <v>184</v>
      </c>
      <c r="B105" s="5">
        <v>111</v>
      </c>
      <c r="C105" s="5">
        <v>143</v>
      </c>
      <c r="D105" s="5">
        <f t="shared" si="8"/>
        <v>32</v>
      </c>
      <c r="E105" s="6">
        <f t="shared" si="9"/>
        <v>0.28828828828828829</v>
      </c>
      <c r="F105" s="6">
        <f>D105/月度趋势!$D$14</f>
        <v>1.1136555045903488E-4</v>
      </c>
    </row>
    <row r="106" spans="1:6" ht="22.95" customHeight="1">
      <c r="A106" t="s">
        <v>185</v>
      </c>
      <c r="B106" s="5">
        <v>0</v>
      </c>
      <c r="C106" s="5">
        <v>30</v>
      </c>
      <c r="D106" s="5">
        <f t="shared" si="8"/>
        <v>30</v>
      </c>
      <c r="E106" s="6" t="str">
        <f t="shared" si="9"/>
        <v>无基期</v>
      </c>
      <c r="F106" s="6">
        <f>D106/月度趋势!$D$14</f>
        <v>1.044052035553452E-4</v>
      </c>
    </row>
    <row r="107" spans="1:6" ht="22.95" customHeight="1">
      <c r="A107" t="s">
        <v>186</v>
      </c>
      <c r="B107" s="5">
        <v>119</v>
      </c>
      <c r="C107" s="5">
        <v>146</v>
      </c>
      <c r="D107" s="5">
        <f t="shared" si="8"/>
        <v>27</v>
      </c>
      <c r="E107" s="6">
        <f t="shared" si="9"/>
        <v>0.22689075630252101</v>
      </c>
      <c r="F107" s="6">
        <f>D107/月度趋势!$D$14</f>
        <v>9.3964683199810673E-5</v>
      </c>
    </row>
    <row r="108" spans="1:6" ht="22.95" customHeight="1">
      <c r="A108" t="s">
        <v>187</v>
      </c>
      <c r="B108" s="5">
        <v>74</v>
      </c>
      <c r="C108" s="5">
        <v>101</v>
      </c>
      <c r="D108" s="5">
        <f t="shared" si="8"/>
        <v>27</v>
      </c>
      <c r="E108" s="6">
        <f t="shared" si="9"/>
        <v>0.36486486486486486</v>
      </c>
      <c r="F108" s="6">
        <f>D108/月度趋势!$D$14</f>
        <v>9.3964683199810673E-5</v>
      </c>
    </row>
    <row r="109" spans="1:6" ht="22.95" customHeight="1">
      <c r="A109" t="s">
        <v>188</v>
      </c>
      <c r="B109" s="5">
        <v>6</v>
      </c>
      <c r="C109" s="5">
        <v>31</v>
      </c>
      <c r="D109" s="5">
        <f t="shared" si="8"/>
        <v>25</v>
      </c>
      <c r="E109" s="6">
        <f t="shared" si="9"/>
        <v>4.166666666666667</v>
      </c>
      <c r="F109" s="6">
        <f>D109/月度趋势!$D$14</f>
        <v>8.7004336296120992E-5</v>
      </c>
    </row>
    <row r="110" spans="1:6" ht="22.95" customHeight="1">
      <c r="A110" t="s">
        <v>189</v>
      </c>
      <c r="B110" s="5">
        <v>522</v>
      </c>
      <c r="C110" s="5">
        <v>547</v>
      </c>
      <c r="D110" s="5">
        <f t="shared" si="8"/>
        <v>25</v>
      </c>
      <c r="E110" s="6">
        <f t="shared" si="9"/>
        <v>4.7892720306513412E-2</v>
      </c>
      <c r="F110" s="6">
        <f>D110/月度趋势!$D$14</f>
        <v>8.7004336296120992E-5</v>
      </c>
    </row>
    <row r="111" spans="1:6" ht="22.95" customHeight="1">
      <c r="A111" t="s">
        <v>190</v>
      </c>
      <c r="B111" s="5">
        <v>243</v>
      </c>
      <c r="C111" s="5">
        <v>264</v>
      </c>
      <c r="D111" s="5">
        <f t="shared" si="8"/>
        <v>21</v>
      </c>
      <c r="E111" s="6">
        <f t="shared" si="9"/>
        <v>8.6419753086419748E-2</v>
      </c>
      <c r="F111" s="6">
        <f>D111/月度趋势!$D$14</f>
        <v>7.3083642488741644E-5</v>
      </c>
    </row>
    <row r="112" spans="1:6" ht="22.95" customHeight="1">
      <c r="A112" t="s">
        <v>191</v>
      </c>
      <c r="B112" s="5">
        <v>0</v>
      </c>
      <c r="C112" s="5">
        <v>18</v>
      </c>
      <c r="D112" s="5">
        <f t="shared" si="8"/>
        <v>18</v>
      </c>
      <c r="E112" s="6" t="str">
        <f t="shared" si="9"/>
        <v>无基期</v>
      </c>
      <c r="F112" s="6">
        <f>D112/月度趋势!$D$14</f>
        <v>6.2643122133207115E-5</v>
      </c>
    </row>
    <row r="113" spans="1:6" ht="22.95" customHeight="1">
      <c r="A113" t="s">
        <v>192</v>
      </c>
      <c r="B113" s="5">
        <v>134</v>
      </c>
      <c r="C113" s="5">
        <v>152</v>
      </c>
      <c r="D113" s="5">
        <f t="shared" si="8"/>
        <v>18</v>
      </c>
      <c r="E113" s="6">
        <f t="shared" si="9"/>
        <v>0.13432835820895522</v>
      </c>
      <c r="F113" s="6">
        <f>D113/月度趋势!$D$14</f>
        <v>6.2643122133207115E-5</v>
      </c>
    </row>
    <row r="114" spans="1:6" ht="22.95" customHeight="1">
      <c r="A114" t="s">
        <v>193</v>
      </c>
      <c r="B114" s="5">
        <v>0</v>
      </c>
      <c r="C114" s="5">
        <v>17</v>
      </c>
      <c r="D114" s="5">
        <f t="shared" si="8"/>
        <v>17</v>
      </c>
      <c r="E114" s="6" t="str">
        <f t="shared" si="9"/>
        <v>无基期</v>
      </c>
      <c r="F114" s="6">
        <f>D114/月度趋势!$D$14</f>
        <v>5.9162948681362282E-5</v>
      </c>
    </row>
    <row r="115" spans="1:6" ht="22.95" customHeight="1">
      <c r="A115" t="s">
        <v>194</v>
      </c>
      <c r="B115" s="5">
        <v>85</v>
      </c>
      <c r="C115" s="5">
        <v>100</v>
      </c>
      <c r="D115" s="5">
        <f t="shared" si="8"/>
        <v>15</v>
      </c>
      <c r="E115" s="6">
        <f t="shared" si="9"/>
        <v>0.17647058823529413</v>
      </c>
      <c r="F115" s="6">
        <f>D115/月度趋势!$D$14</f>
        <v>5.2202601777672601E-5</v>
      </c>
    </row>
    <row r="116" spans="1:6" ht="22.95" customHeight="1">
      <c r="A116" t="s">
        <v>195</v>
      </c>
      <c r="B116" s="5">
        <v>31</v>
      </c>
      <c r="C116" s="5">
        <v>45</v>
      </c>
      <c r="D116" s="5">
        <f t="shared" si="8"/>
        <v>14</v>
      </c>
      <c r="E116" s="6">
        <f t="shared" si="9"/>
        <v>0.45161290322580644</v>
      </c>
      <c r="F116" s="6">
        <f>D116/月度趋势!$D$14</f>
        <v>4.872242832582776E-5</v>
      </c>
    </row>
    <row r="117" spans="1:6" ht="22.95" customHeight="1">
      <c r="A117" t="s">
        <v>196</v>
      </c>
      <c r="B117" s="5">
        <v>200</v>
      </c>
      <c r="C117" s="5">
        <v>214</v>
      </c>
      <c r="D117" s="5">
        <f t="shared" si="8"/>
        <v>14</v>
      </c>
      <c r="E117" s="6">
        <f t="shared" si="9"/>
        <v>7.0000000000000007E-2</v>
      </c>
      <c r="F117" s="6">
        <f>D117/月度趋势!$D$14</f>
        <v>4.872242832582776E-5</v>
      </c>
    </row>
    <row r="118" spans="1:6" ht="22.95" customHeight="1">
      <c r="A118" t="s">
        <v>197</v>
      </c>
      <c r="B118" s="5">
        <v>64</v>
      </c>
      <c r="C118" s="5">
        <v>76</v>
      </c>
      <c r="D118" s="5">
        <f t="shared" si="8"/>
        <v>12</v>
      </c>
      <c r="E118" s="6">
        <f t="shared" si="9"/>
        <v>0.1875</v>
      </c>
      <c r="F118" s="6">
        <f>D118/月度趋势!$D$14</f>
        <v>4.1762081422138079E-5</v>
      </c>
    </row>
    <row r="119" spans="1:6" ht="22.95" customHeight="1">
      <c r="A119" t="s">
        <v>198</v>
      </c>
      <c r="B119" s="5">
        <v>34</v>
      </c>
      <c r="C119" s="5">
        <v>44</v>
      </c>
      <c r="D119" s="5">
        <f t="shared" si="8"/>
        <v>10</v>
      </c>
      <c r="E119" s="6">
        <f t="shared" si="9"/>
        <v>0.29411764705882354</v>
      </c>
      <c r="F119" s="6">
        <f>D119/月度趋势!$D$14</f>
        <v>3.4801734518448398E-5</v>
      </c>
    </row>
    <row r="120" spans="1:6" ht="22.95" customHeight="1">
      <c r="A120" t="s">
        <v>199</v>
      </c>
      <c r="B120" s="5">
        <v>333</v>
      </c>
      <c r="C120" s="5">
        <v>341</v>
      </c>
      <c r="D120" s="5">
        <f t="shared" si="8"/>
        <v>8</v>
      </c>
      <c r="E120" s="6">
        <f t="shared" si="9"/>
        <v>2.4024024024024024E-2</v>
      </c>
      <c r="F120" s="6">
        <f>D120/月度趋势!$D$14</f>
        <v>2.7841387614758721E-5</v>
      </c>
    </row>
    <row r="121" spans="1:6" ht="22.95" customHeight="1">
      <c r="A121" t="s">
        <v>200</v>
      </c>
      <c r="B121" s="5">
        <v>0</v>
      </c>
      <c r="C121" s="5">
        <v>5</v>
      </c>
      <c r="D121" s="5">
        <f t="shared" si="8"/>
        <v>5</v>
      </c>
      <c r="E121" s="6" t="str">
        <f t="shared" si="9"/>
        <v>无基期</v>
      </c>
      <c r="F121" s="6">
        <f>D121/月度趋势!$D$14</f>
        <v>1.7400867259224199E-5</v>
      </c>
    </row>
    <row r="122" spans="1:6" ht="22.95" customHeight="1">
      <c r="A122" t="s">
        <v>201</v>
      </c>
      <c r="B122" s="5">
        <v>10</v>
      </c>
      <c r="C122" s="5">
        <v>15</v>
      </c>
      <c r="D122" s="5">
        <f t="shared" si="8"/>
        <v>5</v>
      </c>
      <c r="E122" s="6">
        <f t="shared" si="9"/>
        <v>0.5</v>
      </c>
      <c r="F122" s="6">
        <f>D122/月度趋势!$D$14</f>
        <v>1.7400867259224199E-5</v>
      </c>
    </row>
    <row r="123" spans="1:6" ht="22.95" customHeight="1">
      <c r="A123" t="s">
        <v>202</v>
      </c>
      <c r="B123" s="5">
        <v>0</v>
      </c>
      <c r="C123" s="5">
        <v>4</v>
      </c>
      <c r="D123" s="5">
        <f t="shared" si="8"/>
        <v>4</v>
      </c>
      <c r="E123" s="6" t="str">
        <f t="shared" si="9"/>
        <v>无基期</v>
      </c>
      <c r="F123" s="6">
        <f>D123/月度趋势!$D$14</f>
        <v>1.392069380737936E-5</v>
      </c>
    </row>
    <row r="124" spans="1:6" ht="22.95" customHeight="1">
      <c r="A124" t="s">
        <v>203</v>
      </c>
      <c r="B124" s="5">
        <v>263</v>
      </c>
      <c r="C124" s="5">
        <v>267</v>
      </c>
      <c r="D124" s="5">
        <f t="shared" si="8"/>
        <v>4</v>
      </c>
      <c r="E124" s="6">
        <f t="shared" si="9"/>
        <v>1.5209125475285171E-2</v>
      </c>
      <c r="F124" s="6">
        <f>D124/月度趋势!$D$14</f>
        <v>1.392069380737936E-5</v>
      </c>
    </row>
    <row r="125" spans="1:6" ht="22.95" customHeight="1">
      <c r="A125" t="s">
        <v>204</v>
      </c>
      <c r="B125" s="5">
        <v>1</v>
      </c>
      <c r="C125" s="5">
        <v>5</v>
      </c>
      <c r="D125" s="5">
        <f t="shared" si="8"/>
        <v>4</v>
      </c>
      <c r="E125" s="6">
        <f t="shared" si="9"/>
        <v>4</v>
      </c>
      <c r="F125" s="6">
        <f>D125/月度趋势!$D$14</f>
        <v>1.392069380737936E-5</v>
      </c>
    </row>
    <row r="126" spans="1:6" ht="22.95" customHeight="1">
      <c r="A126" t="s">
        <v>205</v>
      </c>
      <c r="B126" s="5">
        <v>7</v>
      </c>
      <c r="C126" s="5">
        <v>11</v>
      </c>
      <c r="D126" s="5">
        <f t="shared" si="8"/>
        <v>4</v>
      </c>
      <c r="E126" s="6">
        <f t="shared" si="9"/>
        <v>0.5714285714285714</v>
      </c>
      <c r="F126" s="6">
        <f>D126/月度趋势!$D$14</f>
        <v>1.392069380737936E-5</v>
      </c>
    </row>
    <row r="127" spans="1:6" ht="22.95" customHeight="1">
      <c r="A127" t="s">
        <v>206</v>
      </c>
      <c r="B127" s="5">
        <v>3</v>
      </c>
      <c r="C127" s="5">
        <v>6</v>
      </c>
      <c r="D127" s="5">
        <f t="shared" si="8"/>
        <v>3</v>
      </c>
      <c r="E127" s="6">
        <f t="shared" si="9"/>
        <v>1</v>
      </c>
      <c r="F127" s="6">
        <f>D127/月度趋势!$D$14</f>
        <v>1.044052035553452E-5</v>
      </c>
    </row>
    <row r="128" spans="1:6" ht="22.95" customHeight="1">
      <c r="A128" t="s">
        <v>207</v>
      </c>
      <c r="B128" s="5">
        <v>1912</v>
      </c>
      <c r="C128" s="5">
        <v>1915</v>
      </c>
      <c r="D128" s="5">
        <f t="shared" si="8"/>
        <v>3</v>
      </c>
      <c r="E128" s="6">
        <f t="shared" si="9"/>
        <v>1.5690376569037657E-3</v>
      </c>
      <c r="F128" s="6">
        <f>D128/月度趋势!$D$14</f>
        <v>1.044052035553452E-5</v>
      </c>
    </row>
    <row r="129" spans="1:6" ht="22.95" customHeight="1">
      <c r="A129" t="s">
        <v>208</v>
      </c>
      <c r="B129" s="5">
        <v>2</v>
      </c>
      <c r="C129" s="5">
        <v>5</v>
      </c>
      <c r="D129" s="5">
        <f t="shared" si="8"/>
        <v>3</v>
      </c>
      <c r="E129" s="6">
        <f t="shared" si="9"/>
        <v>1.5</v>
      </c>
      <c r="F129" s="6">
        <f>D129/月度趋势!$D$14</f>
        <v>1.044052035553452E-5</v>
      </c>
    </row>
    <row r="130" spans="1:6" ht="22.95" customHeight="1">
      <c r="A130" t="s">
        <v>209</v>
      </c>
      <c r="B130" s="5">
        <v>28</v>
      </c>
      <c r="C130" s="5">
        <v>30</v>
      </c>
      <c r="D130" s="5">
        <f t="shared" si="8"/>
        <v>2</v>
      </c>
      <c r="E130" s="6">
        <f t="shared" si="9"/>
        <v>7.1428571428571425E-2</v>
      </c>
      <c r="F130" s="6">
        <f>D130/月度趋势!$D$14</f>
        <v>6.9603469036896801E-6</v>
      </c>
    </row>
    <row r="131" spans="1:6" ht="22.95" customHeight="1">
      <c r="A131" t="s">
        <v>210</v>
      </c>
      <c r="B131" s="5">
        <v>13</v>
      </c>
      <c r="C131" s="5">
        <v>15</v>
      </c>
      <c r="D131" s="5">
        <f t="shared" si="8"/>
        <v>2</v>
      </c>
      <c r="E131" s="6">
        <f t="shared" si="9"/>
        <v>0.15384615384615385</v>
      </c>
      <c r="F131" s="6">
        <f>D131/月度趋势!$D$14</f>
        <v>6.9603469036896801E-6</v>
      </c>
    </row>
    <row r="132" spans="1:6" ht="22.95" customHeight="1">
      <c r="A132" t="s">
        <v>211</v>
      </c>
      <c r="B132" s="5">
        <v>3</v>
      </c>
      <c r="C132" s="5">
        <v>5</v>
      </c>
      <c r="D132" s="5">
        <f t="shared" si="8"/>
        <v>2</v>
      </c>
      <c r="E132" s="6">
        <f t="shared" si="9"/>
        <v>0.66666666666666663</v>
      </c>
      <c r="F132" s="6">
        <f>D132/月度趋势!$D$14</f>
        <v>6.9603469036896801E-6</v>
      </c>
    </row>
    <row r="133" spans="1:6" ht="22.95" customHeight="1">
      <c r="A133" t="s">
        <v>212</v>
      </c>
      <c r="B133" s="5">
        <v>5</v>
      </c>
      <c r="C133" s="5">
        <v>6</v>
      </c>
      <c r="D133" s="5">
        <f t="shared" si="8"/>
        <v>1</v>
      </c>
      <c r="E133" s="6">
        <f t="shared" si="9"/>
        <v>0.2</v>
      </c>
      <c r="F133" s="6">
        <f>D133/月度趋势!$D$14</f>
        <v>3.4801734518448401E-6</v>
      </c>
    </row>
    <row r="134" spans="1:6" ht="22.95" customHeight="1">
      <c r="A134" t="s">
        <v>213</v>
      </c>
      <c r="B134" s="5">
        <v>2</v>
      </c>
      <c r="C134" s="5">
        <v>3</v>
      </c>
      <c r="D134" s="5">
        <f t="shared" ref="D134:D165" si="10">C134-B134</f>
        <v>1</v>
      </c>
      <c r="E134" s="6">
        <f t="shared" ref="E134:E165" si="11">IF(B134=0,"无基期",D134/B134)</f>
        <v>0.5</v>
      </c>
      <c r="F134" s="6">
        <f>D134/月度趋势!$D$14</f>
        <v>3.4801734518448401E-6</v>
      </c>
    </row>
    <row r="135" spans="1:6" ht="22.95" customHeight="1">
      <c r="A135" t="s">
        <v>214</v>
      </c>
      <c r="B135" s="5">
        <v>48</v>
      </c>
      <c r="C135" s="5">
        <v>49</v>
      </c>
      <c r="D135" s="5">
        <f t="shared" si="10"/>
        <v>1</v>
      </c>
      <c r="E135" s="6">
        <f t="shared" si="11"/>
        <v>2.0833333333333332E-2</v>
      </c>
      <c r="F135" s="6">
        <f>D135/月度趋势!$D$14</f>
        <v>3.4801734518448401E-6</v>
      </c>
    </row>
    <row r="136" spans="1:6" ht="22.95" customHeight="1">
      <c r="A136" t="s">
        <v>215</v>
      </c>
      <c r="B136" s="5">
        <v>1</v>
      </c>
      <c r="C136" s="5">
        <v>2</v>
      </c>
      <c r="D136" s="5">
        <f t="shared" si="10"/>
        <v>1</v>
      </c>
      <c r="E136" s="6">
        <f t="shared" si="11"/>
        <v>1</v>
      </c>
      <c r="F136" s="6">
        <f>D136/月度趋势!$D$14</f>
        <v>3.4801734518448401E-6</v>
      </c>
    </row>
    <row r="137" spans="1:6" ht="22.95" customHeight="1">
      <c r="A137" t="s">
        <v>216</v>
      </c>
      <c r="B137" s="5">
        <v>1</v>
      </c>
      <c r="C137" s="5">
        <v>2</v>
      </c>
      <c r="D137" s="5">
        <f t="shared" si="10"/>
        <v>1</v>
      </c>
      <c r="E137" s="6">
        <f t="shared" si="11"/>
        <v>1</v>
      </c>
      <c r="F137" s="6">
        <f>D137/月度趋势!$D$14</f>
        <v>3.4801734518448401E-6</v>
      </c>
    </row>
    <row r="138" spans="1:6" ht="22.95" customHeight="1">
      <c r="A138" t="s">
        <v>217</v>
      </c>
      <c r="B138" s="5">
        <v>0</v>
      </c>
      <c r="C138" s="5">
        <v>1</v>
      </c>
      <c r="D138" s="5">
        <f t="shared" si="10"/>
        <v>1</v>
      </c>
      <c r="E138" s="6" t="str">
        <f t="shared" si="11"/>
        <v>无基期</v>
      </c>
      <c r="F138" s="6">
        <f>D138/月度趋势!$D$14</f>
        <v>3.4801734518448401E-6</v>
      </c>
    </row>
    <row r="139" spans="1:6" ht="22.95" customHeight="1">
      <c r="A139" t="s">
        <v>218</v>
      </c>
      <c r="B139" s="5">
        <v>4</v>
      </c>
      <c r="C139" s="5">
        <v>5</v>
      </c>
      <c r="D139" s="5">
        <f t="shared" si="10"/>
        <v>1</v>
      </c>
      <c r="E139" s="6">
        <f t="shared" si="11"/>
        <v>0.25</v>
      </c>
      <c r="F139" s="6">
        <f>D139/月度趋势!$D$14</f>
        <v>3.4801734518448401E-6</v>
      </c>
    </row>
    <row r="140" spans="1:6" ht="22.95" customHeight="1">
      <c r="A140" t="s">
        <v>219</v>
      </c>
      <c r="B140" s="5">
        <v>0</v>
      </c>
      <c r="C140" s="5">
        <v>1</v>
      </c>
      <c r="D140" s="5">
        <f t="shared" si="10"/>
        <v>1</v>
      </c>
      <c r="E140" s="6" t="str">
        <f t="shared" si="11"/>
        <v>无基期</v>
      </c>
      <c r="F140" s="6">
        <f>D140/月度趋势!$D$14</f>
        <v>3.4801734518448401E-6</v>
      </c>
    </row>
    <row r="141" spans="1:6" ht="22.95" customHeight="1">
      <c r="A141" t="s">
        <v>220</v>
      </c>
      <c r="B141" s="5">
        <v>0</v>
      </c>
      <c r="C141" s="5">
        <v>1</v>
      </c>
      <c r="D141" s="5">
        <f t="shared" si="10"/>
        <v>1</v>
      </c>
      <c r="E141" s="6" t="str">
        <f t="shared" si="11"/>
        <v>无基期</v>
      </c>
      <c r="F141" s="6">
        <f>D141/月度趋势!$D$14</f>
        <v>3.4801734518448401E-6</v>
      </c>
    </row>
    <row r="142" spans="1:6" ht="22.95" customHeight="1">
      <c r="A142" t="s">
        <v>221</v>
      </c>
      <c r="B142" s="5">
        <v>1</v>
      </c>
      <c r="C142" s="5">
        <v>2</v>
      </c>
      <c r="D142" s="5">
        <f t="shared" si="10"/>
        <v>1</v>
      </c>
      <c r="E142" s="6">
        <f t="shared" si="11"/>
        <v>1</v>
      </c>
      <c r="F142" s="6">
        <f>D142/月度趋势!$D$14</f>
        <v>3.4801734518448401E-6</v>
      </c>
    </row>
    <row r="143" spans="1:6" ht="22.95" customHeight="1">
      <c r="A143" t="s">
        <v>222</v>
      </c>
      <c r="B143" s="5">
        <v>2</v>
      </c>
      <c r="C143" s="5">
        <v>2</v>
      </c>
      <c r="D143" s="5">
        <f t="shared" si="10"/>
        <v>0</v>
      </c>
      <c r="E143" s="6">
        <f t="shared" si="11"/>
        <v>0</v>
      </c>
      <c r="F143" s="6">
        <f>D143/月度趋势!$D$14</f>
        <v>0</v>
      </c>
    </row>
    <row r="144" spans="1:6" ht="22.95" customHeight="1">
      <c r="A144" t="s">
        <v>223</v>
      </c>
      <c r="B144" s="5">
        <v>46</v>
      </c>
      <c r="C144" s="5">
        <v>46</v>
      </c>
      <c r="D144" s="5">
        <f t="shared" si="10"/>
        <v>0</v>
      </c>
      <c r="E144" s="6">
        <f t="shared" si="11"/>
        <v>0</v>
      </c>
      <c r="F144" s="6">
        <f>D144/月度趋势!$D$14</f>
        <v>0</v>
      </c>
    </row>
    <row r="145" spans="1:6" ht="22.95" customHeight="1">
      <c r="A145" t="s">
        <v>224</v>
      </c>
      <c r="B145" s="5">
        <v>13</v>
      </c>
      <c r="C145" s="5">
        <v>13</v>
      </c>
      <c r="D145" s="5">
        <f t="shared" si="10"/>
        <v>0</v>
      </c>
      <c r="E145" s="6">
        <f t="shared" si="11"/>
        <v>0</v>
      </c>
      <c r="F145" s="6">
        <f>D145/月度趋势!$D$14</f>
        <v>0</v>
      </c>
    </row>
    <row r="146" spans="1:6" ht="22.95" customHeight="1">
      <c r="A146" t="s">
        <v>225</v>
      </c>
      <c r="B146" s="5">
        <v>14</v>
      </c>
      <c r="C146" s="5">
        <v>14</v>
      </c>
      <c r="D146" s="5">
        <f t="shared" si="10"/>
        <v>0</v>
      </c>
      <c r="E146" s="6">
        <f t="shared" si="11"/>
        <v>0</v>
      </c>
      <c r="F146" s="6">
        <f>D146/月度趋势!$D$14</f>
        <v>0</v>
      </c>
    </row>
    <row r="147" spans="1:6" ht="22.95" customHeight="1">
      <c r="A147" t="s">
        <v>226</v>
      </c>
      <c r="B147" s="5">
        <v>5</v>
      </c>
      <c r="C147" s="5">
        <v>5</v>
      </c>
      <c r="D147" s="5">
        <f t="shared" si="10"/>
        <v>0</v>
      </c>
      <c r="E147" s="6">
        <f t="shared" si="11"/>
        <v>0</v>
      </c>
      <c r="F147" s="6">
        <f>D147/月度趋势!$D$14</f>
        <v>0</v>
      </c>
    </row>
    <row r="148" spans="1:6" ht="22.95" customHeight="1">
      <c r="A148" t="s">
        <v>227</v>
      </c>
      <c r="B148" s="5">
        <v>6</v>
      </c>
      <c r="C148" s="5">
        <v>5</v>
      </c>
      <c r="D148" s="5">
        <f t="shared" si="10"/>
        <v>-1</v>
      </c>
      <c r="E148" s="6">
        <f t="shared" si="11"/>
        <v>-0.16666666666666666</v>
      </c>
      <c r="F148" s="6">
        <f>D148/月度趋势!$D$14</f>
        <v>-3.4801734518448401E-6</v>
      </c>
    </row>
    <row r="149" spans="1:6" ht="22.95" customHeight="1">
      <c r="A149" t="s">
        <v>228</v>
      </c>
      <c r="B149" s="5">
        <v>5</v>
      </c>
      <c r="C149" s="5">
        <v>4</v>
      </c>
      <c r="D149" s="5">
        <f t="shared" si="10"/>
        <v>-1</v>
      </c>
      <c r="E149" s="6">
        <f t="shared" si="11"/>
        <v>-0.2</v>
      </c>
      <c r="F149" s="6">
        <f>D149/月度趋势!$D$14</f>
        <v>-3.4801734518448401E-6</v>
      </c>
    </row>
    <row r="150" spans="1:6" ht="22.95" customHeight="1">
      <c r="A150" t="s">
        <v>229</v>
      </c>
      <c r="B150" s="5">
        <v>4</v>
      </c>
      <c r="C150" s="5">
        <v>3</v>
      </c>
      <c r="D150" s="5">
        <f t="shared" si="10"/>
        <v>-1</v>
      </c>
      <c r="E150" s="6">
        <f t="shared" si="11"/>
        <v>-0.25</v>
      </c>
      <c r="F150" s="6">
        <f>D150/月度趋势!$D$14</f>
        <v>-3.4801734518448401E-6</v>
      </c>
    </row>
    <row r="151" spans="1:6" ht="22.95" customHeight="1">
      <c r="A151" t="s">
        <v>230</v>
      </c>
      <c r="B151" s="5">
        <v>1</v>
      </c>
      <c r="C151" s="5">
        <v>0</v>
      </c>
      <c r="D151" s="5">
        <f t="shared" si="10"/>
        <v>-1</v>
      </c>
      <c r="E151" s="6">
        <f t="shared" si="11"/>
        <v>-1</v>
      </c>
      <c r="F151" s="6">
        <f>D151/月度趋势!$D$14</f>
        <v>-3.4801734518448401E-6</v>
      </c>
    </row>
    <row r="152" spans="1:6" ht="22.95" customHeight="1">
      <c r="A152" t="s">
        <v>231</v>
      </c>
      <c r="B152" s="5">
        <v>136</v>
      </c>
      <c r="C152" s="5">
        <v>133</v>
      </c>
      <c r="D152" s="5">
        <f t="shared" si="10"/>
        <v>-3</v>
      </c>
      <c r="E152" s="6">
        <f t="shared" si="11"/>
        <v>-2.2058823529411766E-2</v>
      </c>
      <c r="F152" s="6">
        <f>D152/月度趋势!$D$14</f>
        <v>-1.044052035553452E-5</v>
      </c>
    </row>
    <row r="153" spans="1:6" ht="22.95" customHeight="1">
      <c r="A153" t="s">
        <v>232</v>
      </c>
      <c r="B153" s="5">
        <v>32</v>
      </c>
      <c r="C153" s="5">
        <v>27</v>
      </c>
      <c r="D153" s="5">
        <f t="shared" si="10"/>
        <v>-5</v>
      </c>
      <c r="E153" s="6">
        <f t="shared" si="11"/>
        <v>-0.15625</v>
      </c>
      <c r="F153" s="6">
        <f>D153/月度趋势!$D$14</f>
        <v>-1.7400867259224199E-5</v>
      </c>
    </row>
    <row r="154" spans="1:6" ht="22.95" customHeight="1">
      <c r="A154" t="s">
        <v>233</v>
      </c>
      <c r="B154" s="5">
        <v>7275</v>
      </c>
      <c r="C154" s="5">
        <v>7270</v>
      </c>
      <c r="D154" s="5">
        <f t="shared" si="10"/>
        <v>-5</v>
      </c>
      <c r="E154" s="6">
        <f t="shared" si="11"/>
        <v>-6.8728522336769765E-4</v>
      </c>
      <c r="F154" s="6">
        <f>D154/月度趋势!$D$14</f>
        <v>-1.7400867259224199E-5</v>
      </c>
    </row>
    <row r="155" spans="1:6" ht="22.95" customHeight="1">
      <c r="A155" t="s">
        <v>234</v>
      </c>
      <c r="B155" s="5">
        <v>2741</v>
      </c>
      <c r="C155" s="5">
        <v>2736</v>
      </c>
      <c r="D155" s="5">
        <f t="shared" si="10"/>
        <v>-5</v>
      </c>
      <c r="E155" s="6">
        <f t="shared" si="11"/>
        <v>-1.8241517694272164E-3</v>
      </c>
      <c r="F155" s="6">
        <f>D155/月度趋势!$D$14</f>
        <v>-1.7400867259224199E-5</v>
      </c>
    </row>
    <row r="156" spans="1:6" ht="22.95" customHeight="1">
      <c r="A156" t="s">
        <v>235</v>
      </c>
      <c r="B156" s="5">
        <v>16</v>
      </c>
      <c r="C156" s="5">
        <v>10</v>
      </c>
      <c r="D156" s="5">
        <f t="shared" si="10"/>
        <v>-6</v>
      </c>
      <c r="E156" s="6">
        <f t="shared" si="11"/>
        <v>-0.375</v>
      </c>
      <c r="F156" s="6">
        <f>D156/月度趋势!$D$14</f>
        <v>-2.088104071106904E-5</v>
      </c>
    </row>
    <row r="157" spans="1:6" ht="22.95" customHeight="1">
      <c r="A157" t="s">
        <v>236</v>
      </c>
      <c r="B157" s="5">
        <v>31</v>
      </c>
      <c r="C157" s="5">
        <v>25</v>
      </c>
      <c r="D157" s="5">
        <f t="shared" si="10"/>
        <v>-6</v>
      </c>
      <c r="E157" s="6">
        <f t="shared" si="11"/>
        <v>-0.19354838709677419</v>
      </c>
      <c r="F157" s="6">
        <f>D157/月度趋势!$D$14</f>
        <v>-2.088104071106904E-5</v>
      </c>
    </row>
    <row r="158" spans="1:6" ht="22.95" customHeight="1">
      <c r="A158" t="s">
        <v>237</v>
      </c>
      <c r="B158" s="5">
        <v>81</v>
      </c>
      <c r="C158" s="5">
        <v>74</v>
      </c>
      <c r="D158" s="5">
        <f t="shared" si="10"/>
        <v>-7</v>
      </c>
      <c r="E158" s="6">
        <f t="shared" si="11"/>
        <v>-8.6419753086419748E-2</v>
      </c>
      <c r="F158" s="6">
        <f>D158/月度趋势!$D$14</f>
        <v>-2.436121416291388E-5</v>
      </c>
    </row>
    <row r="159" spans="1:6" ht="22.95" customHeight="1">
      <c r="A159" t="s">
        <v>238</v>
      </c>
      <c r="B159" s="5">
        <v>20</v>
      </c>
      <c r="C159" s="5">
        <v>13</v>
      </c>
      <c r="D159" s="5">
        <f t="shared" si="10"/>
        <v>-7</v>
      </c>
      <c r="E159" s="6">
        <f t="shared" si="11"/>
        <v>-0.35</v>
      </c>
      <c r="F159" s="6">
        <f>D159/月度趋势!$D$14</f>
        <v>-2.436121416291388E-5</v>
      </c>
    </row>
    <row r="160" spans="1:6" ht="22.95" customHeight="1">
      <c r="A160" t="s">
        <v>239</v>
      </c>
      <c r="B160" s="5">
        <v>34</v>
      </c>
      <c r="C160" s="5">
        <v>26</v>
      </c>
      <c r="D160" s="5">
        <f t="shared" si="10"/>
        <v>-8</v>
      </c>
      <c r="E160" s="6">
        <f t="shared" si="11"/>
        <v>-0.23529411764705882</v>
      </c>
      <c r="F160" s="6">
        <f>D160/月度趋势!$D$14</f>
        <v>-2.7841387614758721E-5</v>
      </c>
    </row>
    <row r="161" spans="1:6" ht="22.95" customHeight="1">
      <c r="A161" t="s">
        <v>240</v>
      </c>
      <c r="B161" s="5">
        <v>112</v>
      </c>
      <c r="C161" s="5">
        <v>104</v>
      </c>
      <c r="D161" s="5">
        <f t="shared" si="10"/>
        <v>-8</v>
      </c>
      <c r="E161" s="6">
        <f t="shared" si="11"/>
        <v>-7.1428571428571425E-2</v>
      </c>
      <c r="F161" s="6">
        <f>D161/月度趋势!$D$14</f>
        <v>-2.7841387614758721E-5</v>
      </c>
    </row>
    <row r="162" spans="1:6" ht="22.95" customHeight="1">
      <c r="A162" t="s">
        <v>241</v>
      </c>
      <c r="B162" s="5">
        <v>82</v>
      </c>
      <c r="C162" s="5">
        <v>74</v>
      </c>
      <c r="D162" s="5">
        <f t="shared" si="10"/>
        <v>-8</v>
      </c>
      <c r="E162" s="6">
        <f t="shared" si="11"/>
        <v>-9.7560975609756101E-2</v>
      </c>
      <c r="F162" s="6">
        <f>D162/月度趋势!$D$14</f>
        <v>-2.7841387614758721E-5</v>
      </c>
    </row>
    <row r="163" spans="1:6" ht="22.95" customHeight="1">
      <c r="A163" t="s">
        <v>242</v>
      </c>
      <c r="B163" s="5">
        <v>227</v>
      </c>
      <c r="C163" s="5">
        <v>218</v>
      </c>
      <c r="D163" s="5">
        <f t="shared" si="10"/>
        <v>-9</v>
      </c>
      <c r="E163" s="6">
        <f t="shared" si="11"/>
        <v>-3.9647577092511016E-2</v>
      </c>
      <c r="F163" s="6">
        <f>D163/月度趋势!$D$14</f>
        <v>-3.1321561066603558E-5</v>
      </c>
    </row>
    <row r="164" spans="1:6" ht="22.95" customHeight="1">
      <c r="A164" t="s">
        <v>243</v>
      </c>
      <c r="B164" s="5">
        <v>75</v>
      </c>
      <c r="C164" s="5">
        <v>66</v>
      </c>
      <c r="D164" s="5">
        <f t="shared" si="10"/>
        <v>-9</v>
      </c>
      <c r="E164" s="6">
        <f t="shared" si="11"/>
        <v>-0.12</v>
      </c>
      <c r="F164" s="6">
        <f>D164/月度趋势!$D$14</f>
        <v>-3.1321561066603558E-5</v>
      </c>
    </row>
    <row r="165" spans="1:6" ht="22.95" customHeight="1">
      <c r="A165" t="s">
        <v>244</v>
      </c>
      <c r="B165" s="5">
        <v>38</v>
      </c>
      <c r="C165" s="5">
        <v>23</v>
      </c>
      <c r="D165" s="5">
        <f t="shared" si="10"/>
        <v>-15</v>
      </c>
      <c r="E165" s="6">
        <f t="shared" si="11"/>
        <v>-0.39473684210526316</v>
      </c>
      <c r="F165" s="6">
        <f>D165/月度趋势!$D$14</f>
        <v>-5.2202601777672601E-5</v>
      </c>
    </row>
    <row r="166" spans="1:6" ht="22.95" customHeight="1">
      <c r="A166" t="s">
        <v>245</v>
      </c>
      <c r="B166" s="5">
        <v>533</v>
      </c>
      <c r="C166" s="5">
        <v>517</v>
      </c>
      <c r="D166" s="5">
        <f t="shared" ref="D166:D197" si="12">C166-B166</f>
        <v>-16</v>
      </c>
      <c r="E166" s="6">
        <f t="shared" ref="E166:E197" si="13">IF(B166=0,"无基期",D166/B166)</f>
        <v>-3.0018761726078799E-2</v>
      </c>
      <c r="F166" s="6">
        <f>D166/月度趋势!$D$14</f>
        <v>-5.5682775229517441E-5</v>
      </c>
    </row>
    <row r="167" spans="1:6" ht="22.95" customHeight="1">
      <c r="A167" t="s">
        <v>246</v>
      </c>
      <c r="B167" s="5">
        <v>64</v>
      </c>
      <c r="C167" s="5">
        <v>47</v>
      </c>
      <c r="D167" s="5">
        <f t="shared" si="12"/>
        <v>-17</v>
      </c>
      <c r="E167" s="6">
        <f t="shared" si="13"/>
        <v>-0.265625</v>
      </c>
      <c r="F167" s="6">
        <f>D167/月度趋势!$D$14</f>
        <v>-5.9162948681362282E-5</v>
      </c>
    </row>
    <row r="168" spans="1:6" ht="22.95" customHeight="1">
      <c r="A168" t="s">
        <v>247</v>
      </c>
      <c r="B168" s="5">
        <v>41</v>
      </c>
      <c r="C168" s="5">
        <v>24</v>
      </c>
      <c r="D168" s="5">
        <f t="shared" si="12"/>
        <v>-17</v>
      </c>
      <c r="E168" s="6">
        <f t="shared" si="13"/>
        <v>-0.41463414634146339</v>
      </c>
      <c r="F168" s="6">
        <f>D168/月度趋势!$D$14</f>
        <v>-5.9162948681362282E-5</v>
      </c>
    </row>
    <row r="169" spans="1:6" ht="22.95" customHeight="1">
      <c r="A169" t="s">
        <v>248</v>
      </c>
      <c r="B169" s="5">
        <v>103</v>
      </c>
      <c r="C169" s="5">
        <v>82</v>
      </c>
      <c r="D169" s="5">
        <f t="shared" si="12"/>
        <v>-21</v>
      </c>
      <c r="E169" s="6">
        <f t="shared" si="13"/>
        <v>-0.20388349514563106</v>
      </c>
      <c r="F169" s="6">
        <f>D169/月度趋势!$D$14</f>
        <v>-7.3083642488741644E-5</v>
      </c>
    </row>
    <row r="170" spans="1:6" ht="22.95" customHeight="1">
      <c r="A170" t="s">
        <v>249</v>
      </c>
      <c r="B170" s="5">
        <v>62</v>
      </c>
      <c r="C170" s="5">
        <v>40</v>
      </c>
      <c r="D170" s="5">
        <f t="shared" si="12"/>
        <v>-22</v>
      </c>
      <c r="E170" s="6">
        <f t="shared" si="13"/>
        <v>-0.35483870967741937</v>
      </c>
      <c r="F170" s="6">
        <f>D170/月度趋势!$D$14</f>
        <v>-7.6563815940586477E-5</v>
      </c>
    </row>
    <row r="171" spans="1:6" ht="22.95" customHeight="1">
      <c r="A171" t="s">
        <v>250</v>
      </c>
      <c r="B171" s="5">
        <v>284</v>
      </c>
      <c r="C171" s="5">
        <v>254</v>
      </c>
      <c r="D171" s="5">
        <f t="shared" si="12"/>
        <v>-30</v>
      </c>
      <c r="E171" s="6">
        <f t="shared" si="13"/>
        <v>-0.10563380281690141</v>
      </c>
      <c r="F171" s="6">
        <f>D171/月度趋势!$D$14</f>
        <v>-1.044052035553452E-4</v>
      </c>
    </row>
    <row r="172" spans="1:6" ht="22.95" customHeight="1">
      <c r="A172" t="s">
        <v>251</v>
      </c>
      <c r="B172" s="5">
        <v>39</v>
      </c>
      <c r="C172" s="5">
        <v>0</v>
      </c>
      <c r="D172" s="5">
        <f t="shared" si="12"/>
        <v>-39</v>
      </c>
      <c r="E172" s="6">
        <f t="shared" si="13"/>
        <v>-1</v>
      </c>
      <c r="F172" s="6">
        <f>D172/月度趋势!$D$14</f>
        <v>-1.3572676462194876E-4</v>
      </c>
    </row>
    <row r="173" spans="1:6" ht="22.95" customHeight="1">
      <c r="A173" t="s">
        <v>252</v>
      </c>
      <c r="B173" s="5">
        <v>347</v>
      </c>
      <c r="C173" s="5">
        <v>300</v>
      </c>
      <c r="D173" s="5">
        <f t="shared" si="12"/>
        <v>-47</v>
      </c>
      <c r="E173" s="6">
        <f t="shared" si="13"/>
        <v>-0.13544668587896252</v>
      </c>
      <c r="F173" s="6">
        <f>D173/月度趋势!$D$14</f>
        <v>-1.6356815223670748E-4</v>
      </c>
    </row>
    <row r="174" spans="1:6" ht="22.95" customHeight="1">
      <c r="A174" t="s">
        <v>253</v>
      </c>
      <c r="B174" s="5">
        <v>462</v>
      </c>
      <c r="C174" s="5">
        <v>415</v>
      </c>
      <c r="D174" s="5">
        <f t="shared" si="12"/>
        <v>-47</v>
      </c>
      <c r="E174" s="6">
        <f t="shared" si="13"/>
        <v>-0.10173160173160173</v>
      </c>
      <c r="F174" s="6">
        <f>D174/月度趋势!$D$14</f>
        <v>-1.6356815223670748E-4</v>
      </c>
    </row>
    <row r="175" spans="1:6" ht="22.95" customHeight="1">
      <c r="A175" t="s">
        <v>254</v>
      </c>
      <c r="B175" s="5">
        <v>53</v>
      </c>
      <c r="C175" s="5">
        <v>0</v>
      </c>
      <c r="D175" s="5">
        <f t="shared" si="12"/>
        <v>-53</v>
      </c>
      <c r="E175" s="6">
        <f t="shared" si="13"/>
        <v>-1</v>
      </c>
      <c r="F175" s="6">
        <f>D175/月度趋势!$D$14</f>
        <v>-1.8444919294777651E-4</v>
      </c>
    </row>
    <row r="176" spans="1:6" ht="22.95" customHeight="1">
      <c r="A176" t="s">
        <v>255</v>
      </c>
      <c r="B176" s="5">
        <v>313</v>
      </c>
      <c r="C176" s="5">
        <v>242</v>
      </c>
      <c r="D176" s="5">
        <f t="shared" si="12"/>
        <v>-71</v>
      </c>
      <c r="E176" s="6">
        <f t="shared" si="13"/>
        <v>-0.2268370607028754</v>
      </c>
      <c r="F176" s="6">
        <f>D176/月度趋势!$D$14</f>
        <v>-2.4709231508098363E-4</v>
      </c>
    </row>
    <row r="177" spans="1:6" ht="22.95" customHeight="1">
      <c r="A177" t="s">
        <v>256</v>
      </c>
      <c r="B177" s="5">
        <v>895</v>
      </c>
      <c r="C177" s="5">
        <v>802</v>
      </c>
      <c r="D177" s="5">
        <f t="shared" si="12"/>
        <v>-93</v>
      </c>
      <c r="E177" s="6">
        <f t="shared" si="13"/>
        <v>-0.10391061452513967</v>
      </c>
      <c r="F177" s="6">
        <f>D177/月度趋势!$D$14</f>
        <v>-3.2365613102157013E-4</v>
      </c>
    </row>
    <row r="178" spans="1:6" ht="22.95" customHeight="1">
      <c r="A178" t="s">
        <v>257</v>
      </c>
      <c r="B178" s="5">
        <v>6999</v>
      </c>
      <c r="C178" s="5">
        <v>6745</v>
      </c>
      <c r="D178" s="5">
        <f t="shared" si="12"/>
        <v>-254</v>
      </c>
      <c r="E178" s="6">
        <f t="shared" si="13"/>
        <v>-3.6290898699814257E-2</v>
      </c>
      <c r="F178" s="6">
        <f>D178/月度趋势!$D$14</f>
        <v>-8.8396405676858939E-4</v>
      </c>
    </row>
    <row r="179" spans="1:6" ht="22.95" customHeight="1">
      <c r="A179" t="s">
        <v>258</v>
      </c>
      <c r="B179" s="5">
        <v>1300</v>
      </c>
      <c r="C179" s="5">
        <v>1033</v>
      </c>
      <c r="D179" s="5">
        <f t="shared" si="12"/>
        <v>-267</v>
      </c>
      <c r="E179" s="6">
        <f t="shared" si="13"/>
        <v>-0.20538461538461539</v>
      </c>
      <c r="F179" s="6">
        <f>D179/月度趋势!$D$14</f>
        <v>-9.2920631164257223E-4</v>
      </c>
    </row>
    <row r="180" spans="1:6" ht="22.95" customHeight="1">
      <c r="A180" t="s">
        <v>259</v>
      </c>
      <c r="B180" s="5">
        <v>2168</v>
      </c>
      <c r="C180" s="5">
        <v>1873</v>
      </c>
      <c r="D180" s="5">
        <f t="shared" si="12"/>
        <v>-295</v>
      </c>
      <c r="E180" s="6">
        <f t="shared" si="13"/>
        <v>-0.136070110701107</v>
      </c>
      <c r="F180" s="6">
        <f>D180/月度趋势!$D$14</f>
        <v>-1.0266511682942277E-3</v>
      </c>
    </row>
    <row r="181" spans="1:6" ht="22.95" customHeight="1">
      <c r="A181" t="s">
        <v>260</v>
      </c>
      <c r="B181" s="5">
        <v>1534</v>
      </c>
      <c r="C181" s="5">
        <v>1223</v>
      </c>
      <c r="D181" s="5">
        <f t="shared" si="12"/>
        <v>-311</v>
      </c>
      <c r="E181" s="6">
        <f t="shared" si="13"/>
        <v>-0.20273794002607562</v>
      </c>
      <c r="F181" s="6">
        <f>D181/月度趋势!$D$14</f>
        <v>-1.0823339435237452E-3</v>
      </c>
    </row>
    <row r="182" spans="1:6" ht="22.95" customHeight="1">
      <c r="A182" t="s">
        <v>261</v>
      </c>
      <c r="B182" s="5">
        <v>10547</v>
      </c>
      <c r="C182" s="5">
        <v>10225</v>
      </c>
      <c r="D182" s="5">
        <f t="shared" si="12"/>
        <v>-322</v>
      </c>
      <c r="E182" s="6">
        <f t="shared" si="13"/>
        <v>-3.0530008533232199E-2</v>
      </c>
      <c r="F182" s="6">
        <f>D182/月度趋势!$D$14</f>
        <v>-1.1206158514940384E-3</v>
      </c>
    </row>
    <row r="183" spans="1:6" ht="22.95" customHeight="1">
      <c r="A183" t="s">
        <v>262</v>
      </c>
      <c r="B183" s="5">
        <v>6957</v>
      </c>
      <c r="C183" s="5">
        <v>6545</v>
      </c>
      <c r="D183" s="5">
        <f t="shared" si="12"/>
        <v>-412</v>
      </c>
      <c r="E183" s="6">
        <f t="shared" si="13"/>
        <v>-5.9220928561161422E-2</v>
      </c>
      <c r="F183" s="6">
        <f>D183/月度趋势!$D$14</f>
        <v>-1.4338314621600741E-3</v>
      </c>
    </row>
    <row r="184" spans="1:6" ht="22.95" customHeight="1">
      <c r="A184" t="s">
        <v>263</v>
      </c>
      <c r="B184" s="5">
        <v>3464</v>
      </c>
      <c r="C184" s="5">
        <v>3029</v>
      </c>
      <c r="D184" s="5">
        <f t="shared" si="12"/>
        <v>-435</v>
      </c>
      <c r="E184" s="6">
        <f t="shared" si="13"/>
        <v>-0.12557736720554272</v>
      </c>
      <c r="F184" s="6">
        <f>D184/月度趋势!$D$14</f>
        <v>-1.5138754515525053E-3</v>
      </c>
    </row>
    <row r="185" spans="1:6" ht="22.95" customHeight="1">
      <c r="A185" t="s">
        <v>264</v>
      </c>
      <c r="B185" s="5">
        <v>1232</v>
      </c>
      <c r="C185" s="5">
        <v>666</v>
      </c>
      <c r="D185" s="5">
        <f t="shared" si="12"/>
        <v>-566</v>
      </c>
      <c r="E185" s="6">
        <f t="shared" si="13"/>
        <v>-0.45941558441558439</v>
      </c>
      <c r="F185" s="6">
        <f>D185/月度趋势!$D$14</f>
        <v>-1.9697781737441794E-3</v>
      </c>
    </row>
    <row r="186" spans="1:6" ht="22.95" customHeight="1">
      <c r="A186" t="s">
        <v>265</v>
      </c>
      <c r="B186" s="5">
        <v>2933</v>
      </c>
      <c r="C186" s="5">
        <v>2266</v>
      </c>
      <c r="D186" s="5">
        <f t="shared" si="12"/>
        <v>-667</v>
      </c>
      <c r="E186" s="6">
        <f t="shared" si="13"/>
        <v>-0.22741220593249234</v>
      </c>
      <c r="F186" s="6">
        <f>D186/月度趋势!$D$14</f>
        <v>-2.3212756923805082E-3</v>
      </c>
    </row>
    <row r="187" spans="1:6" ht="22.95" customHeight="1">
      <c r="A187" t="s">
        <v>266</v>
      </c>
      <c r="B187" s="5">
        <v>8342</v>
      </c>
      <c r="C187" s="5">
        <v>7448</v>
      </c>
      <c r="D187" s="5">
        <f t="shared" si="12"/>
        <v>-894</v>
      </c>
      <c r="E187" s="6">
        <f t="shared" si="13"/>
        <v>-0.10716854471349796</v>
      </c>
      <c r="F187" s="6">
        <f>D187/月度趋势!$D$14</f>
        <v>-3.111275065949287E-3</v>
      </c>
    </row>
    <row r="188" spans="1:6" ht="22.95" customHeight="1">
      <c r="A188" t="s">
        <v>267</v>
      </c>
      <c r="B188" s="5">
        <v>1180</v>
      </c>
      <c r="C188" s="5">
        <v>0</v>
      </c>
      <c r="D188" s="5">
        <f t="shared" si="12"/>
        <v>-1180</v>
      </c>
      <c r="E188" s="6">
        <f t="shared" si="13"/>
        <v>-1</v>
      </c>
      <c r="F188" s="6">
        <f>D188/月度趋势!$D$14</f>
        <v>-4.1066046731769107E-3</v>
      </c>
    </row>
    <row r="189" spans="1:6" ht="22.95" customHeight="1">
      <c r="A189" t="s">
        <v>268</v>
      </c>
      <c r="B189" s="5">
        <v>12818</v>
      </c>
      <c r="C189" s="5">
        <v>11419</v>
      </c>
      <c r="D189" s="5">
        <f t="shared" si="12"/>
        <v>-1399</v>
      </c>
      <c r="E189" s="6">
        <f t="shared" si="13"/>
        <v>-0.10914339210485255</v>
      </c>
      <c r="F189" s="6">
        <f>D189/月度趋势!$D$14</f>
        <v>-4.8687626591309308E-3</v>
      </c>
    </row>
    <row r="190" spans="1:6" ht="22.95" customHeight="1">
      <c r="A190" t="s">
        <v>269</v>
      </c>
      <c r="B190" s="5">
        <v>7345</v>
      </c>
      <c r="C190" s="5">
        <v>5798</v>
      </c>
      <c r="D190" s="5">
        <f t="shared" si="12"/>
        <v>-1547</v>
      </c>
      <c r="E190" s="6">
        <f t="shared" si="13"/>
        <v>-0.21061946902654868</v>
      </c>
      <c r="F190" s="6">
        <f>D190/月度趋势!$D$14</f>
        <v>-5.3838283300039671E-3</v>
      </c>
    </row>
    <row r="191" spans="1:6" ht="22.95" customHeight="1">
      <c r="A191" t="s">
        <v>270</v>
      </c>
      <c r="B191" s="5">
        <v>3561</v>
      </c>
      <c r="C191" s="5">
        <v>1776</v>
      </c>
      <c r="D191" s="5">
        <f t="shared" si="12"/>
        <v>-1785</v>
      </c>
      <c r="E191" s="6">
        <f t="shared" si="13"/>
        <v>-0.50126368997472615</v>
      </c>
      <c r="F191" s="6">
        <f>D191/月度趋势!$D$14</f>
        <v>-6.2121096115430397E-3</v>
      </c>
    </row>
    <row r="192" spans="1:6" ht="22.95" customHeight="1">
      <c r="A192" t="s">
        <v>271</v>
      </c>
      <c r="B192" s="5">
        <v>27408</v>
      </c>
      <c r="C192" s="5">
        <v>25497</v>
      </c>
      <c r="D192" s="5">
        <f t="shared" si="12"/>
        <v>-1911</v>
      </c>
      <c r="E192" s="6">
        <f t="shared" si="13"/>
        <v>-6.9724168126094568E-2</v>
      </c>
      <c r="F192" s="6">
        <f>D192/月度趋势!$D$14</f>
        <v>-6.6506114664754892E-3</v>
      </c>
    </row>
    <row r="193" spans="1:6" ht="22.95" customHeight="1">
      <c r="A193" t="s">
        <v>272</v>
      </c>
      <c r="B193" s="5">
        <v>24404</v>
      </c>
      <c r="C193" s="5">
        <v>22422</v>
      </c>
      <c r="D193" s="5">
        <f t="shared" si="12"/>
        <v>-1982</v>
      </c>
      <c r="E193" s="6">
        <f t="shared" si="13"/>
        <v>-8.1216194066546468E-2</v>
      </c>
      <c r="F193" s="6">
        <f>D193/月度趋势!$D$14</f>
        <v>-6.897703781556473E-3</v>
      </c>
    </row>
    <row r="194" spans="1:6" ht="22.95" customHeight="1">
      <c r="A194" t="s">
        <v>273</v>
      </c>
      <c r="B194" s="5">
        <v>10849</v>
      </c>
      <c r="C194" s="5">
        <v>8468</v>
      </c>
      <c r="D194" s="5">
        <f t="shared" si="12"/>
        <v>-2381</v>
      </c>
      <c r="E194" s="6">
        <f t="shared" si="13"/>
        <v>-0.21946723200294957</v>
      </c>
      <c r="F194" s="6">
        <f>D194/月度趋势!$D$14</f>
        <v>-8.286292988842564E-3</v>
      </c>
    </row>
    <row r="195" spans="1:6" ht="22.95" customHeight="1">
      <c r="A195" t="s">
        <v>274</v>
      </c>
      <c r="B195" s="5">
        <v>12377</v>
      </c>
      <c r="C195" s="5">
        <v>9293</v>
      </c>
      <c r="D195" s="5">
        <f t="shared" si="12"/>
        <v>-3084</v>
      </c>
      <c r="E195" s="6">
        <f t="shared" si="13"/>
        <v>-0.24917185101397754</v>
      </c>
      <c r="F195" s="6">
        <f>D195/月度趋势!$D$14</f>
        <v>-1.0732854925489487E-2</v>
      </c>
    </row>
    <row r="196" spans="1:6" ht="22.95" customHeight="1">
      <c r="A196" t="s">
        <v>275</v>
      </c>
      <c r="B196" s="5">
        <v>8982</v>
      </c>
      <c r="C196" s="5">
        <v>5707</v>
      </c>
      <c r="D196" s="5">
        <f t="shared" si="12"/>
        <v>-3275</v>
      </c>
      <c r="E196" s="6">
        <f t="shared" si="13"/>
        <v>-0.36461812513916725</v>
      </c>
      <c r="F196" s="6">
        <f>D196/月度趋势!$D$14</f>
        <v>-1.139756805479185E-2</v>
      </c>
    </row>
    <row r="197" spans="1:6" ht="22.95" customHeight="1">
      <c r="A197" t="s">
        <v>276</v>
      </c>
      <c r="B197" s="5">
        <v>42802</v>
      </c>
      <c r="C197" s="5">
        <v>39441</v>
      </c>
      <c r="D197" s="5">
        <f t="shared" si="12"/>
        <v>-3361</v>
      </c>
      <c r="E197" s="6">
        <f t="shared" si="13"/>
        <v>-7.8524368020185975E-2</v>
      </c>
      <c r="F197" s="6">
        <f>D197/月度趋势!$D$14</f>
        <v>-1.1696862971650507E-2</v>
      </c>
    </row>
    <row r="198" spans="1:6" ht="22.95" customHeight="1">
      <c r="A198" t="s">
        <v>277</v>
      </c>
      <c r="B198" s="5">
        <v>60401</v>
      </c>
      <c r="C198" s="5">
        <v>56938</v>
      </c>
      <c r="D198" s="5">
        <f t="shared" ref="D198:D229" si="14">C198-B198</f>
        <v>-3463</v>
      </c>
      <c r="E198" s="6">
        <f t="shared" ref="E198:E229" si="15">IF(B198=0,"无基期",D198/B198)</f>
        <v>-5.7333487856161325E-2</v>
      </c>
      <c r="F198" s="6">
        <f>D198/月度趋势!$D$14</f>
        <v>-1.2051840663738682E-2</v>
      </c>
    </row>
    <row r="199" spans="1:6" ht="22.95" customHeight="1">
      <c r="A199" t="s">
        <v>278</v>
      </c>
      <c r="B199" s="5">
        <v>20106</v>
      </c>
      <c r="C199" s="5">
        <v>15990</v>
      </c>
      <c r="D199" s="5">
        <f t="shared" si="14"/>
        <v>-4116</v>
      </c>
      <c r="E199" s="6">
        <f t="shared" si="15"/>
        <v>-0.20471501044464338</v>
      </c>
      <c r="F199" s="6">
        <f>D199/月度趋势!$D$14</f>
        <v>-1.4324393927793361E-2</v>
      </c>
    </row>
    <row r="200" spans="1:6" ht="22.95" customHeight="1">
      <c r="A200" t="s">
        <v>279</v>
      </c>
      <c r="B200" s="5">
        <v>24105</v>
      </c>
      <c r="C200" s="5">
        <v>18174</v>
      </c>
      <c r="D200" s="5">
        <f t="shared" si="14"/>
        <v>-5931</v>
      </c>
      <c r="E200" s="6">
        <f t="shared" si="15"/>
        <v>-0.24604853764779092</v>
      </c>
      <c r="F200" s="6">
        <f>D200/月度趋势!$D$14</f>
        <v>-2.0640908742891744E-2</v>
      </c>
    </row>
    <row r="201" spans="1:6" ht="22.95" customHeight="1">
      <c r="A201" t="s">
        <v>280</v>
      </c>
      <c r="B201" s="5">
        <v>30470</v>
      </c>
      <c r="C201" s="5">
        <v>24531</v>
      </c>
      <c r="D201" s="5">
        <f t="shared" si="14"/>
        <v>-5939</v>
      </c>
      <c r="E201" s="6">
        <f t="shared" si="15"/>
        <v>-0.19491302920905809</v>
      </c>
      <c r="F201" s="6">
        <f>D201/月度趋势!$D$14</f>
        <v>-2.0668750130506505E-2</v>
      </c>
    </row>
    <row r="202" spans="1:6" ht="22.95" customHeight="1">
      <c r="A202" t="s">
        <v>281</v>
      </c>
      <c r="B202" s="5">
        <v>13257</v>
      </c>
      <c r="C202" s="5">
        <v>6994</v>
      </c>
      <c r="D202" s="5">
        <f t="shared" si="14"/>
        <v>-6263</v>
      </c>
      <c r="E202" s="6">
        <f t="shared" si="15"/>
        <v>-0.47242965980236856</v>
      </c>
      <c r="F202" s="6">
        <f>D202/月度趋势!$D$14</f>
        <v>-2.1796326328904232E-2</v>
      </c>
    </row>
    <row r="203" spans="1:6" ht="22.95" customHeight="1">
      <c r="A203" t="s">
        <v>282</v>
      </c>
      <c r="B203" s="5">
        <v>31150</v>
      </c>
      <c r="C203" s="5">
        <v>23827</v>
      </c>
      <c r="D203" s="5">
        <f t="shared" si="14"/>
        <v>-7323</v>
      </c>
      <c r="E203" s="6">
        <f t="shared" si="15"/>
        <v>-0.23508828250401284</v>
      </c>
      <c r="F203" s="6">
        <f>D203/月度趋势!$D$14</f>
        <v>-2.5485310187859763E-2</v>
      </c>
    </row>
    <row r="204" spans="1:6" ht="22.95" customHeight="1">
      <c r="A204" t="s">
        <v>283</v>
      </c>
      <c r="B204" s="5">
        <v>22840</v>
      </c>
      <c r="C204" s="5">
        <v>6439</v>
      </c>
      <c r="D204" s="5">
        <f t="shared" si="14"/>
        <v>-16401</v>
      </c>
      <c r="E204" s="6">
        <f t="shared" si="15"/>
        <v>-0.71808231173380033</v>
      </c>
      <c r="F204" s="6">
        <f>D204/月度趋势!$D$14</f>
        <v>-5.7078324783707217E-2</v>
      </c>
    </row>
    <row r="205" spans="1:6" ht="22.95" customHeight="1">
      <c r="A205" t="s">
        <v>284</v>
      </c>
      <c r="B205" s="5">
        <v>276711</v>
      </c>
      <c r="C205" s="5">
        <v>250333</v>
      </c>
      <c r="D205" s="5">
        <f t="shared" si="14"/>
        <v>-26378</v>
      </c>
      <c r="E205" s="6">
        <f t="shared" si="15"/>
        <v>-9.5326893401418811E-2</v>
      </c>
      <c r="F205" s="6">
        <f>D205/月度趋势!$D$14</f>
        <v>-9.1800015312763189E-2</v>
      </c>
    </row>
    <row r="206" spans="1:6" ht="22.95" customHeight="1">
      <c r="A206" s="4" t="s">
        <v>285</v>
      </c>
      <c r="B206" s="5">
        <f>SUM(B6:B205)</f>
        <v>2378736</v>
      </c>
      <c r="C206" s="5">
        <f>SUM(C6:C205)</f>
        <v>2666078</v>
      </c>
      <c r="D206" s="5">
        <f>SUM(D6:D205)</f>
        <v>287342</v>
      </c>
      <c r="F206" s="6">
        <f>SUM(F6:F205)</f>
        <v>1.0000000000000013</v>
      </c>
    </row>
  </sheetData>
  <autoFilter ref="A5:F205" xr:uid="{00000000-0009-0000-0000-000002000000}"/>
  <phoneticPr fontId="8" type="noConversion"/>
  <conditionalFormatting sqref="D6:D205">
    <cfRule type="cellIs" dxfId="0" priority="1" operator="lessThan">
      <formula>0</formula>
    </cfRule>
  </conditionalFormatting>
  <pageMargins left="0.3" right="0.3" top="0.4" bottom="0.4" header="0.3" footer="0.3"/>
  <pageSetup paperSize="9" fitToHeight="0" orientation="landscape"/>
  <headerFooter>
    <oddFooter>&amp;LNYC 311 数据分析&amp;R&amp;P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28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.95" customHeight="1"/>
  <cols>
    <col min="1" max="1" width="27.6640625" customWidth="1"/>
    <col min="2" max="2" width="30.6640625" customWidth="1"/>
    <col min="3" max="8" width="16.6640625" customWidth="1"/>
    <col min="9" max="12" width="16.6640625" style="7" customWidth="1"/>
  </cols>
  <sheetData>
    <row r="2" spans="1:8" ht="28.95" customHeight="1">
      <c r="A2" s="1" t="s">
        <v>3</v>
      </c>
    </row>
    <row r="4" spans="1:8" ht="22.95" customHeight="1">
      <c r="A4" s="2" t="s">
        <v>314</v>
      </c>
    </row>
    <row r="5" spans="1:8" ht="34.049999999999997" customHeight="1">
      <c r="A5" s="3" t="s">
        <v>315</v>
      </c>
      <c r="B5" s="3" t="s">
        <v>9</v>
      </c>
      <c r="C5" s="3" t="s">
        <v>10</v>
      </c>
      <c r="D5" s="3" t="s">
        <v>316</v>
      </c>
      <c r="E5" s="3" t="s">
        <v>317</v>
      </c>
      <c r="F5" s="3" t="s">
        <v>318</v>
      </c>
      <c r="G5" s="3" t="s">
        <v>319</v>
      </c>
      <c r="H5" s="3" t="s">
        <v>320</v>
      </c>
    </row>
    <row r="6" spans="1:8" ht="22.95" customHeight="1">
      <c r="A6" t="s">
        <v>86</v>
      </c>
      <c r="B6" s="5">
        <v>7990</v>
      </c>
      <c r="C6" s="5">
        <v>55230</v>
      </c>
      <c r="D6" s="5">
        <v>32819</v>
      </c>
      <c r="E6" s="6">
        <f>D6/C6</f>
        <v>0.59422415353974289</v>
      </c>
      <c r="F6" s="5">
        <f>C6-D6</f>
        <v>22411</v>
      </c>
      <c r="G6" s="6">
        <f>F6/B6-1</f>
        <v>1.8048811013767208</v>
      </c>
      <c r="H6" s="5">
        <v>3</v>
      </c>
    </row>
    <row r="7" spans="1:8" ht="22.95" customHeight="1">
      <c r="A7" t="s">
        <v>85</v>
      </c>
      <c r="B7" s="5">
        <v>51211</v>
      </c>
      <c r="C7" s="5">
        <v>98920</v>
      </c>
      <c r="D7" s="5">
        <v>6243</v>
      </c>
      <c r="E7" s="6">
        <f>D7/C7</f>
        <v>6.3111605337646579E-2</v>
      </c>
      <c r="F7" s="5">
        <f>C7-D7</f>
        <v>92677</v>
      </c>
      <c r="G7" s="6">
        <f>F7/B7-1</f>
        <v>0.80970885161391104</v>
      </c>
      <c r="H7" s="5">
        <v>7</v>
      </c>
    </row>
    <row r="8" spans="1:8" ht="22.95" customHeight="1">
      <c r="A8" t="s">
        <v>87</v>
      </c>
      <c r="B8" s="5">
        <v>168645</v>
      </c>
      <c r="C8" s="5">
        <v>210519</v>
      </c>
      <c r="D8" s="5">
        <v>27221</v>
      </c>
      <c r="E8" s="6">
        <f>D8/C8</f>
        <v>0.12930424332245546</v>
      </c>
      <c r="F8" s="5">
        <f>C8-D8</f>
        <v>183298</v>
      </c>
      <c r="G8" s="6">
        <f>F8/B8-1</f>
        <v>8.6886655400397306E-2</v>
      </c>
      <c r="H8" s="5">
        <v>8</v>
      </c>
    </row>
    <row r="11" spans="1:8" ht="22.95" customHeight="1">
      <c r="A11" s="4" t="s">
        <v>321</v>
      </c>
    </row>
    <row r="13" spans="1:8" ht="34.049999999999997" customHeight="1">
      <c r="A13" s="3" t="s">
        <v>315</v>
      </c>
      <c r="B13" s="3" t="s">
        <v>322</v>
      </c>
      <c r="C13" s="3" t="s">
        <v>9</v>
      </c>
      <c r="D13" s="3" t="s">
        <v>10</v>
      </c>
      <c r="E13" s="3" t="s">
        <v>11</v>
      </c>
    </row>
    <row r="14" spans="1:8" ht="34.049999999999997" customHeight="1">
      <c r="A14" t="s">
        <v>85</v>
      </c>
      <c r="B14" s="11" t="s">
        <v>323</v>
      </c>
      <c r="C14" s="5">
        <v>28918</v>
      </c>
      <c r="D14" s="5">
        <v>64228</v>
      </c>
      <c r="E14" s="5">
        <f t="shared" ref="E14:E25" si="0">D14-C14</f>
        <v>35310</v>
      </c>
    </row>
    <row r="15" spans="1:8" ht="34.049999999999997" customHeight="1">
      <c r="A15" t="s">
        <v>87</v>
      </c>
      <c r="B15" s="11" t="s">
        <v>324</v>
      </c>
      <c r="C15" s="5">
        <v>109037</v>
      </c>
      <c r="D15" s="5">
        <v>136399</v>
      </c>
      <c r="E15" s="5">
        <f t="shared" si="0"/>
        <v>27362</v>
      </c>
    </row>
    <row r="16" spans="1:8" ht="34.049999999999997" customHeight="1">
      <c r="A16" t="s">
        <v>86</v>
      </c>
      <c r="B16" s="11" t="s">
        <v>325</v>
      </c>
      <c r="C16" s="5">
        <v>6614</v>
      </c>
      <c r="D16" s="5">
        <v>26944</v>
      </c>
      <c r="E16" s="5">
        <f t="shared" si="0"/>
        <v>20330</v>
      </c>
    </row>
    <row r="17" spans="1:5" ht="34.049999999999997" customHeight="1">
      <c r="A17" t="s">
        <v>87</v>
      </c>
      <c r="B17" s="11" t="s">
        <v>326</v>
      </c>
      <c r="C17" s="5">
        <v>59608</v>
      </c>
      <c r="D17" s="5">
        <v>74120</v>
      </c>
      <c r="E17" s="5">
        <f t="shared" si="0"/>
        <v>14512</v>
      </c>
    </row>
    <row r="18" spans="1:5" ht="34.049999999999997" customHeight="1">
      <c r="A18" t="s">
        <v>86</v>
      </c>
      <c r="B18" s="11" t="s">
        <v>327</v>
      </c>
      <c r="C18" s="5">
        <v>267</v>
      </c>
      <c r="D18" s="5">
        <v>14579</v>
      </c>
      <c r="E18" s="5">
        <f t="shared" si="0"/>
        <v>14312</v>
      </c>
    </row>
    <row r="19" spans="1:5" ht="34.049999999999997" customHeight="1">
      <c r="A19" t="s">
        <v>86</v>
      </c>
      <c r="B19" s="11" t="s">
        <v>328</v>
      </c>
      <c r="C19" s="5">
        <v>1102</v>
      </c>
      <c r="D19" s="5">
        <v>11457</v>
      </c>
      <c r="E19" s="5">
        <f t="shared" si="0"/>
        <v>10355</v>
      </c>
    </row>
    <row r="20" spans="1:5" ht="34.049999999999997" customHeight="1">
      <c r="A20" t="s">
        <v>85</v>
      </c>
      <c r="B20" s="11" t="s">
        <v>329</v>
      </c>
      <c r="C20" s="5">
        <v>7088</v>
      </c>
      <c r="D20" s="5">
        <v>15327</v>
      </c>
      <c r="E20" s="5">
        <f t="shared" si="0"/>
        <v>8239</v>
      </c>
    </row>
    <row r="21" spans="1:5" ht="34.049999999999997" customHeight="1">
      <c r="A21" t="s">
        <v>86</v>
      </c>
      <c r="B21" s="11" t="s">
        <v>330</v>
      </c>
      <c r="C21" s="5">
        <v>5</v>
      </c>
      <c r="D21" s="5">
        <v>2095</v>
      </c>
      <c r="E21" s="5">
        <f t="shared" si="0"/>
        <v>2090</v>
      </c>
    </row>
    <row r="22" spans="1:5" ht="34.049999999999997" customHeight="1">
      <c r="A22" t="s">
        <v>85</v>
      </c>
      <c r="B22" s="11" t="s">
        <v>331</v>
      </c>
      <c r="C22" s="5">
        <v>2227</v>
      </c>
      <c r="D22" s="5">
        <v>3338</v>
      </c>
      <c r="E22" s="5">
        <f t="shared" si="0"/>
        <v>1111</v>
      </c>
    </row>
    <row r="23" spans="1:5" ht="34.049999999999997" customHeight="1">
      <c r="A23" t="s">
        <v>85</v>
      </c>
      <c r="B23" s="11" t="s">
        <v>332</v>
      </c>
      <c r="C23" s="5">
        <v>3773</v>
      </c>
      <c r="D23" s="5">
        <v>4848</v>
      </c>
      <c r="E23" s="5">
        <f t="shared" si="0"/>
        <v>1075</v>
      </c>
    </row>
    <row r="24" spans="1:5" ht="34.049999999999997" customHeight="1">
      <c r="A24" t="s">
        <v>85</v>
      </c>
      <c r="B24" s="11" t="s">
        <v>333</v>
      </c>
      <c r="C24" s="5">
        <v>2377</v>
      </c>
      <c r="D24" s="5">
        <v>3403</v>
      </c>
      <c r="E24" s="5">
        <f t="shared" si="0"/>
        <v>1026</v>
      </c>
    </row>
    <row r="25" spans="1:5" ht="34.049999999999997" customHeight="1">
      <c r="A25" t="s">
        <v>85</v>
      </c>
      <c r="B25" s="11" t="s">
        <v>334</v>
      </c>
      <c r="C25" s="5">
        <v>251</v>
      </c>
      <c r="D25" s="5">
        <v>660</v>
      </c>
      <c r="E25" s="5">
        <f t="shared" si="0"/>
        <v>409</v>
      </c>
    </row>
    <row r="28" spans="1:5" ht="22.95" customHeight="1">
      <c r="A28" s="2" t="s">
        <v>335</v>
      </c>
    </row>
    <row r="29" spans="1:5" ht="22.95" customHeight="1">
      <c r="A29" s="2" t="s">
        <v>336</v>
      </c>
    </row>
    <row r="32" spans="1:5" ht="34.049999999999997" customHeight="1">
      <c r="A32" s="3" t="s">
        <v>337</v>
      </c>
      <c r="B32" s="3" t="s">
        <v>338</v>
      </c>
    </row>
    <row r="33" spans="1:3" ht="22.95" customHeight="1">
      <c r="A33" s="9">
        <v>46077</v>
      </c>
      <c r="B33" s="5">
        <v>11370</v>
      </c>
    </row>
    <row r="34" spans="1:3" ht="22.95" customHeight="1">
      <c r="A34" s="9">
        <v>46076</v>
      </c>
      <c r="B34" s="5">
        <v>6524</v>
      </c>
    </row>
    <row r="35" spans="1:3" ht="22.95" customHeight="1">
      <c r="A35" s="9">
        <v>46049</v>
      </c>
      <c r="B35" s="5">
        <v>6048</v>
      </c>
    </row>
    <row r="36" spans="1:3" ht="22.95" customHeight="1">
      <c r="A36" s="9">
        <v>46048</v>
      </c>
      <c r="B36" s="5">
        <v>4805</v>
      </c>
    </row>
    <row r="37" spans="1:3" ht="22.95" customHeight="1">
      <c r="A37" s="9">
        <v>46050</v>
      </c>
      <c r="B37" s="5">
        <v>4072</v>
      </c>
    </row>
    <row r="40" spans="1:3" ht="22.95" customHeight="1">
      <c r="A40" s="2" t="s">
        <v>339</v>
      </c>
    </row>
    <row r="41" spans="1:3" ht="22.95" customHeight="1">
      <c r="A41" s="2" t="s">
        <v>340</v>
      </c>
    </row>
    <row r="44" spans="1:3" ht="34.049999999999997" customHeight="1">
      <c r="A44" s="3" t="s">
        <v>341</v>
      </c>
      <c r="B44" s="3" t="s">
        <v>342</v>
      </c>
      <c r="C44" s="3" t="s">
        <v>343</v>
      </c>
    </row>
    <row r="45" spans="1:3" ht="22.95" customHeight="1">
      <c r="A45" t="s">
        <v>344</v>
      </c>
      <c r="B45" s="5">
        <v>0</v>
      </c>
      <c r="C45" s="5">
        <v>28</v>
      </c>
    </row>
    <row r="46" spans="1:3" ht="22.95" customHeight="1">
      <c r="A46" t="s">
        <v>345</v>
      </c>
      <c r="B46" s="5">
        <v>2</v>
      </c>
      <c r="C46" s="5">
        <v>29</v>
      </c>
    </row>
    <row r="47" spans="1:3" ht="22.95" customHeight="1">
      <c r="A47" t="s">
        <v>346</v>
      </c>
      <c r="B47" s="5">
        <v>5</v>
      </c>
      <c r="C47" s="5">
        <v>16</v>
      </c>
    </row>
    <row r="48" spans="1:3" ht="22.95" customHeight="1">
      <c r="A48" t="s">
        <v>347</v>
      </c>
      <c r="B48" s="5">
        <v>10</v>
      </c>
      <c r="C48" s="5">
        <v>14</v>
      </c>
    </row>
    <row r="49" spans="1:3" ht="22.95" customHeight="1">
      <c r="A49" t="s">
        <v>348</v>
      </c>
      <c r="B49" s="5">
        <v>12</v>
      </c>
      <c r="C49" s="5">
        <v>15</v>
      </c>
    </row>
    <row r="50" spans="1:3" ht="22.95" customHeight="1">
      <c r="A50" t="s">
        <v>349</v>
      </c>
      <c r="B50" s="5">
        <v>156</v>
      </c>
      <c r="C50" s="5">
        <v>2</v>
      </c>
    </row>
    <row r="51" spans="1:3" ht="22.95" customHeight="1">
      <c r="A51" t="s">
        <v>350</v>
      </c>
      <c r="B51" s="5">
        <v>362</v>
      </c>
      <c r="C51" s="5">
        <v>2</v>
      </c>
    </row>
    <row r="52" spans="1:3" ht="22.95" customHeight="1">
      <c r="A52" t="s">
        <v>351</v>
      </c>
      <c r="B52" s="5">
        <v>51</v>
      </c>
      <c r="C52" s="5">
        <v>0</v>
      </c>
    </row>
    <row r="53" spans="1:3" ht="22.95" customHeight="1">
      <c r="A53" t="s">
        <v>352</v>
      </c>
      <c r="B53" s="5">
        <v>36</v>
      </c>
      <c r="C53" s="5">
        <v>0</v>
      </c>
    </row>
    <row r="54" spans="1:3" ht="22.95" customHeight="1">
      <c r="A54" t="s">
        <v>353</v>
      </c>
      <c r="B54" s="5">
        <v>19</v>
      </c>
      <c r="C54" s="5">
        <v>0</v>
      </c>
    </row>
    <row r="55" spans="1:3" ht="22.95" customHeight="1">
      <c r="A55" t="s">
        <v>354</v>
      </c>
      <c r="B55" s="5">
        <v>2</v>
      </c>
      <c r="C55" s="5">
        <v>1</v>
      </c>
    </row>
    <row r="56" spans="1:3" ht="22.95" customHeight="1">
      <c r="A56" t="s">
        <v>355</v>
      </c>
      <c r="B56" s="5">
        <v>6</v>
      </c>
      <c r="C56" s="5">
        <v>8</v>
      </c>
    </row>
    <row r="57" spans="1:3" ht="22.95" customHeight="1">
      <c r="A57" t="s">
        <v>356</v>
      </c>
      <c r="B57" s="5">
        <v>8</v>
      </c>
      <c r="C57" s="5">
        <v>2</v>
      </c>
    </row>
    <row r="58" spans="1:3" ht="22.95" customHeight="1">
      <c r="A58" t="s">
        <v>357</v>
      </c>
      <c r="B58" s="5">
        <v>8</v>
      </c>
      <c r="C58" s="5">
        <v>0</v>
      </c>
    </row>
    <row r="59" spans="1:3" ht="22.95" customHeight="1">
      <c r="A59" t="s">
        <v>358</v>
      </c>
      <c r="B59" s="5">
        <v>9</v>
      </c>
      <c r="C59" s="5">
        <v>4</v>
      </c>
    </row>
    <row r="60" spans="1:3" ht="22.95" customHeight="1">
      <c r="A60" t="s">
        <v>359</v>
      </c>
      <c r="B60" s="5">
        <v>16</v>
      </c>
      <c r="C60" s="5">
        <v>16</v>
      </c>
    </row>
    <row r="61" spans="1:3" ht="22.95" customHeight="1">
      <c r="A61" t="s">
        <v>360</v>
      </c>
      <c r="B61" s="5">
        <v>11</v>
      </c>
      <c r="C61" s="5">
        <v>29</v>
      </c>
    </row>
    <row r="62" spans="1:3" ht="22.95" customHeight="1">
      <c r="A62" t="s">
        <v>361</v>
      </c>
      <c r="B62" s="5">
        <v>4</v>
      </c>
      <c r="C62" s="5">
        <v>43</v>
      </c>
    </row>
    <row r="63" spans="1:3" ht="22.95" customHeight="1">
      <c r="A63" t="s">
        <v>362</v>
      </c>
      <c r="B63" s="5">
        <v>85</v>
      </c>
      <c r="C63" s="5">
        <v>927</v>
      </c>
    </row>
    <row r="64" spans="1:3" ht="22.95" customHeight="1">
      <c r="A64" t="s">
        <v>363</v>
      </c>
      <c r="B64" s="5">
        <v>976</v>
      </c>
      <c r="C64" s="5">
        <v>1022</v>
      </c>
    </row>
    <row r="65" spans="1:3" ht="22.95" customHeight="1">
      <c r="A65" t="s">
        <v>364</v>
      </c>
      <c r="B65" s="5">
        <v>1386</v>
      </c>
      <c r="C65" s="5">
        <v>596</v>
      </c>
    </row>
    <row r="66" spans="1:3" ht="22.95" customHeight="1">
      <c r="A66" t="s">
        <v>365</v>
      </c>
      <c r="B66" s="5">
        <v>904</v>
      </c>
      <c r="C66" s="5">
        <v>108</v>
      </c>
    </row>
    <row r="67" spans="1:3" ht="22.95" customHeight="1">
      <c r="A67" t="s">
        <v>366</v>
      </c>
      <c r="B67" s="5">
        <v>539</v>
      </c>
      <c r="C67" s="5">
        <v>6</v>
      </c>
    </row>
    <row r="68" spans="1:3" ht="22.95" customHeight="1">
      <c r="A68" t="s">
        <v>367</v>
      </c>
      <c r="B68" s="5">
        <v>310</v>
      </c>
      <c r="C68" s="5">
        <v>15</v>
      </c>
    </row>
    <row r="69" spans="1:3" ht="22.95" customHeight="1">
      <c r="A69" t="s">
        <v>368</v>
      </c>
      <c r="B69" s="5">
        <v>116</v>
      </c>
      <c r="C69" s="5">
        <v>1315</v>
      </c>
    </row>
    <row r="70" spans="1:3" ht="22.95" customHeight="1">
      <c r="A70" t="s">
        <v>369</v>
      </c>
      <c r="B70" s="5">
        <v>48</v>
      </c>
      <c r="C70" s="5">
        <v>4805</v>
      </c>
    </row>
    <row r="71" spans="1:3" ht="22.95" customHeight="1">
      <c r="A71" t="s">
        <v>370</v>
      </c>
      <c r="B71" s="5">
        <v>37</v>
      </c>
      <c r="C71" s="5">
        <v>6048</v>
      </c>
    </row>
    <row r="72" spans="1:3" ht="22.95" customHeight="1">
      <c r="A72" t="s">
        <v>371</v>
      </c>
      <c r="B72" s="5">
        <v>16</v>
      </c>
      <c r="C72" s="5">
        <v>4072</v>
      </c>
    </row>
    <row r="73" spans="1:3" ht="22.95" customHeight="1">
      <c r="A73" t="s">
        <v>372</v>
      </c>
      <c r="B73" s="5">
        <v>12</v>
      </c>
      <c r="C73" s="5">
        <v>2522</v>
      </c>
    </row>
    <row r="74" spans="1:3" ht="22.95" customHeight="1">
      <c r="A74" t="s">
        <v>373</v>
      </c>
      <c r="B74" s="5">
        <v>14</v>
      </c>
      <c r="C74" s="5">
        <v>1482</v>
      </c>
    </row>
    <row r="75" spans="1:3" ht="22.95" customHeight="1">
      <c r="A75" t="s">
        <v>374</v>
      </c>
      <c r="B75" s="5">
        <v>1</v>
      </c>
      <c r="C75" s="5">
        <v>952</v>
      </c>
    </row>
    <row r="76" spans="1:3" ht="22.95" customHeight="1">
      <c r="A76" t="s">
        <v>375</v>
      </c>
      <c r="B76" s="5">
        <v>1</v>
      </c>
      <c r="C76" s="5">
        <v>722</v>
      </c>
    </row>
    <row r="77" spans="1:3" ht="22.95" customHeight="1">
      <c r="A77" t="s">
        <v>376</v>
      </c>
      <c r="B77" s="5">
        <v>23</v>
      </c>
      <c r="C77" s="5">
        <v>1240</v>
      </c>
    </row>
    <row r="78" spans="1:3" ht="22.95" customHeight="1">
      <c r="A78" t="s">
        <v>377</v>
      </c>
      <c r="B78" s="5">
        <v>35</v>
      </c>
      <c r="C78" s="5">
        <v>1022</v>
      </c>
    </row>
    <row r="79" spans="1:3" ht="22.95" customHeight="1">
      <c r="A79" t="s">
        <v>378</v>
      </c>
      <c r="B79" s="5">
        <v>2</v>
      </c>
      <c r="C79" s="5">
        <v>889</v>
      </c>
    </row>
    <row r="80" spans="1:3" ht="22.95" customHeight="1">
      <c r="A80" t="s">
        <v>379</v>
      </c>
      <c r="B80" s="5">
        <v>5</v>
      </c>
      <c r="C80" s="5">
        <v>770</v>
      </c>
    </row>
    <row r="81" spans="1:3" ht="22.95" customHeight="1">
      <c r="A81" t="s">
        <v>380</v>
      </c>
      <c r="B81" s="5">
        <v>12</v>
      </c>
      <c r="C81" s="5">
        <v>543</v>
      </c>
    </row>
    <row r="82" spans="1:3" ht="22.95" customHeight="1">
      <c r="A82" t="s">
        <v>381</v>
      </c>
      <c r="B82" s="5">
        <v>1</v>
      </c>
      <c r="C82" s="5">
        <v>241</v>
      </c>
    </row>
    <row r="83" spans="1:3" ht="22.95" customHeight="1">
      <c r="A83" t="s">
        <v>382</v>
      </c>
      <c r="B83" s="5">
        <v>47</v>
      </c>
      <c r="C83" s="5">
        <v>243</v>
      </c>
    </row>
    <row r="84" spans="1:3" ht="22.95" customHeight="1">
      <c r="A84" t="s">
        <v>383</v>
      </c>
      <c r="B84" s="5">
        <v>974</v>
      </c>
      <c r="C84" s="5">
        <v>383</v>
      </c>
    </row>
    <row r="85" spans="1:3" ht="22.95" customHeight="1">
      <c r="A85" t="s">
        <v>384</v>
      </c>
      <c r="B85" s="5">
        <v>1080</v>
      </c>
      <c r="C85" s="5">
        <v>470</v>
      </c>
    </row>
    <row r="86" spans="1:3" ht="22.95" customHeight="1">
      <c r="A86" t="s">
        <v>385</v>
      </c>
      <c r="B86" s="5">
        <v>292</v>
      </c>
      <c r="C86" s="5">
        <v>407</v>
      </c>
    </row>
    <row r="87" spans="1:3" ht="22.95" customHeight="1">
      <c r="A87" t="s">
        <v>386</v>
      </c>
      <c r="B87" s="5">
        <v>131</v>
      </c>
      <c r="C87" s="5">
        <v>297</v>
      </c>
    </row>
    <row r="88" spans="1:3" ht="22.95" customHeight="1">
      <c r="A88" t="s">
        <v>387</v>
      </c>
      <c r="B88" s="5">
        <v>36</v>
      </c>
      <c r="C88" s="5">
        <v>210</v>
      </c>
    </row>
    <row r="89" spans="1:3" ht="22.95" customHeight="1">
      <c r="A89" t="s">
        <v>388</v>
      </c>
      <c r="B89" s="5">
        <v>15</v>
      </c>
      <c r="C89" s="5">
        <v>123</v>
      </c>
    </row>
    <row r="90" spans="1:3" ht="22.95" customHeight="1">
      <c r="A90" t="s">
        <v>389</v>
      </c>
      <c r="B90" s="5">
        <v>2</v>
      </c>
      <c r="C90" s="5">
        <v>120</v>
      </c>
    </row>
    <row r="91" spans="1:3" ht="22.95" customHeight="1">
      <c r="A91" t="s">
        <v>390</v>
      </c>
      <c r="B91" s="5">
        <v>1</v>
      </c>
      <c r="C91" s="5">
        <v>127</v>
      </c>
    </row>
    <row r="92" spans="1:3" ht="22.95" customHeight="1">
      <c r="A92" t="s">
        <v>391</v>
      </c>
      <c r="B92" s="5">
        <v>33</v>
      </c>
      <c r="C92" s="5">
        <v>89</v>
      </c>
    </row>
    <row r="93" spans="1:3" ht="22.95" customHeight="1">
      <c r="A93" t="s">
        <v>392</v>
      </c>
      <c r="B93" s="5">
        <v>35</v>
      </c>
      <c r="C93" s="5">
        <v>38</v>
      </c>
    </row>
    <row r="94" spans="1:3" ht="22.95" customHeight="1">
      <c r="A94" t="s">
        <v>393</v>
      </c>
      <c r="B94" s="5">
        <v>39</v>
      </c>
      <c r="C94" s="5">
        <v>42</v>
      </c>
    </row>
    <row r="95" spans="1:3" ht="22.95" customHeight="1">
      <c r="A95" t="s">
        <v>394</v>
      </c>
      <c r="B95" s="5">
        <v>27</v>
      </c>
      <c r="C95" s="5">
        <v>21</v>
      </c>
    </row>
    <row r="96" spans="1:3" ht="22.95" customHeight="1">
      <c r="A96" t="s">
        <v>395</v>
      </c>
      <c r="B96" s="5">
        <v>12</v>
      </c>
      <c r="C96" s="5">
        <v>8</v>
      </c>
    </row>
    <row r="97" spans="1:3" ht="22.95" customHeight="1">
      <c r="A97" t="s">
        <v>396</v>
      </c>
      <c r="B97" s="5">
        <v>11</v>
      </c>
      <c r="C97" s="5">
        <v>106</v>
      </c>
    </row>
    <row r="98" spans="1:3" ht="22.95" customHeight="1">
      <c r="A98" t="s">
        <v>397</v>
      </c>
      <c r="B98" s="5">
        <v>2</v>
      </c>
      <c r="C98" s="5">
        <v>6524</v>
      </c>
    </row>
    <row r="99" spans="1:3" ht="22.95" customHeight="1">
      <c r="A99" t="s">
        <v>398</v>
      </c>
      <c r="B99" s="5">
        <v>1</v>
      </c>
      <c r="C99" s="5">
        <v>11370</v>
      </c>
    </row>
    <row r="100" spans="1:3" ht="22.95" customHeight="1">
      <c r="A100" t="s">
        <v>399</v>
      </c>
      <c r="B100" s="5">
        <v>0</v>
      </c>
      <c r="C100" s="5">
        <v>3012</v>
      </c>
    </row>
    <row r="101" spans="1:3" ht="22.95" customHeight="1">
      <c r="A101" t="s">
        <v>400</v>
      </c>
      <c r="B101" s="5">
        <v>0</v>
      </c>
      <c r="C101" s="5">
        <v>1266</v>
      </c>
    </row>
    <row r="102" spans="1:3" ht="22.95" customHeight="1">
      <c r="A102" t="s">
        <v>401</v>
      </c>
      <c r="B102" s="5">
        <v>0</v>
      </c>
      <c r="C102" s="5">
        <v>476</v>
      </c>
    </row>
    <row r="103" spans="1:3" ht="22.95" customHeight="1">
      <c r="A103" t="s">
        <v>402</v>
      </c>
      <c r="B103" s="5">
        <v>0</v>
      </c>
      <c r="C103" s="5">
        <v>184</v>
      </c>
    </row>
    <row r="104" spans="1:3" ht="22.95" customHeight="1">
      <c r="A104" t="s">
        <v>403</v>
      </c>
      <c r="B104" s="5">
        <v>0</v>
      </c>
      <c r="C104" s="5">
        <v>77</v>
      </c>
    </row>
    <row r="105" spans="1:3" ht="22.95" customHeight="1">
      <c r="A105" t="s">
        <v>404</v>
      </c>
      <c r="B105" s="5">
        <v>5</v>
      </c>
      <c r="C105" s="5">
        <v>85</v>
      </c>
    </row>
    <row r="106" spans="1:3" ht="22.95" customHeight="1">
      <c r="A106" t="s">
        <v>405</v>
      </c>
      <c r="B106" s="5">
        <v>3</v>
      </c>
      <c r="C106" s="5">
        <v>7</v>
      </c>
    </row>
    <row r="107" spans="1:3" ht="22.95" customHeight="1">
      <c r="A107" t="s">
        <v>406</v>
      </c>
      <c r="B107" s="5">
        <v>2</v>
      </c>
      <c r="C107" s="5">
        <v>7</v>
      </c>
    </row>
    <row r="108" spans="1:3" ht="22.95" customHeight="1">
      <c r="A108" t="s">
        <v>407</v>
      </c>
      <c r="B108" s="5">
        <v>0</v>
      </c>
      <c r="C108" s="5">
        <v>9</v>
      </c>
    </row>
    <row r="109" spans="1:3" ht="22.95" customHeight="1">
      <c r="A109" t="s">
        <v>408</v>
      </c>
      <c r="B109" s="5">
        <v>0</v>
      </c>
      <c r="C109" s="5">
        <v>7</v>
      </c>
    </row>
    <row r="110" spans="1:3" ht="22.95" customHeight="1">
      <c r="A110" t="s">
        <v>409</v>
      </c>
      <c r="B110" s="5">
        <v>0</v>
      </c>
      <c r="C110" s="5">
        <v>3</v>
      </c>
    </row>
    <row r="111" spans="1:3" ht="22.95" customHeight="1">
      <c r="A111" t="s">
        <v>410</v>
      </c>
      <c r="B111" s="5">
        <v>0</v>
      </c>
      <c r="C111" s="5">
        <v>2</v>
      </c>
    </row>
    <row r="112" spans="1:3" ht="22.95" customHeight="1">
      <c r="A112" t="s">
        <v>411</v>
      </c>
      <c r="B112" s="5">
        <v>2</v>
      </c>
      <c r="C112" s="5">
        <v>1</v>
      </c>
    </row>
    <row r="113" spans="1:3" ht="22.95" customHeight="1">
      <c r="A113" t="s">
        <v>412</v>
      </c>
      <c r="B113" s="5">
        <v>0</v>
      </c>
      <c r="C113" s="5">
        <v>1</v>
      </c>
    </row>
    <row r="114" spans="1:3" ht="22.95" customHeight="1">
      <c r="A114" t="s">
        <v>413</v>
      </c>
      <c r="B114" s="5">
        <v>0</v>
      </c>
      <c r="C114" s="5">
        <v>1</v>
      </c>
    </row>
    <row r="115" spans="1:3" ht="22.95" customHeight="1">
      <c r="A115" t="s">
        <v>414</v>
      </c>
      <c r="B115" s="5">
        <v>0</v>
      </c>
      <c r="C115" s="5">
        <v>1</v>
      </c>
    </row>
    <row r="116" spans="1:3" ht="22.95" customHeight="1">
      <c r="A116" t="s">
        <v>415</v>
      </c>
      <c r="B116" s="5">
        <v>0</v>
      </c>
      <c r="C116" s="5">
        <v>0</v>
      </c>
    </row>
    <row r="117" spans="1:3" ht="22.95" customHeight="1">
      <c r="A117" t="s">
        <v>416</v>
      </c>
      <c r="B117" s="5">
        <v>0</v>
      </c>
      <c r="C117" s="5">
        <v>1</v>
      </c>
    </row>
    <row r="118" spans="1:3" ht="22.95" customHeight="1">
      <c r="A118" t="s">
        <v>417</v>
      </c>
      <c r="B118" s="5">
        <v>0</v>
      </c>
      <c r="C118" s="5">
        <v>1</v>
      </c>
    </row>
    <row r="119" spans="1:3" ht="22.95" customHeight="1">
      <c r="A119" t="s">
        <v>418</v>
      </c>
      <c r="B119" s="5">
        <v>0</v>
      </c>
      <c r="C119" s="5">
        <v>0</v>
      </c>
    </row>
    <row r="120" spans="1:3" ht="22.95" customHeight="1">
      <c r="A120" t="s">
        <v>419</v>
      </c>
      <c r="B120" s="5">
        <v>0</v>
      </c>
      <c r="C120" s="5">
        <v>0</v>
      </c>
    </row>
    <row r="121" spans="1:3" ht="22.95" customHeight="1">
      <c r="A121" t="s">
        <v>420</v>
      </c>
      <c r="B121" s="5">
        <v>0</v>
      </c>
      <c r="C121" s="5">
        <v>5</v>
      </c>
    </row>
    <row r="122" spans="1:3" ht="22.95" customHeight="1">
      <c r="A122" t="s">
        <v>421</v>
      </c>
      <c r="B122" s="5">
        <v>0</v>
      </c>
      <c r="C122" s="5">
        <v>0</v>
      </c>
    </row>
    <row r="123" spans="1:3" ht="22.95" customHeight="1">
      <c r="A123" t="s">
        <v>422</v>
      </c>
      <c r="B123" s="5">
        <v>0</v>
      </c>
      <c r="C123" s="5">
        <v>0</v>
      </c>
    </row>
    <row r="124" spans="1:3" ht="22.95" customHeight="1">
      <c r="A124" t="s">
        <v>423</v>
      </c>
      <c r="B124" s="5">
        <v>0</v>
      </c>
      <c r="C124" s="5">
        <v>0</v>
      </c>
    </row>
    <row r="125" spans="1:3" ht="22.95" customHeight="1">
      <c r="A125" t="s">
        <v>424</v>
      </c>
      <c r="B125" s="5">
        <v>0</v>
      </c>
      <c r="C125" s="5">
        <v>0</v>
      </c>
    </row>
    <row r="126" spans="1:3" ht="22.95" customHeight="1">
      <c r="A126" t="s">
        <v>425</v>
      </c>
      <c r="B126" s="5">
        <v>0</v>
      </c>
      <c r="C126" s="5">
        <v>0</v>
      </c>
    </row>
    <row r="127" spans="1:3" ht="22.95" customHeight="1">
      <c r="A127" t="s">
        <v>426</v>
      </c>
      <c r="B127" s="5">
        <v>0</v>
      </c>
      <c r="C127" s="5">
        <v>0</v>
      </c>
    </row>
    <row r="128" spans="1:3" ht="22.95" customHeight="1">
      <c r="A128" t="s">
        <v>427</v>
      </c>
      <c r="B128" s="5">
        <v>0</v>
      </c>
      <c r="C128" s="5">
        <v>0</v>
      </c>
    </row>
    <row r="129" spans="1:3" ht="22.95" customHeight="1">
      <c r="A129" t="s">
        <v>428</v>
      </c>
      <c r="B129" s="5">
        <v>0</v>
      </c>
      <c r="C129" s="5">
        <v>0</v>
      </c>
    </row>
    <row r="130" spans="1:3" ht="22.95" customHeight="1">
      <c r="A130" t="s">
        <v>429</v>
      </c>
      <c r="B130" s="5">
        <v>0</v>
      </c>
      <c r="C130" s="5">
        <v>0</v>
      </c>
    </row>
    <row r="131" spans="1:3" ht="22.95" customHeight="1">
      <c r="A131" t="s">
        <v>430</v>
      </c>
      <c r="B131" s="5">
        <v>0</v>
      </c>
      <c r="C131" s="5">
        <v>0</v>
      </c>
    </row>
    <row r="132" spans="1:3" ht="22.95" customHeight="1">
      <c r="A132" t="s">
        <v>431</v>
      </c>
      <c r="B132" s="5">
        <v>0</v>
      </c>
      <c r="C132" s="5">
        <v>0</v>
      </c>
    </row>
    <row r="133" spans="1:3" ht="22.95" customHeight="1">
      <c r="A133" t="s">
        <v>432</v>
      </c>
      <c r="B133" s="5">
        <v>0</v>
      </c>
      <c r="C133" s="5">
        <v>0</v>
      </c>
    </row>
    <row r="134" spans="1:3" ht="22.95" customHeight="1">
      <c r="A134" t="s">
        <v>433</v>
      </c>
      <c r="B134" s="5">
        <v>0</v>
      </c>
      <c r="C134" s="5">
        <v>0</v>
      </c>
    </row>
    <row r="135" spans="1:3" ht="22.95" customHeight="1">
      <c r="A135" t="s">
        <v>434</v>
      </c>
      <c r="B135" s="5">
        <v>0</v>
      </c>
      <c r="C135" s="5">
        <v>0</v>
      </c>
    </row>
    <row r="136" spans="1:3" ht="22.95" customHeight="1">
      <c r="A136" t="s">
        <v>435</v>
      </c>
      <c r="B136" s="5">
        <v>0</v>
      </c>
      <c r="C136" s="5">
        <v>0</v>
      </c>
    </row>
    <row r="137" spans="1:3" ht="22.95" customHeight="1">
      <c r="A137" t="s">
        <v>436</v>
      </c>
      <c r="B137" s="5">
        <v>0</v>
      </c>
      <c r="C137" s="5">
        <v>0</v>
      </c>
    </row>
    <row r="138" spans="1:3" ht="22.95" customHeight="1">
      <c r="A138" t="s">
        <v>437</v>
      </c>
      <c r="B138" s="5">
        <v>0</v>
      </c>
      <c r="C138" s="5">
        <v>0</v>
      </c>
    </row>
    <row r="139" spans="1:3" ht="22.95" customHeight="1">
      <c r="A139" t="s">
        <v>438</v>
      </c>
      <c r="B139" s="5">
        <v>0</v>
      </c>
      <c r="C139" s="5">
        <v>0</v>
      </c>
    </row>
    <row r="140" spans="1:3" ht="22.95" customHeight="1">
      <c r="A140" t="s">
        <v>439</v>
      </c>
      <c r="B140" s="5">
        <v>0</v>
      </c>
      <c r="C140" s="5">
        <v>0</v>
      </c>
    </row>
    <row r="141" spans="1:3" ht="22.95" customHeight="1">
      <c r="A141" t="s">
        <v>440</v>
      </c>
      <c r="B141" s="5">
        <v>0</v>
      </c>
      <c r="C141" s="5">
        <v>0</v>
      </c>
    </row>
    <row r="142" spans="1:3" ht="22.95" customHeight="1">
      <c r="A142" t="s">
        <v>441</v>
      </c>
      <c r="B142" s="5">
        <v>0</v>
      </c>
      <c r="C142" s="5">
        <v>0</v>
      </c>
    </row>
    <row r="143" spans="1:3" ht="22.95" customHeight="1">
      <c r="A143" t="s">
        <v>442</v>
      </c>
      <c r="B143" s="5">
        <v>0</v>
      </c>
      <c r="C143" s="5">
        <v>0</v>
      </c>
    </row>
    <row r="144" spans="1:3" ht="22.95" customHeight="1">
      <c r="A144" t="s">
        <v>443</v>
      </c>
      <c r="B144" s="5">
        <v>0</v>
      </c>
      <c r="C144" s="5">
        <v>0</v>
      </c>
    </row>
    <row r="145" spans="1:3" ht="22.95" customHeight="1">
      <c r="A145" t="s">
        <v>444</v>
      </c>
      <c r="B145" s="5">
        <v>0</v>
      </c>
      <c r="C145" s="5">
        <v>0</v>
      </c>
    </row>
    <row r="146" spans="1:3" ht="22.95" customHeight="1">
      <c r="A146" t="s">
        <v>445</v>
      </c>
      <c r="B146" s="5">
        <v>0</v>
      </c>
      <c r="C146" s="5">
        <v>0</v>
      </c>
    </row>
    <row r="147" spans="1:3" ht="22.95" customHeight="1">
      <c r="A147" t="s">
        <v>446</v>
      </c>
      <c r="B147" s="5">
        <v>0</v>
      </c>
      <c r="C147" s="5">
        <v>0</v>
      </c>
    </row>
    <row r="148" spans="1:3" ht="22.95" customHeight="1">
      <c r="A148" t="s">
        <v>447</v>
      </c>
      <c r="B148" s="5">
        <v>0</v>
      </c>
      <c r="C148" s="5">
        <v>0</v>
      </c>
    </row>
    <row r="149" spans="1:3" ht="22.95" customHeight="1">
      <c r="A149" t="s">
        <v>448</v>
      </c>
      <c r="B149" s="5">
        <v>0</v>
      </c>
      <c r="C149" s="5">
        <v>0</v>
      </c>
    </row>
    <row r="150" spans="1:3" ht="22.95" customHeight="1">
      <c r="A150" t="s">
        <v>449</v>
      </c>
      <c r="B150" s="5">
        <v>0</v>
      </c>
      <c r="C150" s="5">
        <v>0</v>
      </c>
    </row>
    <row r="151" spans="1:3" ht="22.95" customHeight="1">
      <c r="A151" t="s">
        <v>450</v>
      </c>
      <c r="B151" s="5">
        <v>0</v>
      </c>
      <c r="C151" s="5">
        <v>0</v>
      </c>
    </row>
    <row r="152" spans="1:3" ht="22.95" customHeight="1">
      <c r="A152" t="s">
        <v>451</v>
      </c>
      <c r="B152" s="5">
        <v>0</v>
      </c>
      <c r="C152" s="5">
        <v>0</v>
      </c>
    </row>
    <row r="153" spans="1:3" ht="22.95" customHeight="1">
      <c r="A153" t="s">
        <v>452</v>
      </c>
      <c r="B153" s="5">
        <v>0</v>
      </c>
      <c r="C153" s="5">
        <v>0</v>
      </c>
    </row>
    <row r="154" spans="1:3" ht="22.95" customHeight="1">
      <c r="A154" t="s">
        <v>453</v>
      </c>
      <c r="B154" s="5">
        <v>0</v>
      </c>
      <c r="C154" s="5">
        <v>0</v>
      </c>
    </row>
    <row r="155" spans="1:3" ht="22.95" customHeight="1">
      <c r="A155" t="s">
        <v>454</v>
      </c>
      <c r="B155" s="5">
        <v>0</v>
      </c>
      <c r="C155" s="5">
        <v>0</v>
      </c>
    </row>
    <row r="156" spans="1:3" ht="22.95" customHeight="1">
      <c r="A156" t="s">
        <v>455</v>
      </c>
      <c r="B156" s="5">
        <v>0</v>
      </c>
      <c r="C156" s="5">
        <v>0</v>
      </c>
    </row>
    <row r="157" spans="1:3" ht="22.95" customHeight="1">
      <c r="A157" t="s">
        <v>456</v>
      </c>
      <c r="B157" s="5">
        <v>0</v>
      </c>
      <c r="C157" s="5">
        <v>0</v>
      </c>
    </row>
    <row r="158" spans="1:3" ht="22.95" customHeight="1">
      <c r="A158" t="s">
        <v>457</v>
      </c>
      <c r="B158" s="5">
        <v>0</v>
      </c>
      <c r="C158" s="5">
        <v>0</v>
      </c>
    </row>
    <row r="159" spans="1:3" ht="22.95" customHeight="1">
      <c r="A159" t="s">
        <v>458</v>
      </c>
      <c r="B159" s="5">
        <v>0</v>
      </c>
      <c r="C159" s="5">
        <v>0</v>
      </c>
    </row>
    <row r="160" spans="1:3" ht="22.95" customHeight="1">
      <c r="A160" t="s">
        <v>459</v>
      </c>
      <c r="B160" s="5">
        <v>0</v>
      </c>
      <c r="C160" s="5">
        <v>0</v>
      </c>
    </row>
    <row r="161" spans="1:3" ht="22.95" customHeight="1">
      <c r="A161" t="s">
        <v>460</v>
      </c>
      <c r="B161" s="5">
        <v>0</v>
      </c>
      <c r="C161" s="5">
        <v>0</v>
      </c>
    </row>
    <row r="162" spans="1:3" ht="22.95" customHeight="1">
      <c r="A162" t="s">
        <v>461</v>
      </c>
      <c r="B162" s="5">
        <v>0</v>
      </c>
      <c r="C162" s="5">
        <v>0</v>
      </c>
    </row>
    <row r="163" spans="1:3" ht="22.95" customHeight="1">
      <c r="A163" t="s">
        <v>462</v>
      </c>
      <c r="B163" s="5">
        <v>0</v>
      </c>
      <c r="C163" s="5">
        <v>0</v>
      </c>
    </row>
    <row r="164" spans="1:3" ht="22.95" customHeight="1">
      <c r="A164" t="s">
        <v>463</v>
      </c>
      <c r="B164" s="5">
        <v>0</v>
      </c>
      <c r="C164" s="5">
        <v>0</v>
      </c>
    </row>
    <row r="165" spans="1:3" ht="22.95" customHeight="1">
      <c r="A165" t="s">
        <v>464</v>
      </c>
      <c r="B165" s="5">
        <v>0</v>
      </c>
      <c r="C165" s="5">
        <v>0</v>
      </c>
    </row>
    <row r="166" spans="1:3" ht="22.95" customHeight="1">
      <c r="A166" t="s">
        <v>465</v>
      </c>
      <c r="B166" s="5">
        <v>0</v>
      </c>
      <c r="C166" s="5">
        <v>0</v>
      </c>
    </row>
    <row r="167" spans="1:3" ht="22.95" customHeight="1">
      <c r="A167" t="s">
        <v>466</v>
      </c>
      <c r="B167" s="5">
        <v>0</v>
      </c>
      <c r="C167" s="5">
        <v>0</v>
      </c>
    </row>
    <row r="168" spans="1:3" ht="22.95" customHeight="1">
      <c r="A168" t="s">
        <v>467</v>
      </c>
      <c r="B168" s="5">
        <v>0</v>
      </c>
      <c r="C168" s="5">
        <v>0</v>
      </c>
    </row>
    <row r="169" spans="1:3" ht="22.95" customHeight="1">
      <c r="A169" t="s">
        <v>468</v>
      </c>
      <c r="B169" s="5">
        <v>0</v>
      </c>
      <c r="C169" s="5">
        <v>0</v>
      </c>
    </row>
    <row r="170" spans="1:3" ht="22.95" customHeight="1">
      <c r="A170" t="s">
        <v>469</v>
      </c>
      <c r="B170" s="5">
        <v>0</v>
      </c>
      <c r="C170" s="5">
        <v>0</v>
      </c>
    </row>
    <row r="171" spans="1:3" ht="22.95" customHeight="1">
      <c r="A171" t="s">
        <v>470</v>
      </c>
      <c r="B171" s="5">
        <v>0</v>
      </c>
      <c r="C171" s="5">
        <v>0</v>
      </c>
    </row>
    <row r="172" spans="1:3" ht="22.95" customHeight="1">
      <c r="A172" t="s">
        <v>471</v>
      </c>
      <c r="B172" s="5">
        <v>0</v>
      </c>
      <c r="C172" s="5">
        <v>0</v>
      </c>
    </row>
    <row r="173" spans="1:3" ht="22.95" customHeight="1">
      <c r="A173" t="s">
        <v>472</v>
      </c>
      <c r="B173" s="5">
        <v>0</v>
      </c>
      <c r="C173" s="5">
        <v>0</v>
      </c>
    </row>
    <row r="174" spans="1:3" ht="22.95" customHeight="1">
      <c r="A174" t="s">
        <v>473</v>
      </c>
      <c r="B174" s="5">
        <v>0</v>
      </c>
      <c r="C174" s="5">
        <v>0</v>
      </c>
    </row>
    <row r="175" spans="1:3" ht="22.95" customHeight="1">
      <c r="A175" t="s">
        <v>474</v>
      </c>
      <c r="B175" s="5">
        <v>0</v>
      </c>
      <c r="C175" s="5">
        <v>0</v>
      </c>
    </row>
    <row r="176" spans="1:3" ht="22.95" customHeight="1">
      <c r="A176" t="s">
        <v>475</v>
      </c>
      <c r="B176" s="5">
        <v>0</v>
      </c>
      <c r="C176" s="5">
        <v>0</v>
      </c>
    </row>
    <row r="177" spans="1:3" ht="22.95" customHeight="1">
      <c r="A177" t="s">
        <v>476</v>
      </c>
      <c r="B177" s="5">
        <v>0</v>
      </c>
      <c r="C177" s="5">
        <v>0</v>
      </c>
    </row>
    <row r="178" spans="1:3" ht="22.95" customHeight="1">
      <c r="A178" t="s">
        <v>477</v>
      </c>
      <c r="B178" s="5">
        <v>0</v>
      </c>
      <c r="C178" s="5">
        <v>0</v>
      </c>
    </row>
    <row r="179" spans="1:3" ht="22.95" customHeight="1">
      <c r="A179" t="s">
        <v>478</v>
      </c>
      <c r="B179" s="5">
        <v>0</v>
      </c>
      <c r="C179" s="5">
        <v>0</v>
      </c>
    </row>
    <row r="180" spans="1:3" ht="22.95" customHeight="1">
      <c r="A180" t="s">
        <v>479</v>
      </c>
      <c r="B180" s="5">
        <v>0</v>
      </c>
      <c r="C180" s="5">
        <v>0</v>
      </c>
    </row>
    <row r="181" spans="1:3" ht="22.95" customHeight="1">
      <c r="A181" t="s">
        <v>480</v>
      </c>
      <c r="B181" s="5">
        <v>0</v>
      </c>
      <c r="C181" s="5">
        <v>0</v>
      </c>
    </row>
    <row r="182" spans="1:3" ht="22.95" customHeight="1">
      <c r="A182" t="s">
        <v>481</v>
      </c>
      <c r="B182" s="5">
        <v>0</v>
      </c>
      <c r="C182" s="5">
        <v>0</v>
      </c>
    </row>
    <row r="183" spans="1:3" ht="22.95" customHeight="1">
      <c r="A183" t="s">
        <v>482</v>
      </c>
      <c r="B183" s="5">
        <v>0</v>
      </c>
      <c r="C183" s="5">
        <v>0</v>
      </c>
    </row>
    <row r="184" spans="1:3" ht="22.95" customHeight="1">
      <c r="A184" t="s">
        <v>483</v>
      </c>
      <c r="B184" s="5">
        <v>0</v>
      </c>
      <c r="C184" s="5">
        <v>0</v>
      </c>
    </row>
    <row r="185" spans="1:3" ht="22.95" customHeight="1">
      <c r="A185" t="s">
        <v>484</v>
      </c>
      <c r="B185" s="5">
        <v>0</v>
      </c>
      <c r="C185" s="5">
        <v>0</v>
      </c>
    </row>
    <row r="186" spans="1:3" ht="22.95" customHeight="1">
      <c r="A186" t="s">
        <v>485</v>
      </c>
      <c r="B186" s="5">
        <v>0</v>
      </c>
      <c r="C186" s="5">
        <v>0</v>
      </c>
    </row>
    <row r="187" spans="1:3" ht="22.95" customHeight="1">
      <c r="A187" t="s">
        <v>486</v>
      </c>
      <c r="B187" s="5">
        <v>0</v>
      </c>
      <c r="C187" s="5">
        <v>0</v>
      </c>
    </row>
    <row r="188" spans="1:3" ht="22.95" customHeight="1">
      <c r="A188" t="s">
        <v>487</v>
      </c>
      <c r="B188" s="5">
        <v>0</v>
      </c>
      <c r="C188" s="5">
        <v>0</v>
      </c>
    </row>
    <row r="189" spans="1:3" ht="22.95" customHeight="1">
      <c r="A189" t="s">
        <v>488</v>
      </c>
      <c r="B189" s="5">
        <v>0</v>
      </c>
      <c r="C189" s="5">
        <v>0</v>
      </c>
    </row>
    <row r="190" spans="1:3" ht="22.95" customHeight="1">
      <c r="A190" t="s">
        <v>489</v>
      </c>
      <c r="B190" s="5">
        <v>0</v>
      </c>
      <c r="C190" s="5">
        <v>0</v>
      </c>
    </row>
    <row r="191" spans="1:3" ht="22.95" customHeight="1">
      <c r="A191" t="s">
        <v>490</v>
      </c>
      <c r="B191" s="5">
        <v>0</v>
      </c>
      <c r="C191" s="5">
        <v>0</v>
      </c>
    </row>
    <row r="192" spans="1:3" ht="22.95" customHeight="1">
      <c r="A192" t="s">
        <v>491</v>
      </c>
      <c r="B192" s="5">
        <v>0</v>
      </c>
      <c r="C192" s="5">
        <v>0</v>
      </c>
    </row>
    <row r="193" spans="1:3" ht="22.95" customHeight="1">
      <c r="A193" t="s">
        <v>492</v>
      </c>
      <c r="B193" s="5">
        <v>0</v>
      </c>
      <c r="C193" s="5">
        <v>0</v>
      </c>
    </row>
    <row r="194" spans="1:3" ht="22.95" customHeight="1">
      <c r="A194" t="s">
        <v>493</v>
      </c>
      <c r="B194" s="5">
        <v>0</v>
      </c>
      <c r="C194" s="5">
        <v>0</v>
      </c>
    </row>
    <row r="195" spans="1:3" ht="22.95" customHeight="1">
      <c r="A195" t="s">
        <v>494</v>
      </c>
      <c r="B195" s="5">
        <v>0</v>
      </c>
      <c r="C195" s="5">
        <v>0</v>
      </c>
    </row>
    <row r="196" spans="1:3" ht="22.95" customHeight="1">
      <c r="A196" t="s">
        <v>495</v>
      </c>
      <c r="B196" s="5">
        <v>0</v>
      </c>
      <c r="C196" s="5">
        <v>0</v>
      </c>
    </row>
    <row r="197" spans="1:3" ht="22.95" customHeight="1">
      <c r="A197" t="s">
        <v>496</v>
      </c>
      <c r="B197" s="5">
        <v>0</v>
      </c>
      <c r="C197" s="5">
        <v>0</v>
      </c>
    </row>
    <row r="198" spans="1:3" ht="22.95" customHeight="1">
      <c r="A198" t="s">
        <v>497</v>
      </c>
      <c r="B198" s="5">
        <v>0</v>
      </c>
      <c r="C198" s="5">
        <v>0</v>
      </c>
    </row>
    <row r="199" spans="1:3" ht="22.95" customHeight="1">
      <c r="A199" t="s">
        <v>498</v>
      </c>
      <c r="B199" s="5">
        <v>0</v>
      </c>
      <c r="C199" s="5">
        <v>0</v>
      </c>
    </row>
    <row r="200" spans="1:3" ht="22.95" customHeight="1">
      <c r="A200" t="s">
        <v>499</v>
      </c>
      <c r="B200" s="5">
        <v>0</v>
      </c>
      <c r="C200" s="5">
        <v>0</v>
      </c>
    </row>
    <row r="201" spans="1:3" ht="22.95" customHeight="1">
      <c r="A201" t="s">
        <v>500</v>
      </c>
      <c r="B201" s="5">
        <v>0</v>
      </c>
      <c r="C201" s="5">
        <v>0</v>
      </c>
    </row>
    <row r="202" spans="1:3" ht="22.95" customHeight="1">
      <c r="A202" t="s">
        <v>501</v>
      </c>
      <c r="B202" s="5">
        <v>0</v>
      </c>
      <c r="C202" s="5">
        <v>0</v>
      </c>
    </row>
    <row r="203" spans="1:3" ht="22.95" customHeight="1">
      <c r="A203" t="s">
        <v>502</v>
      </c>
      <c r="B203" s="5">
        <v>0</v>
      </c>
      <c r="C203" s="5">
        <v>0</v>
      </c>
    </row>
    <row r="204" spans="1:3" ht="22.95" customHeight="1">
      <c r="A204" t="s">
        <v>503</v>
      </c>
      <c r="B204" s="5">
        <v>0</v>
      </c>
      <c r="C204" s="5">
        <v>0</v>
      </c>
    </row>
    <row r="205" spans="1:3" ht="22.95" customHeight="1">
      <c r="A205" t="s">
        <v>504</v>
      </c>
      <c r="B205" s="5">
        <v>0</v>
      </c>
      <c r="C205" s="5">
        <v>0</v>
      </c>
    </row>
    <row r="206" spans="1:3" ht="22.95" customHeight="1">
      <c r="A206" t="s">
        <v>505</v>
      </c>
      <c r="B206" s="5">
        <v>0</v>
      </c>
      <c r="C206" s="5">
        <v>0</v>
      </c>
    </row>
    <row r="207" spans="1:3" ht="22.95" customHeight="1">
      <c r="A207" t="s">
        <v>506</v>
      </c>
      <c r="B207" s="5">
        <v>0</v>
      </c>
      <c r="C207" s="5">
        <v>0</v>
      </c>
    </row>
    <row r="208" spans="1:3" ht="22.95" customHeight="1">
      <c r="A208" t="s">
        <v>507</v>
      </c>
      <c r="B208" s="5">
        <v>0</v>
      </c>
      <c r="C208" s="5">
        <v>0</v>
      </c>
    </row>
    <row r="209" spans="1:3" ht="22.95" customHeight="1">
      <c r="A209" t="s">
        <v>508</v>
      </c>
      <c r="B209" s="5">
        <v>0</v>
      </c>
      <c r="C209" s="5">
        <v>0</v>
      </c>
    </row>
    <row r="210" spans="1:3" ht="22.95" customHeight="1">
      <c r="A210" t="s">
        <v>509</v>
      </c>
      <c r="B210" s="5">
        <v>0</v>
      </c>
      <c r="C210" s="5">
        <v>0</v>
      </c>
    </row>
    <row r="211" spans="1:3" ht="22.95" customHeight="1">
      <c r="A211" t="s">
        <v>510</v>
      </c>
      <c r="B211" s="5">
        <v>0</v>
      </c>
      <c r="C211" s="5">
        <v>0</v>
      </c>
    </row>
    <row r="212" spans="1:3" ht="22.95" customHeight="1">
      <c r="A212" t="s">
        <v>511</v>
      </c>
      <c r="B212" s="5">
        <v>0</v>
      </c>
      <c r="C212" s="5">
        <v>0</v>
      </c>
    </row>
    <row r="213" spans="1:3" ht="22.95" customHeight="1">
      <c r="A213" t="s">
        <v>512</v>
      </c>
      <c r="B213" s="5">
        <v>0</v>
      </c>
      <c r="C213" s="5">
        <v>0</v>
      </c>
    </row>
    <row r="214" spans="1:3" ht="22.95" customHeight="1">
      <c r="A214" t="s">
        <v>513</v>
      </c>
      <c r="B214" s="5">
        <v>0</v>
      </c>
      <c r="C214" s="5">
        <v>0</v>
      </c>
    </row>
    <row r="215" spans="1:3" ht="22.95" customHeight="1">
      <c r="A215" t="s">
        <v>514</v>
      </c>
      <c r="B215" s="5">
        <v>0</v>
      </c>
      <c r="C215" s="5">
        <v>0</v>
      </c>
    </row>
    <row r="216" spans="1:3" ht="22.95" customHeight="1">
      <c r="A216" t="s">
        <v>515</v>
      </c>
      <c r="B216" s="5">
        <v>0</v>
      </c>
      <c r="C216" s="5">
        <v>0</v>
      </c>
    </row>
    <row r="217" spans="1:3" ht="22.95" customHeight="1">
      <c r="A217" t="s">
        <v>516</v>
      </c>
      <c r="B217" s="5">
        <v>0</v>
      </c>
      <c r="C217" s="5">
        <v>0</v>
      </c>
    </row>
    <row r="218" spans="1:3" ht="22.95" customHeight="1">
      <c r="A218" t="s">
        <v>517</v>
      </c>
      <c r="B218" s="5">
        <v>0</v>
      </c>
      <c r="C218" s="5">
        <v>0</v>
      </c>
    </row>
    <row r="219" spans="1:3" ht="22.95" customHeight="1">
      <c r="A219" t="s">
        <v>518</v>
      </c>
      <c r="B219" s="5">
        <v>0</v>
      </c>
      <c r="C219" s="5">
        <v>0</v>
      </c>
    </row>
    <row r="220" spans="1:3" ht="22.95" customHeight="1">
      <c r="A220" t="s">
        <v>519</v>
      </c>
      <c r="B220" s="5">
        <v>0</v>
      </c>
      <c r="C220" s="5">
        <v>0</v>
      </c>
    </row>
    <row r="221" spans="1:3" ht="22.95" customHeight="1">
      <c r="A221" t="s">
        <v>520</v>
      </c>
      <c r="B221" s="5">
        <v>0</v>
      </c>
      <c r="C221" s="5">
        <v>0</v>
      </c>
    </row>
    <row r="222" spans="1:3" ht="22.95" customHeight="1">
      <c r="A222" t="s">
        <v>521</v>
      </c>
      <c r="B222" s="5">
        <v>0</v>
      </c>
      <c r="C222" s="5">
        <v>0</v>
      </c>
    </row>
    <row r="223" spans="1:3" ht="22.95" customHeight="1">
      <c r="A223" t="s">
        <v>522</v>
      </c>
      <c r="B223" s="5">
        <v>0</v>
      </c>
      <c r="C223" s="5">
        <v>0</v>
      </c>
    </row>
    <row r="224" spans="1:3" ht="22.95" customHeight="1">
      <c r="A224" t="s">
        <v>523</v>
      </c>
      <c r="B224" s="5">
        <v>0</v>
      </c>
      <c r="C224" s="5">
        <v>0</v>
      </c>
    </row>
    <row r="225" spans="1:3" ht="22.95" customHeight="1">
      <c r="A225" t="s">
        <v>524</v>
      </c>
      <c r="B225" s="5">
        <v>0</v>
      </c>
      <c r="C225" s="5">
        <v>0</v>
      </c>
    </row>
    <row r="226" spans="1:3" ht="22.95" customHeight="1">
      <c r="A226" t="s">
        <v>525</v>
      </c>
      <c r="B226" s="5">
        <v>0</v>
      </c>
      <c r="C226" s="5">
        <v>0</v>
      </c>
    </row>
    <row r="227" spans="1:3" ht="22.95" customHeight="1">
      <c r="A227" t="s">
        <v>526</v>
      </c>
      <c r="B227" s="5">
        <v>0</v>
      </c>
      <c r="C227" s="5">
        <v>0</v>
      </c>
    </row>
    <row r="228" spans="1:3" ht="22.95" customHeight="1">
      <c r="A228" t="s">
        <v>527</v>
      </c>
      <c r="B228" s="5">
        <v>0</v>
      </c>
      <c r="C228" s="5">
        <v>0</v>
      </c>
    </row>
    <row r="229" spans="1:3" ht="22.95" customHeight="1">
      <c r="A229" t="s">
        <v>528</v>
      </c>
      <c r="B229" s="5">
        <v>0</v>
      </c>
      <c r="C229" s="5">
        <v>0</v>
      </c>
    </row>
    <row r="230" spans="1:3" ht="22.95" customHeight="1">
      <c r="A230" t="s">
        <v>529</v>
      </c>
      <c r="B230" s="5">
        <v>0</v>
      </c>
      <c r="C230" s="5">
        <v>0</v>
      </c>
    </row>
    <row r="231" spans="1:3" ht="22.95" customHeight="1">
      <c r="A231" t="s">
        <v>530</v>
      </c>
      <c r="B231" s="5">
        <v>0</v>
      </c>
      <c r="C231" s="5">
        <v>0</v>
      </c>
    </row>
    <row r="232" spans="1:3" ht="22.95" customHeight="1">
      <c r="A232" t="s">
        <v>531</v>
      </c>
      <c r="B232" s="5">
        <v>0</v>
      </c>
      <c r="C232" s="5">
        <v>0</v>
      </c>
    </row>
    <row r="233" spans="1:3" ht="22.95" customHeight="1">
      <c r="A233" t="s">
        <v>532</v>
      </c>
      <c r="B233" s="5">
        <v>0</v>
      </c>
      <c r="C233" s="5">
        <v>0</v>
      </c>
    </row>
    <row r="234" spans="1:3" ht="22.95" customHeight="1">
      <c r="A234" t="s">
        <v>533</v>
      </c>
      <c r="B234" s="5">
        <v>0</v>
      </c>
      <c r="C234" s="5">
        <v>0</v>
      </c>
    </row>
    <row r="235" spans="1:3" ht="22.95" customHeight="1">
      <c r="A235" t="s">
        <v>534</v>
      </c>
      <c r="B235" s="5">
        <v>0</v>
      </c>
      <c r="C235" s="5">
        <v>0</v>
      </c>
    </row>
    <row r="236" spans="1:3" ht="22.95" customHeight="1">
      <c r="A236" t="s">
        <v>535</v>
      </c>
      <c r="B236" s="5">
        <v>0</v>
      </c>
      <c r="C236" s="5">
        <v>0</v>
      </c>
    </row>
    <row r="237" spans="1:3" ht="22.95" customHeight="1">
      <c r="A237" t="s">
        <v>536</v>
      </c>
      <c r="B237" s="5">
        <v>0</v>
      </c>
      <c r="C237" s="5">
        <v>0</v>
      </c>
    </row>
    <row r="238" spans="1:3" ht="22.95" customHeight="1">
      <c r="A238" t="s">
        <v>537</v>
      </c>
      <c r="B238" s="5">
        <v>0</v>
      </c>
      <c r="C238" s="5">
        <v>0</v>
      </c>
    </row>
    <row r="239" spans="1:3" ht="22.95" customHeight="1">
      <c r="A239" t="s">
        <v>538</v>
      </c>
      <c r="B239" s="5">
        <v>0</v>
      </c>
      <c r="C239" s="5">
        <v>0</v>
      </c>
    </row>
    <row r="240" spans="1:3" ht="22.95" customHeight="1">
      <c r="A240" t="s">
        <v>539</v>
      </c>
      <c r="B240" s="5">
        <v>0</v>
      </c>
      <c r="C240" s="5">
        <v>0</v>
      </c>
    </row>
    <row r="241" spans="1:3" ht="22.95" customHeight="1">
      <c r="A241" t="s">
        <v>540</v>
      </c>
      <c r="B241" s="5">
        <v>0</v>
      </c>
      <c r="C241" s="5">
        <v>0</v>
      </c>
    </row>
    <row r="242" spans="1:3" ht="22.95" customHeight="1">
      <c r="A242" t="s">
        <v>541</v>
      </c>
      <c r="B242" s="5">
        <v>0</v>
      </c>
      <c r="C242" s="5">
        <v>0</v>
      </c>
    </row>
    <row r="243" spans="1:3" ht="22.95" customHeight="1">
      <c r="A243" t="s">
        <v>542</v>
      </c>
      <c r="B243" s="5">
        <v>0</v>
      </c>
      <c r="C243" s="5">
        <v>0</v>
      </c>
    </row>
    <row r="244" spans="1:3" ht="22.95" customHeight="1">
      <c r="A244" t="s">
        <v>543</v>
      </c>
      <c r="B244" s="5">
        <v>0</v>
      </c>
      <c r="C244" s="5">
        <v>0</v>
      </c>
    </row>
    <row r="245" spans="1:3" ht="22.95" customHeight="1">
      <c r="A245" t="s">
        <v>544</v>
      </c>
      <c r="B245" s="5">
        <v>0</v>
      </c>
      <c r="C245" s="5">
        <v>0</v>
      </c>
    </row>
    <row r="246" spans="1:3" ht="22.95" customHeight="1">
      <c r="A246" t="s">
        <v>545</v>
      </c>
      <c r="B246" s="5">
        <v>0</v>
      </c>
      <c r="C246" s="5">
        <v>0</v>
      </c>
    </row>
    <row r="247" spans="1:3" ht="22.95" customHeight="1">
      <c r="A247" t="s">
        <v>546</v>
      </c>
      <c r="B247" s="5">
        <v>0</v>
      </c>
      <c r="C247" s="5">
        <v>0</v>
      </c>
    </row>
    <row r="248" spans="1:3" ht="22.95" customHeight="1">
      <c r="A248" t="s">
        <v>547</v>
      </c>
      <c r="B248" s="5">
        <v>0</v>
      </c>
      <c r="C248" s="5">
        <v>0</v>
      </c>
    </row>
    <row r="249" spans="1:3" ht="22.95" customHeight="1">
      <c r="A249" t="s">
        <v>548</v>
      </c>
      <c r="B249" s="5">
        <v>0</v>
      </c>
      <c r="C249" s="5">
        <v>0</v>
      </c>
    </row>
    <row r="250" spans="1:3" ht="22.95" customHeight="1">
      <c r="A250" t="s">
        <v>549</v>
      </c>
      <c r="B250" s="5">
        <v>0</v>
      </c>
      <c r="C250" s="5">
        <v>0</v>
      </c>
    </row>
    <row r="251" spans="1:3" ht="22.95" customHeight="1">
      <c r="A251" t="s">
        <v>550</v>
      </c>
      <c r="B251" s="5">
        <v>0</v>
      </c>
      <c r="C251" s="5">
        <v>0</v>
      </c>
    </row>
    <row r="252" spans="1:3" ht="22.95" customHeight="1">
      <c r="A252" t="s">
        <v>551</v>
      </c>
      <c r="B252" s="5">
        <v>0</v>
      </c>
      <c r="C252" s="5">
        <v>0</v>
      </c>
    </row>
    <row r="253" spans="1:3" ht="22.95" customHeight="1">
      <c r="A253" t="s">
        <v>552</v>
      </c>
      <c r="B253" s="5">
        <v>0</v>
      </c>
      <c r="C253" s="5">
        <v>0</v>
      </c>
    </row>
    <row r="254" spans="1:3" ht="22.95" customHeight="1">
      <c r="A254" t="s">
        <v>553</v>
      </c>
      <c r="B254" s="5">
        <v>0</v>
      </c>
      <c r="C254" s="5">
        <v>0</v>
      </c>
    </row>
    <row r="255" spans="1:3" ht="22.95" customHeight="1">
      <c r="A255" t="s">
        <v>554</v>
      </c>
      <c r="B255" s="5">
        <v>0</v>
      </c>
      <c r="C255" s="5">
        <v>0</v>
      </c>
    </row>
    <row r="256" spans="1:3" ht="22.95" customHeight="1">
      <c r="A256" t="s">
        <v>555</v>
      </c>
      <c r="B256" s="5">
        <v>0</v>
      </c>
      <c r="C256" s="5">
        <v>0</v>
      </c>
    </row>
    <row r="257" spans="1:3" ht="22.95" customHeight="1">
      <c r="A257" t="s">
        <v>556</v>
      </c>
      <c r="B257" s="5">
        <v>0</v>
      </c>
      <c r="C257" s="5">
        <v>0</v>
      </c>
    </row>
    <row r="258" spans="1:3" ht="22.95" customHeight="1">
      <c r="A258" t="s">
        <v>557</v>
      </c>
      <c r="B258" s="5">
        <v>0</v>
      </c>
      <c r="C258" s="5">
        <v>0</v>
      </c>
    </row>
    <row r="259" spans="1:3" ht="22.95" customHeight="1">
      <c r="A259" t="s">
        <v>558</v>
      </c>
      <c r="B259" s="5">
        <v>0</v>
      </c>
      <c r="C259" s="5">
        <v>0</v>
      </c>
    </row>
    <row r="260" spans="1:3" ht="22.95" customHeight="1">
      <c r="A260" t="s">
        <v>559</v>
      </c>
      <c r="B260" s="5">
        <v>0</v>
      </c>
      <c r="C260" s="5">
        <v>0</v>
      </c>
    </row>
    <row r="261" spans="1:3" ht="22.95" customHeight="1">
      <c r="A261" t="s">
        <v>560</v>
      </c>
      <c r="B261" s="5">
        <v>0</v>
      </c>
      <c r="C261" s="5">
        <v>0</v>
      </c>
    </row>
    <row r="262" spans="1:3" ht="22.95" customHeight="1">
      <c r="A262" t="s">
        <v>561</v>
      </c>
      <c r="B262" s="5">
        <v>0</v>
      </c>
      <c r="C262" s="5">
        <v>0</v>
      </c>
    </row>
    <row r="263" spans="1:3" ht="22.95" customHeight="1">
      <c r="A263" t="s">
        <v>562</v>
      </c>
      <c r="B263" s="5">
        <v>0</v>
      </c>
      <c r="C263" s="5">
        <v>0</v>
      </c>
    </row>
    <row r="264" spans="1:3" ht="22.95" customHeight="1">
      <c r="A264" t="s">
        <v>563</v>
      </c>
      <c r="B264" s="5">
        <v>0</v>
      </c>
      <c r="C264" s="5">
        <v>0</v>
      </c>
    </row>
    <row r="265" spans="1:3" ht="22.95" customHeight="1">
      <c r="A265" t="s">
        <v>564</v>
      </c>
      <c r="B265" s="5">
        <v>0</v>
      </c>
      <c r="C265" s="5">
        <v>0</v>
      </c>
    </row>
    <row r="266" spans="1:3" ht="22.95" customHeight="1">
      <c r="A266" t="s">
        <v>565</v>
      </c>
      <c r="B266" s="5">
        <v>0</v>
      </c>
      <c r="C266" s="5">
        <v>0</v>
      </c>
    </row>
    <row r="267" spans="1:3" ht="22.95" customHeight="1">
      <c r="A267" t="s">
        <v>566</v>
      </c>
      <c r="B267" s="5">
        <v>0</v>
      </c>
      <c r="C267" s="5">
        <v>0</v>
      </c>
    </row>
    <row r="268" spans="1:3" ht="22.95" customHeight="1">
      <c r="A268" t="s">
        <v>567</v>
      </c>
      <c r="B268" s="5">
        <v>0</v>
      </c>
      <c r="C268" s="5">
        <v>0</v>
      </c>
    </row>
    <row r="269" spans="1:3" ht="22.95" customHeight="1">
      <c r="A269" t="s">
        <v>568</v>
      </c>
      <c r="B269" s="5">
        <v>0</v>
      </c>
      <c r="C269" s="5">
        <v>0</v>
      </c>
    </row>
    <row r="270" spans="1:3" ht="22.95" customHeight="1">
      <c r="A270" t="s">
        <v>569</v>
      </c>
      <c r="B270" s="5">
        <v>0</v>
      </c>
      <c r="C270" s="5">
        <v>0</v>
      </c>
    </row>
    <row r="271" spans="1:3" ht="22.95" customHeight="1">
      <c r="A271" t="s">
        <v>570</v>
      </c>
      <c r="B271" s="5">
        <v>0</v>
      </c>
      <c r="C271" s="5">
        <v>0</v>
      </c>
    </row>
    <row r="272" spans="1:3" ht="22.95" customHeight="1">
      <c r="A272" t="s">
        <v>571</v>
      </c>
      <c r="B272" s="5">
        <v>0</v>
      </c>
      <c r="C272" s="5">
        <v>0</v>
      </c>
    </row>
    <row r="273" spans="1:3" ht="22.95" customHeight="1">
      <c r="A273" t="s">
        <v>572</v>
      </c>
      <c r="B273" s="5">
        <v>0</v>
      </c>
      <c r="C273" s="5">
        <v>0</v>
      </c>
    </row>
    <row r="274" spans="1:3" ht="22.95" customHeight="1">
      <c r="A274" t="s">
        <v>573</v>
      </c>
      <c r="B274" s="5">
        <v>0</v>
      </c>
      <c r="C274" s="5">
        <v>0</v>
      </c>
    </row>
    <row r="275" spans="1:3" ht="22.95" customHeight="1">
      <c r="A275" t="s">
        <v>574</v>
      </c>
      <c r="B275" s="5">
        <v>0</v>
      </c>
      <c r="C275" s="5">
        <v>0</v>
      </c>
    </row>
    <row r="276" spans="1:3" ht="22.95" customHeight="1">
      <c r="A276" t="s">
        <v>575</v>
      </c>
      <c r="B276" s="5">
        <v>0</v>
      </c>
      <c r="C276" s="5">
        <v>0</v>
      </c>
    </row>
    <row r="277" spans="1:3" ht="22.95" customHeight="1">
      <c r="A277" t="s">
        <v>576</v>
      </c>
      <c r="B277" s="5">
        <v>0</v>
      </c>
      <c r="C277" s="5">
        <v>0</v>
      </c>
    </row>
    <row r="278" spans="1:3" ht="22.95" customHeight="1">
      <c r="A278" t="s">
        <v>577</v>
      </c>
      <c r="B278" s="5">
        <v>0</v>
      </c>
      <c r="C278" s="5">
        <v>0</v>
      </c>
    </row>
    <row r="279" spans="1:3" ht="22.95" customHeight="1">
      <c r="A279" t="s">
        <v>578</v>
      </c>
      <c r="B279" s="5">
        <v>0</v>
      </c>
      <c r="C279" s="5">
        <v>0</v>
      </c>
    </row>
    <row r="280" spans="1:3" ht="22.95" customHeight="1">
      <c r="A280" t="s">
        <v>579</v>
      </c>
      <c r="B280" s="5">
        <v>0</v>
      </c>
      <c r="C280" s="5">
        <v>0</v>
      </c>
    </row>
    <row r="281" spans="1:3" ht="22.95" customHeight="1">
      <c r="A281" t="s">
        <v>580</v>
      </c>
      <c r="B281" s="5">
        <v>0</v>
      </c>
      <c r="C281" s="5">
        <v>0</v>
      </c>
    </row>
    <row r="282" spans="1:3" ht="22.95" customHeight="1">
      <c r="A282" t="s">
        <v>581</v>
      </c>
      <c r="B282" s="5">
        <v>0</v>
      </c>
      <c r="C282" s="5">
        <v>0</v>
      </c>
    </row>
    <row r="283" spans="1:3" ht="22.95" customHeight="1">
      <c r="A283" t="s">
        <v>582</v>
      </c>
      <c r="B283" s="5">
        <v>0</v>
      </c>
      <c r="C283" s="5">
        <v>0</v>
      </c>
    </row>
    <row r="284" spans="1:3" ht="22.95" customHeight="1">
      <c r="A284" t="s">
        <v>583</v>
      </c>
      <c r="B284" s="5">
        <v>0</v>
      </c>
      <c r="C284" s="5">
        <v>0</v>
      </c>
    </row>
    <row r="285" spans="1:3" ht="22.95" customHeight="1">
      <c r="A285" t="s">
        <v>584</v>
      </c>
      <c r="B285" s="5">
        <v>0</v>
      </c>
      <c r="C285" s="5">
        <v>0</v>
      </c>
    </row>
    <row r="286" spans="1:3" ht="22.95" customHeight="1">
      <c r="A286" t="s">
        <v>585</v>
      </c>
      <c r="B286" s="5">
        <v>0</v>
      </c>
      <c r="C286" s="5">
        <v>0</v>
      </c>
    </row>
    <row r="287" spans="1:3" ht="22.95" customHeight="1">
      <c r="A287" t="s">
        <v>586</v>
      </c>
      <c r="B287" s="5">
        <v>0</v>
      </c>
      <c r="C287" s="5">
        <v>0</v>
      </c>
    </row>
  </sheetData>
  <phoneticPr fontId="8" type="noConversion"/>
  <pageMargins left="0.3" right="0.3" top="0.4" bottom="0.4" header="0.3" footer="0.3"/>
  <pageSetup paperSize="9" fitToHeight="0" orientation="landscape"/>
  <headerFooter>
    <oddFooter>&amp;LNYC 311 数据分析&amp;R&amp;P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135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.95" customHeight="1"/>
  <cols>
    <col min="1" max="1" width="32.6640625" customWidth="1"/>
    <col min="2" max="2" width="38.6640625" customWidth="1"/>
    <col min="3" max="3" width="19.6640625" customWidth="1"/>
    <col min="4" max="12" width="16.6640625" style="7" customWidth="1"/>
  </cols>
  <sheetData>
    <row r="2" spans="1:7" ht="28.95" customHeight="1">
      <c r="A2" s="1" t="s">
        <v>4</v>
      </c>
    </row>
    <row r="4" spans="1:7" ht="22.95" customHeight="1">
      <c r="A4" s="2" t="s">
        <v>587</v>
      </c>
    </row>
    <row r="5" spans="1:7" ht="34.049999999999997" customHeight="1">
      <c r="A5" s="3" t="s">
        <v>588</v>
      </c>
      <c r="B5" s="3" t="s">
        <v>9</v>
      </c>
      <c r="C5" s="3" t="s">
        <v>10</v>
      </c>
      <c r="D5" s="3" t="s">
        <v>11</v>
      </c>
      <c r="E5" s="3" t="s">
        <v>589</v>
      </c>
      <c r="F5" s="3" t="s">
        <v>590</v>
      </c>
      <c r="G5" s="3" t="s">
        <v>591</v>
      </c>
    </row>
    <row r="6" spans="1:7" ht="22.95" customHeight="1">
      <c r="A6" t="s">
        <v>592</v>
      </c>
      <c r="B6" s="5">
        <v>1011704</v>
      </c>
      <c r="C6" s="5">
        <v>1284422</v>
      </c>
      <c r="D6" s="5">
        <f>C6-B6</f>
        <v>272718</v>
      </c>
      <c r="E6" s="6">
        <f>B6/月度趋势!$B$14</f>
        <v>0.42531159405667546</v>
      </c>
      <c r="F6" s="6">
        <f>C6/月度趋势!$C$14</f>
        <v>0.48176459953534745</v>
      </c>
      <c r="G6" s="12">
        <f>(F6-E6)*100</f>
        <v>5.6453005478671994</v>
      </c>
    </row>
    <row r="7" spans="1:7" ht="22.95" customHeight="1">
      <c r="A7" t="s">
        <v>593</v>
      </c>
      <c r="B7" s="5">
        <v>178188</v>
      </c>
      <c r="C7" s="5">
        <v>244131</v>
      </c>
      <c r="D7" s="5">
        <f>C7-B7</f>
        <v>65943</v>
      </c>
      <c r="E7" s="6">
        <f>B7/月度趋势!$B$14</f>
        <v>7.4908691002280203E-2</v>
      </c>
      <c r="F7" s="6">
        <f>C7/月度趋势!$C$14</f>
        <v>9.1569338931569141E-2</v>
      </c>
      <c r="G7" s="12">
        <f>(F7-E7)*100</f>
        <v>1.6660647929288939</v>
      </c>
    </row>
    <row r="8" spans="1:7" ht="22.95" customHeight="1">
      <c r="A8" t="s">
        <v>594</v>
      </c>
      <c r="B8" s="5">
        <v>12</v>
      </c>
      <c r="C8" s="5">
        <v>1912</v>
      </c>
      <c r="D8" s="5">
        <f>C8-B8</f>
        <v>1900</v>
      </c>
      <c r="E8" s="6">
        <f>B8/月度趋势!$B$14</f>
        <v>5.044696006618641E-6</v>
      </c>
      <c r="F8" s="6">
        <f>C8/月度趋势!$C$14</f>
        <v>7.1715831269752799E-4</v>
      </c>
      <c r="G8" s="12">
        <f>(F8-E8)*100</f>
        <v>7.1211361669090936E-2</v>
      </c>
    </row>
    <row r="9" spans="1:7" ht="22.95" customHeight="1">
      <c r="A9" t="s">
        <v>595</v>
      </c>
      <c r="B9" s="5">
        <v>536111</v>
      </c>
      <c r="C9" s="5">
        <v>524772</v>
      </c>
      <c r="D9" s="5">
        <f>C9-B9</f>
        <v>-11339</v>
      </c>
      <c r="E9" s="6">
        <f>B9/月度趋势!$B$14</f>
        <v>0.22537641840036052</v>
      </c>
      <c r="F9" s="6">
        <f>C9/月度趋势!$C$14</f>
        <v>0.19683295087390543</v>
      </c>
      <c r="G9" s="12">
        <f>(F9-E9)*100</f>
        <v>-2.8543467526455091</v>
      </c>
    </row>
    <row r="10" spans="1:7" ht="22.95" customHeight="1">
      <c r="A10" t="s">
        <v>596</v>
      </c>
      <c r="B10" s="5">
        <v>652721</v>
      </c>
      <c r="C10" s="5">
        <v>610841</v>
      </c>
      <c r="D10" s="5">
        <f>C10-B10</f>
        <v>-41880</v>
      </c>
      <c r="E10" s="6">
        <f>B10/月度趋势!$B$14</f>
        <v>0.2743982518446772</v>
      </c>
      <c r="F10" s="6">
        <f>C10/月度趋势!$C$14</f>
        <v>0.22911595234648049</v>
      </c>
      <c r="G10" s="12">
        <f>(F10-E10)*100</f>
        <v>-4.5282299498196705</v>
      </c>
    </row>
    <row r="13" spans="1:7" ht="22.95" customHeight="1">
      <c r="A13" s="4" t="s">
        <v>597</v>
      </c>
    </row>
    <row r="15" spans="1:7" ht="34.049999999999997" customHeight="1">
      <c r="A15" s="3" t="s">
        <v>598</v>
      </c>
      <c r="B15" s="3" t="s">
        <v>599</v>
      </c>
      <c r="C15" s="3" t="s">
        <v>600</v>
      </c>
    </row>
    <row r="16" spans="1:7" ht="22.95" customHeight="1">
      <c r="A16" t="s">
        <v>601</v>
      </c>
      <c r="B16" s="5">
        <f>SUM(D30:D1350)</f>
        <v>2366687</v>
      </c>
      <c r="C16" s="2" t="s">
        <v>602</v>
      </c>
    </row>
    <row r="17" spans="1:12" ht="22.95" customHeight="1">
      <c r="A17" t="s">
        <v>603</v>
      </c>
      <c r="B17" s="5">
        <f>SUM(E30:E1350)</f>
        <v>2651235</v>
      </c>
      <c r="C17" s="2" t="s">
        <v>604</v>
      </c>
    </row>
    <row r="18" spans="1:12" ht="22.95" customHeight="1">
      <c r="A18" t="s">
        <v>605</v>
      </c>
      <c r="B18" s="6">
        <f>B16/月度趋势!B14</f>
        <v>0.99493470481802104</v>
      </c>
      <c r="C18" s="2" t="s">
        <v>606</v>
      </c>
    </row>
    <row r="19" spans="1:12" ht="22.95" customHeight="1">
      <c r="A19" t="s">
        <v>607</v>
      </c>
      <c r="B19" s="6">
        <f>B17/月度趋势!C14</f>
        <v>0.99443264600660597</v>
      </c>
      <c r="C19" s="2" t="s">
        <v>608</v>
      </c>
    </row>
    <row r="20" spans="1:12" ht="22.95" customHeight="1">
      <c r="A20" t="s">
        <v>609</v>
      </c>
      <c r="B20" s="6">
        <f>SUM(K30:K1350)</f>
        <v>0.42559197730836418</v>
      </c>
      <c r="C20" s="2" t="s">
        <v>610</v>
      </c>
    </row>
    <row r="21" spans="1:12" ht="22.95" customHeight="1">
      <c r="A21" t="s">
        <v>611</v>
      </c>
      <c r="B21" s="6">
        <f>SUM(L30:L1350)</f>
        <v>0.49300654255771043</v>
      </c>
      <c r="C21" s="2" t="s">
        <v>612</v>
      </c>
    </row>
    <row r="22" spans="1:12" ht="22.95" customHeight="1">
      <c r="A22" t="s">
        <v>613</v>
      </c>
      <c r="B22" s="12">
        <f>(B21-B20)*100</f>
        <v>6.741456524934625</v>
      </c>
      <c r="C22" s="2" t="s">
        <v>614</v>
      </c>
    </row>
    <row r="25" spans="1:12" ht="22.95" customHeight="1">
      <c r="A25" s="2" t="s">
        <v>615</v>
      </c>
    </row>
    <row r="26" spans="1:12" ht="22.95" customHeight="1">
      <c r="A26" s="2" t="s">
        <v>616</v>
      </c>
    </row>
    <row r="29" spans="1:12" ht="34.049999999999997" customHeight="1">
      <c r="A29" s="3" t="s">
        <v>8</v>
      </c>
      <c r="B29" s="3" t="s">
        <v>617</v>
      </c>
      <c r="C29" s="3" t="s">
        <v>286</v>
      </c>
      <c r="D29" s="3" t="s">
        <v>618</v>
      </c>
      <c r="E29" s="3" t="s">
        <v>619</v>
      </c>
      <c r="F29" s="3" t="s">
        <v>620</v>
      </c>
      <c r="G29" s="3" t="s">
        <v>621</v>
      </c>
      <c r="H29" s="3" t="s">
        <v>622</v>
      </c>
      <c r="I29" s="3" t="s">
        <v>589</v>
      </c>
      <c r="J29" s="3" t="s">
        <v>590</v>
      </c>
      <c r="K29" s="3" t="s">
        <v>623</v>
      </c>
      <c r="L29" s="3" t="s">
        <v>624</v>
      </c>
    </row>
    <row r="30" spans="1:12" ht="22.95" customHeight="1">
      <c r="A30" s="5">
        <v>1</v>
      </c>
      <c r="B30" s="7" t="s">
        <v>172</v>
      </c>
      <c r="C30" s="7" t="s">
        <v>296</v>
      </c>
      <c r="D30" s="5">
        <v>3</v>
      </c>
      <c r="E30" s="5">
        <v>3</v>
      </c>
      <c r="F30" s="5">
        <v>0</v>
      </c>
      <c r="G30" s="5">
        <v>0</v>
      </c>
      <c r="H30" s="6">
        <f t="shared" ref="H30:H93" si="0">D30/$B$16</f>
        <v>1.2675947432000936E-6</v>
      </c>
      <c r="I30" s="6">
        <f t="shared" ref="I30:I93" si="1">F30/D30</f>
        <v>0</v>
      </c>
      <c r="J30" s="6">
        <f t="shared" ref="J30:J93" si="2">G30/E30</f>
        <v>0</v>
      </c>
      <c r="K30" s="6">
        <f t="shared" ref="K30:K93" si="3">H30*I30</f>
        <v>0</v>
      </c>
      <c r="L30" s="6">
        <f t="shared" ref="L30:L93" si="4">H30*J30</f>
        <v>0</v>
      </c>
    </row>
    <row r="31" spans="1:12" ht="22.95" customHeight="1">
      <c r="A31" s="5">
        <v>1</v>
      </c>
      <c r="B31" s="7" t="s">
        <v>112</v>
      </c>
      <c r="C31" s="7" t="s">
        <v>290</v>
      </c>
      <c r="D31" s="5">
        <v>2129</v>
      </c>
      <c r="E31" s="5">
        <v>2327</v>
      </c>
      <c r="F31" s="5">
        <v>831</v>
      </c>
      <c r="G31" s="5">
        <v>1021</v>
      </c>
      <c r="H31" s="6">
        <f t="shared" si="0"/>
        <v>8.995697360909998E-4</v>
      </c>
      <c r="I31" s="6">
        <f t="shared" si="1"/>
        <v>0.39032409581963362</v>
      </c>
      <c r="J31" s="6">
        <f t="shared" si="2"/>
        <v>0.43876235496347227</v>
      </c>
      <c r="K31" s="6">
        <f t="shared" si="3"/>
        <v>3.5112374386642593E-4</v>
      </c>
      <c r="L31" s="6">
        <f t="shared" si="4"/>
        <v>3.9469733586115633E-4</v>
      </c>
    </row>
    <row r="32" spans="1:12" ht="22.95" customHeight="1">
      <c r="A32" s="5">
        <v>1</v>
      </c>
      <c r="B32" s="7" t="s">
        <v>179</v>
      </c>
      <c r="C32" s="7" t="s">
        <v>292</v>
      </c>
      <c r="D32" s="5">
        <v>172</v>
      </c>
      <c r="E32" s="5">
        <v>96</v>
      </c>
      <c r="F32" s="5">
        <v>117</v>
      </c>
      <c r="G32" s="5">
        <v>67</v>
      </c>
      <c r="H32" s="6">
        <f t="shared" si="0"/>
        <v>7.2675431943472029E-5</v>
      </c>
      <c r="I32" s="6">
        <f t="shared" si="1"/>
        <v>0.68023255813953487</v>
      </c>
      <c r="J32" s="6">
        <f t="shared" si="2"/>
        <v>0.69791666666666663</v>
      </c>
      <c r="K32" s="6">
        <f t="shared" si="3"/>
        <v>4.9436194984803645E-5</v>
      </c>
      <c r="L32" s="6">
        <f t="shared" si="4"/>
        <v>5.0721395210548184E-5</v>
      </c>
    </row>
    <row r="33" spans="1:12" ht="22.95" customHeight="1">
      <c r="A33" s="5">
        <v>1</v>
      </c>
      <c r="B33" s="7" t="s">
        <v>113</v>
      </c>
      <c r="C33" s="7" t="s">
        <v>295</v>
      </c>
      <c r="D33" s="5">
        <v>5626</v>
      </c>
      <c r="E33" s="5">
        <v>4549</v>
      </c>
      <c r="F33" s="5">
        <v>2494</v>
      </c>
      <c r="G33" s="5">
        <v>2495</v>
      </c>
      <c r="H33" s="6">
        <f t="shared" si="0"/>
        <v>2.3771626750812421E-3</v>
      </c>
      <c r="I33" s="6">
        <f t="shared" si="1"/>
        <v>0.44329896907216493</v>
      </c>
      <c r="J33" s="6">
        <f t="shared" si="2"/>
        <v>0.54847219169048145</v>
      </c>
      <c r="K33" s="6">
        <f t="shared" si="3"/>
        <v>1.0537937631803444E-3</v>
      </c>
      <c r="L33" s="6">
        <f t="shared" si="4"/>
        <v>1.3038076224066166E-3</v>
      </c>
    </row>
    <row r="34" spans="1:12" ht="22.95" customHeight="1">
      <c r="A34" s="5">
        <v>1</v>
      </c>
      <c r="B34" s="7" t="s">
        <v>262</v>
      </c>
      <c r="C34" s="7" t="s">
        <v>294</v>
      </c>
      <c r="D34" s="5">
        <v>817</v>
      </c>
      <c r="E34" s="5">
        <v>741</v>
      </c>
      <c r="F34" s="5">
        <v>611</v>
      </c>
      <c r="G34" s="5">
        <v>590</v>
      </c>
      <c r="H34" s="6">
        <f t="shared" si="0"/>
        <v>3.4520830173149217E-4</v>
      </c>
      <c r="I34" s="6">
        <f t="shared" si="1"/>
        <v>0.74785801713586286</v>
      </c>
      <c r="J34" s="6">
        <f t="shared" si="2"/>
        <v>0.79622132253711198</v>
      </c>
      <c r="K34" s="6">
        <f t="shared" si="3"/>
        <v>2.5816679603175239E-4</v>
      </c>
      <c r="L34" s="6">
        <f t="shared" si="4"/>
        <v>2.7486221055543909E-4</v>
      </c>
    </row>
    <row r="35" spans="1:12" ht="22.95" customHeight="1">
      <c r="A35" s="5">
        <v>1</v>
      </c>
      <c r="B35" s="7" t="s">
        <v>237</v>
      </c>
      <c r="C35" s="7" t="s">
        <v>303</v>
      </c>
      <c r="D35" s="5">
        <v>9</v>
      </c>
      <c r="E35" s="5">
        <v>2</v>
      </c>
      <c r="F35" s="5">
        <v>8</v>
      </c>
      <c r="G35" s="5">
        <v>1</v>
      </c>
      <c r="H35" s="6">
        <f t="shared" si="0"/>
        <v>3.8027842296002809E-6</v>
      </c>
      <c r="I35" s="6">
        <f t="shared" si="1"/>
        <v>0.88888888888888884</v>
      </c>
      <c r="J35" s="6">
        <f t="shared" si="2"/>
        <v>0.5</v>
      </c>
      <c r="K35" s="6">
        <f t="shared" si="3"/>
        <v>3.3802526485335827E-6</v>
      </c>
      <c r="L35" s="6">
        <f t="shared" si="4"/>
        <v>1.9013921148001405E-6</v>
      </c>
    </row>
    <row r="36" spans="1:12" ht="22.95" customHeight="1">
      <c r="A36" s="5">
        <v>1</v>
      </c>
      <c r="B36" s="7" t="s">
        <v>148</v>
      </c>
      <c r="C36" s="7" t="s">
        <v>293</v>
      </c>
      <c r="D36" s="5">
        <v>291</v>
      </c>
      <c r="E36" s="5">
        <v>296</v>
      </c>
      <c r="F36" s="5">
        <v>156</v>
      </c>
      <c r="G36" s="5">
        <v>180</v>
      </c>
      <c r="H36" s="6">
        <f t="shared" si="0"/>
        <v>1.2295669009040907E-4</v>
      </c>
      <c r="I36" s="6">
        <f t="shared" si="1"/>
        <v>0.53608247422680411</v>
      </c>
      <c r="J36" s="6">
        <f t="shared" si="2"/>
        <v>0.60810810810810811</v>
      </c>
      <c r="K36" s="6">
        <f t="shared" si="3"/>
        <v>6.5914926646404865E-5</v>
      </c>
      <c r="L36" s="6">
        <f t="shared" si="4"/>
        <v>7.4770960190113621E-5</v>
      </c>
    </row>
    <row r="37" spans="1:12" ht="22.95" customHeight="1">
      <c r="A37" s="5">
        <v>1</v>
      </c>
      <c r="B37" s="7" t="s">
        <v>132</v>
      </c>
      <c r="C37" s="7" t="s">
        <v>295</v>
      </c>
      <c r="D37" s="5">
        <v>841</v>
      </c>
      <c r="E37" s="5">
        <v>921</v>
      </c>
      <c r="F37" s="5">
        <v>550</v>
      </c>
      <c r="G37" s="5">
        <v>610</v>
      </c>
      <c r="H37" s="6">
        <f t="shared" si="0"/>
        <v>3.5534905967709294E-4</v>
      </c>
      <c r="I37" s="6">
        <f t="shared" si="1"/>
        <v>0.65398335315101075</v>
      </c>
      <c r="J37" s="6">
        <f t="shared" si="2"/>
        <v>0.66232356134636261</v>
      </c>
      <c r="K37" s="6">
        <f t="shared" si="3"/>
        <v>2.3239236958668387E-4</v>
      </c>
      <c r="L37" s="6">
        <f t="shared" si="4"/>
        <v>2.3535605472641333E-4</v>
      </c>
    </row>
    <row r="38" spans="1:12" ht="22.95" customHeight="1">
      <c r="A38" s="5">
        <v>1</v>
      </c>
      <c r="B38" s="7" t="s">
        <v>164</v>
      </c>
      <c r="C38" s="7" t="s">
        <v>294</v>
      </c>
      <c r="D38" s="5">
        <v>57</v>
      </c>
      <c r="E38" s="5">
        <v>73</v>
      </c>
      <c r="F38" s="5">
        <v>26</v>
      </c>
      <c r="G38" s="5">
        <v>28</v>
      </c>
      <c r="H38" s="6">
        <f t="shared" si="0"/>
        <v>2.4084300120801778E-5</v>
      </c>
      <c r="I38" s="6">
        <f t="shared" si="1"/>
        <v>0.45614035087719296</v>
      </c>
      <c r="J38" s="6">
        <f t="shared" si="2"/>
        <v>0.38356164383561642</v>
      </c>
      <c r="K38" s="6">
        <f t="shared" si="3"/>
        <v>1.0985821107734144E-5</v>
      </c>
      <c r="L38" s="6">
        <f t="shared" si="4"/>
        <v>9.2378137449650642E-6</v>
      </c>
    </row>
    <row r="39" spans="1:12" ht="22.95" customHeight="1">
      <c r="A39" s="5">
        <v>1</v>
      </c>
      <c r="B39" s="7" t="s">
        <v>164</v>
      </c>
      <c r="C39" s="7" t="s">
        <v>303</v>
      </c>
      <c r="D39" s="5">
        <v>55</v>
      </c>
      <c r="E39" s="5">
        <v>43</v>
      </c>
      <c r="F39" s="5">
        <v>24</v>
      </c>
      <c r="G39" s="5">
        <v>21</v>
      </c>
      <c r="H39" s="6">
        <f t="shared" si="0"/>
        <v>2.3239236958668384E-5</v>
      </c>
      <c r="I39" s="6">
        <f t="shared" si="1"/>
        <v>0.43636363636363634</v>
      </c>
      <c r="J39" s="6">
        <f t="shared" si="2"/>
        <v>0.48837209302325579</v>
      </c>
      <c r="K39" s="6">
        <f t="shared" si="3"/>
        <v>1.0140757945600749E-5</v>
      </c>
      <c r="L39" s="6">
        <f t="shared" si="4"/>
        <v>1.134939479376828E-5</v>
      </c>
    </row>
    <row r="40" spans="1:12" ht="22.95" customHeight="1">
      <c r="A40" s="5">
        <v>1</v>
      </c>
      <c r="B40" s="7" t="s">
        <v>199</v>
      </c>
      <c r="C40" s="7" t="s">
        <v>296</v>
      </c>
      <c r="D40" s="5">
        <v>33</v>
      </c>
      <c r="E40" s="5">
        <v>34</v>
      </c>
      <c r="F40" s="5">
        <v>0</v>
      </c>
      <c r="G40" s="5">
        <v>0</v>
      </c>
      <c r="H40" s="6">
        <f t="shared" si="0"/>
        <v>1.3943542175201029E-5</v>
      </c>
      <c r="I40" s="6">
        <f t="shared" si="1"/>
        <v>0</v>
      </c>
      <c r="J40" s="6">
        <f t="shared" si="2"/>
        <v>0</v>
      </c>
      <c r="K40" s="6">
        <f t="shared" si="3"/>
        <v>0</v>
      </c>
      <c r="L40" s="6">
        <f t="shared" si="4"/>
        <v>0</v>
      </c>
    </row>
    <row r="41" spans="1:12" ht="22.95" customHeight="1">
      <c r="A41" s="5">
        <v>1</v>
      </c>
      <c r="B41" s="7" t="s">
        <v>196</v>
      </c>
      <c r="C41" s="7" t="s">
        <v>303</v>
      </c>
      <c r="D41" s="5">
        <v>9</v>
      </c>
      <c r="E41" s="5">
        <v>9</v>
      </c>
      <c r="F41" s="5">
        <v>7</v>
      </c>
      <c r="G41" s="5">
        <v>5</v>
      </c>
      <c r="H41" s="6">
        <f t="shared" si="0"/>
        <v>3.8027842296002809E-6</v>
      </c>
      <c r="I41" s="6">
        <f t="shared" si="1"/>
        <v>0.77777777777777779</v>
      </c>
      <c r="J41" s="6">
        <f t="shared" si="2"/>
        <v>0.55555555555555558</v>
      </c>
      <c r="K41" s="6">
        <f t="shared" si="3"/>
        <v>2.9577210674668854E-6</v>
      </c>
      <c r="L41" s="6">
        <f t="shared" si="4"/>
        <v>2.1126579053334894E-6</v>
      </c>
    </row>
    <row r="42" spans="1:12" ht="22.95" customHeight="1">
      <c r="A42" s="5">
        <v>1</v>
      </c>
      <c r="B42" s="7" t="s">
        <v>187</v>
      </c>
      <c r="C42" s="7" t="s">
        <v>291</v>
      </c>
      <c r="D42" s="5">
        <v>4</v>
      </c>
      <c r="E42" s="5">
        <v>6</v>
      </c>
      <c r="F42" s="5">
        <v>3</v>
      </c>
      <c r="G42" s="5">
        <v>6</v>
      </c>
      <c r="H42" s="6">
        <f t="shared" si="0"/>
        <v>1.6901263242667916E-6</v>
      </c>
      <c r="I42" s="6">
        <f t="shared" si="1"/>
        <v>0.75</v>
      </c>
      <c r="J42" s="6">
        <f t="shared" si="2"/>
        <v>1</v>
      </c>
      <c r="K42" s="6">
        <f t="shared" si="3"/>
        <v>1.2675947432000938E-6</v>
      </c>
      <c r="L42" s="6">
        <f t="shared" si="4"/>
        <v>1.6901263242667916E-6</v>
      </c>
    </row>
    <row r="43" spans="1:12" ht="22.95" customHeight="1">
      <c r="A43" s="5">
        <v>1</v>
      </c>
      <c r="B43" s="7" t="s">
        <v>167</v>
      </c>
      <c r="C43" s="7" t="s">
        <v>291</v>
      </c>
      <c r="D43" s="5">
        <v>47</v>
      </c>
      <c r="E43" s="5">
        <v>31</v>
      </c>
      <c r="F43" s="5">
        <v>31</v>
      </c>
      <c r="G43" s="5">
        <v>27</v>
      </c>
      <c r="H43" s="6">
        <f t="shared" si="0"/>
        <v>1.9858984310134802E-5</v>
      </c>
      <c r="I43" s="6">
        <f t="shared" si="1"/>
        <v>0.65957446808510634</v>
      </c>
      <c r="J43" s="6">
        <f t="shared" si="2"/>
        <v>0.87096774193548387</v>
      </c>
      <c r="K43" s="6">
        <f t="shared" si="3"/>
        <v>1.3098479013067634E-5</v>
      </c>
      <c r="L43" s="6">
        <f t="shared" si="4"/>
        <v>1.7296534721730312E-5</v>
      </c>
    </row>
    <row r="44" spans="1:12" ht="22.95" customHeight="1">
      <c r="A44" s="5">
        <v>1</v>
      </c>
      <c r="B44" s="7" t="s">
        <v>89</v>
      </c>
      <c r="C44" s="7" t="s">
        <v>295</v>
      </c>
      <c r="D44" s="5">
        <v>14661</v>
      </c>
      <c r="E44" s="5">
        <v>17407</v>
      </c>
      <c r="F44" s="5">
        <v>5046</v>
      </c>
      <c r="G44" s="5">
        <v>10589</v>
      </c>
      <c r="H44" s="6">
        <f t="shared" si="0"/>
        <v>6.1947355100188577E-3</v>
      </c>
      <c r="I44" s="6">
        <f t="shared" si="1"/>
        <v>0.3441784325762226</v>
      </c>
      <c r="J44" s="6">
        <f t="shared" si="2"/>
        <v>0.60831849256046422</v>
      </c>
      <c r="K44" s="6">
        <f t="shared" si="3"/>
        <v>2.1320943580625572E-3</v>
      </c>
      <c r="L44" s="6">
        <f t="shared" si="4"/>
        <v>3.7683721672654501E-3</v>
      </c>
    </row>
    <row r="45" spans="1:12" ht="22.95" customHeight="1">
      <c r="A45" s="5">
        <v>1</v>
      </c>
      <c r="B45" s="7" t="s">
        <v>158</v>
      </c>
      <c r="C45" s="7" t="s">
        <v>296</v>
      </c>
      <c r="D45" s="5">
        <v>505</v>
      </c>
      <c r="E45" s="5">
        <v>595</v>
      </c>
      <c r="F45" s="5">
        <v>0</v>
      </c>
      <c r="G45" s="5">
        <v>0</v>
      </c>
      <c r="H45" s="6">
        <f t="shared" si="0"/>
        <v>2.1337844843868242E-4</v>
      </c>
      <c r="I45" s="6">
        <f t="shared" si="1"/>
        <v>0</v>
      </c>
      <c r="J45" s="6">
        <f t="shared" si="2"/>
        <v>0</v>
      </c>
      <c r="K45" s="6">
        <f t="shared" si="3"/>
        <v>0</v>
      </c>
      <c r="L45" s="6">
        <f t="shared" si="4"/>
        <v>0</v>
      </c>
    </row>
    <row r="46" spans="1:12" ht="22.95" customHeight="1">
      <c r="A46" s="5">
        <v>1</v>
      </c>
      <c r="B46" s="7" t="s">
        <v>238</v>
      </c>
      <c r="C46" s="7" t="s">
        <v>296</v>
      </c>
      <c r="D46" s="5">
        <v>1</v>
      </c>
      <c r="E46" s="5">
        <v>1</v>
      </c>
      <c r="F46" s="5">
        <v>0</v>
      </c>
      <c r="G46" s="5">
        <v>0</v>
      </c>
      <c r="H46" s="6">
        <f t="shared" si="0"/>
        <v>4.2253158106669789E-7</v>
      </c>
      <c r="I46" s="6">
        <f t="shared" si="1"/>
        <v>0</v>
      </c>
      <c r="J46" s="6">
        <f t="shared" si="2"/>
        <v>0</v>
      </c>
      <c r="K46" s="6">
        <f t="shared" si="3"/>
        <v>0</v>
      </c>
      <c r="L46" s="6">
        <f t="shared" si="4"/>
        <v>0</v>
      </c>
    </row>
    <row r="47" spans="1:12" ht="22.95" customHeight="1">
      <c r="A47" s="5">
        <v>1</v>
      </c>
      <c r="B47" s="7" t="s">
        <v>150</v>
      </c>
      <c r="C47" s="7" t="s">
        <v>291</v>
      </c>
      <c r="D47" s="5">
        <v>21</v>
      </c>
      <c r="E47" s="5">
        <v>36</v>
      </c>
      <c r="F47" s="5">
        <v>4</v>
      </c>
      <c r="G47" s="5">
        <v>20</v>
      </c>
      <c r="H47" s="6">
        <f t="shared" si="0"/>
        <v>8.8731632024006561E-6</v>
      </c>
      <c r="I47" s="6">
        <f t="shared" si="1"/>
        <v>0.19047619047619047</v>
      </c>
      <c r="J47" s="6">
        <f t="shared" si="2"/>
        <v>0.55555555555555558</v>
      </c>
      <c r="K47" s="6">
        <f t="shared" si="3"/>
        <v>1.6901263242667916E-6</v>
      </c>
      <c r="L47" s="6">
        <f t="shared" si="4"/>
        <v>4.9295351124448095E-6</v>
      </c>
    </row>
    <row r="48" spans="1:12" ht="22.95" customHeight="1">
      <c r="A48" s="5">
        <v>1</v>
      </c>
      <c r="B48" s="7" t="s">
        <v>259</v>
      </c>
      <c r="C48" s="7" t="s">
        <v>291</v>
      </c>
      <c r="D48" s="5">
        <v>240</v>
      </c>
      <c r="E48" s="5">
        <v>150</v>
      </c>
      <c r="F48" s="5">
        <v>38</v>
      </c>
      <c r="G48" s="5">
        <v>28</v>
      </c>
      <c r="H48" s="6">
        <f t="shared" si="0"/>
        <v>1.014075794560075E-4</v>
      </c>
      <c r="I48" s="6">
        <f t="shared" si="1"/>
        <v>0.15833333333333333</v>
      </c>
      <c r="J48" s="6">
        <f t="shared" si="2"/>
        <v>0.18666666666666668</v>
      </c>
      <c r="K48" s="6">
        <f t="shared" si="3"/>
        <v>1.6056200080534521E-5</v>
      </c>
      <c r="L48" s="6">
        <f t="shared" si="4"/>
        <v>1.8929414831788066E-5</v>
      </c>
    </row>
    <row r="49" spans="1:12" ht="22.95" customHeight="1">
      <c r="A49" s="5">
        <v>1</v>
      </c>
      <c r="B49" s="7" t="s">
        <v>198</v>
      </c>
      <c r="C49" s="7" t="s">
        <v>303</v>
      </c>
      <c r="D49" s="5">
        <v>4</v>
      </c>
      <c r="E49" s="5">
        <v>9</v>
      </c>
      <c r="F49" s="5">
        <v>4</v>
      </c>
      <c r="G49" s="5">
        <v>6</v>
      </c>
      <c r="H49" s="6">
        <f t="shared" si="0"/>
        <v>1.6901263242667916E-6</v>
      </c>
      <c r="I49" s="6">
        <f t="shared" si="1"/>
        <v>1</v>
      </c>
      <c r="J49" s="6">
        <f t="shared" si="2"/>
        <v>0.66666666666666663</v>
      </c>
      <c r="K49" s="6">
        <f t="shared" si="3"/>
        <v>1.6901263242667916E-6</v>
      </c>
      <c r="L49" s="6">
        <f t="shared" si="4"/>
        <v>1.1267508828445277E-6</v>
      </c>
    </row>
    <row r="50" spans="1:12" ht="22.95" customHeight="1">
      <c r="A50" s="5">
        <v>1</v>
      </c>
      <c r="B50" s="7" t="s">
        <v>102</v>
      </c>
      <c r="C50" s="7" t="s">
        <v>296</v>
      </c>
      <c r="D50" s="5">
        <v>1460</v>
      </c>
      <c r="E50" s="5">
        <v>1463</v>
      </c>
      <c r="F50" s="5">
        <v>0</v>
      </c>
      <c r="G50" s="5">
        <v>0</v>
      </c>
      <c r="H50" s="6">
        <f t="shared" si="0"/>
        <v>6.1689610835737887E-4</v>
      </c>
      <c r="I50" s="6">
        <f t="shared" si="1"/>
        <v>0</v>
      </c>
      <c r="J50" s="6">
        <f t="shared" si="2"/>
        <v>0</v>
      </c>
      <c r="K50" s="6">
        <f t="shared" si="3"/>
        <v>0</v>
      </c>
      <c r="L50" s="6">
        <f t="shared" si="4"/>
        <v>0</v>
      </c>
    </row>
    <row r="51" spans="1:12" ht="22.95" customHeight="1">
      <c r="A51" s="5">
        <v>1</v>
      </c>
      <c r="B51" s="7" t="s">
        <v>131</v>
      </c>
      <c r="C51" s="7" t="s">
        <v>291</v>
      </c>
      <c r="D51" s="5">
        <v>119</v>
      </c>
      <c r="E51" s="5">
        <v>536</v>
      </c>
      <c r="F51" s="5">
        <v>59</v>
      </c>
      <c r="G51" s="5">
        <v>130</v>
      </c>
      <c r="H51" s="6">
        <f t="shared" si="0"/>
        <v>5.0281258146937049E-5</v>
      </c>
      <c r="I51" s="6">
        <f t="shared" si="1"/>
        <v>0.49579831932773111</v>
      </c>
      <c r="J51" s="6">
        <f t="shared" si="2"/>
        <v>0.24253731343283583</v>
      </c>
      <c r="K51" s="6">
        <f t="shared" si="3"/>
        <v>2.4929363282935175E-5</v>
      </c>
      <c r="L51" s="6">
        <f t="shared" si="4"/>
        <v>1.2195081266981001E-5</v>
      </c>
    </row>
    <row r="52" spans="1:12" ht="22.95" customHeight="1">
      <c r="A52" s="5">
        <v>1</v>
      </c>
      <c r="B52" s="7" t="s">
        <v>177</v>
      </c>
      <c r="C52" s="7" t="s">
        <v>291</v>
      </c>
      <c r="D52" s="5">
        <v>12</v>
      </c>
      <c r="E52" s="5">
        <v>24</v>
      </c>
      <c r="F52" s="5">
        <v>7</v>
      </c>
      <c r="G52" s="5">
        <v>15</v>
      </c>
      <c r="H52" s="6">
        <f t="shared" si="0"/>
        <v>5.0703789728003743E-6</v>
      </c>
      <c r="I52" s="6">
        <f t="shared" si="1"/>
        <v>0.58333333333333337</v>
      </c>
      <c r="J52" s="6">
        <f t="shared" si="2"/>
        <v>0.625</v>
      </c>
      <c r="K52" s="6">
        <f t="shared" si="3"/>
        <v>2.9577210674668854E-6</v>
      </c>
      <c r="L52" s="6">
        <f t="shared" si="4"/>
        <v>3.1689868580002338E-6</v>
      </c>
    </row>
    <row r="53" spans="1:12" ht="22.95" customHeight="1">
      <c r="A53" s="5">
        <v>1</v>
      </c>
      <c r="B53" s="7" t="s">
        <v>258</v>
      </c>
      <c r="C53" s="7" t="s">
        <v>292</v>
      </c>
      <c r="D53" s="5">
        <v>198</v>
      </c>
      <c r="E53" s="5">
        <v>72</v>
      </c>
      <c r="F53" s="5">
        <v>122</v>
      </c>
      <c r="G53" s="5">
        <v>43</v>
      </c>
      <c r="H53" s="6">
        <f t="shared" si="0"/>
        <v>8.366125305120618E-5</v>
      </c>
      <c r="I53" s="6">
        <f t="shared" si="1"/>
        <v>0.61616161616161613</v>
      </c>
      <c r="J53" s="6">
        <f t="shared" si="2"/>
        <v>0.59722222222222221</v>
      </c>
      <c r="K53" s="6">
        <f t="shared" si="3"/>
        <v>5.1548852890137138E-5</v>
      </c>
      <c r="L53" s="6">
        <f t="shared" si="4"/>
        <v>4.9964359461137022E-5</v>
      </c>
    </row>
    <row r="54" spans="1:12" ht="22.95" customHeight="1">
      <c r="A54" s="5">
        <v>1</v>
      </c>
      <c r="B54" s="7" t="s">
        <v>183</v>
      </c>
      <c r="C54" s="7" t="s">
        <v>303</v>
      </c>
      <c r="D54" s="5">
        <v>108</v>
      </c>
      <c r="E54" s="5">
        <v>130</v>
      </c>
      <c r="F54" s="5">
        <v>69</v>
      </c>
      <c r="G54" s="5">
        <v>89</v>
      </c>
      <c r="H54" s="6">
        <f t="shared" si="0"/>
        <v>4.5633410755203371E-5</v>
      </c>
      <c r="I54" s="6">
        <f t="shared" si="1"/>
        <v>0.63888888888888884</v>
      </c>
      <c r="J54" s="6">
        <f t="shared" si="2"/>
        <v>0.68461538461538463</v>
      </c>
      <c r="K54" s="6">
        <f t="shared" si="3"/>
        <v>2.9154679093602151E-5</v>
      </c>
      <c r="L54" s="6">
        <f t="shared" si="4"/>
        <v>3.1241335055485385E-5</v>
      </c>
    </row>
    <row r="55" spans="1:12" ht="22.95" customHeight="1">
      <c r="A55" s="5">
        <v>1</v>
      </c>
      <c r="B55" s="7" t="s">
        <v>118</v>
      </c>
      <c r="C55" s="7" t="s">
        <v>299</v>
      </c>
      <c r="D55" s="5">
        <v>1342</v>
      </c>
      <c r="E55" s="5">
        <v>1423</v>
      </c>
      <c r="F55" s="5">
        <v>620</v>
      </c>
      <c r="G55" s="5">
        <v>691</v>
      </c>
      <c r="H55" s="6">
        <f t="shared" si="0"/>
        <v>5.6703738179150851E-4</v>
      </c>
      <c r="I55" s="6">
        <f t="shared" si="1"/>
        <v>0.46199701937406856</v>
      </c>
      <c r="J55" s="6">
        <f t="shared" si="2"/>
        <v>0.48559381588193956</v>
      </c>
      <c r="K55" s="6">
        <f t="shared" si="3"/>
        <v>2.6196958026135266E-4</v>
      </c>
      <c r="L55" s="6">
        <f t="shared" si="4"/>
        <v>2.7534984597184285E-4</v>
      </c>
    </row>
    <row r="56" spans="1:12" ht="22.95" customHeight="1">
      <c r="A56" s="5">
        <v>1</v>
      </c>
      <c r="B56" s="7" t="s">
        <v>223</v>
      </c>
      <c r="C56" s="7" t="s">
        <v>296</v>
      </c>
      <c r="D56" s="5">
        <v>5</v>
      </c>
      <c r="E56" s="5">
        <v>4</v>
      </c>
      <c r="F56" s="5">
        <v>0</v>
      </c>
      <c r="G56" s="5">
        <v>0</v>
      </c>
      <c r="H56" s="6">
        <f t="shared" si="0"/>
        <v>2.1126579053334894E-6</v>
      </c>
      <c r="I56" s="6">
        <f t="shared" si="1"/>
        <v>0</v>
      </c>
      <c r="J56" s="6">
        <f t="shared" si="2"/>
        <v>0</v>
      </c>
      <c r="K56" s="6">
        <f t="shared" si="3"/>
        <v>0</v>
      </c>
      <c r="L56" s="6">
        <f t="shared" si="4"/>
        <v>0</v>
      </c>
    </row>
    <row r="57" spans="1:12" ht="22.95" customHeight="1">
      <c r="A57" s="5">
        <v>1</v>
      </c>
      <c r="B57" s="7" t="s">
        <v>129</v>
      </c>
      <c r="C57" s="7" t="s">
        <v>291</v>
      </c>
      <c r="D57" s="5">
        <v>576</v>
      </c>
      <c r="E57" s="5">
        <v>525</v>
      </c>
      <c r="F57" s="5">
        <v>435</v>
      </c>
      <c r="G57" s="5">
        <v>360</v>
      </c>
      <c r="H57" s="6">
        <f t="shared" si="0"/>
        <v>2.4337819069441798E-4</v>
      </c>
      <c r="I57" s="6">
        <f t="shared" si="1"/>
        <v>0.75520833333333337</v>
      </c>
      <c r="J57" s="6">
        <f t="shared" si="2"/>
        <v>0.68571428571428572</v>
      </c>
      <c r="K57" s="6">
        <f t="shared" si="3"/>
        <v>1.8380123776401359E-4</v>
      </c>
      <c r="L57" s="6">
        <f t="shared" si="4"/>
        <v>1.6688790219045803E-4</v>
      </c>
    </row>
    <row r="58" spans="1:12" ht="22.95" customHeight="1">
      <c r="A58" s="5">
        <v>1</v>
      </c>
      <c r="B58" s="7" t="s">
        <v>100</v>
      </c>
      <c r="C58" s="7" t="s">
        <v>290</v>
      </c>
      <c r="D58" s="5">
        <v>4925</v>
      </c>
      <c r="E58" s="5">
        <v>5465</v>
      </c>
      <c r="F58" s="5">
        <v>1962</v>
      </c>
      <c r="G58" s="5">
        <v>2611</v>
      </c>
      <c r="H58" s="6">
        <f t="shared" si="0"/>
        <v>2.0809680367534869E-3</v>
      </c>
      <c r="I58" s="6">
        <f t="shared" si="1"/>
        <v>0.39837563451776647</v>
      </c>
      <c r="J58" s="6">
        <f t="shared" si="2"/>
        <v>0.4777676120768527</v>
      </c>
      <c r="K58" s="6">
        <f t="shared" si="3"/>
        <v>8.2900696205286107E-4</v>
      </c>
      <c r="L58" s="6">
        <f t="shared" si="4"/>
        <v>9.9421912972796965E-4</v>
      </c>
    </row>
    <row r="59" spans="1:12" ht="22.95" customHeight="1">
      <c r="A59" s="5">
        <v>1</v>
      </c>
      <c r="B59" s="7" t="s">
        <v>92</v>
      </c>
      <c r="C59" s="7" t="s">
        <v>293</v>
      </c>
      <c r="D59" s="5">
        <v>1014</v>
      </c>
      <c r="E59" s="5">
        <v>684</v>
      </c>
      <c r="F59" s="5">
        <v>290</v>
      </c>
      <c r="G59" s="5">
        <v>121</v>
      </c>
      <c r="H59" s="6">
        <f t="shared" si="0"/>
        <v>4.2844702320163163E-4</v>
      </c>
      <c r="I59" s="6">
        <f t="shared" si="1"/>
        <v>0.28599605522682447</v>
      </c>
      <c r="J59" s="6">
        <f t="shared" si="2"/>
        <v>0.17690058479532164</v>
      </c>
      <c r="K59" s="6">
        <f t="shared" si="3"/>
        <v>1.2253415850934239E-4</v>
      </c>
      <c r="L59" s="6">
        <f t="shared" si="4"/>
        <v>7.5792528958183375E-5</v>
      </c>
    </row>
    <row r="60" spans="1:12" ht="22.95" customHeight="1">
      <c r="A60" s="5">
        <v>1</v>
      </c>
      <c r="B60" s="7" t="s">
        <v>173</v>
      </c>
      <c r="C60" s="7" t="s">
        <v>303</v>
      </c>
      <c r="D60" s="5">
        <v>147</v>
      </c>
      <c r="E60" s="5">
        <v>133</v>
      </c>
      <c r="F60" s="5">
        <v>72</v>
      </c>
      <c r="G60" s="5">
        <v>88</v>
      </c>
      <c r="H60" s="6">
        <f t="shared" si="0"/>
        <v>6.2112142416804591E-5</v>
      </c>
      <c r="I60" s="6">
        <f t="shared" si="1"/>
        <v>0.48979591836734693</v>
      </c>
      <c r="J60" s="6">
        <f t="shared" si="2"/>
        <v>0.66165413533834583</v>
      </c>
      <c r="K60" s="6">
        <f t="shared" si="3"/>
        <v>3.0422273836802247E-5</v>
      </c>
      <c r="L60" s="6">
        <f t="shared" si="4"/>
        <v>4.1096755884803034E-5</v>
      </c>
    </row>
    <row r="61" spans="1:12" ht="22.95" customHeight="1">
      <c r="A61" s="5">
        <v>1</v>
      </c>
      <c r="B61" s="7" t="s">
        <v>233</v>
      </c>
      <c r="C61" s="7" t="s">
        <v>292</v>
      </c>
      <c r="D61" s="5">
        <v>698</v>
      </c>
      <c r="E61" s="5">
        <v>647</v>
      </c>
      <c r="F61" s="5">
        <v>239</v>
      </c>
      <c r="G61" s="5">
        <v>210</v>
      </c>
      <c r="H61" s="6">
        <f t="shared" si="0"/>
        <v>2.9492704358455513E-4</v>
      </c>
      <c r="I61" s="6">
        <f t="shared" si="1"/>
        <v>0.34240687679083093</v>
      </c>
      <c r="J61" s="6">
        <f t="shared" si="2"/>
        <v>0.32457496136012365</v>
      </c>
      <c r="K61" s="6">
        <f t="shared" si="3"/>
        <v>1.009850478749408E-4</v>
      </c>
      <c r="L61" s="6">
        <f t="shared" si="4"/>
        <v>9.5725933775512488E-5</v>
      </c>
    </row>
    <row r="62" spans="1:12" ht="22.95" customHeight="1">
      <c r="A62" s="5">
        <v>1</v>
      </c>
      <c r="B62" s="7" t="s">
        <v>133</v>
      </c>
      <c r="C62" s="7" t="s">
        <v>293</v>
      </c>
      <c r="D62" s="5">
        <v>324</v>
      </c>
      <c r="E62" s="5">
        <v>240</v>
      </c>
      <c r="F62" s="5">
        <v>149</v>
      </c>
      <c r="G62" s="5">
        <v>90</v>
      </c>
      <c r="H62" s="6">
        <f t="shared" si="0"/>
        <v>1.3690023226561011E-4</v>
      </c>
      <c r="I62" s="6">
        <f t="shared" si="1"/>
        <v>0.45987654320987653</v>
      </c>
      <c r="J62" s="6">
        <f t="shared" si="2"/>
        <v>0.375</v>
      </c>
      <c r="K62" s="6">
        <f t="shared" si="3"/>
        <v>6.2957205578937988E-5</v>
      </c>
      <c r="L62" s="6">
        <f t="shared" si="4"/>
        <v>5.1337587099603796E-5</v>
      </c>
    </row>
    <row r="63" spans="1:12" ht="22.95" customHeight="1">
      <c r="A63" s="5">
        <v>1</v>
      </c>
      <c r="B63" s="7" t="s">
        <v>210</v>
      </c>
      <c r="C63" s="7" t="s">
        <v>296</v>
      </c>
      <c r="D63" s="5">
        <v>1</v>
      </c>
      <c r="E63" s="5">
        <v>1</v>
      </c>
      <c r="F63" s="5">
        <v>0</v>
      </c>
      <c r="G63" s="5">
        <v>0</v>
      </c>
      <c r="H63" s="6">
        <f t="shared" si="0"/>
        <v>4.2253158106669789E-7</v>
      </c>
      <c r="I63" s="6">
        <f t="shared" si="1"/>
        <v>0</v>
      </c>
      <c r="J63" s="6">
        <f t="shared" si="2"/>
        <v>0</v>
      </c>
      <c r="K63" s="6">
        <f t="shared" si="3"/>
        <v>0</v>
      </c>
      <c r="L63" s="6">
        <f t="shared" si="4"/>
        <v>0</v>
      </c>
    </row>
    <row r="64" spans="1:12" ht="22.95" customHeight="1">
      <c r="A64" s="5">
        <v>1</v>
      </c>
      <c r="B64" s="7" t="s">
        <v>280</v>
      </c>
      <c r="C64" s="7" t="s">
        <v>292</v>
      </c>
      <c r="D64" s="5">
        <v>3543</v>
      </c>
      <c r="E64" s="5">
        <v>2408</v>
      </c>
      <c r="F64" s="5">
        <v>0</v>
      </c>
      <c r="G64" s="5">
        <v>0</v>
      </c>
      <c r="H64" s="6">
        <f t="shared" si="0"/>
        <v>1.4970293917193106E-3</v>
      </c>
      <c r="I64" s="6">
        <f t="shared" si="1"/>
        <v>0</v>
      </c>
      <c r="J64" s="6">
        <f t="shared" si="2"/>
        <v>0</v>
      </c>
      <c r="K64" s="6">
        <f t="shared" si="3"/>
        <v>0</v>
      </c>
      <c r="L64" s="6">
        <f t="shared" si="4"/>
        <v>0</v>
      </c>
    </row>
    <row r="65" spans="1:12" ht="22.95" customHeight="1">
      <c r="A65" s="5">
        <v>1</v>
      </c>
      <c r="B65" s="7" t="s">
        <v>98</v>
      </c>
      <c r="C65" s="7" t="s">
        <v>292</v>
      </c>
      <c r="D65" s="5">
        <v>3994</v>
      </c>
      <c r="E65" s="5">
        <v>4135</v>
      </c>
      <c r="F65" s="5">
        <v>1417</v>
      </c>
      <c r="G65" s="5">
        <v>1499</v>
      </c>
      <c r="H65" s="6">
        <f t="shared" si="0"/>
        <v>1.6875911347803913E-3</v>
      </c>
      <c r="I65" s="6">
        <f t="shared" si="1"/>
        <v>0.35478217325988981</v>
      </c>
      <c r="J65" s="6">
        <f t="shared" si="2"/>
        <v>0.36251511487303506</v>
      </c>
      <c r="K65" s="6">
        <f t="shared" si="3"/>
        <v>5.9872725037151081E-4</v>
      </c>
      <c r="L65" s="6">
        <f t="shared" si="4"/>
        <v>6.1177729408362917E-4</v>
      </c>
    </row>
    <row r="66" spans="1:12" ht="22.95" customHeight="1">
      <c r="A66" s="5">
        <v>1</v>
      </c>
      <c r="B66" s="7" t="s">
        <v>231</v>
      </c>
      <c r="C66" s="7" t="s">
        <v>295</v>
      </c>
      <c r="D66" s="5">
        <v>9</v>
      </c>
      <c r="E66" s="5">
        <v>8</v>
      </c>
      <c r="F66" s="5">
        <v>8</v>
      </c>
      <c r="G66" s="5">
        <v>6</v>
      </c>
      <c r="H66" s="6">
        <f t="shared" si="0"/>
        <v>3.8027842296002809E-6</v>
      </c>
      <c r="I66" s="6">
        <f t="shared" si="1"/>
        <v>0.88888888888888884</v>
      </c>
      <c r="J66" s="6">
        <f t="shared" si="2"/>
        <v>0.75</v>
      </c>
      <c r="K66" s="6">
        <f t="shared" si="3"/>
        <v>3.3802526485335827E-6</v>
      </c>
      <c r="L66" s="6">
        <f t="shared" si="4"/>
        <v>2.8520881722002107E-6</v>
      </c>
    </row>
    <row r="67" spans="1:12" ht="22.95" customHeight="1">
      <c r="A67" s="5">
        <v>1</v>
      </c>
      <c r="B67" s="7" t="s">
        <v>263</v>
      </c>
      <c r="C67" s="7" t="s">
        <v>295</v>
      </c>
      <c r="D67" s="5">
        <v>166</v>
      </c>
      <c r="E67" s="5">
        <v>123</v>
      </c>
      <c r="F67" s="5">
        <v>133</v>
      </c>
      <c r="G67" s="5">
        <v>94</v>
      </c>
      <c r="H67" s="6">
        <f t="shared" si="0"/>
        <v>7.0140242457071851E-5</v>
      </c>
      <c r="I67" s="6">
        <f t="shared" si="1"/>
        <v>0.8012048192771084</v>
      </c>
      <c r="J67" s="6">
        <f t="shared" si="2"/>
        <v>0.76422764227642281</v>
      </c>
      <c r="K67" s="6">
        <f t="shared" si="3"/>
        <v>5.6196700281870817E-5</v>
      </c>
      <c r="L67" s="6">
        <f t="shared" si="4"/>
        <v>5.360311212166467E-5</v>
      </c>
    </row>
    <row r="68" spans="1:12" ht="22.95" customHeight="1">
      <c r="A68" s="5">
        <v>1</v>
      </c>
      <c r="B68" s="7" t="s">
        <v>242</v>
      </c>
      <c r="C68" s="7" t="s">
        <v>303</v>
      </c>
      <c r="D68" s="5">
        <v>35</v>
      </c>
      <c r="E68" s="5">
        <v>31</v>
      </c>
      <c r="F68" s="5">
        <v>13</v>
      </c>
      <c r="G68" s="5">
        <v>17</v>
      </c>
      <c r="H68" s="6">
        <f t="shared" si="0"/>
        <v>1.4788605337334425E-5</v>
      </c>
      <c r="I68" s="6">
        <f t="shared" si="1"/>
        <v>0.37142857142857144</v>
      </c>
      <c r="J68" s="6">
        <f t="shared" si="2"/>
        <v>0.54838709677419351</v>
      </c>
      <c r="K68" s="6">
        <f t="shared" si="3"/>
        <v>5.4929105538670721E-6</v>
      </c>
      <c r="L68" s="6">
        <f t="shared" si="4"/>
        <v>8.1098803462801677E-6</v>
      </c>
    </row>
    <row r="69" spans="1:12" ht="22.95" customHeight="1">
      <c r="A69" s="5">
        <v>1</v>
      </c>
      <c r="B69" s="7" t="s">
        <v>283</v>
      </c>
      <c r="C69" s="7" t="s">
        <v>295</v>
      </c>
      <c r="D69" s="5">
        <v>1657</v>
      </c>
      <c r="E69" s="5">
        <v>609</v>
      </c>
      <c r="F69" s="5">
        <v>1533</v>
      </c>
      <c r="G69" s="5">
        <v>551</v>
      </c>
      <c r="H69" s="6">
        <f t="shared" si="0"/>
        <v>7.0013482982751838E-4</v>
      </c>
      <c r="I69" s="6">
        <f t="shared" si="1"/>
        <v>0.92516596258298134</v>
      </c>
      <c r="J69" s="6">
        <f t="shared" si="2"/>
        <v>0.90476190476190477</v>
      </c>
      <c r="K69" s="6">
        <f t="shared" si="3"/>
        <v>6.4774091377524791E-4</v>
      </c>
      <c r="L69" s="6">
        <f t="shared" si="4"/>
        <v>6.3345532222489759E-4</v>
      </c>
    </row>
    <row r="70" spans="1:12" ht="22.95" customHeight="1">
      <c r="A70" s="5">
        <v>1</v>
      </c>
      <c r="B70" s="7" t="s">
        <v>147</v>
      </c>
      <c r="C70" s="7" t="s">
        <v>292</v>
      </c>
      <c r="D70" s="5">
        <v>159</v>
      </c>
      <c r="E70" s="5">
        <v>115</v>
      </c>
      <c r="F70" s="5">
        <v>106</v>
      </c>
      <c r="G70" s="5">
        <v>84</v>
      </c>
      <c r="H70" s="6">
        <f t="shared" si="0"/>
        <v>6.7182521389604961E-5</v>
      </c>
      <c r="I70" s="6">
        <f t="shared" si="1"/>
        <v>0.66666666666666663</v>
      </c>
      <c r="J70" s="6">
        <f t="shared" si="2"/>
        <v>0.73043478260869565</v>
      </c>
      <c r="K70" s="6">
        <f t="shared" si="3"/>
        <v>4.4788347593069974E-5</v>
      </c>
      <c r="L70" s="6">
        <f t="shared" si="4"/>
        <v>4.9072450406320144E-5</v>
      </c>
    </row>
    <row r="71" spans="1:12" ht="22.95" customHeight="1">
      <c r="A71" s="5">
        <v>1</v>
      </c>
      <c r="B71" s="7" t="s">
        <v>252</v>
      </c>
      <c r="C71" s="7" t="s">
        <v>291</v>
      </c>
      <c r="D71" s="5">
        <v>20</v>
      </c>
      <c r="E71" s="5">
        <v>12</v>
      </c>
      <c r="F71" s="5">
        <v>6</v>
      </c>
      <c r="G71" s="5">
        <v>6</v>
      </c>
      <c r="H71" s="6">
        <f t="shared" si="0"/>
        <v>8.4506316213339574E-6</v>
      </c>
      <c r="I71" s="6">
        <f t="shared" si="1"/>
        <v>0.3</v>
      </c>
      <c r="J71" s="6">
        <f t="shared" si="2"/>
        <v>0.5</v>
      </c>
      <c r="K71" s="6">
        <f t="shared" si="3"/>
        <v>2.5351894864001871E-6</v>
      </c>
      <c r="L71" s="6">
        <f t="shared" si="4"/>
        <v>4.2253158106669787E-6</v>
      </c>
    </row>
    <row r="72" spans="1:12" ht="22.95" customHeight="1">
      <c r="A72" s="5">
        <v>1</v>
      </c>
      <c r="B72" s="7" t="s">
        <v>103</v>
      </c>
      <c r="C72" s="7" t="s">
        <v>290</v>
      </c>
      <c r="D72" s="5">
        <v>2893</v>
      </c>
      <c r="E72" s="5">
        <v>3558</v>
      </c>
      <c r="F72" s="5">
        <v>1278</v>
      </c>
      <c r="G72" s="5">
        <v>1963</v>
      </c>
      <c r="H72" s="6">
        <f t="shared" si="0"/>
        <v>1.222383864025957E-3</v>
      </c>
      <c r="I72" s="6">
        <f t="shared" si="1"/>
        <v>0.44175596266851019</v>
      </c>
      <c r="J72" s="6">
        <f t="shared" si="2"/>
        <v>0.55171444631815625</v>
      </c>
      <c r="K72" s="6">
        <f t="shared" si="3"/>
        <v>5.399953606032399E-4</v>
      </c>
      <c r="L72" s="6">
        <f t="shared" si="4"/>
        <v>6.7440683672932928E-4</v>
      </c>
    </row>
    <row r="73" spans="1:12" ht="22.95" customHeight="1">
      <c r="A73" s="5">
        <v>1</v>
      </c>
      <c r="B73" s="7" t="s">
        <v>140</v>
      </c>
      <c r="C73" s="7" t="s">
        <v>290</v>
      </c>
      <c r="D73" s="5">
        <v>118</v>
      </c>
      <c r="E73" s="5">
        <v>146</v>
      </c>
      <c r="F73" s="5">
        <v>85</v>
      </c>
      <c r="G73" s="5">
        <v>102</v>
      </c>
      <c r="H73" s="6">
        <f t="shared" si="0"/>
        <v>4.9858726565870351E-5</v>
      </c>
      <c r="I73" s="6">
        <f t="shared" si="1"/>
        <v>0.72033898305084743</v>
      </c>
      <c r="J73" s="6">
        <f t="shared" si="2"/>
        <v>0.69863013698630139</v>
      </c>
      <c r="K73" s="6">
        <f t="shared" si="3"/>
        <v>3.5915184390669316E-5</v>
      </c>
      <c r="L73" s="6">
        <f t="shared" si="4"/>
        <v>3.4832808970676547E-5</v>
      </c>
    </row>
    <row r="74" spans="1:12" ht="22.95" customHeight="1">
      <c r="A74" s="5">
        <v>1</v>
      </c>
      <c r="B74" s="7" t="s">
        <v>144</v>
      </c>
      <c r="C74" s="7" t="s">
        <v>296</v>
      </c>
      <c r="D74" s="5">
        <v>191</v>
      </c>
      <c r="E74" s="5">
        <v>236</v>
      </c>
      <c r="F74" s="5">
        <v>0</v>
      </c>
      <c r="G74" s="5">
        <v>0</v>
      </c>
      <c r="H74" s="6">
        <f t="shared" si="0"/>
        <v>8.070353198373929E-5</v>
      </c>
      <c r="I74" s="6">
        <f t="shared" si="1"/>
        <v>0</v>
      </c>
      <c r="J74" s="6">
        <f t="shared" si="2"/>
        <v>0</v>
      </c>
      <c r="K74" s="6">
        <f t="shared" si="3"/>
        <v>0</v>
      </c>
      <c r="L74" s="6">
        <f t="shared" si="4"/>
        <v>0</v>
      </c>
    </row>
    <row r="75" spans="1:12" ht="22.95" customHeight="1">
      <c r="A75" s="5">
        <v>1</v>
      </c>
      <c r="B75" s="7" t="s">
        <v>107</v>
      </c>
      <c r="C75" s="7" t="s">
        <v>296</v>
      </c>
      <c r="D75" s="5">
        <v>1605</v>
      </c>
      <c r="E75" s="5">
        <v>2003</v>
      </c>
      <c r="F75" s="5">
        <v>0</v>
      </c>
      <c r="G75" s="5">
        <v>0</v>
      </c>
      <c r="H75" s="6">
        <f t="shared" si="0"/>
        <v>6.781631876120501E-4</v>
      </c>
      <c r="I75" s="6">
        <f t="shared" si="1"/>
        <v>0</v>
      </c>
      <c r="J75" s="6">
        <f t="shared" si="2"/>
        <v>0</v>
      </c>
      <c r="K75" s="6">
        <f t="shared" si="3"/>
        <v>0</v>
      </c>
      <c r="L75" s="6">
        <f t="shared" si="4"/>
        <v>0</v>
      </c>
    </row>
    <row r="76" spans="1:12" ht="22.95" customHeight="1">
      <c r="A76" s="5">
        <v>1</v>
      </c>
      <c r="B76" s="7" t="s">
        <v>146</v>
      </c>
      <c r="C76" s="7" t="s">
        <v>296</v>
      </c>
      <c r="D76" s="5">
        <v>252</v>
      </c>
      <c r="E76" s="5">
        <v>245</v>
      </c>
      <c r="F76" s="5">
        <v>0</v>
      </c>
      <c r="G76" s="5">
        <v>0</v>
      </c>
      <c r="H76" s="6">
        <f t="shared" si="0"/>
        <v>1.0647795842880787E-4</v>
      </c>
      <c r="I76" s="6">
        <f t="shared" si="1"/>
        <v>0</v>
      </c>
      <c r="J76" s="6">
        <f t="shared" si="2"/>
        <v>0</v>
      </c>
      <c r="K76" s="6">
        <f t="shared" si="3"/>
        <v>0</v>
      </c>
      <c r="L76" s="6">
        <f t="shared" si="4"/>
        <v>0</v>
      </c>
    </row>
    <row r="77" spans="1:12" ht="22.95" customHeight="1">
      <c r="A77" s="5">
        <v>1</v>
      </c>
      <c r="B77" s="7" t="s">
        <v>143</v>
      </c>
      <c r="C77" s="7" t="s">
        <v>304</v>
      </c>
      <c r="D77" s="5">
        <v>649</v>
      </c>
      <c r="E77" s="5">
        <v>1026</v>
      </c>
      <c r="F77" s="5">
        <v>239</v>
      </c>
      <c r="G77" s="5">
        <v>345</v>
      </c>
      <c r="H77" s="6">
        <f t="shared" si="0"/>
        <v>2.7422299611228691E-4</v>
      </c>
      <c r="I77" s="6">
        <f t="shared" si="1"/>
        <v>0.36825885978428352</v>
      </c>
      <c r="J77" s="6">
        <f t="shared" si="2"/>
        <v>0.33625730994152048</v>
      </c>
      <c r="K77" s="6">
        <f t="shared" si="3"/>
        <v>1.009850478749408E-4</v>
      </c>
      <c r="L77" s="6">
        <f t="shared" si="4"/>
        <v>9.2209486996821624E-5</v>
      </c>
    </row>
    <row r="78" spans="1:12" ht="22.95" customHeight="1">
      <c r="A78" s="5">
        <v>1</v>
      </c>
      <c r="B78" s="7" t="s">
        <v>143</v>
      </c>
      <c r="C78" s="7" t="s">
        <v>295</v>
      </c>
      <c r="D78" s="5">
        <v>1774</v>
      </c>
      <c r="E78" s="5">
        <v>2141</v>
      </c>
      <c r="F78" s="5">
        <v>745</v>
      </c>
      <c r="G78" s="5">
        <v>772</v>
      </c>
      <c r="H78" s="6">
        <f t="shared" si="0"/>
        <v>7.4957102481232199E-4</v>
      </c>
      <c r="I78" s="6">
        <f t="shared" si="1"/>
        <v>0.41995490417136416</v>
      </c>
      <c r="J78" s="6">
        <f t="shared" si="2"/>
        <v>0.36057916861279776</v>
      </c>
      <c r="K78" s="6">
        <f t="shared" si="3"/>
        <v>3.1478602789468993E-4</v>
      </c>
      <c r="L78" s="6">
        <f t="shared" si="4"/>
        <v>2.7027969694306988E-4</v>
      </c>
    </row>
    <row r="79" spans="1:12" ht="22.95" customHeight="1">
      <c r="A79" s="5">
        <v>1</v>
      </c>
      <c r="B79" s="7" t="s">
        <v>106</v>
      </c>
      <c r="C79" s="7" t="s">
        <v>290</v>
      </c>
      <c r="D79" s="5">
        <v>2425</v>
      </c>
      <c r="E79" s="5">
        <v>2907</v>
      </c>
      <c r="F79" s="5">
        <v>859</v>
      </c>
      <c r="G79" s="5">
        <v>1296</v>
      </c>
      <c r="H79" s="6">
        <f t="shared" si="0"/>
        <v>1.0246390840867423E-3</v>
      </c>
      <c r="I79" s="6">
        <f t="shared" si="1"/>
        <v>0.35422680412371133</v>
      </c>
      <c r="J79" s="6">
        <f t="shared" si="2"/>
        <v>0.44582043343653249</v>
      </c>
      <c r="K79" s="6">
        <f t="shared" si="3"/>
        <v>3.6295462813629343E-4</v>
      </c>
      <c r="L79" s="6">
        <f t="shared" si="4"/>
        <v>4.5680504058356311E-4</v>
      </c>
    </row>
    <row r="80" spans="1:12" ht="22.95" customHeight="1">
      <c r="A80" s="5">
        <v>1</v>
      </c>
      <c r="B80" s="7" t="s">
        <v>186</v>
      </c>
      <c r="C80" s="7" t="s">
        <v>291</v>
      </c>
      <c r="D80" s="5">
        <v>12</v>
      </c>
      <c r="E80" s="5">
        <v>11</v>
      </c>
      <c r="F80" s="5">
        <v>7</v>
      </c>
      <c r="G80" s="5">
        <v>11</v>
      </c>
      <c r="H80" s="6">
        <f t="shared" si="0"/>
        <v>5.0703789728003743E-6</v>
      </c>
      <c r="I80" s="6">
        <f t="shared" si="1"/>
        <v>0.58333333333333337</v>
      </c>
      <c r="J80" s="6">
        <f t="shared" si="2"/>
        <v>1</v>
      </c>
      <c r="K80" s="6">
        <f t="shared" si="3"/>
        <v>2.9577210674668854E-6</v>
      </c>
      <c r="L80" s="6">
        <f t="shared" si="4"/>
        <v>5.0703789728003743E-6</v>
      </c>
    </row>
    <row r="81" spans="1:12" ht="22.95" customHeight="1">
      <c r="A81" s="5">
        <v>1</v>
      </c>
      <c r="B81" s="7" t="s">
        <v>190</v>
      </c>
      <c r="C81" s="7" t="s">
        <v>291</v>
      </c>
      <c r="D81" s="5">
        <v>30</v>
      </c>
      <c r="E81" s="5">
        <v>29</v>
      </c>
      <c r="F81" s="5">
        <v>20</v>
      </c>
      <c r="G81" s="5">
        <v>21</v>
      </c>
      <c r="H81" s="6">
        <f t="shared" si="0"/>
        <v>1.2675947432000937E-5</v>
      </c>
      <c r="I81" s="6">
        <f t="shared" si="1"/>
        <v>0.66666666666666663</v>
      </c>
      <c r="J81" s="6">
        <f t="shared" si="2"/>
        <v>0.72413793103448276</v>
      </c>
      <c r="K81" s="6">
        <f t="shared" si="3"/>
        <v>8.4506316213339574E-6</v>
      </c>
      <c r="L81" s="6">
        <f t="shared" si="4"/>
        <v>9.179134347311023E-6</v>
      </c>
    </row>
    <row r="82" spans="1:12" ht="22.95" customHeight="1">
      <c r="A82" s="5">
        <v>1</v>
      </c>
      <c r="B82" s="7" t="s">
        <v>124</v>
      </c>
      <c r="C82" s="7" t="s">
        <v>303</v>
      </c>
      <c r="D82" s="5">
        <v>913</v>
      </c>
      <c r="E82" s="5">
        <v>977</v>
      </c>
      <c r="F82" s="5">
        <v>425</v>
      </c>
      <c r="G82" s="5">
        <v>497</v>
      </c>
      <c r="H82" s="6">
        <f t="shared" si="0"/>
        <v>3.8577133351389519E-4</v>
      </c>
      <c r="I82" s="6">
        <f t="shared" si="1"/>
        <v>0.46549835706462211</v>
      </c>
      <c r="J82" s="6">
        <f t="shared" si="2"/>
        <v>0.50870010235414531</v>
      </c>
      <c r="K82" s="6">
        <f t="shared" si="3"/>
        <v>1.7957592195334661E-4</v>
      </c>
      <c r="L82" s="6">
        <f t="shared" si="4"/>
        <v>1.9624191684381362E-4</v>
      </c>
    </row>
    <row r="83" spans="1:12" ht="22.95" customHeight="1">
      <c r="A83" s="5">
        <v>1</v>
      </c>
      <c r="B83" s="7" t="s">
        <v>170</v>
      </c>
      <c r="C83" s="7" t="s">
        <v>303</v>
      </c>
      <c r="D83" s="5">
        <v>270</v>
      </c>
      <c r="E83" s="5">
        <v>265</v>
      </c>
      <c r="F83" s="5">
        <v>191</v>
      </c>
      <c r="G83" s="5">
        <v>184</v>
      </c>
      <c r="H83" s="6">
        <f t="shared" si="0"/>
        <v>1.1408352688800843E-4</v>
      </c>
      <c r="I83" s="6">
        <f t="shared" si="1"/>
        <v>0.70740740740740737</v>
      </c>
      <c r="J83" s="6">
        <f t="shared" si="2"/>
        <v>0.69433962264150939</v>
      </c>
      <c r="K83" s="6">
        <f t="shared" si="3"/>
        <v>8.070353198373929E-5</v>
      </c>
      <c r="L83" s="6">
        <f t="shared" si="4"/>
        <v>7.9212713009032268E-5</v>
      </c>
    </row>
    <row r="84" spans="1:12" ht="22.95" customHeight="1">
      <c r="A84" s="5">
        <v>1</v>
      </c>
      <c r="B84" s="7" t="s">
        <v>125</v>
      </c>
      <c r="C84" s="7" t="s">
        <v>298</v>
      </c>
      <c r="D84" s="5">
        <v>1425</v>
      </c>
      <c r="E84" s="5">
        <v>1298</v>
      </c>
      <c r="F84" s="5">
        <v>1106</v>
      </c>
      <c r="G84" s="5">
        <v>724</v>
      </c>
      <c r="H84" s="6">
        <f t="shared" si="0"/>
        <v>6.0210750302004451E-4</v>
      </c>
      <c r="I84" s="6">
        <f t="shared" si="1"/>
        <v>0.77614035087719302</v>
      </c>
      <c r="J84" s="6">
        <f t="shared" si="2"/>
        <v>0.55778120184899849</v>
      </c>
      <c r="K84" s="6">
        <f t="shared" si="3"/>
        <v>4.673199286597679E-4</v>
      </c>
      <c r="L84" s="6">
        <f t="shared" si="4"/>
        <v>3.3584424667681989E-4</v>
      </c>
    </row>
    <row r="85" spans="1:12" ht="22.95" customHeight="1">
      <c r="A85" s="5">
        <v>1</v>
      </c>
      <c r="B85" s="7" t="s">
        <v>154</v>
      </c>
      <c r="C85" s="7" t="s">
        <v>298</v>
      </c>
      <c r="D85" s="5">
        <v>32</v>
      </c>
      <c r="E85" s="5">
        <v>42</v>
      </c>
      <c r="F85" s="5">
        <v>6</v>
      </c>
      <c r="G85" s="5">
        <v>10</v>
      </c>
      <c r="H85" s="6">
        <f t="shared" si="0"/>
        <v>1.3521010594134333E-5</v>
      </c>
      <c r="I85" s="6">
        <f t="shared" si="1"/>
        <v>0.1875</v>
      </c>
      <c r="J85" s="6">
        <f t="shared" si="2"/>
        <v>0.23809523809523808</v>
      </c>
      <c r="K85" s="6">
        <f t="shared" si="3"/>
        <v>2.5351894864001876E-6</v>
      </c>
      <c r="L85" s="6">
        <f t="shared" si="4"/>
        <v>3.2192882366986505E-6</v>
      </c>
    </row>
    <row r="86" spans="1:12" ht="22.95" customHeight="1">
      <c r="A86" s="5">
        <v>1</v>
      </c>
      <c r="B86" s="7" t="s">
        <v>246</v>
      </c>
      <c r="C86" s="7" t="s">
        <v>298</v>
      </c>
      <c r="D86" s="5">
        <v>10</v>
      </c>
      <c r="E86" s="5">
        <v>8</v>
      </c>
      <c r="F86" s="5">
        <v>2</v>
      </c>
      <c r="G86" s="5">
        <v>4</v>
      </c>
      <c r="H86" s="6">
        <f t="shared" si="0"/>
        <v>4.2253158106669787E-6</v>
      </c>
      <c r="I86" s="6">
        <f t="shared" si="1"/>
        <v>0.2</v>
      </c>
      <c r="J86" s="6">
        <f t="shared" si="2"/>
        <v>0.5</v>
      </c>
      <c r="K86" s="6">
        <f t="shared" si="3"/>
        <v>8.4506316213339578E-7</v>
      </c>
      <c r="L86" s="6">
        <f t="shared" si="4"/>
        <v>2.1126579053334894E-6</v>
      </c>
    </row>
    <row r="87" spans="1:12" ht="22.95" customHeight="1">
      <c r="A87" s="5">
        <v>1</v>
      </c>
      <c r="B87" s="7" t="s">
        <v>95</v>
      </c>
      <c r="C87" s="7" t="s">
        <v>290</v>
      </c>
      <c r="D87" s="5">
        <v>3044</v>
      </c>
      <c r="E87" s="5">
        <v>3790</v>
      </c>
      <c r="F87" s="5">
        <v>1416</v>
      </c>
      <c r="G87" s="5">
        <v>2064</v>
      </c>
      <c r="H87" s="6">
        <f t="shared" si="0"/>
        <v>1.2861861327670284E-3</v>
      </c>
      <c r="I87" s="6">
        <f t="shared" si="1"/>
        <v>0.46517739816031539</v>
      </c>
      <c r="J87" s="6">
        <f t="shared" si="2"/>
        <v>0.54459102902374668</v>
      </c>
      <c r="K87" s="6">
        <f t="shared" si="3"/>
        <v>5.9830471879044429E-4</v>
      </c>
      <c r="L87" s="6">
        <f t="shared" si="4"/>
        <v>7.0044542955966925E-4</v>
      </c>
    </row>
    <row r="88" spans="1:12" ht="22.95" customHeight="1">
      <c r="A88" s="5">
        <v>1</v>
      </c>
      <c r="B88" s="7" t="s">
        <v>105</v>
      </c>
      <c r="C88" s="7" t="s">
        <v>296</v>
      </c>
      <c r="D88" s="5">
        <v>2497</v>
      </c>
      <c r="E88" s="5">
        <v>2457</v>
      </c>
      <c r="F88" s="5">
        <v>0</v>
      </c>
      <c r="G88" s="5">
        <v>0</v>
      </c>
      <c r="H88" s="6">
        <f t="shared" si="0"/>
        <v>1.0550613579235447E-3</v>
      </c>
      <c r="I88" s="6">
        <f t="shared" si="1"/>
        <v>0</v>
      </c>
      <c r="J88" s="6">
        <f t="shared" si="2"/>
        <v>0</v>
      </c>
      <c r="K88" s="6">
        <f t="shared" si="3"/>
        <v>0</v>
      </c>
      <c r="L88" s="6">
        <f t="shared" si="4"/>
        <v>0</v>
      </c>
    </row>
    <row r="89" spans="1:12" ht="22.95" customHeight="1">
      <c r="A89" s="5">
        <v>1</v>
      </c>
      <c r="B89" s="7" t="s">
        <v>268</v>
      </c>
      <c r="C89" s="7" t="s">
        <v>292</v>
      </c>
      <c r="D89" s="5">
        <v>1437</v>
      </c>
      <c r="E89" s="5">
        <v>1199</v>
      </c>
      <c r="F89" s="5">
        <v>0</v>
      </c>
      <c r="G89" s="5">
        <v>0</v>
      </c>
      <c r="H89" s="6">
        <f t="shared" si="0"/>
        <v>6.0717788199284484E-4</v>
      </c>
      <c r="I89" s="6">
        <f t="shared" si="1"/>
        <v>0</v>
      </c>
      <c r="J89" s="6">
        <f t="shared" si="2"/>
        <v>0</v>
      </c>
      <c r="K89" s="6">
        <f t="shared" si="3"/>
        <v>0</v>
      </c>
      <c r="L89" s="6">
        <f t="shared" si="4"/>
        <v>0</v>
      </c>
    </row>
    <row r="90" spans="1:12" ht="22.95" customHeight="1">
      <c r="A90" s="5">
        <v>1</v>
      </c>
      <c r="B90" s="7" t="s">
        <v>268</v>
      </c>
      <c r="C90" s="7" t="s">
        <v>295</v>
      </c>
      <c r="D90" s="5">
        <v>75</v>
      </c>
      <c r="E90" s="5">
        <v>75</v>
      </c>
      <c r="F90" s="5">
        <v>70</v>
      </c>
      <c r="G90" s="5">
        <v>73</v>
      </c>
      <c r="H90" s="6">
        <f t="shared" si="0"/>
        <v>3.1689868580002343E-5</v>
      </c>
      <c r="I90" s="6">
        <f t="shared" si="1"/>
        <v>0.93333333333333335</v>
      </c>
      <c r="J90" s="6">
        <f t="shared" si="2"/>
        <v>0.97333333333333338</v>
      </c>
      <c r="K90" s="6">
        <f t="shared" si="3"/>
        <v>2.9577210674668854E-5</v>
      </c>
      <c r="L90" s="6">
        <f t="shared" si="4"/>
        <v>3.0844805417868946E-5</v>
      </c>
    </row>
    <row r="91" spans="1:12" ht="22.95" customHeight="1">
      <c r="A91" s="5">
        <v>1</v>
      </c>
      <c r="B91" s="7" t="s">
        <v>203</v>
      </c>
      <c r="C91" s="7" t="s">
        <v>298</v>
      </c>
      <c r="D91" s="5">
        <v>37</v>
      </c>
      <c r="E91" s="5">
        <v>31</v>
      </c>
      <c r="F91" s="5">
        <v>14</v>
      </c>
      <c r="G91" s="5">
        <v>14</v>
      </c>
      <c r="H91" s="6">
        <f t="shared" si="0"/>
        <v>1.5633668499467822E-5</v>
      </c>
      <c r="I91" s="6">
        <f t="shared" si="1"/>
        <v>0.3783783783783784</v>
      </c>
      <c r="J91" s="6">
        <f t="shared" si="2"/>
        <v>0.45161290322580644</v>
      </c>
      <c r="K91" s="6">
        <f t="shared" si="3"/>
        <v>5.9154421349337707E-6</v>
      </c>
      <c r="L91" s="6">
        <f t="shared" si="4"/>
        <v>7.0603664191144998E-6</v>
      </c>
    </row>
    <row r="92" spans="1:12" ht="22.95" customHeight="1">
      <c r="A92" s="5">
        <v>1</v>
      </c>
      <c r="B92" s="7" t="s">
        <v>244</v>
      </c>
      <c r="C92" s="7" t="s">
        <v>298</v>
      </c>
      <c r="D92" s="5">
        <v>3</v>
      </c>
      <c r="E92" s="5">
        <v>2</v>
      </c>
      <c r="F92" s="5">
        <v>1</v>
      </c>
      <c r="G92" s="5">
        <v>0</v>
      </c>
      <c r="H92" s="6">
        <f t="shared" si="0"/>
        <v>1.2675947432000936E-6</v>
      </c>
      <c r="I92" s="6">
        <f t="shared" si="1"/>
        <v>0.33333333333333331</v>
      </c>
      <c r="J92" s="6">
        <f t="shared" si="2"/>
        <v>0</v>
      </c>
      <c r="K92" s="6">
        <f t="shared" si="3"/>
        <v>4.2253158106669784E-7</v>
      </c>
      <c r="L92" s="6">
        <f t="shared" si="4"/>
        <v>0</v>
      </c>
    </row>
    <row r="93" spans="1:12" ht="22.95" customHeight="1">
      <c r="A93" s="5">
        <v>1</v>
      </c>
      <c r="B93" s="7" t="s">
        <v>87</v>
      </c>
      <c r="C93" s="7" t="s">
        <v>290</v>
      </c>
      <c r="D93" s="5">
        <v>67229</v>
      </c>
      <c r="E93" s="5">
        <v>79928</v>
      </c>
      <c r="F93" s="5">
        <v>36992</v>
      </c>
      <c r="G93" s="5">
        <v>55507</v>
      </c>
      <c r="H93" s="6">
        <f t="shared" si="0"/>
        <v>2.8406375663533032E-2</v>
      </c>
      <c r="I93" s="6">
        <f t="shared" si="1"/>
        <v>0.55023873625964981</v>
      </c>
      <c r="J93" s="6">
        <f t="shared" si="2"/>
        <v>0.69446251626463817</v>
      </c>
      <c r="K93" s="6">
        <f t="shared" si="3"/>
        <v>1.5630288246819286E-2</v>
      </c>
      <c r="L93" s="6">
        <f t="shared" si="4"/>
        <v>1.972716312125573E-2</v>
      </c>
    </row>
    <row r="94" spans="1:12" ht="22.95" customHeight="1">
      <c r="A94" s="5">
        <v>1</v>
      </c>
      <c r="B94" s="7" t="s">
        <v>255</v>
      </c>
      <c r="C94" s="7" t="s">
        <v>303</v>
      </c>
      <c r="D94" s="5">
        <v>3</v>
      </c>
      <c r="E94" s="5">
        <v>3</v>
      </c>
      <c r="F94" s="5">
        <v>1</v>
      </c>
      <c r="G94" s="5">
        <v>1</v>
      </c>
      <c r="H94" s="6">
        <f t="shared" ref="H94:H157" si="5">D94/$B$16</f>
        <v>1.2675947432000936E-6</v>
      </c>
      <c r="I94" s="6">
        <f t="shared" ref="I94:I157" si="6">F94/D94</f>
        <v>0.33333333333333331</v>
      </c>
      <c r="J94" s="6">
        <f t="shared" ref="J94:J157" si="7">G94/E94</f>
        <v>0.33333333333333331</v>
      </c>
      <c r="K94" s="6">
        <f t="shared" ref="K94:K157" si="8">H94*I94</f>
        <v>4.2253158106669784E-7</v>
      </c>
      <c r="L94" s="6">
        <f t="shared" ref="L94:L157" si="9">H94*J94</f>
        <v>4.2253158106669784E-7</v>
      </c>
    </row>
    <row r="95" spans="1:12" ht="22.95" customHeight="1">
      <c r="A95" s="5">
        <v>1</v>
      </c>
      <c r="B95" s="7" t="s">
        <v>260</v>
      </c>
      <c r="C95" s="7" t="s">
        <v>294</v>
      </c>
      <c r="D95" s="5">
        <v>109</v>
      </c>
      <c r="E95" s="5">
        <v>115</v>
      </c>
      <c r="F95" s="5">
        <v>58</v>
      </c>
      <c r="G95" s="5">
        <v>41</v>
      </c>
      <c r="H95" s="6">
        <f t="shared" si="5"/>
        <v>4.605594233627007E-5</v>
      </c>
      <c r="I95" s="6">
        <f t="shared" si="6"/>
        <v>0.5321100917431193</v>
      </c>
      <c r="J95" s="6">
        <f t="shared" si="7"/>
        <v>0.35652173913043478</v>
      </c>
      <c r="K95" s="6">
        <f t="shared" si="8"/>
        <v>2.450683170186848E-5</v>
      </c>
      <c r="L95" s="6">
        <f t="shared" si="9"/>
        <v>1.6419944659018025E-5</v>
      </c>
    </row>
    <row r="96" spans="1:12" ht="22.95" customHeight="1">
      <c r="A96" s="5">
        <v>1</v>
      </c>
      <c r="B96" s="7" t="s">
        <v>114</v>
      </c>
      <c r="C96" s="7" t="s">
        <v>291</v>
      </c>
      <c r="D96" s="5">
        <v>214</v>
      </c>
      <c r="E96" s="5">
        <v>321</v>
      </c>
      <c r="F96" s="5">
        <v>98</v>
      </c>
      <c r="G96" s="5">
        <v>158</v>
      </c>
      <c r="H96" s="6">
        <f t="shared" si="5"/>
        <v>9.0421758348273345E-5</v>
      </c>
      <c r="I96" s="6">
        <f t="shared" si="6"/>
        <v>0.45794392523364486</v>
      </c>
      <c r="J96" s="6">
        <f t="shared" si="7"/>
        <v>0.49221183800623053</v>
      </c>
      <c r="K96" s="6">
        <f t="shared" si="8"/>
        <v>4.1408094944536392E-5</v>
      </c>
      <c r="L96" s="6">
        <f t="shared" si="9"/>
        <v>4.4506659872358846E-5</v>
      </c>
    </row>
    <row r="97" spans="1:12" ht="22.95" customHeight="1">
      <c r="A97" s="5">
        <v>1</v>
      </c>
      <c r="B97" s="7" t="s">
        <v>114</v>
      </c>
      <c r="C97" s="7" t="s">
        <v>292</v>
      </c>
      <c r="D97" s="5">
        <v>43</v>
      </c>
      <c r="E97" s="5">
        <v>55</v>
      </c>
      <c r="F97" s="5">
        <v>18</v>
      </c>
      <c r="G97" s="5">
        <v>35</v>
      </c>
      <c r="H97" s="6">
        <f t="shared" si="5"/>
        <v>1.8168857985868007E-5</v>
      </c>
      <c r="I97" s="6">
        <f t="shared" si="6"/>
        <v>0.41860465116279072</v>
      </c>
      <c r="J97" s="6">
        <f t="shared" si="7"/>
        <v>0.63636363636363635</v>
      </c>
      <c r="K97" s="6">
        <f t="shared" si="8"/>
        <v>7.6055684592005618E-6</v>
      </c>
      <c r="L97" s="6">
        <f t="shared" si="9"/>
        <v>1.1562000536461458E-5</v>
      </c>
    </row>
    <row r="98" spans="1:12" ht="22.95" customHeight="1">
      <c r="A98" s="5">
        <v>1</v>
      </c>
      <c r="B98" s="7" t="s">
        <v>249</v>
      </c>
      <c r="C98" s="7" t="s">
        <v>291</v>
      </c>
      <c r="D98" s="5">
        <v>6</v>
      </c>
      <c r="E98" s="5">
        <v>7</v>
      </c>
      <c r="F98" s="5">
        <v>2</v>
      </c>
      <c r="G98" s="5">
        <v>3</v>
      </c>
      <c r="H98" s="6">
        <f t="shared" si="5"/>
        <v>2.5351894864001871E-6</v>
      </c>
      <c r="I98" s="6">
        <f t="shared" si="6"/>
        <v>0.33333333333333331</v>
      </c>
      <c r="J98" s="6">
        <f t="shared" si="7"/>
        <v>0.42857142857142855</v>
      </c>
      <c r="K98" s="6">
        <f t="shared" si="8"/>
        <v>8.4506316213339568E-7</v>
      </c>
      <c r="L98" s="6">
        <f t="shared" si="9"/>
        <v>1.0865097798857943E-6</v>
      </c>
    </row>
    <row r="99" spans="1:12" ht="22.95" customHeight="1">
      <c r="A99" s="5">
        <v>1</v>
      </c>
      <c r="B99" s="7" t="s">
        <v>224</v>
      </c>
      <c r="C99" s="7" t="s">
        <v>291</v>
      </c>
      <c r="D99" s="5">
        <v>4</v>
      </c>
      <c r="E99" s="5">
        <v>1</v>
      </c>
      <c r="F99" s="5">
        <v>1</v>
      </c>
      <c r="G99" s="5">
        <v>1</v>
      </c>
      <c r="H99" s="6">
        <f t="shared" si="5"/>
        <v>1.6901263242667916E-6</v>
      </c>
      <c r="I99" s="6">
        <f t="shared" si="6"/>
        <v>0.25</v>
      </c>
      <c r="J99" s="6">
        <f t="shared" si="7"/>
        <v>1</v>
      </c>
      <c r="K99" s="6">
        <f t="shared" si="8"/>
        <v>4.2253158106669789E-7</v>
      </c>
      <c r="L99" s="6">
        <f t="shared" si="9"/>
        <v>1.6901263242667916E-6</v>
      </c>
    </row>
    <row r="100" spans="1:12" ht="22.95" customHeight="1">
      <c r="A100" s="5">
        <v>1</v>
      </c>
      <c r="B100" s="7" t="s">
        <v>209</v>
      </c>
      <c r="C100" s="7" t="s">
        <v>291</v>
      </c>
      <c r="D100" s="5">
        <v>2</v>
      </c>
      <c r="E100" s="5">
        <v>3</v>
      </c>
      <c r="F100" s="5">
        <v>1</v>
      </c>
      <c r="G100" s="5">
        <v>1</v>
      </c>
      <c r="H100" s="6">
        <f t="shared" si="5"/>
        <v>8.4506316213339578E-7</v>
      </c>
      <c r="I100" s="6">
        <f t="shared" si="6"/>
        <v>0.5</v>
      </c>
      <c r="J100" s="6">
        <f t="shared" si="7"/>
        <v>0.33333333333333331</v>
      </c>
      <c r="K100" s="6">
        <f t="shared" si="8"/>
        <v>4.2253158106669789E-7</v>
      </c>
      <c r="L100" s="6">
        <f t="shared" si="9"/>
        <v>2.8168772071113193E-7</v>
      </c>
    </row>
    <row r="101" spans="1:12" ht="22.95" customHeight="1">
      <c r="A101" s="5">
        <v>1</v>
      </c>
      <c r="B101" s="7" t="s">
        <v>272</v>
      </c>
      <c r="C101" s="7" t="s">
        <v>304</v>
      </c>
      <c r="D101" s="5">
        <v>1539</v>
      </c>
      <c r="E101" s="5">
        <v>2515</v>
      </c>
      <c r="F101" s="5">
        <v>411</v>
      </c>
      <c r="G101" s="5">
        <v>457</v>
      </c>
      <c r="H101" s="6">
        <f t="shared" si="5"/>
        <v>6.5027610326164802E-4</v>
      </c>
      <c r="I101" s="6">
        <f t="shared" si="6"/>
        <v>0.26705653021442494</v>
      </c>
      <c r="J101" s="6">
        <f t="shared" si="7"/>
        <v>0.18170974155069583</v>
      </c>
      <c r="K101" s="6">
        <f t="shared" si="8"/>
        <v>1.7366047981841283E-4</v>
      </c>
      <c r="L101" s="6">
        <f t="shared" si="9"/>
        <v>1.1816150266026765E-4</v>
      </c>
    </row>
    <row r="102" spans="1:12" ht="22.95" customHeight="1">
      <c r="A102" s="5">
        <v>1</v>
      </c>
      <c r="B102" s="7" t="s">
        <v>253</v>
      </c>
      <c r="C102" s="7" t="s">
        <v>303</v>
      </c>
      <c r="D102" s="5">
        <v>24</v>
      </c>
      <c r="E102" s="5">
        <v>30</v>
      </c>
      <c r="F102" s="5">
        <v>17</v>
      </c>
      <c r="G102" s="5">
        <v>25</v>
      </c>
      <c r="H102" s="6">
        <f t="shared" si="5"/>
        <v>1.0140757945600749E-5</v>
      </c>
      <c r="I102" s="6">
        <f t="shared" si="6"/>
        <v>0.70833333333333337</v>
      </c>
      <c r="J102" s="6">
        <f t="shared" si="7"/>
        <v>0.83333333333333337</v>
      </c>
      <c r="K102" s="6">
        <f t="shared" si="8"/>
        <v>7.1830368781338641E-6</v>
      </c>
      <c r="L102" s="6">
        <f t="shared" si="9"/>
        <v>8.4506316213339574E-6</v>
      </c>
    </row>
    <row r="103" spans="1:12" ht="22.95" customHeight="1">
      <c r="A103" s="5">
        <v>1</v>
      </c>
      <c r="B103" s="7" t="s">
        <v>241</v>
      </c>
      <c r="C103" s="7" t="s">
        <v>303</v>
      </c>
      <c r="D103" s="5">
        <v>4</v>
      </c>
      <c r="E103" s="5">
        <v>4</v>
      </c>
      <c r="F103" s="5">
        <v>3</v>
      </c>
      <c r="G103" s="5">
        <v>3</v>
      </c>
      <c r="H103" s="6">
        <f t="shared" si="5"/>
        <v>1.6901263242667916E-6</v>
      </c>
      <c r="I103" s="6">
        <f t="shared" si="6"/>
        <v>0.75</v>
      </c>
      <c r="J103" s="6">
        <f t="shared" si="7"/>
        <v>0.75</v>
      </c>
      <c r="K103" s="6">
        <f t="shared" si="8"/>
        <v>1.2675947432000938E-6</v>
      </c>
      <c r="L103" s="6">
        <f t="shared" si="9"/>
        <v>1.2675947432000938E-6</v>
      </c>
    </row>
    <row r="104" spans="1:12" ht="22.95" customHeight="1">
      <c r="A104" s="5">
        <v>1</v>
      </c>
      <c r="B104" s="7" t="s">
        <v>271</v>
      </c>
      <c r="C104" s="7" t="s">
        <v>292</v>
      </c>
      <c r="D104" s="5">
        <v>2599</v>
      </c>
      <c r="E104" s="5">
        <v>2085</v>
      </c>
      <c r="F104" s="5">
        <v>761</v>
      </c>
      <c r="G104" s="5">
        <v>475</v>
      </c>
      <c r="H104" s="6">
        <f t="shared" si="5"/>
        <v>1.0981595791923478E-3</v>
      </c>
      <c r="I104" s="6">
        <f t="shared" si="6"/>
        <v>0.29280492497114274</v>
      </c>
      <c r="J104" s="6">
        <f t="shared" si="7"/>
        <v>0.22781774580335731</v>
      </c>
      <c r="K104" s="6">
        <f t="shared" si="8"/>
        <v>3.2154653319175705E-4</v>
      </c>
      <c r="L104" s="6">
        <f t="shared" si="9"/>
        <v>2.5018023986396411E-4</v>
      </c>
    </row>
    <row r="105" spans="1:12" ht="22.95" customHeight="1">
      <c r="A105" s="5">
        <v>1</v>
      </c>
      <c r="B105" s="7" t="s">
        <v>261</v>
      </c>
      <c r="C105" s="7" t="s">
        <v>295</v>
      </c>
      <c r="D105" s="5">
        <v>479</v>
      </c>
      <c r="E105" s="5">
        <v>182</v>
      </c>
      <c r="F105" s="5">
        <v>365</v>
      </c>
      <c r="G105" s="5">
        <v>145</v>
      </c>
      <c r="H105" s="6">
        <f t="shared" si="5"/>
        <v>2.0239262733094828E-4</v>
      </c>
      <c r="I105" s="6">
        <f t="shared" si="6"/>
        <v>0.76200417536534448</v>
      </c>
      <c r="J105" s="6">
        <f t="shared" si="7"/>
        <v>0.79670329670329665</v>
      </c>
      <c r="K105" s="6">
        <f t="shared" si="8"/>
        <v>1.5422402708934472E-4</v>
      </c>
      <c r="L105" s="6">
        <f t="shared" si="9"/>
        <v>1.6124687342300824E-4</v>
      </c>
    </row>
    <row r="106" spans="1:12" ht="22.95" customHeight="1">
      <c r="A106" s="5">
        <v>1</v>
      </c>
      <c r="B106" s="7" t="s">
        <v>88</v>
      </c>
      <c r="C106" s="7" t="s">
        <v>295</v>
      </c>
      <c r="D106" s="5">
        <v>43139</v>
      </c>
      <c r="E106" s="5">
        <v>48717</v>
      </c>
      <c r="F106" s="5">
        <v>17807</v>
      </c>
      <c r="G106" s="5">
        <v>22704</v>
      </c>
      <c r="H106" s="6">
        <f t="shared" si="5"/>
        <v>1.8227589875636281E-2</v>
      </c>
      <c r="I106" s="6">
        <f t="shared" si="6"/>
        <v>0.41278193745798464</v>
      </c>
      <c r="J106" s="6">
        <f t="shared" si="7"/>
        <v>0.46603854917174703</v>
      </c>
      <c r="K106" s="6">
        <f t="shared" si="8"/>
        <v>7.5240198640546896E-3</v>
      </c>
      <c r="L106" s="6">
        <f t="shared" si="9"/>
        <v>8.4947595405391579E-3</v>
      </c>
    </row>
    <row r="107" spans="1:12" ht="22.95" customHeight="1">
      <c r="A107" s="5">
        <v>1</v>
      </c>
      <c r="B107" s="7" t="s">
        <v>153</v>
      </c>
      <c r="C107" s="7" t="s">
        <v>292</v>
      </c>
      <c r="D107" s="5">
        <v>325</v>
      </c>
      <c r="E107" s="5">
        <v>274</v>
      </c>
      <c r="F107" s="5">
        <v>322</v>
      </c>
      <c r="G107" s="5">
        <v>264</v>
      </c>
      <c r="H107" s="6">
        <f t="shared" si="5"/>
        <v>1.373227638466768E-4</v>
      </c>
      <c r="I107" s="6">
        <f t="shared" si="6"/>
        <v>0.99076923076923074</v>
      </c>
      <c r="J107" s="6">
        <f t="shared" si="7"/>
        <v>0.96350364963503654</v>
      </c>
      <c r="K107" s="6">
        <f t="shared" si="8"/>
        <v>1.3605516910347669E-4</v>
      </c>
      <c r="L107" s="6">
        <f t="shared" si="9"/>
        <v>1.3231098414424335E-4</v>
      </c>
    </row>
    <row r="108" spans="1:12" ht="22.95" customHeight="1">
      <c r="A108" s="5">
        <v>1</v>
      </c>
      <c r="B108" s="7" t="s">
        <v>137</v>
      </c>
      <c r="C108" s="7" t="s">
        <v>293</v>
      </c>
      <c r="D108" s="5">
        <v>220</v>
      </c>
      <c r="E108" s="5">
        <v>219</v>
      </c>
      <c r="F108" s="5">
        <v>52</v>
      </c>
      <c r="G108" s="5">
        <v>59</v>
      </c>
      <c r="H108" s="6">
        <f t="shared" si="5"/>
        <v>9.2956947834673537E-5</v>
      </c>
      <c r="I108" s="6">
        <f t="shared" si="6"/>
        <v>0.23636363636363636</v>
      </c>
      <c r="J108" s="6">
        <f t="shared" si="7"/>
        <v>0.26940639269406391</v>
      </c>
      <c r="K108" s="6">
        <f t="shared" si="8"/>
        <v>2.1971642215468292E-5</v>
      </c>
      <c r="L108" s="6">
        <f t="shared" si="9"/>
        <v>2.5043195991989674E-5</v>
      </c>
    </row>
    <row r="109" spans="1:12" ht="22.95" customHeight="1">
      <c r="A109" s="5">
        <v>1</v>
      </c>
      <c r="B109" s="7" t="s">
        <v>247</v>
      </c>
      <c r="C109" s="7" t="s">
        <v>292</v>
      </c>
      <c r="D109" s="5">
        <v>5</v>
      </c>
      <c r="E109" s="5">
        <v>2</v>
      </c>
      <c r="F109" s="5">
        <v>0</v>
      </c>
      <c r="G109" s="5">
        <v>0</v>
      </c>
      <c r="H109" s="6">
        <f t="shared" si="5"/>
        <v>2.1126579053334894E-6</v>
      </c>
      <c r="I109" s="6">
        <f t="shared" si="6"/>
        <v>0</v>
      </c>
      <c r="J109" s="6">
        <f t="shared" si="7"/>
        <v>0</v>
      </c>
      <c r="K109" s="6">
        <f t="shared" si="8"/>
        <v>0</v>
      </c>
      <c r="L109" s="6">
        <f t="shared" si="9"/>
        <v>0</v>
      </c>
    </row>
    <row r="110" spans="1:12" ht="22.95" customHeight="1">
      <c r="A110" s="5">
        <v>1</v>
      </c>
      <c r="B110" s="7" t="s">
        <v>119</v>
      </c>
      <c r="C110" s="7" t="s">
        <v>303</v>
      </c>
      <c r="D110" s="5">
        <v>646</v>
      </c>
      <c r="E110" s="5">
        <v>739</v>
      </c>
      <c r="F110" s="5">
        <v>284</v>
      </c>
      <c r="G110" s="5">
        <v>335</v>
      </c>
      <c r="H110" s="6">
        <f t="shared" si="5"/>
        <v>2.729554013690868E-4</v>
      </c>
      <c r="I110" s="6">
        <f t="shared" si="6"/>
        <v>0.43962848297213625</v>
      </c>
      <c r="J110" s="6">
        <f t="shared" si="7"/>
        <v>0.45331529093369416</v>
      </c>
      <c r="K110" s="6">
        <f t="shared" si="8"/>
        <v>1.199989690229422E-4</v>
      </c>
      <c r="L110" s="6">
        <f t="shared" si="9"/>
        <v>1.2373485718355086E-4</v>
      </c>
    </row>
    <row r="111" spans="1:12" ht="22.95" customHeight="1">
      <c r="A111" s="5">
        <v>1</v>
      </c>
      <c r="B111" s="7" t="s">
        <v>159</v>
      </c>
      <c r="C111" s="7" t="s">
        <v>303</v>
      </c>
      <c r="D111" s="5">
        <v>43</v>
      </c>
      <c r="E111" s="5">
        <v>47</v>
      </c>
      <c r="F111" s="5">
        <v>12</v>
      </c>
      <c r="G111" s="5">
        <v>20</v>
      </c>
      <c r="H111" s="6">
        <f t="shared" si="5"/>
        <v>1.8168857985868007E-5</v>
      </c>
      <c r="I111" s="6">
        <f t="shared" si="6"/>
        <v>0.27906976744186046</v>
      </c>
      <c r="J111" s="6">
        <f t="shared" si="7"/>
        <v>0.42553191489361702</v>
      </c>
      <c r="K111" s="6">
        <f t="shared" si="8"/>
        <v>5.0703789728003743E-6</v>
      </c>
      <c r="L111" s="6">
        <f t="shared" si="9"/>
        <v>7.7314289301565985E-6</v>
      </c>
    </row>
    <row r="112" spans="1:12" ht="22.95" customHeight="1">
      <c r="A112" s="5">
        <v>1</v>
      </c>
      <c r="B112" s="7" t="s">
        <v>145</v>
      </c>
      <c r="C112" s="7" t="s">
        <v>294</v>
      </c>
      <c r="D112" s="5">
        <v>35</v>
      </c>
      <c r="E112" s="5">
        <v>48</v>
      </c>
      <c r="F112" s="5">
        <v>8</v>
      </c>
      <c r="G112" s="5">
        <v>25</v>
      </c>
      <c r="H112" s="6">
        <f t="shared" si="5"/>
        <v>1.4788605337334425E-5</v>
      </c>
      <c r="I112" s="6">
        <f t="shared" si="6"/>
        <v>0.22857142857142856</v>
      </c>
      <c r="J112" s="6">
        <f t="shared" si="7"/>
        <v>0.52083333333333337</v>
      </c>
      <c r="K112" s="6">
        <f t="shared" si="8"/>
        <v>3.3802526485335827E-6</v>
      </c>
      <c r="L112" s="6">
        <f t="shared" si="9"/>
        <v>7.7023986131950133E-6</v>
      </c>
    </row>
    <row r="113" spans="1:12" ht="22.95" customHeight="1">
      <c r="A113" s="5">
        <v>1</v>
      </c>
      <c r="B113" s="7" t="s">
        <v>232</v>
      </c>
      <c r="C113" s="7" t="s">
        <v>292</v>
      </c>
      <c r="D113" s="5">
        <v>3</v>
      </c>
      <c r="E113" s="5">
        <v>1</v>
      </c>
      <c r="F113" s="5">
        <v>1</v>
      </c>
      <c r="G113" s="5">
        <v>0</v>
      </c>
      <c r="H113" s="6">
        <f t="shared" si="5"/>
        <v>1.2675947432000936E-6</v>
      </c>
      <c r="I113" s="6">
        <f t="shared" si="6"/>
        <v>0.33333333333333331</v>
      </c>
      <c r="J113" s="6">
        <f t="shared" si="7"/>
        <v>0</v>
      </c>
      <c r="K113" s="6">
        <f t="shared" si="8"/>
        <v>4.2253158106669784E-7</v>
      </c>
      <c r="L113" s="6">
        <f t="shared" si="9"/>
        <v>0</v>
      </c>
    </row>
    <row r="114" spans="1:12" ht="22.95" customHeight="1">
      <c r="A114" s="5">
        <v>1</v>
      </c>
      <c r="B114" s="7" t="s">
        <v>174</v>
      </c>
      <c r="C114" s="7" t="s">
        <v>296</v>
      </c>
      <c r="D114" s="5">
        <v>50</v>
      </c>
      <c r="E114" s="5">
        <v>57</v>
      </c>
      <c r="F114" s="5">
        <v>0</v>
      </c>
      <c r="G114" s="5">
        <v>0</v>
      </c>
      <c r="H114" s="6">
        <f t="shared" si="5"/>
        <v>2.1126579053334894E-5</v>
      </c>
      <c r="I114" s="6">
        <f t="shared" si="6"/>
        <v>0</v>
      </c>
      <c r="J114" s="6">
        <f t="shared" si="7"/>
        <v>0</v>
      </c>
      <c r="K114" s="6">
        <f t="shared" si="8"/>
        <v>0</v>
      </c>
      <c r="L114" s="6">
        <f t="shared" si="9"/>
        <v>0</v>
      </c>
    </row>
    <row r="115" spans="1:12" ht="22.95" customHeight="1">
      <c r="A115" s="5">
        <v>1</v>
      </c>
      <c r="B115" s="7" t="s">
        <v>273</v>
      </c>
      <c r="C115" s="7" t="s">
        <v>294</v>
      </c>
      <c r="D115" s="5">
        <v>1563</v>
      </c>
      <c r="E115" s="5">
        <v>1116</v>
      </c>
      <c r="F115" s="5">
        <v>1296</v>
      </c>
      <c r="G115" s="5">
        <v>992</v>
      </c>
      <c r="H115" s="6">
        <f t="shared" si="5"/>
        <v>6.6041686120724878E-4</v>
      </c>
      <c r="I115" s="6">
        <f t="shared" si="6"/>
        <v>0.82917466410748564</v>
      </c>
      <c r="J115" s="6">
        <f t="shared" si="7"/>
        <v>0.88888888888888884</v>
      </c>
      <c r="K115" s="6">
        <f t="shared" si="8"/>
        <v>5.4760092906244045E-4</v>
      </c>
      <c r="L115" s="6">
        <f t="shared" si="9"/>
        <v>5.8703720996199885E-4</v>
      </c>
    </row>
    <row r="116" spans="1:12" ht="22.95" customHeight="1">
      <c r="A116" s="5">
        <v>1</v>
      </c>
      <c r="B116" s="7" t="s">
        <v>176</v>
      </c>
      <c r="C116" s="7" t="s">
        <v>301</v>
      </c>
      <c r="D116" s="5">
        <v>13</v>
      </c>
      <c r="E116" s="5">
        <v>15</v>
      </c>
      <c r="F116" s="5">
        <v>7</v>
      </c>
      <c r="G116" s="5">
        <v>10</v>
      </c>
      <c r="H116" s="6">
        <f t="shared" si="5"/>
        <v>5.4929105538670721E-6</v>
      </c>
      <c r="I116" s="6">
        <f t="shared" si="6"/>
        <v>0.53846153846153844</v>
      </c>
      <c r="J116" s="6">
        <f t="shared" si="7"/>
        <v>0.66666666666666663</v>
      </c>
      <c r="K116" s="6">
        <f t="shared" si="8"/>
        <v>2.9577210674668849E-6</v>
      </c>
      <c r="L116" s="6">
        <f t="shared" si="9"/>
        <v>3.6619403692447144E-6</v>
      </c>
    </row>
    <row r="117" spans="1:12" ht="22.95" customHeight="1">
      <c r="A117" s="5">
        <v>1</v>
      </c>
      <c r="B117" s="7" t="s">
        <v>169</v>
      </c>
      <c r="C117" s="7" t="s">
        <v>292</v>
      </c>
      <c r="D117" s="5">
        <v>23</v>
      </c>
      <c r="E117" s="5">
        <v>56</v>
      </c>
      <c r="F117" s="5">
        <v>15</v>
      </c>
      <c r="G117" s="5">
        <v>33</v>
      </c>
      <c r="H117" s="6">
        <f t="shared" si="5"/>
        <v>9.7182263645340516E-6</v>
      </c>
      <c r="I117" s="6">
        <f t="shared" si="6"/>
        <v>0.65217391304347827</v>
      </c>
      <c r="J117" s="6">
        <f t="shared" si="7"/>
        <v>0.5892857142857143</v>
      </c>
      <c r="K117" s="6">
        <f t="shared" si="8"/>
        <v>6.3379737160004685E-6</v>
      </c>
      <c r="L117" s="6">
        <f t="shared" si="9"/>
        <v>5.7268119648147091E-6</v>
      </c>
    </row>
    <row r="118" spans="1:12" ht="22.95" customHeight="1">
      <c r="A118" s="5">
        <v>1</v>
      </c>
      <c r="B118" s="7" t="s">
        <v>234</v>
      </c>
      <c r="C118" s="7" t="s">
        <v>292</v>
      </c>
      <c r="D118" s="5">
        <v>305</v>
      </c>
      <c r="E118" s="5">
        <v>161</v>
      </c>
      <c r="F118" s="5">
        <v>204</v>
      </c>
      <c r="G118" s="5">
        <v>107</v>
      </c>
      <c r="H118" s="6">
        <f t="shared" si="5"/>
        <v>1.2887213222534285E-4</v>
      </c>
      <c r="I118" s="6">
        <f t="shared" si="6"/>
        <v>0.66885245901639345</v>
      </c>
      <c r="J118" s="6">
        <f t="shared" si="7"/>
        <v>0.6645962732919255</v>
      </c>
      <c r="K118" s="6">
        <f t="shared" si="8"/>
        <v>8.6196442537606372E-5</v>
      </c>
      <c r="L118" s="6">
        <f t="shared" si="9"/>
        <v>8.5647938808147123E-5</v>
      </c>
    </row>
    <row r="119" spans="1:12" ht="22.95" customHeight="1">
      <c r="A119" s="5">
        <v>1</v>
      </c>
      <c r="B119" s="7" t="s">
        <v>141</v>
      </c>
      <c r="C119" s="7" t="s">
        <v>298</v>
      </c>
      <c r="D119" s="5">
        <v>515</v>
      </c>
      <c r="E119" s="5">
        <v>519</v>
      </c>
      <c r="F119" s="5">
        <v>112</v>
      </c>
      <c r="G119" s="5">
        <v>149</v>
      </c>
      <c r="H119" s="6">
        <f t="shared" si="5"/>
        <v>2.176037642493494E-4</v>
      </c>
      <c r="I119" s="6">
        <f t="shared" si="6"/>
        <v>0.2174757281553398</v>
      </c>
      <c r="J119" s="6">
        <f t="shared" si="7"/>
        <v>0.28709055876685935</v>
      </c>
      <c r="K119" s="6">
        <f t="shared" si="8"/>
        <v>4.7323537079470159E-5</v>
      </c>
      <c r="L119" s="6">
        <f t="shared" si="9"/>
        <v>6.247198626811765E-5</v>
      </c>
    </row>
    <row r="120" spans="1:12" ht="22.95" customHeight="1">
      <c r="A120" s="5">
        <v>1</v>
      </c>
      <c r="B120" s="7" t="s">
        <v>166</v>
      </c>
      <c r="C120" s="7" t="s">
        <v>292</v>
      </c>
      <c r="D120" s="5">
        <v>59</v>
      </c>
      <c r="E120" s="5">
        <v>49</v>
      </c>
      <c r="F120" s="5">
        <v>20</v>
      </c>
      <c r="G120" s="5">
        <v>25</v>
      </c>
      <c r="H120" s="6">
        <f t="shared" si="5"/>
        <v>2.4929363282935175E-5</v>
      </c>
      <c r="I120" s="6">
        <f t="shared" si="6"/>
        <v>0.33898305084745761</v>
      </c>
      <c r="J120" s="6">
        <f t="shared" si="7"/>
        <v>0.51020408163265307</v>
      </c>
      <c r="K120" s="6">
        <f t="shared" si="8"/>
        <v>8.4506316213339574E-6</v>
      </c>
      <c r="L120" s="6">
        <f t="shared" si="9"/>
        <v>1.2719062899456722E-5</v>
      </c>
    </row>
    <row r="121" spans="1:12" ht="22.95" customHeight="1">
      <c r="A121" s="5">
        <v>1</v>
      </c>
      <c r="B121" s="7" t="s">
        <v>104</v>
      </c>
      <c r="C121" s="7" t="s">
        <v>293</v>
      </c>
      <c r="D121" s="5">
        <v>935</v>
      </c>
      <c r="E121" s="5">
        <v>1244</v>
      </c>
      <c r="F121" s="5">
        <v>358</v>
      </c>
      <c r="G121" s="5">
        <v>829</v>
      </c>
      <c r="H121" s="6">
        <f t="shared" si="5"/>
        <v>3.9506702829736253E-4</v>
      </c>
      <c r="I121" s="6">
        <f t="shared" si="6"/>
        <v>0.38288770053475935</v>
      </c>
      <c r="J121" s="6">
        <f t="shared" si="7"/>
        <v>0.66639871382636651</v>
      </c>
      <c r="K121" s="6">
        <f t="shared" si="8"/>
        <v>1.5126630602187784E-4</v>
      </c>
      <c r="L121" s="6">
        <f t="shared" si="9"/>
        <v>2.6327215953256711E-4</v>
      </c>
    </row>
    <row r="122" spans="1:12" ht="22.95" customHeight="1">
      <c r="A122" s="5">
        <v>1</v>
      </c>
      <c r="B122" s="7" t="s">
        <v>282</v>
      </c>
      <c r="C122" s="7" t="s">
        <v>292</v>
      </c>
      <c r="D122" s="5">
        <v>2994</v>
      </c>
      <c r="E122" s="5">
        <v>2195</v>
      </c>
      <c r="F122" s="5">
        <v>2400</v>
      </c>
      <c r="G122" s="5">
        <v>873</v>
      </c>
      <c r="H122" s="6">
        <f t="shared" si="5"/>
        <v>1.2650595537136934E-3</v>
      </c>
      <c r="I122" s="6">
        <f t="shared" si="6"/>
        <v>0.80160320641282568</v>
      </c>
      <c r="J122" s="6">
        <f t="shared" si="7"/>
        <v>0.3977220956719818</v>
      </c>
      <c r="K122" s="6">
        <f t="shared" si="8"/>
        <v>1.014075794560075E-3</v>
      </c>
      <c r="L122" s="6">
        <f t="shared" si="9"/>
        <v>5.0314213685287218E-4</v>
      </c>
    </row>
    <row r="123" spans="1:12" ht="22.95" customHeight="1">
      <c r="A123" s="5">
        <v>1</v>
      </c>
      <c r="B123" s="7" t="s">
        <v>270</v>
      </c>
      <c r="C123" s="7" t="s">
        <v>303</v>
      </c>
      <c r="D123" s="5">
        <v>258</v>
      </c>
      <c r="E123" s="5">
        <v>109</v>
      </c>
      <c r="F123" s="5">
        <v>101</v>
      </c>
      <c r="G123" s="5">
        <v>27</v>
      </c>
      <c r="H123" s="6">
        <f t="shared" si="5"/>
        <v>1.0901314791520806E-4</v>
      </c>
      <c r="I123" s="6">
        <f t="shared" si="6"/>
        <v>0.39147286821705424</v>
      </c>
      <c r="J123" s="6">
        <f t="shared" si="7"/>
        <v>0.24770642201834864</v>
      </c>
      <c r="K123" s="6">
        <f t="shared" si="8"/>
        <v>4.2675689687736487E-5</v>
      </c>
      <c r="L123" s="6">
        <f t="shared" si="9"/>
        <v>2.7003256823033189E-5</v>
      </c>
    </row>
    <row r="124" spans="1:12" ht="22.95" customHeight="1">
      <c r="A124" s="5">
        <v>1</v>
      </c>
      <c r="B124" s="7" t="s">
        <v>250</v>
      </c>
      <c r="C124" s="7" t="s">
        <v>303</v>
      </c>
      <c r="D124" s="5">
        <v>21</v>
      </c>
      <c r="E124" s="5">
        <v>31</v>
      </c>
      <c r="F124" s="5">
        <v>13</v>
      </c>
      <c r="G124" s="5">
        <v>22</v>
      </c>
      <c r="H124" s="6">
        <f t="shared" si="5"/>
        <v>8.8731632024006561E-6</v>
      </c>
      <c r="I124" s="6">
        <f t="shared" si="6"/>
        <v>0.61904761904761907</v>
      </c>
      <c r="J124" s="6">
        <f t="shared" si="7"/>
        <v>0.70967741935483875</v>
      </c>
      <c r="K124" s="6">
        <f t="shared" si="8"/>
        <v>5.4929105538670729E-6</v>
      </c>
      <c r="L124" s="6">
        <f t="shared" si="9"/>
        <v>6.297083562994014E-6</v>
      </c>
    </row>
    <row r="125" spans="1:12" ht="22.95" customHeight="1">
      <c r="A125" s="5">
        <v>1</v>
      </c>
      <c r="B125" s="7" t="s">
        <v>182</v>
      </c>
      <c r="C125" s="7" t="s">
        <v>291</v>
      </c>
      <c r="D125" s="5">
        <v>5</v>
      </c>
      <c r="E125" s="5">
        <v>19</v>
      </c>
      <c r="F125" s="5">
        <v>1</v>
      </c>
      <c r="G125" s="5">
        <v>5</v>
      </c>
      <c r="H125" s="6">
        <f t="shared" si="5"/>
        <v>2.1126579053334894E-6</v>
      </c>
      <c r="I125" s="6">
        <f t="shared" si="6"/>
        <v>0.2</v>
      </c>
      <c r="J125" s="6">
        <f t="shared" si="7"/>
        <v>0.26315789473684209</v>
      </c>
      <c r="K125" s="6">
        <f t="shared" si="8"/>
        <v>4.2253158106669789E-7</v>
      </c>
      <c r="L125" s="6">
        <f t="shared" si="9"/>
        <v>5.5596260666670772E-7</v>
      </c>
    </row>
    <row r="126" spans="1:12" ht="22.95" customHeight="1">
      <c r="A126" s="5">
        <v>1</v>
      </c>
      <c r="B126" s="7" t="s">
        <v>245</v>
      </c>
      <c r="C126" s="7" t="s">
        <v>293</v>
      </c>
      <c r="D126" s="5">
        <v>41</v>
      </c>
      <c r="E126" s="5">
        <v>15</v>
      </c>
      <c r="F126" s="5">
        <v>6</v>
      </c>
      <c r="G126" s="5">
        <v>3</v>
      </c>
      <c r="H126" s="6">
        <f t="shared" si="5"/>
        <v>1.7323794823734613E-5</v>
      </c>
      <c r="I126" s="6">
        <f t="shared" si="6"/>
        <v>0.14634146341463414</v>
      </c>
      <c r="J126" s="6">
        <f t="shared" si="7"/>
        <v>0.2</v>
      </c>
      <c r="K126" s="6">
        <f t="shared" si="8"/>
        <v>2.5351894864001871E-6</v>
      </c>
      <c r="L126" s="6">
        <f t="shared" si="9"/>
        <v>3.464758964746923E-6</v>
      </c>
    </row>
    <row r="127" spans="1:12" ht="22.95" customHeight="1">
      <c r="A127" s="5">
        <v>1</v>
      </c>
      <c r="B127" s="7" t="s">
        <v>108</v>
      </c>
      <c r="C127" s="7" t="s">
        <v>294</v>
      </c>
      <c r="D127" s="5">
        <v>4232</v>
      </c>
      <c r="E127" s="5">
        <v>3873</v>
      </c>
      <c r="F127" s="5">
        <v>3414</v>
      </c>
      <c r="G127" s="5">
        <v>3285</v>
      </c>
      <c r="H127" s="6">
        <f t="shared" si="5"/>
        <v>1.7881536510742655E-3</v>
      </c>
      <c r="I127" s="6">
        <f t="shared" si="6"/>
        <v>0.80671077504725897</v>
      </c>
      <c r="J127" s="6">
        <f t="shared" si="7"/>
        <v>0.84817970565453138</v>
      </c>
      <c r="K127" s="6">
        <f t="shared" si="8"/>
        <v>1.4425228177617066E-3</v>
      </c>
      <c r="L127" s="6">
        <f t="shared" si="9"/>
        <v>1.516675637433246E-3</v>
      </c>
    </row>
    <row r="128" spans="1:12" ht="22.95" customHeight="1">
      <c r="A128" s="5">
        <v>1</v>
      </c>
      <c r="B128" s="7" t="s">
        <v>276</v>
      </c>
      <c r="C128" s="7" t="s">
        <v>295</v>
      </c>
      <c r="D128" s="5">
        <v>4363</v>
      </c>
      <c r="E128" s="5">
        <v>3790</v>
      </c>
      <c r="F128" s="5">
        <v>1858</v>
      </c>
      <c r="G128" s="5">
        <v>1683</v>
      </c>
      <c r="H128" s="6">
        <f t="shared" si="5"/>
        <v>1.8435052881940028E-3</v>
      </c>
      <c r="I128" s="6">
        <f t="shared" si="6"/>
        <v>0.42585377034150812</v>
      </c>
      <c r="J128" s="6">
        <f t="shared" si="7"/>
        <v>0.44406332453825859</v>
      </c>
      <c r="K128" s="6">
        <f t="shared" si="8"/>
        <v>7.8506367762192462E-4</v>
      </c>
      <c r="L128" s="6">
        <f t="shared" si="9"/>
        <v>8.1863308707928934E-4</v>
      </c>
    </row>
    <row r="129" spans="1:12" ht="22.95" customHeight="1">
      <c r="A129" s="5">
        <v>1</v>
      </c>
      <c r="B129" s="7" t="s">
        <v>281</v>
      </c>
      <c r="C129" s="7" t="s">
        <v>305</v>
      </c>
      <c r="D129" s="5">
        <v>1815</v>
      </c>
      <c r="E129" s="5">
        <v>1313</v>
      </c>
      <c r="F129" s="5">
        <v>1794</v>
      </c>
      <c r="G129" s="5">
        <v>1297</v>
      </c>
      <c r="H129" s="6">
        <f t="shared" si="5"/>
        <v>7.6689481963605668E-4</v>
      </c>
      <c r="I129" s="6">
        <f t="shared" si="6"/>
        <v>0.98842975206611572</v>
      </c>
      <c r="J129" s="6">
        <f t="shared" si="7"/>
        <v>0.98781416603198779</v>
      </c>
      <c r="K129" s="6">
        <f t="shared" si="8"/>
        <v>7.5802165643365602E-4</v>
      </c>
      <c r="L129" s="6">
        <f t="shared" si="9"/>
        <v>7.5754956669304302E-4</v>
      </c>
    </row>
    <row r="130" spans="1:12" ht="22.95" customHeight="1">
      <c r="A130" s="5">
        <v>1</v>
      </c>
      <c r="B130" s="7" t="s">
        <v>207</v>
      </c>
      <c r="C130" s="7" t="s">
        <v>295</v>
      </c>
      <c r="D130" s="5">
        <v>181</v>
      </c>
      <c r="E130" s="5">
        <v>306</v>
      </c>
      <c r="F130" s="5">
        <v>177</v>
      </c>
      <c r="G130" s="5">
        <v>296</v>
      </c>
      <c r="H130" s="6">
        <f t="shared" si="5"/>
        <v>7.6478216173072317E-5</v>
      </c>
      <c r="I130" s="6">
        <f t="shared" si="6"/>
        <v>0.97790055248618779</v>
      </c>
      <c r="J130" s="6">
        <f t="shared" si="7"/>
        <v>0.9673202614379085</v>
      </c>
      <c r="K130" s="6">
        <f t="shared" si="8"/>
        <v>7.4788089848805523E-5</v>
      </c>
      <c r="L130" s="6">
        <f t="shared" si="9"/>
        <v>7.3978928062841192E-5</v>
      </c>
    </row>
    <row r="131" spans="1:12" ht="22.95" customHeight="1">
      <c r="A131" s="5">
        <v>1</v>
      </c>
      <c r="B131" s="7" t="s">
        <v>269</v>
      </c>
      <c r="C131" s="7" t="s">
        <v>295</v>
      </c>
      <c r="D131" s="5">
        <v>86</v>
      </c>
      <c r="E131" s="5">
        <v>195</v>
      </c>
      <c r="F131" s="5">
        <v>73</v>
      </c>
      <c r="G131" s="5">
        <v>186</v>
      </c>
      <c r="H131" s="6">
        <f t="shared" si="5"/>
        <v>3.6337715971736015E-5</v>
      </c>
      <c r="I131" s="6">
        <f t="shared" si="6"/>
        <v>0.84883720930232553</v>
      </c>
      <c r="J131" s="6">
        <f t="shared" si="7"/>
        <v>0.9538461538461539</v>
      </c>
      <c r="K131" s="6">
        <f t="shared" si="8"/>
        <v>3.0844805417868939E-5</v>
      </c>
      <c r="L131" s="6">
        <f t="shared" si="9"/>
        <v>3.4660590619194357E-5</v>
      </c>
    </row>
    <row r="132" spans="1:12" ht="22.95" customHeight="1">
      <c r="A132" s="5">
        <v>1</v>
      </c>
      <c r="B132" s="7" t="s">
        <v>284</v>
      </c>
      <c r="C132" s="7" t="s">
        <v>295</v>
      </c>
      <c r="D132" s="5">
        <v>70837</v>
      </c>
      <c r="E132" s="5">
        <v>28739</v>
      </c>
      <c r="F132" s="5">
        <v>14692</v>
      </c>
      <c r="G132" s="5">
        <v>17150</v>
      </c>
      <c r="H132" s="6">
        <f t="shared" si="5"/>
        <v>2.9930869608021677E-2</v>
      </c>
      <c r="I132" s="6">
        <f t="shared" si="6"/>
        <v>0.20740573429140138</v>
      </c>
      <c r="J132" s="6">
        <f t="shared" si="7"/>
        <v>0.59675006089286331</v>
      </c>
      <c r="K132" s="6">
        <f t="shared" si="8"/>
        <v>6.2078339890319252E-3</v>
      </c>
      <c r="L132" s="6">
        <f t="shared" si="9"/>
        <v>1.7861248261163289E-2</v>
      </c>
    </row>
    <row r="133" spans="1:12" ht="22.95" customHeight="1">
      <c r="A133" s="5">
        <v>1</v>
      </c>
      <c r="B133" s="7" t="s">
        <v>117</v>
      </c>
      <c r="C133" s="7" t="s">
        <v>295</v>
      </c>
      <c r="D133" s="5">
        <v>3757</v>
      </c>
      <c r="E133" s="5">
        <v>4418</v>
      </c>
      <c r="F133" s="5">
        <v>1772</v>
      </c>
      <c r="G133" s="5">
        <v>2559</v>
      </c>
      <c r="H133" s="6">
        <f t="shared" si="5"/>
        <v>1.5874511500675839E-3</v>
      </c>
      <c r="I133" s="6">
        <f t="shared" si="6"/>
        <v>0.47165291455948893</v>
      </c>
      <c r="J133" s="6">
        <f t="shared" si="7"/>
        <v>0.57922136713444994</v>
      </c>
      <c r="K133" s="6">
        <f t="shared" si="8"/>
        <v>7.4872596165018862E-4</v>
      </c>
      <c r="L133" s="6">
        <f t="shared" si="9"/>
        <v>9.1948562540130078E-4</v>
      </c>
    </row>
    <row r="134" spans="1:12" ht="22.95" customHeight="1">
      <c r="A134" s="5">
        <v>1</v>
      </c>
      <c r="B134" s="7" t="s">
        <v>99</v>
      </c>
      <c r="C134" s="7" t="s">
        <v>295</v>
      </c>
      <c r="D134" s="5">
        <v>1979</v>
      </c>
      <c r="E134" s="5">
        <v>2906</v>
      </c>
      <c r="F134" s="5">
        <v>995</v>
      </c>
      <c r="G134" s="5">
        <v>1772</v>
      </c>
      <c r="H134" s="6">
        <f t="shared" si="5"/>
        <v>8.3618999893099509E-4</v>
      </c>
      <c r="I134" s="6">
        <f t="shared" si="6"/>
        <v>0.50277918140474986</v>
      </c>
      <c r="J134" s="6">
        <f t="shared" si="7"/>
        <v>0.60977288368891946</v>
      </c>
      <c r="K134" s="6">
        <f t="shared" si="8"/>
        <v>4.2041892316136439E-4</v>
      </c>
      <c r="L134" s="6">
        <f t="shared" si="9"/>
        <v>5.0988598695998733E-4</v>
      </c>
    </row>
    <row r="135" spans="1:12" ht="22.95" customHeight="1">
      <c r="A135" s="5">
        <v>1</v>
      </c>
      <c r="B135" s="7" t="s">
        <v>181</v>
      </c>
      <c r="C135" s="7" t="s">
        <v>295</v>
      </c>
      <c r="D135" s="5">
        <v>1514</v>
      </c>
      <c r="E135" s="5">
        <v>1746</v>
      </c>
      <c r="F135" s="5">
        <v>1216</v>
      </c>
      <c r="G135" s="5">
        <v>1453</v>
      </c>
      <c r="H135" s="6">
        <f t="shared" si="5"/>
        <v>6.3971281373498062E-4</v>
      </c>
      <c r="I135" s="6">
        <f t="shared" si="6"/>
        <v>0.80317040951122853</v>
      </c>
      <c r="J135" s="6">
        <f t="shared" si="7"/>
        <v>0.83218785796105388</v>
      </c>
      <c r="K135" s="6">
        <f t="shared" si="8"/>
        <v>5.1379840257710467E-4</v>
      </c>
      <c r="L135" s="6">
        <f t="shared" si="9"/>
        <v>5.3236123617235215E-4</v>
      </c>
    </row>
    <row r="136" spans="1:12" ht="22.95" customHeight="1">
      <c r="A136" s="5">
        <v>1</v>
      </c>
      <c r="B136" s="7" t="s">
        <v>139</v>
      </c>
      <c r="C136" s="7" t="s">
        <v>303</v>
      </c>
      <c r="D136" s="5">
        <v>464</v>
      </c>
      <c r="E136" s="5">
        <v>570</v>
      </c>
      <c r="F136" s="5">
        <v>380</v>
      </c>
      <c r="G136" s="5">
        <v>515</v>
      </c>
      <c r="H136" s="6">
        <f t="shared" si="5"/>
        <v>1.9605465361494781E-4</v>
      </c>
      <c r="I136" s="6">
        <f t="shared" si="6"/>
        <v>0.81896551724137934</v>
      </c>
      <c r="J136" s="6">
        <f t="shared" si="7"/>
        <v>0.90350877192982459</v>
      </c>
      <c r="K136" s="6">
        <f t="shared" si="8"/>
        <v>1.6056200080534521E-4</v>
      </c>
      <c r="L136" s="6">
        <f t="shared" si="9"/>
        <v>1.7713709931876866E-4</v>
      </c>
    </row>
    <row r="137" spans="1:12" ht="22.95" customHeight="1">
      <c r="A137" s="5">
        <v>1</v>
      </c>
      <c r="B137" s="7" t="s">
        <v>152</v>
      </c>
      <c r="C137" s="7" t="s">
        <v>290</v>
      </c>
      <c r="D137" s="5">
        <v>64</v>
      </c>
      <c r="E137" s="5">
        <v>110</v>
      </c>
      <c r="F137" s="5">
        <v>23</v>
      </c>
      <c r="G137" s="5">
        <v>38</v>
      </c>
      <c r="H137" s="6">
        <f t="shared" si="5"/>
        <v>2.7042021188268665E-5</v>
      </c>
      <c r="I137" s="6">
        <f t="shared" si="6"/>
        <v>0.359375</v>
      </c>
      <c r="J137" s="6">
        <f t="shared" si="7"/>
        <v>0.34545454545454546</v>
      </c>
      <c r="K137" s="6">
        <f t="shared" si="8"/>
        <v>9.7182263645340516E-6</v>
      </c>
      <c r="L137" s="6">
        <f t="shared" si="9"/>
        <v>9.341789137765539E-6</v>
      </c>
    </row>
    <row r="138" spans="1:12" ht="22.95" customHeight="1">
      <c r="A138" s="5">
        <v>1</v>
      </c>
      <c r="B138" s="7" t="s">
        <v>122</v>
      </c>
      <c r="C138" s="7" t="s">
        <v>292</v>
      </c>
      <c r="D138" s="5">
        <v>1278</v>
      </c>
      <c r="E138" s="5">
        <v>1262</v>
      </c>
      <c r="F138" s="5">
        <v>940</v>
      </c>
      <c r="G138" s="5">
        <v>954</v>
      </c>
      <c r="H138" s="6">
        <f t="shared" si="5"/>
        <v>5.399953606032399E-4</v>
      </c>
      <c r="I138" s="6">
        <f t="shared" si="6"/>
        <v>0.73552425665101717</v>
      </c>
      <c r="J138" s="6">
        <f t="shared" si="7"/>
        <v>0.75594294770206028</v>
      </c>
      <c r="K138" s="6">
        <f t="shared" si="8"/>
        <v>3.9717968620269601E-4</v>
      </c>
      <c r="L138" s="6">
        <f t="shared" si="9"/>
        <v>4.0820568463985016E-4</v>
      </c>
    </row>
    <row r="139" spans="1:12" ht="22.95" customHeight="1">
      <c r="A139" s="5">
        <v>1</v>
      </c>
      <c r="B139" s="7" t="s">
        <v>265</v>
      </c>
      <c r="C139" s="7" t="s">
        <v>291</v>
      </c>
      <c r="D139" s="5">
        <v>268</v>
      </c>
      <c r="E139" s="5">
        <v>90</v>
      </c>
      <c r="F139" s="5">
        <v>201</v>
      </c>
      <c r="G139" s="5">
        <v>58</v>
      </c>
      <c r="H139" s="6">
        <f t="shared" si="5"/>
        <v>1.1323846372587503E-4</v>
      </c>
      <c r="I139" s="6">
        <f t="shared" si="6"/>
        <v>0.75</v>
      </c>
      <c r="J139" s="6">
        <f t="shared" si="7"/>
        <v>0.64444444444444449</v>
      </c>
      <c r="K139" s="6">
        <f t="shared" si="8"/>
        <v>8.4928847794406276E-5</v>
      </c>
      <c r="L139" s="6">
        <f t="shared" si="9"/>
        <v>7.2975898845563909E-5</v>
      </c>
    </row>
    <row r="140" spans="1:12" ht="22.95" customHeight="1">
      <c r="A140" s="5">
        <v>1</v>
      </c>
      <c r="B140" s="7" t="s">
        <v>109</v>
      </c>
      <c r="C140" s="7" t="s">
        <v>293</v>
      </c>
      <c r="D140" s="5">
        <v>462</v>
      </c>
      <c r="E140" s="5">
        <v>382</v>
      </c>
      <c r="F140" s="5">
        <v>175</v>
      </c>
      <c r="G140" s="5">
        <v>91</v>
      </c>
      <c r="H140" s="6">
        <f t="shared" si="5"/>
        <v>1.9520959045281442E-4</v>
      </c>
      <c r="I140" s="6">
        <f t="shared" si="6"/>
        <v>0.37878787878787878</v>
      </c>
      <c r="J140" s="6">
        <f t="shared" si="7"/>
        <v>0.23821989528795812</v>
      </c>
      <c r="K140" s="6">
        <f t="shared" si="8"/>
        <v>7.3943026686672125E-5</v>
      </c>
      <c r="L140" s="6">
        <f t="shared" si="9"/>
        <v>4.6502808196874641E-5</v>
      </c>
    </row>
    <row r="141" spans="1:12" ht="22.95" customHeight="1">
      <c r="A141" s="5">
        <v>1</v>
      </c>
      <c r="B141" s="7" t="s">
        <v>97</v>
      </c>
      <c r="C141" s="7" t="s">
        <v>290</v>
      </c>
      <c r="D141" s="5">
        <v>5588</v>
      </c>
      <c r="E141" s="5">
        <v>6029</v>
      </c>
      <c r="F141" s="5">
        <v>1894</v>
      </c>
      <c r="G141" s="5">
        <v>2352</v>
      </c>
      <c r="H141" s="6">
        <f t="shared" si="5"/>
        <v>2.3611064750007076E-3</v>
      </c>
      <c r="I141" s="6">
        <f t="shared" si="6"/>
        <v>0.33894058697208301</v>
      </c>
      <c r="J141" s="6">
        <f t="shared" si="7"/>
        <v>0.39011444684027202</v>
      </c>
      <c r="K141" s="6">
        <f t="shared" si="8"/>
        <v>8.0027481454032572E-4</v>
      </c>
      <c r="L141" s="6">
        <f t="shared" si="9"/>
        <v>9.2110174642588563E-4</v>
      </c>
    </row>
    <row r="142" spans="1:12" ht="22.95" customHeight="1">
      <c r="A142" s="5">
        <v>1</v>
      </c>
      <c r="B142" s="7" t="s">
        <v>91</v>
      </c>
      <c r="C142" s="7" t="s">
        <v>290</v>
      </c>
      <c r="D142" s="5">
        <v>7409</v>
      </c>
      <c r="E142" s="5">
        <v>8695</v>
      </c>
      <c r="F142" s="5">
        <v>3368</v>
      </c>
      <c r="G142" s="5">
        <v>4746</v>
      </c>
      <c r="H142" s="6">
        <f t="shared" si="5"/>
        <v>3.1305364841231645E-3</v>
      </c>
      <c r="I142" s="6">
        <f t="shared" si="6"/>
        <v>0.45458226481306518</v>
      </c>
      <c r="J142" s="6">
        <f t="shared" si="7"/>
        <v>0.54583093732029897</v>
      </c>
      <c r="K142" s="6">
        <f t="shared" si="8"/>
        <v>1.4230863650326383E-3</v>
      </c>
      <c r="L142" s="6">
        <f t="shared" si="9"/>
        <v>1.70874366344434E-3</v>
      </c>
    </row>
    <row r="143" spans="1:12" ht="22.95" customHeight="1">
      <c r="A143" s="5">
        <v>1</v>
      </c>
      <c r="B143" s="7" t="s">
        <v>266</v>
      </c>
      <c r="C143" s="7" t="s">
        <v>295</v>
      </c>
      <c r="D143" s="5">
        <v>1092</v>
      </c>
      <c r="E143" s="5">
        <v>739</v>
      </c>
      <c r="F143" s="5">
        <v>111</v>
      </c>
      <c r="G143" s="5">
        <v>55</v>
      </c>
      <c r="H143" s="6">
        <f t="shared" si="5"/>
        <v>4.6140448652483409E-4</v>
      </c>
      <c r="I143" s="6">
        <f t="shared" si="6"/>
        <v>0.10164835164835165</v>
      </c>
      <c r="J143" s="6">
        <f t="shared" si="7"/>
        <v>7.4424898511502025E-2</v>
      </c>
      <c r="K143" s="6">
        <f t="shared" si="8"/>
        <v>4.6901005498403467E-5</v>
      </c>
      <c r="L143" s="6">
        <f t="shared" si="9"/>
        <v>3.4339982082362479E-5</v>
      </c>
    </row>
    <row r="144" spans="1:12" ht="22.95" customHeight="1">
      <c r="A144" s="5">
        <v>1</v>
      </c>
      <c r="B144" s="7" t="s">
        <v>180</v>
      </c>
      <c r="C144" s="7" t="s">
        <v>294</v>
      </c>
      <c r="D144" s="5">
        <v>7</v>
      </c>
      <c r="E144" s="5">
        <v>4</v>
      </c>
      <c r="F144" s="5">
        <v>6</v>
      </c>
      <c r="G144" s="5">
        <v>2</v>
      </c>
      <c r="H144" s="6">
        <f t="shared" si="5"/>
        <v>2.9577210674668854E-6</v>
      </c>
      <c r="I144" s="6">
        <f t="shared" si="6"/>
        <v>0.8571428571428571</v>
      </c>
      <c r="J144" s="6">
        <f t="shared" si="7"/>
        <v>0.5</v>
      </c>
      <c r="K144" s="6">
        <f t="shared" si="8"/>
        <v>2.5351894864001871E-6</v>
      </c>
      <c r="L144" s="6">
        <f t="shared" si="9"/>
        <v>1.4788605337334427E-6</v>
      </c>
    </row>
    <row r="145" spans="1:12" ht="22.95" customHeight="1">
      <c r="A145" s="5">
        <v>1</v>
      </c>
      <c r="B145" s="7" t="s">
        <v>134</v>
      </c>
      <c r="C145" s="7" t="s">
        <v>296</v>
      </c>
      <c r="D145" s="5">
        <v>253</v>
      </c>
      <c r="E145" s="5">
        <v>259</v>
      </c>
      <c r="F145" s="5">
        <v>0</v>
      </c>
      <c r="G145" s="5">
        <v>0</v>
      </c>
      <c r="H145" s="6">
        <f t="shared" si="5"/>
        <v>1.0690049000987456E-4</v>
      </c>
      <c r="I145" s="6">
        <f t="shared" si="6"/>
        <v>0</v>
      </c>
      <c r="J145" s="6">
        <f t="shared" si="7"/>
        <v>0</v>
      </c>
      <c r="K145" s="6">
        <f t="shared" si="8"/>
        <v>0</v>
      </c>
      <c r="L145" s="6">
        <f t="shared" si="9"/>
        <v>0</v>
      </c>
    </row>
    <row r="146" spans="1:12" ht="22.95" customHeight="1">
      <c r="A146" s="5">
        <v>1</v>
      </c>
      <c r="B146" s="7" t="s">
        <v>184</v>
      </c>
      <c r="C146" s="7" t="s">
        <v>303</v>
      </c>
      <c r="D146" s="5">
        <v>1</v>
      </c>
      <c r="E146" s="5">
        <v>1</v>
      </c>
      <c r="F146" s="5">
        <v>1</v>
      </c>
      <c r="G146" s="5">
        <v>0</v>
      </c>
      <c r="H146" s="6">
        <f t="shared" si="5"/>
        <v>4.2253158106669789E-7</v>
      </c>
      <c r="I146" s="6">
        <f t="shared" si="6"/>
        <v>1</v>
      </c>
      <c r="J146" s="6">
        <f t="shared" si="7"/>
        <v>0</v>
      </c>
      <c r="K146" s="6">
        <f t="shared" si="8"/>
        <v>4.2253158106669789E-7</v>
      </c>
      <c r="L146" s="6">
        <f t="shared" si="9"/>
        <v>0</v>
      </c>
    </row>
    <row r="147" spans="1:12" ht="22.95" customHeight="1">
      <c r="A147" s="5">
        <v>1</v>
      </c>
      <c r="B147" s="7" t="s">
        <v>248</v>
      </c>
      <c r="C147" s="7" t="s">
        <v>295</v>
      </c>
      <c r="D147" s="5">
        <v>6</v>
      </c>
      <c r="E147" s="5">
        <v>10</v>
      </c>
      <c r="F147" s="5">
        <v>4</v>
      </c>
      <c r="G147" s="5">
        <v>7</v>
      </c>
      <c r="H147" s="6">
        <f t="shared" si="5"/>
        <v>2.5351894864001871E-6</v>
      </c>
      <c r="I147" s="6">
        <f t="shared" si="6"/>
        <v>0.66666666666666663</v>
      </c>
      <c r="J147" s="6">
        <f t="shared" si="7"/>
        <v>0.7</v>
      </c>
      <c r="K147" s="6">
        <f t="shared" si="8"/>
        <v>1.6901263242667914E-6</v>
      </c>
      <c r="L147" s="6">
        <f t="shared" si="9"/>
        <v>1.7746326404801308E-6</v>
      </c>
    </row>
    <row r="148" spans="1:12" ht="22.95" customHeight="1">
      <c r="A148" s="5">
        <v>1</v>
      </c>
      <c r="B148" s="7" t="s">
        <v>195</v>
      </c>
      <c r="C148" s="7" t="s">
        <v>291</v>
      </c>
      <c r="D148" s="5">
        <v>1</v>
      </c>
      <c r="E148" s="5">
        <v>5</v>
      </c>
      <c r="F148" s="5">
        <v>1</v>
      </c>
      <c r="G148" s="5">
        <v>2</v>
      </c>
      <c r="H148" s="6">
        <f t="shared" si="5"/>
        <v>4.2253158106669789E-7</v>
      </c>
      <c r="I148" s="6">
        <f t="shared" si="6"/>
        <v>1</v>
      </c>
      <c r="J148" s="6">
        <f t="shared" si="7"/>
        <v>0.4</v>
      </c>
      <c r="K148" s="6">
        <f t="shared" si="8"/>
        <v>4.2253158106669789E-7</v>
      </c>
      <c r="L148" s="6">
        <f t="shared" si="9"/>
        <v>1.6901263242667916E-7</v>
      </c>
    </row>
    <row r="149" spans="1:12" ht="22.95" customHeight="1">
      <c r="A149" s="5">
        <v>1</v>
      </c>
      <c r="B149" s="7" t="s">
        <v>235</v>
      </c>
      <c r="C149" s="7" t="s">
        <v>303</v>
      </c>
      <c r="D149" s="5">
        <v>2</v>
      </c>
      <c r="E149" s="5">
        <v>1</v>
      </c>
      <c r="F149" s="5">
        <v>0</v>
      </c>
      <c r="G149" s="5">
        <v>0</v>
      </c>
      <c r="H149" s="6">
        <f t="shared" si="5"/>
        <v>8.4506316213339578E-7</v>
      </c>
      <c r="I149" s="6">
        <f t="shared" si="6"/>
        <v>0</v>
      </c>
      <c r="J149" s="6">
        <f t="shared" si="7"/>
        <v>0</v>
      </c>
      <c r="K149" s="6">
        <f t="shared" si="8"/>
        <v>0</v>
      </c>
      <c r="L149" s="6">
        <f t="shared" si="9"/>
        <v>0</v>
      </c>
    </row>
    <row r="150" spans="1:12" ht="22.95" customHeight="1">
      <c r="A150" s="5">
        <v>1</v>
      </c>
      <c r="B150" s="7" t="s">
        <v>136</v>
      </c>
      <c r="C150" s="7" t="s">
        <v>296</v>
      </c>
      <c r="D150" s="5">
        <v>452</v>
      </c>
      <c r="E150" s="5">
        <v>372</v>
      </c>
      <c r="F150" s="5">
        <v>0</v>
      </c>
      <c r="G150" s="5">
        <v>0</v>
      </c>
      <c r="H150" s="6">
        <f t="shared" si="5"/>
        <v>1.9098427464214743E-4</v>
      </c>
      <c r="I150" s="6">
        <f t="shared" si="6"/>
        <v>0</v>
      </c>
      <c r="J150" s="6">
        <f t="shared" si="7"/>
        <v>0</v>
      </c>
      <c r="K150" s="6">
        <f t="shared" si="8"/>
        <v>0</v>
      </c>
      <c r="L150" s="6">
        <f t="shared" si="9"/>
        <v>0</v>
      </c>
    </row>
    <row r="151" spans="1:12" ht="22.95" customHeight="1">
      <c r="A151" s="5">
        <v>1</v>
      </c>
      <c r="B151" s="7" t="s">
        <v>243</v>
      </c>
      <c r="C151" s="7" t="s">
        <v>292</v>
      </c>
      <c r="D151" s="5">
        <v>5</v>
      </c>
      <c r="E151" s="5">
        <v>4</v>
      </c>
      <c r="F151" s="5">
        <v>3</v>
      </c>
      <c r="G151" s="5">
        <v>2</v>
      </c>
      <c r="H151" s="6">
        <f t="shared" si="5"/>
        <v>2.1126579053334894E-6</v>
      </c>
      <c r="I151" s="6">
        <f t="shared" si="6"/>
        <v>0.6</v>
      </c>
      <c r="J151" s="6">
        <f t="shared" si="7"/>
        <v>0.5</v>
      </c>
      <c r="K151" s="6">
        <f t="shared" si="8"/>
        <v>1.2675947432000936E-6</v>
      </c>
      <c r="L151" s="6">
        <f t="shared" si="9"/>
        <v>1.0563289526667447E-6</v>
      </c>
    </row>
    <row r="152" spans="1:12" ht="22.95" customHeight="1">
      <c r="A152" s="5">
        <v>1</v>
      </c>
      <c r="B152" s="7" t="s">
        <v>274</v>
      </c>
      <c r="C152" s="7" t="s">
        <v>292</v>
      </c>
      <c r="D152" s="5">
        <v>1309</v>
      </c>
      <c r="E152" s="5">
        <v>852</v>
      </c>
      <c r="F152" s="5">
        <v>932</v>
      </c>
      <c r="G152" s="5">
        <v>558</v>
      </c>
      <c r="H152" s="6">
        <f t="shared" si="5"/>
        <v>5.5309383961630752E-4</v>
      </c>
      <c r="I152" s="6">
        <f t="shared" si="6"/>
        <v>0.71199388846447675</v>
      </c>
      <c r="J152" s="6">
        <f t="shared" si="7"/>
        <v>0.65492957746478875</v>
      </c>
      <c r="K152" s="6">
        <f t="shared" si="8"/>
        <v>3.9379943355416248E-4</v>
      </c>
      <c r="L152" s="6">
        <f t="shared" si="9"/>
        <v>3.6223751467828595E-4</v>
      </c>
    </row>
    <row r="153" spans="1:12" ht="22.95" customHeight="1">
      <c r="A153" s="5">
        <v>1</v>
      </c>
      <c r="B153" s="7" t="s">
        <v>279</v>
      </c>
      <c r="C153" s="7" t="s">
        <v>303</v>
      </c>
      <c r="D153" s="5">
        <v>2180</v>
      </c>
      <c r="E153" s="5">
        <v>1336</v>
      </c>
      <c r="F153" s="5">
        <v>626</v>
      </c>
      <c r="G153" s="5">
        <v>761</v>
      </c>
      <c r="H153" s="6">
        <f t="shared" si="5"/>
        <v>9.2111884672540134E-4</v>
      </c>
      <c r="I153" s="6">
        <f t="shared" si="6"/>
        <v>0.28715596330275228</v>
      </c>
      <c r="J153" s="6">
        <f t="shared" si="7"/>
        <v>0.56961077844311381</v>
      </c>
      <c r="K153" s="6">
        <f t="shared" si="8"/>
        <v>2.6450476974775283E-4</v>
      </c>
      <c r="L153" s="6">
        <f t="shared" si="9"/>
        <v>5.2467922332187912E-4</v>
      </c>
    </row>
    <row r="154" spans="1:12" ht="22.95" customHeight="1">
      <c r="A154" s="5">
        <v>1</v>
      </c>
      <c r="B154" s="7" t="s">
        <v>257</v>
      </c>
      <c r="C154" s="7" t="s">
        <v>293</v>
      </c>
      <c r="D154" s="5">
        <v>560</v>
      </c>
      <c r="E154" s="5">
        <v>489</v>
      </c>
      <c r="F154" s="5">
        <v>231</v>
      </c>
      <c r="G154" s="5">
        <v>148</v>
      </c>
      <c r="H154" s="6">
        <f t="shared" si="5"/>
        <v>2.366176853973508E-4</v>
      </c>
      <c r="I154" s="6">
        <f t="shared" si="6"/>
        <v>0.41249999999999998</v>
      </c>
      <c r="J154" s="6">
        <f t="shared" si="7"/>
        <v>0.30265848670756645</v>
      </c>
      <c r="K154" s="6">
        <f t="shared" si="8"/>
        <v>9.7604795226407195E-5</v>
      </c>
      <c r="L154" s="6">
        <f t="shared" si="9"/>
        <v>7.1614350590609233E-5</v>
      </c>
    </row>
    <row r="155" spans="1:12" ht="22.95" customHeight="1">
      <c r="A155" s="5">
        <v>1</v>
      </c>
      <c r="B155" s="7" t="s">
        <v>121</v>
      </c>
      <c r="C155" s="7" t="s">
        <v>290</v>
      </c>
      <c r="D155" s="5">
        <v>1200</v>
      </c>
      <c r="E155" s="5">
        <v>1402</v>
      </c>
      <c r="F155" s="5">
        <v>774</v>
      </c>
      <c r="G155" s="5">
        <v>845</v>
      </c>
      <c r="H155" s="6">
        <f t="shared" si="5"/>
        <v>5.0703789728003749E-4</v>
      </c>
      <c r="I155" s="6">
        <f t="shared" si="6"/>
        <v>0.64500000000000002</v>
      </c>
      <c r="J155" s="6">
        <f t="shared" si="7"/>
        <v>0.60271041369472178</v>
      </c>
      <c r="K155" s="6">
        <f t="shared" si="8"/>
        <v>3.2703944374562417E-4</v>
      </c>
      <c r="L155" s="6">
        <f t="shared" si="9"/>
        <v>3.0559702082855325E-4</v>
      </c>
    </row>
    <row r="156" spans="1:12" ht="22.95" customHeight="1">
      <c r="A156" s="5">
        <v>1</v>
      </c>
      <c r="B156" s="7" t="s">
        <v>160</v>
      </c>
      <c r="C156" s="7" t="s">
        <v>292</v>
      </c>
      <c r="D156" s="5">
        <v>313</v>
      </c>
      <c r="E156" s="5">
        <v>267</v>
      </c>
      <c r="F156" s="5">
        <v>68</v>
      </c>
      <c r="G156" s="5">
        <v>54</v>
      </c>
      <c r="H156" s="6">
        <f t="shared" si="5"/>
        <v>1.3225238487387644E-4</v>
      </c>
      <c r="I156" s="6">
        <f t="shared" si="6"/>
        <v>0.21725239616613418</v>
      </c>
      <c r="J156" s="6">
        <f t="shared" si="7"/>
        <v>0.20224719101123595</v>
      </c>
      <c r="K156" s="6">
        <f t="shared" si="8"/>
        <v>2.8732147512535456E-5</v>
      </c>
      <c r="L156" s="6">
        <f t="shared" si="9"/>
        <v>2.6747673345278382E-5</v>
      </c>
    </row>
    <row r="157" spans="1:12" ht="22.95" customHeight="1">
      <c r="A157" s="5">
        <v>1</v>
      </c>
      <c r="B157" s="7" t="s">
        <v>240</v>
      </c>
      <c r="C157" s="7" t="s">
        <v>296</v>
      </c>
      <c r="D157" s="5">
        <v>13</v>
      </c>
      <c r="E157" s="5">
        <v>3</v>
      </c>
      <c r="F157" s="5">
        <v>0</v>
      </c>
      <c r="G157" s="5">
        <v>0</v>
      </c>
      <c r="H157" s="6">
        <f t="shared" si="5"/>
        <v>5.4929105538670721E-6</v>
      </c>
      <c r="I157" s="6">
        <f t="shared" si="6"/>
        <v>0</v>
      </c>
      <c r="J157" s="6">
        <f t="shared" si="7"/>
        <v>0</v>
      </c>
      <c r="K157" s="6">
        <f t="shared" si="8"/>
        <v>0</v>
      </c>
      <c r="L157" s="6">
        <f t="shared" si="9"/>
        <v>0</v>
      </c>
    </row>
    <row r="158" spans="1:12" ht="22.95" customHeight="1">
      <c r="A158" s="5">
        <v>1</v>
      </c>
      <c r="B158" s="7" t="s">
        <v>264</v>
      </c>
      <c r="C158" s="7" t="s">
        <v>302</v>
      </c>
      <c r="D158" s="5">
        <v>289</v>
      </c>
      <c r="E158" s="5">
        <v>285</v>
      </c>
      <c r="F158" s="5">
        <v>199</v>
      </c>
      <c r="G158" s="5">
        <v>199</v>
      </c>
      <c r="H158" s="6">
        <f t="shared" ref="H158:H221" si="10">D158/$B$16</f>
        <v>1.2211162692827567E-4</v>
      </c>
      <c r="I158" s="6">
        <f t="shared" ref="I158:I221" si="11">F158/D158</f>
        <v>0.68858131487889274</v>
      </c>
      <c r="J158" s="6">
        <f t="shared" ref="J158:J221" si="12">G158/E158</f>
        <v>0.69824561403508767</v>
      </c>
      <c r="K158" s="6">
        <f t="shared" ref="K158:K221" si="13">H158*I158</f>
        <v>8.4083784632272865E-5</v>
      </c>
      <c r="L158" s="6">
        <f t="shared" ref="L158:L221" si="14">H158*J158</f>
        <v>8.5263907925357401E-5</v>
      </c>
    </row>
    <row r="159" spans="1:12" ht="22.95" customHeight="1">
      <c r="A159" s="5">
        <v>1</v>
      </c>
      <c r="B159" s="7" t="s">
        <v>116</v>
      </c>
      <c r="C159" s="7" t="s">
        <v>294</v>
      </c>
      <c r="D159" s="5">
        <v>1425</v>
      </c>
      <c r="E159" s="5">
        <v>1557</v>
      </c>
      <c r="F159" s="5">
        <v>426</v>
      </c>
      <c r="G159" s="5">
        <v>577</v>
      </c>
      <c r="H159" s="6">
        <f t="shared" si="10"/>
        <v>6.0210750302004451E-4</v>
      </c>
      <c r="I159" s="6">
        <f t="shared" si="11"/>
        <v>0.29894736842105263</v>
      </c>
      <c r="J159" s="6">
        <f t="shared" si="12"/>
        <v>0.37058445728965961</v>
      </c>
      <c r="K159" s="6">
        <f t="shared" si="13"/>
        <v>1.7999845353441329E-4</v>
      </c>
      <c r="L159" s="6">
        <f t="shared" si="14"/>
        <v>2.2313168223671528E-4</v>
      </c>
    </row>
    <row r="160" spans="1:12" ht="22.95" customHeight="1">
      <c r="A160" s="5">
        <v>1</v>
      </c>
      <c r="B160" s="7" t="s">
        <v>135</v>
      </c>
      <c r="C160" s="7" t="s">
        <v>291</v>
      </c>
      <c r="D160" s="5">
        <v>1577</v>
      </c>
      <c r="E160" s="5">
        <v>1632</v>
      </c>
      <c r="F160" s="5">
        <v>558</v>
      </c>
      <c r="G160" s="5">
        <v>757</v>
      </c>
      <c r="H160" s="6">
        <f t="shared" si="10"/>
        <v>6.6633230334218259E-4</v>
      </c>
      <c r="I160" s="6">
        <f t="shared" si="11"/>
        <v>0.35383639822447688</v>
      </c>
      <c r="J160" s="6">
        <f t="shared" si="12"/>
        <v>0.46384803921568629</v>
      </c>
      <c r="K160" s="6">
        <f t="shared" si="13"/>
        <v>2.3577262223521746E-4</v>
      </c>
      <c r="L160" s="6">
        <f t="shared" si="14"/>
        <v>3.0907693237134331E-4</v>
      </c>
    </row>
    <row r="161" spans="1:12" ht="22.95" customHeight="1">
      <c r="A161" s="5">
        <v>1</v>
      </c>
      <c r="B161" s="7" t="s">
        <v>120</v>
      </c>
      <c r="C161" s="7" t="s">
        <v>303</v>
      </c>
      <c r="D161" s="5">
        <v>541</v>
      </c>
      <c r="E161" s="5">
        <v>754</v>
      </c>
      <c r="F161" s="5">
        <v>356</v>
      </c>
      <c r="G161" s="5">
        <v>522</v>
      </c>
      <c r="H161" s="6">
        <f t="shared" si="10"/>
        <v>2.2858958535708354E-4</v>
      </c>
      <c r="I161" s="6">
        <f t="shared" si="11"/>
        <v>0.65804066543438078</v>
      </c>
      <c r="J161" s="6">
        <f t="shared" si="12"/>
        <v>0.69230769230769229</v>
      </c>
      <c r="K161" s="6">
        <f t="shared" si="13"/>
        <v>1.5042124285974444E-4</v>
      </c>
      <c r="L161" s="6">
        <f t="shared" si="14"/>
        <v>1.5825432832413476E-4</v>
      </c>
    </row>
    <row r="162" spans="1:12" ht="22.95" customHeight="1">
      <c r="A162" s="5">
        <v>1</v>
      </c>
      <c r="B162" s="7" t="s">
        <v>86</v>
      </c>
      <c r="C162" s="7" t="s">
        <v>292</v>
      </c>
      <c r="D162" s="5">
        <v>5161</v>
      </c>
      <c r="E162" s="5">
        <v>24079</v>
      </c>
      <c r="F162" s="5">
        <v>2131</v>
      </c>
      <c r="G162" s="5">
        <v>13839</v>
      </c>
      <c r="H162" s="6">
        <f t="shared" si="10"/>
        <v>2.1806854898852278E-3</v>
      </c>
      <c r="I162" s="6">
        <f t="shared" si="11"/>
        <v>0.4129044758767681</v>
      </c>
      <c r="J162" s="6">
        <f t="shared" si="12"/>
        <v>0.57473316998214208</v>
      </c>
      <c r="K162" s="6">
        <f t="shared" si="13"/>
        <v>9.0041479925313328E-4</v>
      </c>
      <c r="L162" s="6">
        <f t="shared" si="14"/>
        <v>1.2533122843357974E-3</v>
      </c>
    </row>
    <row r="163" spans="1:12" ht="22.95" customHeight="1">
      <c r="A163" s="5">
        <v>1</v>
      </c>
      <c r="B163" s="7" t="s">
        <v>175</v>
      </c>
      <c r="C163" s="7" t="s">
        <v>296</v>
      </c>
      <c r="D163" s="5">
        <v>299</v>
      </c>
      <c r="E163" s="5">
        <v>402</v>
      </c>
      <c r="F163" s="5">
        <v>0</v>
      </c>
      <c r="G163" s="5">
        <v>0</v>
      </c>
      <c r="H163" s="6">
        <f t="shared" si="10"/>
        <v>1.2633694273894266E-4</v>
      </c>
      <c r="I163" s="6">
        <f t="shared" si="11"/>
        <v>0</v>
      </c>
      <c r="J163" s="6">
        <f t="shared" si="12"/>
        <v>0</v>
      </c>
      <c r="K163" s="6">
        <f t="shared" si="13"/>
        <v>0</v>
      </c>
      <c r="L163" s="6">
        <f t="shared" si="14"/>
        <v>0</v>
      </c>
    </row>
    <row r="164" spans="1:12" ht="22.95" customHeight="1">
      <c r="A164" s="5">
        <v>1</v>
      </c>
      <c r="B164" s="7" t="s">
        <v>85</v>
      </c>
      <c r="C164" s="7" t="s">
        <v>291</v>
      </c>
      <c r="D164" s="5">
        <v>5474</v>
      </c>
      <c r="E164" s="5">
        <v>5141</v>
      </c>
      <c r="F164" s="5">
        <v>892</v>
      </c>
      <c r="G164" s="5">
        <v>1017</v>
      </c>
      <c r="H164" s="6">
        <f t="shared" si="10"/>
        <v>2.3129378747591043E-3</v>
      </c>
      <c r="I164" s="6">
        <f t="shared" si="11"/>
        <v>0.16295213737668982</v>
      </c>
      <c r="J164" s="6">
        <f t="shared" si="12"/>
        <v>0.19782143551838163</v>
      </c>
      <c r="K164" s="6">
        <f t="shared" si="13"/>
        <v>3.7689817031149453E-4</v>
      </c>
      <c r="L164" s="6">
        <f t="shared" si="14"/>
        <v>4.5754869064968079E-4</v>
      </c>
    </row>
    <row r="165" spans="1:12" ht="22.95" customHeight="1">
      <c r="A165" s="5">
        <v>1</v>
      </c>
      <c r="B165" s="7" t="s">
        <v>110</v>
      </c>
      <c r="C165" s="7" t="s">
        <v>291</v>
      </c>
      <c r="D165" s="5">
        <v>2587</v>
      </c>
      <c r="E165" s="5">
        <v>2827</v>
      </c>
      <c r="F165" s="5">
        <v>0</v>
      </c>
      <c r="G165" s="5">
        <v>0</v>
      </c>
      <c r="H165" s="6">
        <f t="shared" si="10"/>
        <v>1.0930892002195473E-3</v>
      </c>
      <c r="I165" s="6">
        <f t="shared" si="11"/>
        <v>0</v>
      </c>
      <c r="J165" s="6">
        <f t="shared" si="12"/>
        <v>0</v>
      </c>
      <c r="K165" s="6">
        <f t="shared" si="13"/>
        <v>0</v>
      </c>
      <c r="L165" s="6">
        <f t="shared" si="14"/>
        <v>0</v>
      </c>
    </row>
    <row r="166" spans="1:12" ht="22.95" customHeight="1">
      <c r="A166" s="5">
        <v>1</v>
      </c>
      <c r="B166" s="7" t="s">
        <v>151</v>
      </c>
      <c r="C166" s="7" t="s">
        <v>291</v>
      </c>
      <c r="D166" s="5">
        <v>308</v>
      </c>
      <c r="E166" s="5">
        <v>457</v>
      </c>
      <c r="F166" s="5">
        <v>93</v>
      </c>
      <c r="G166" s="5">
        <v>100</v>
      </c>
      <c r="H166" s="6">
        <f t="shared" si="10"/>
        <v>1.3013972696854294E-4</v>
      </c>
      <c r="I166" s="6">
        <f t="shared" si="11"/>
        <v>0.30194805194805197</v>
      </c>
      <c r="J166" s="6">
        <f t="shared" si="12"/>
        <v>0.21881838074398249</v>
      </c>
      <c r="K166" s="6">
        <f t="shared" si="13"/>
        <v>3.9295437039202898E-5</v>
      </c>
      <c r="L166" s="6">
        <f t="shared" si="14"/>
        <v>2.8476964325720553E-5</v>
      </c>
    </row>
    <row r="167" spans="1:12" ht="22.95" customHeight="1">
      <c r="A167" s="5">
        <v>1</v>
      </c>
      <c r="B167" s="7" t="s">
        <v>161</v>
      </c>
      <c r="C167" s="7" t="s">
        <v>291</v>
      </c>
      <c r="D167" s="5">
        <v>431</v>
      </c>
      <c r="E167" s="5">
        <v>355</v>
      </c>
      <c r="F167" s="5">
        <v>146</v>
      </c>
      <c r="G167" s="5">
        <v>117</v>
      </c>
      <c r="H167" s="6">
        <f t="shared" si="10"/>
        <v>1.8211111143974677E-4</v>
      </c>
      <c r="I167" s="6">
        <f t="shared" si="11"/>
        <v>0.33874709976798145</v>
      </c>
      <c r="J167" s="6">
        <f t="shared" si="12"/>
        <v>0.3295774647887324</v>
      </c>
      <c r="K167" s="6">
        <f t="shared" si="13"/>
        <v>6.1689610835737892E-5</v>
      </c>
      <c r="L167" s="6">
        <f t="shared" si="14"/>
        <v>6.0019718418170063E-5</v>
      </c>
    </row>
    <row r="168" spans="1:12" ht="22.95" customHeight="1">
      <c r="A168" s="5">
        <v>1</v>
      </c>
      <c r="B168" s="7" t="s">
        <v>162</v>
      </c>
      <c r="C168" s="7" t="s">
        <v>291</v>
      </c>
      <c r="D168" s="5">
        <v>249</v>
      </c>
      <c r="E168" s="5">
        <v>291</v>
      </c>
      <c r="F168" s="5">
        <v>62</v>
      </c>
      <c r="G168" s="5">
        <v>72</v>
      </c>
      <c r="H168" s="6">
        <f t="shared" si="10"/>
        <v>1.0521036368560777E-4</v>
      </c>
      <c r="I168" s="6">
        <f t="shared" si="11"/>
        <v>0.24899598393574296</v>
      </c>
      <c r="J168" s="6">
        <f t="shared" si="12"/>
        <v>0.24742268041237114</v>
      </c>
      <c r="K168" s="6">
        <f t="shared" si="13"/>
        <v>2.6196958026135268E-5</v>
      </c>
      <c r="L168" s="6">
        <f t="shared" si="14"/>
        <v>2.6031430190253471E-5</v>
      </c>
    </row>
    <row r="169" spans="1:12" ht="22.95" customHeight="1">
      <c r="A169" s="5">
        <v>1</v>
      </c>
      <c r="B169" s="7" t="s">
        <v>130</v>
      </c>
      <c r="C169" s="7" t="s">
        <v>292</v>
      </c>
      <c r="D169" s="5">
        <v>437</v>
      </c>
      <c r="E169" s="5">
        <v>404</v>
      </c>
      <c r="F169" s="5">
        <v>234</v>
      </c>
      <c r="G169" s="5">
        <v>251</v>
      </c>
      <c r="H169" s="6">
        <f t="shared" si="10"/>
        <v>1.8464630092614696E-4</v>
      </c>
      <c r="I169" s="6">
        <f t="shared" si="11"/>
        <v>0.53546910755148747</v>
      </c>
      <c r="J169" s="6">
        <f t="shared" si="12"/>
        <v>0.62128712871287128</v>
      </c>
      <c r="K169" s="6">
        <f t="shared" si="13"/>
        <v>9.8872389969607304E-5</v>
      </c>
      <c r="L169" s="6">
        <f t="shared" si="14"/>
        <v>1.1471837012985863E-4</v>
      </c>
    </row>
    <row r="170" spans="1:12" ht="22.95" customHeight="1">
      <c r="A170" s="5">
        <v>1</v>
      </c>
      <c r="B170" s="7" t="s">
        <v>192</v>
      </c>
      <c r="C170" s="7" t="s">
        <v>303</v>
      </c>
      <c r="D170" s="5">
        <v>16</v>
      </c>
      <c r="E170" s="5">
        <v>9</v>
      </c>
      <c r="F170" s="5">
        <v>12</v>
      </c>
      <c r="G170" s="5">
        <v>7</v>
      </c>
      <c r="H170" s="6">
        <f t="shared" si="10"/>
        <v>6.7605052970671663E-6</v>
      </c>
      <c r="I170" s="6">
        <f t="shared" si="11"/>
        <v>0.75</v>
      </c>
      <c r="J170" s="6">
        <f t="shared" si="12"/>
        <v>0.77777777777777779</v>
      </c>
      <c r="K170" s="6">
        <f t="shared" si="13"/>
        <v>5.0703789728003751E-6</v>
      </c>
      <c r="L170" s="6">
        <f t="shared" si="14"/>
        <v>5.2581707866077957E-6</v>
      </c>
    </row>
    <row r="171" spans="1:12" ht="22.95" customHeight="1">
      <c r="A171" s="5">
        <v>1</v>
      </c>
      <c r="B171" s="7" t="s">
        <v>126</v>
      </c>
      <c r="C171" s="7" t="s">
        <v>298</v>
      </c>
      <c r="D171" s="5">
        <v>584</v>
      </c>
      <c r="E171" s="5">
        <v>795</v>
      </c>
      <c r="F171" s="5">
        <v>282</v>
      </c>
      <c r="G171" s="5">
        <v>444</v>
      </c>
      <c r="H171" s="6">
        <f t="shared" si="10"/>
        <v>2.4675844334295157E-4</v>
      </c>
      <c r="I171" s="6">
        <f t="shared" si="11"/>
        <v>0.48287671232876711</v>
      </c>
      <c r="J171" s="6">
        <f t="shared" si="12"/>
        <v>0.55849056603773584</v>
      </c>
      <c r="K171" s="6">
        <f t="shared" si="13"/>
        <v>1.191539058608088E-4</v>
      </c>
      <c r="L171" s="6">
        <f t="shared" si="14"/>
        <v>1.3781226269719558E-4</v>
      </c>
    </row>
    <row r="172" spans="1:12" ht="22.95" customHeight="1">
      <c r="A172" s="5">
        <v>1</v>
      </c>
      <c r="B172" s="7" t="s">
        <v>197</v>
      </c>
      <c r="C172" s="7" t="s">
        <v>298</v>
      </c>
      <c r="D172" s="5">
        <v>7</v>
      </c>
      <c r="E172" s="5">
        <v>9</v>
      </c>
      <c r="F172" s="5">
        <v>7</v>
      </c>
      <c r="G172" s="5">
        <v>7</v>
      </c>
      <c r="H172" s="6">
        <f t="shared" si="10"/>
        <v>2.9577210674668854E-6</v>
      </c>
      <c r="I172" s="6">
        <f t="shared" si="11"/>
        <v>1</v>
      </c>
      <c r="J172" s="6">
        <f t="shared" si="12"/>
        <v>0.77777777777777779</v>
      </c>
      <c r="K172" s="6">
        <f t="shared" si="13"/>
        <v>2.9577210674668854E-6</v>
      </c>
      <c r="L172" s="6">
        <f t="shared" si="14"/>
        <v>2.3004497191409108E-6</v>
      </c>
    </row>
    <row r="173" spans="1:12" ht="22.95" customHeight="1">
      <c r="A173" s="5">
        <v>1</v>
      </c>
      <c r="B173" s="7" t="s">
        <v>206</v>
      </c>
      <c r="C173" s="7" t="s">
        <v>298</v>
      </c>
      <c r="D173" s="5">
        <v>1</v>
      </c>
      <c r="E173" s="5">
        <v>3</v>
      </c>
      <c r="F173" s="5">
        <v>0</v>
      </c>
      <c r="G173" s="5">
        <v>0</v>
      </c>
      <c r="H173" s="6">
        <f t="shared" si="10"/>
        <v>4.2253158106669789E-7</v>
      </c>
      <c r="I173" s="6">
        <f t="shared" si="11"/>
        <v>0</v>
      </c>
      <c r="J173" s="6">
        <f t="shared" si="12"/>
        <v>0</v>
      </c>
      <c r="K173" s="6">
        <f t="shared" si="13"/>
        <v>0</v>
      </c>
      <c r="L173" s="6">
        <f t="shared" si="14"/>
        <v>0</v>
      </c>
    </row>
    <row r="174" spans="1:12" ht="22.95" customHeight="1">
      <c r="A174" s="5">
        <v>1</v>
      </c>
      <c r="B174" s="7" t="s">
        <v>189</v>
      </c>
      <c r="C174" s="7" t="s">
        <v>298</v>
      </c>
      <c r="D174" s="5">
        <v>58</v>
      </c>
      <c r="E174" s="5">
        <v>55</v>
      </c>
      <c r="F174" s="5">
        <v>18</v>
      </c>
      <c r="G174" s="5">
        <v>27</v>
      </c>
      <c r="H174" s="6">
        <f t="shared" si="10"/>
        <v>2.4506831701868477E-5</v>
      </c>
      <c r="I174" s="6">
        <f t="shared" si="11"/>
        <v>0.31034482758620691</v>
      </c>
      <c r="J174" s="6">
        <f t="shared" si="12"/>
        <v>0.49090909090909091</v>
      </c>
      <c r="K174" s="6">
        <f t="shared" si="13"/>
        <v>7.6055684592005618E-6</v>
      </c>
      <c r="L174" s="6">
        <f t="shared" si="14"/>
        <v>1.2030626471826343E-5</v>
      </c>
    </row>
    <row r="175" spans="1:12" ht="22.95" customHeight="1">
      <c r="A175" s="5">
        <v>1</v>
      </c>
      <c r="B175" s="7" t="s">
        <v>194</v>
      </c>
      <c r="C175" s="7" t="s">
        <v>303</v>
      </c>
      <c r="D175" s="5">
        <v>11</v>
      </c>
      <c r="E175" s="5">
        <v>7</v>
      </c>
      <c r="F175" s="5">
        <v>5</v>
      </c>
      <c r="G175" s="5">
        <v>2</v>
      </c>
      <c r="H175" s="6">
        <f t="shared" si="10"/>
        <v>4.6478473917336765E-6</v>
      </c>
      <c r="I175" s="6">
        <f t="shared" si="11"/>
        <v>0.45454545454545453</v>
      </c>
      <c r="J175" s="6">
        <f t="shared" si="12"/>
        <v>0.2857142857142857</v>
      </c>
      <c r="K175" s="6">
        <f t="shared" si="13"/>
        <v>2.1126579053334894E-6</v>
      </c>
      <c r="L175" s="6">
        <f t="shared" si="14"/>
        <v>1.3279563976381933E-6</v>
      </c>
    </row>
    <row r="176" spans="1:12" ht="22.95" customHeight="1">
      <c r="A176" s="5">
        <v>1</v>
      </c>
      <c r="B176" s="7" t="s">
        <v>275</v>
      </c>
      <c r="C176" s="7" t="s">
        <v>295</v>
      </c>
      <c r="D176" s="5">
        <v>830</v>
      </c>
      <c r="E176" s="5">
        <v>1479</v>
      </c>
      <c r="F176" s="5">
        <v>682</v>
      </c>
      <c r="G176" s="5">
        <v>1317</v>
      </c>
      <c r="H176" s="6">
        <f t="shared" si="10"/>
        <v>3.5070121228535924E-4</v>
      </c>
      <c r="I176" s="6">
        <f t="shared" si="11"/>
        <v>0.82168674698795185</v>
      </c>
      <c r="J176" s="6">
        <f t="shared" si="12"/>
        <v>0.8904665314401623</v>
      </c>
      <c r="K176" s="6">
        <f t="shared" si="13"/>
        <v>2.8816653828748795E-4</v>
      </c>
      <c r="L176" s="6">
        <f t="shared" si="14"/>
        <v>3.1228769207560387E-4</v>
      </c>
    </row>
    <row r="177" spans="1:12" ht="22.95" customHeight="1">
      <c r="A177" s="5">
        <v>1</v>
      </c>
      <c r="B177" s="7" t="s">
        <v>94</v>
      </c>
      <c r="C177" s="7" t="s">
        <v>291</v>
      </c>
      <c r="D177" s="5">
        <v>4383</v>
      </c>
      <c r="E177" s="5">
        <v>4047</v>
      </c>
      <c r="F177" s="5">
        <v>0</v>
      </c>
      <c r="G177" s="5">
        <v>0</v>
      </c>
      <c r="H177" s="6">
        <f t="shared" si="10"/>
        <v>1.8519559198153367E-3</v>
      </c>
      <c r="I177" s="6">
        <f t="shared" si="11"/>
        <v>0</v>
      </c>
      <c r="J177" s="6">
        <f t="shared" si="12"/>
        <v>0</v>
      </c>
      <c r="K177" s="6">
        <f t="shared" si="13"/>
        <v>0</v>
      </c>
      <c r="L177" s="6">
        <f t="shared" si="14"/>
        <v>0</v>
      </c>
    </row>
    <row r="178" spans="1:12" ht="22.95" customHeight="1">
      <c r="A178" s="5">
        <v>1</v>
      </c>
      <c r="B178" s="7" t="s">
        <v>90</v>
      </c>
      <c r="C178" s="7" t="s">
        <v>290</v>
      </c>
      <c r="D178" s="5">
        <v>10000</v>
      </c>
      <c r="E178" s="5">
        <v>10961</v>
      </c>
      <c r="F178" s="5">
        <v>4310</v>
      </c>
      <c r="G178" s="5">
        <v>5350</v>
      </c>
      <c r="H178" s="6">
        <f t="shared" si="10"/>
        <v>4.2253158106669792E-3</v>
      </c>
      <c r="I178" s="6">
        <f t="shared" si="11"/>
        <v>0.43099999999999999</v>
      </c>
      <c r="J178" s="6">
        <f t="shared" si="12"/>
        <v>0.48809415199343126</v>
      </c>
      <c r="K178" s="6">
        <f t="shared" si="13"/>
        <v>1.8211111143974681E-3</v>
      </c>
      <c r="L178" s="6">
        <f t="shared" si="14"/>
        <v>2.0623519375119366E-3</v>
      </c>
    </row>
    <row r="179" spans="1:12" ht="22.95" customHeight="1">
      <c r="A179" s="5">
        <v>1</v>
      </c>
      <c r="B179" s="7" t="s">
        <v>163</v>
      </c>
      <c r="C179" s="7" t="s">
        <v>303</v>
      </c>
      <c r="D179" s="5">
        <v>97</v>
      </c>
      <c r="E179" s="5">
        <v>114</v>
      </c>
      <c r="F179" s="5">
        <v>56</v>
      </c>
      <c r="G179" s="5">
        <v>64</v>
      </c>
      <c r="H179" s="6">
        <f t="shared" si="10"/>
        <v>4.0985563363469693E-5</v>
      </c>
      <c r="I179" s="6">
        <f t="shared" si="11"/>
        <v>0.57731958762886593</v>
      </c>
      <c r="J179" s="6">
        <f t="shared" si="12"/>
        <v>0.56140350877192979</v>
      </c>
      <c r="K179" s="6">
        <f t="shared" si="13"/>
        <v>2.3661768539735079E-5</v>
      </c>
      <c r="L179" s="6">
        <f t="shared" si="14"/>
        <v>2.3009439081246144E-5</v>
      </c>
    </row>
    <row r="180" spans="1:12" ht="22.95" customHeight="1">
      <c r="A180" s="5">
        <v>1</v>
      </c>
      <c r="B180" s="7" t="s">
        <v>214</v>
      </c>
      <c r="C180" s="7" t="s">
        <v>303</v>
      </c>
      <c r="D180" s="5">
        <v>1</v>
      </c>
      <c r="E180" s="5">
        <v>4</v>
      </c>
      <c r="F180" s="5">
        <v>0</v>
      </c>
      <c r="G180" s="5">
        <v>4</v>
      </c>
      <c r="H180" s="6">
        <f t="shared" si="10"/>
        <v>4.2253158106669789E-7</v>
      </c>
      <c r="I180" s="6">
        <f t="shared" si="11"/>
        <v>0</v>
      </c>
      <c r="J180" s="6">
        <f t="shared" si="12"/>
        <v>1</v>
      </c>
      <c r="K180" s="6">
        <f t="shared" si="13"/>
        <v>0</v>
      </c>
      <c r="L180" s="6">
        <f t="shared" si="14"/>
        <v>4.2253158106669789E-7</v>
      </c>
    </row>
    <row r="181" spans="1:12" ht="22.95" customHeight="1">
      <c r="A181" s="5">
        <v>1</v>
      </c>
      <c r="B181" s="7" t="s">
        <v>138</v>
      </c>
      <c r="C181" s="7" t="s">
        <v>303</v>
      </c>
      <c r="D181" s="5">
        <v>156</v>
      </c>
      <c r="E181" s="5">
        <v>175</v>
      </c>
      <c r="F181" s="5">
        <v>88</v>
      </c>
      <c r="G181" s="5">
        <v>103</v>
      </c>
      <c r="H181" s="6">
        <f t="shared" si="10"/>
        <v>6.5914926646404865E-5</v>
      </c>
      <c r="I181" s="6">
        <f t="shared" si="11"/>
        <v>0.5641025641025641</v>
      </c>
      <c r="J181" s="6">
        <f t="shared" si="12"/>
        <v>0.58857142857142852</v>
      </c>
      <c r="K181" s="6">
        <f t="shared" si="13"/>
        <v>3.7182779133869412E-5</v>
      </c>
      <c r="L181" s="6">
        <f t="shared" si="14"/>
        <v>3.879564254045543E-5</v>
      </c>
    </row>
    <row r="182" spans="1:12" ht="22.95" customHeight="1">
      <c r="A182" s="5">
        <v>1</v>
      </c>
      <c r="B182" s="7" t="s">
        <v>168</v>
      </c>
      <c r="C182" s="7" t="s">
        <v>303</v>
      </c>
      <c r="D182" s="5">
        <v>148</v>
      </c>
      <c r="E182" s="5">
        <v>113</v>
      </c>
      <c r="F182" s="5">
        <v>106</v>
      </c>
      <c r="G182" s="5">
        <v>85</v>
      </c>
      <c r="H182" s="6">
        <f t="shared" si="10"/>
        <v>6.2534673997871289E-5</v>
      </c>
      <c r="I182" s="6">
        <f t="shared" si="11"/>
        <v>0.71621621621621623</v>
      </c>
      <c r="J182" s="6">
        <f t="shared" si="12"/>
        <v>0.75221238938053092</v>
      </c>
      <c r="K182" s="6">
        <f t="shared" si="13"/>
        <v>4.4788347593069981E-5</v>
      </c>
      <c r="L182" s="6">
        <f t="shared" si="14"/>
        <v>4.7039356547071322E-5</v>
      </c>
    </row>
    <row r="183" spans="1:12" ht="22.95" customHeight="1">
      <c r="A183" s="5">
        <v>1</v>
      </c>
      <c r="B183" s="7" t="s">
        <v>165</v>
      </c>
      <c r="C183" s="7" t="s">
        <v>293</v>
      </c>
      <c r="D183" s="5">
        <v>14</v>
      </c>
      <c r="E183" s="5">
        <v>9</v>
      </c>
      <c r="F183" s="5">
        <v>8</v>
      </c>
      <c r="G183" s="5">
        <v>3</v>
      </c>
      <c r="H183" s="6">
        <f t="shared" si="10"/>
        <v>5.9154421349337707E-6</v>
      </c>
      <c r="I183" s="6">
        <f t="shared" si="11"/>
        <v>0.5714285714285714</v>
      </c>
      <c r="J183" s="6">
        <f t="shared" si="12"/>
        <v>0.33333333333333331</v>
      </c>
      <c r="K183" s="6">
        <f t="shared" si="13"/>
        <v>3.3802526485335831E-6</v>
      </c>
      <c r="L183" s="6">
        <f t="shared" si="14"/>
        <v>1.9718140449779233E-6</v>
      </c>
    </row>
    <row r="184" spans="1:12" ht="22.95" customHeight="1">
      <c r="A184" s="5">
        <v>1</v>
      </c>
      <c r="B184" s="7" t="s">
        <v>149</v>
      </c>
      <c r="C184" s="7" t="s">
        <v>295</v>
      </c>
      <c r="D184" s="5">
        <v>53</v>
      </c>
      <c r="E184" s="5">
        <v>83</v>
      </c>
      <c r="F184" s="5">
        <v>42</v>
      </c>
      <c r="G184" s="5">
        <v>60</v>
      </c>
      <c r="H184" s="6">
        <f t="shared" si="10"/>
        <v>2.2394173796534987E-5</v>
      </c>
      <c r="I184" s="6">
        <f t="shared" si="11"/>
        <v>0.79245283018867929</v>
      </c>
      <c r="J184" s="6">
        <f t="shared" si="12"/>
        <v>0.72289156626506024</v>
      </c>
      <c r="K184" s="6">
        <f t="shared" si="13"/>
        <v>1.7746326404801312E-5</v>
      </c>
      <c r="L184" s="6">
        <f t="shared" si="14"/>
        <v>1.6188559370989146E-5</v>
      </c>
    </row>
    <row r="185" spans="1:12" ht="22.95" customHeight="1">
      <c r="A185" s="5">
        <v>1</v>
      </c>
      <c r="B185" s="7" t="s">
        <v>278</v>
      </c>
      <c r="C185" s="7" t="s">
        <v>292</v>
      </c>
      <c r="D185" s="5">
        <v>1307</v>
      </c>
      <c r="E185" s="5">
        <v>904</v>
      </c>
      <c r="F185" s="5">
        <v>1069</v>
      </c>
      <c r="G185" s="5">
        <v>770</v>
      </c>
      <c r="H185" s="6">
        <f t="shared" si="10"/>
        <v>5.5224877645417415E-4</v>
      </c>
      <c r="I185" s="6">
        <f t="shared" si="11"/>
        <v>0.81790359602142315</v>
      </c>
      <c r="J185" s="6">
        <f t="shared" si="12"/>
        <v>0.85176991150442483</v>
      </c>
      <c r="K185" s="6">
        <f t="shared" si="13"/>
        <v>4.5168626016030007E-4</v>
      </c>
      <c r="L185" s="6">
        <f t="shared" si="14"/>
        <v>4.7038889144879881E-4</v>
      </c>
    </row>
    <row r="186" spans="1:12" ht="22.95" customHeight="1">
      <c r="A186" s="5">
        <v>1</v>
      </c>
      <c r="B186" s="7" t="s">
        <v>127</v>
      </c>
      <c r="C186" s="7" t="s">
        <v>293</v>
      </c>
      <c r="D186" s="5">
        <v>58</v>
      </c>
      <c r="E186" s="5">
        <v>58</v>
      </c>
      <c r="F186" s="5">
        <v>26</v>
      </c>
      <c r="G186" s="5">
        <v>37</v>
      </c>
      <c r="H186" s="6">
        <f t="shared" si="10"/>
        <v>2.4506831701868477E-5</v>
      </c>
      <c r="I186" s="6">
        <f t="shared" si="11"/>
        <v>0.44827586206896552</v>
      </c>
      <c r="J186" s="6">
        <f t="shared" si="12"/>
        <v>0.63793103448275867</v>
      </c>
      <c r="K186" s="6">
        <f t="shared" si="13"/>
        <v>1.0985821107734144E-5</v>
      </c>
      <c r="L186" s="6">
        <f t="shared" si="14"/>
        <v>1.5633668499467822E-5</v>
      </c>
    </row>
    <row r="187" spans="1:12" ht="22.95" customHeight="1">
      <c r="A187" s="5">
        <v>1</v>
      </c>
      <c r="B187" s="7" t="s">
        <v>96</v>
      </c>
      <c r="C187" s="7" t="s">
        <v>290</v>
      </c>
      <c r="D187" s="5">
        <v>3600</v>
      </c>
      <c r="E187" s="5">
        <v>4498</v>
      </c>
      <c r="F187" s="5">
        <v>1377</v>
      </c>
      <c r="G187" s="5">
        <v>2046</v>
      </c>
      <c r="H187" s="6">
        <f t="shared" si="10"/>
        <v>1.5211136918401123E-3</v>
      </c>
      <c r="I187" s="6">
        <f t="shared" si="11"/>
        <v>0.38250000000000001</v>
      </c>
      <c r="J187" s="6">
        <f t="shared" si="12"/>
        <v>0.45486883059137395</v>
      </c>
      <c r="K187" s="6">
        <f t="shared" si="13"/>
        <v>5.8182598712884297E-4</v>
      </c>
      <c r="L187" s="6">
        <f t="shared" si="14"/>
        <v>6.9190720620383945E-4</v>
      </c>
    </row>
    <row r="188" spans="1:12" ht="22.95" customHeight="1">
      <c r="A188" s="5">
        <v>1</v>
      </c>
      <c r="B188" s="7" t="s">
        <v>115</v>
      </c>
      <c r="C188" s="7" t="s">
        <v>294</v>
      </c>
      <c r="D188" s="5">
        <v>329</v>
      </c>
      <c r="E188" s="5">
        <v>454</v>
      </c>
      <c r="F188" s="5">
        <v>113</v>
      </c>
      <c r="G188" s="5">
        <v>155</v>
      </c>
      <c r="H188" s="6">
        <f t="shared" si="10"/>
        <v>1.3901289017094359E-4</v>
      </c>
      <c r="I188" s="6">
        <f t="shared" si="11"/>
        <v>0.34346504559270519</v>
      </c>
      <c r="J188" s="6">
        <f t="shared" si="12"/>
        <v>0.34140969162995594</v>
      </c>
      <c r="K188" s="6">
        <f t="shared" si="13"/>
        <v>4.7746068660536857E-5</v>
      </c>
      <c r="L188" s="6">
        <f t="shared" si="14"/>
        <v>4.7460347965850784E-5</v>
      </c>
    </row>
    <row r="189" spans="1:12" ht="22.95" customHeight="1">
      <c r="A189" s="5">
        <v>1</v>
      </c>
      <c r="B189" s="7" t="s">
        <v>93</v>
      </c>
      <c r="C189" s="7" t="s">
        <v>294</v>
      </c>
      <c r="D189" s="5">
        <v>1</v>
      </c>
      <c r="E189" s="5">
        <v>9</v>
      </c>
      <c r="F189" s="5">
        <v>0</v>
      </c>
      <c r="G189" s="5">
        <v>5</v>
      </c>
      <c r="H189" s="6">
        <f t="shared" si="10"/>
        <v>4.2253158106669789E-7</v>
      </c>
      <c r="I189" s="6">
        <f t="shared" si="11"/>
        <v>0</v>
      </c>
      <c r="J189" s="6">
        <f t="shared" si="12"/>
        <v>0.55555555555555558</v>
      </c>
      <c r="K189" s="6">
        <f t="shared" si="13"/>
        <v>0</v>
      </c>
      <c r="L189" s="6">
        <f t="shared" si="14"/>
        <v>2.3473976725927662E-7</v>
      </c>
    </row>
    <row r="190" spans="1:12" ht="22.95" customHeight="1">
      <c r="A190" s="5">
        <v>1</v>
      </c>
      <c r="B190" s="7" t="s">
        <v>256</v>
      </c>
      <c r="C190" s="7" t="s">
        <v>294</v>
      </c>
      <c r="D190" s="5">
        <v>113</v>
      </c>
      <c r="E190" s="5">
        <v>123</v>
      </c>
      <c r="F190" s="5">
        <v>53</v>
      </c>
      <c r="G190" s="5">
        <v>78</v>
      </c>
      <c r="H190" s="6">
        <f t="shared" si="10"/>
        <v>4.7746068660536857E-5</v>
      </c>
      <c r="I190" s="6">
        <f t="shared" si="11"/>
        <v>0.46902654867256638</v>
      </c>
      <c r="J190" s="6">
        <f t="shared" si="12"/>
        <v>0.63414634146341464</v>
      </c>
      <c r="K190" s="6">
        <f t="shared" si="13"/>
        <v>2.2394173796534987E-5</v>
      </c>
      <c r="L190" s="6">
        <f t="shared" si="14"/>
        <v>3.0277994760340447E-5</v>
      </c>
    </row>
    <row r="191" spans="1:12" ht="22.95" customHeight="1">
      <c r="A191" s="5">
        <v>1</v>
      </c>
      <c r="B191" s="7" t="s">
        <v>277</v>
      </c>
      <c r="C191" s="7" t="s">
        <v>294</v>
      </c>
      <c r="D191" s="5">
        <v>6670</v>
      </c>
      <c r="E191" s="5">
        <v>6308</v>
      </c>
      <c r="F191" s="5">
        <v>2099</v>
      </c>
      <c r="G191" s="5">
        <v>2226</v>
      </c>
      <c r="H191" s="6">
        <f t="shared" si="10"/>
        <v>2.818285645714875E-3</v>
      </c>
      <c r="I191" s="6">
        <f t="shared" si="11"/>
        <v>0.3146926536731634</v>
      </c>
      <c r="J191" s="6">
        <f t="shared" si="12"/>
        <v>0.3528852251109702</v>
      </c>
      <c r="K191" s="6">
        <f t="shared" si="13"/>
        <v>8.8689378865899882E-4</v>
      </c>
      <c r="L191" s="6">
        <f t="shared" si="14"/>
        <v>9.9453136451510961E-4</v>
      </c>
    </row>
    <row r="192" spans="1:12" ht="22.95" customHeight="1">
      <c r="A192" s="5">
        <v>1</v>
      </c>
      <c r="B192" s="7" t="s">
        <v>225</v>
      </c>
      <c r="C192" s="7" t="s">
        <v>291</v>
      </c>
      <c r="D192" s="5">
        <v>1</v>
      </c>
      <c r="E192" s="5">
        <v>1</v>
      </c>
      <c r="F192" s="5">
        <v>1</v>
      </c>
      <c r="G192" s="5">
        <v>0</v>
      </c>
      <c r="H192" s="6">
        <f t="shared" si="10"/>
        <v>4.2253158106669789E-7</v>
      </c>
      <c r="I192" s="6">
        <f t="shared" si="11"/>
        <v>1</v>
      </c>
      <c r="J192" s="6">
        <f t="shared" si="12"/>
        <v>0</v>
      </c>
      <c r="K192" s="6">
        <f t="shared" si="13"/>
        <v>4.2253158106669789E-7</v>
      </c>
      <c r="L192" s="6">
        <f t="shared" si="14"/>
        <v>0</v>
      </c>
    </row>
    <row r="193" spans="1:12" ht="22.95" customHeight="1">
      <c r="A193" s="5">
        <v>1</v>
      </c>
      <c r="B193" s="7" t="s">
        <v>201</v>
      </c>
      <c r="C193" s="7" t="s">
        <v>303</v>
      </c>
      <c r="D193" s="5">
        <v>1</v>
      </c>
      <c r="E193" s="5">
        <v>1</v>
      </c>
      <c r="F193" s="5">
        <v>1</v>
      </c>
      <c r="G193" s="5">
        <v>0</v>
      </c>
      <c r="H193" s="6">
        <f t="shared" si="10"/>
        <v>4.2253158106669789E-7</v>
      </c>
      <c r="I193" s="6">
        <f t="shared" si="11"/>
        <v>1</v>
      </c>
      <c r="J193" s="6">
        <f t="shared" si="12"/>
        <v>0</v>
      </c>
      <c r="K193" s="6">
        <f t="shared" si="13"/>
        <v>4.2253158106669789E-7</v>
      </c>
      <c r="L193" s="6">
        <f t="shared" si="14"/>
        <v>0</v>
      </c>
    </row>
    <row r="194" spans="1:12" ht="22.95" customHeight="1">
      <c r="A194" s="5">
        <v>1</v>
      </c>
      <c r="B194" s="7" t="s">
        <v>128</v>
      </c>
      <c r="C194" s="7" t="s">
        <v>293</v>
      </c>
      <c r="D194" s="5">
        <v>21</v>
      </c>
      <c r="E194" s="5">
        <v>17</v>
      </c>
      <c r="F194" s="5">
        <v>5</v>
      </c>
      <c r="G194" s="5">
        <v>8</v>
      </c>
      <c r="H194" s="6">
        <f t="shared" si="10"/>
        <v>8.8731632024006561E-6</v>
      </c>
      <c r="I194" s="6">
        <f t="shared" si="11"/>
        <v>0.23809523809523808</v>
      </c>
      <c r="J194" s="6">
        <f t="shared" si="12"/>
        <v>0.47058823529411764</v>
      </c>
      <c r="K194" s="6">
        <f t="shared" si="13"/>
        <v>2.1126579053334894E-6</v>
      </c>
      <c r="L194" s="6">
        <f t="shared" si="14"/>
        <v>4.1756062128944265E-6</v>
      </c>
    </row>
    <row r="195" spans="1:12" ht="22.95" customHeight="1">
      <c r="A195" s="5">
        <v>2</v>
      </c>
      <c r="B195" s="7" t="s">
        <v>172</v>
      </c>
      <c r="C195" s="7" t="s">
        <v>296</v>
      </c>
      <c r="D195" s="5">
        <v>3</v>
      </c>
      <c r="E195" s="5">
        <v>1</v>
      </c>
      <c r="F195" s="5">
        <v>0</v>
      </c>
      <c r="G195" s="5">
        <v>0</v>
      </c>
      <c r="H195" s="6">
        <f t="shared" si="10"/>
        <v>1.2675947432000936E-6</v>
      </c>
      <c r="I195" s="6">
        <f t="shared" si="11"/>
        <v>0</v>
      </c>
      <c r="J195" s="6">
        <f t="shared" si="12"/>
        <v>0</v>
      </c>
      <c r="K195" s="6">
        <f t="shared" si="13"/>
        <v>0</v>
      </c>
      <c r="L195" s="6">
        <f t="shared" si="14"/>
        <v>0</v>
      </c>
    </row>
    <row r="196" spans="1:12" ht="22.95" customHeight="1">
      <c r="A196" s="5">
        <v>2</v>
      </c>
      <c r="B196" s="7" t="s">
        <v>112</v>
      </c>
      <c r="C196" s="7" t="s">
        <v>290</v>
      </c>
      <c r="D196" s="5">
        <v>1575</v>
      </c>
      <c r="E196" s="5">
        <v>2017</v>
      </c>
      <c r="F196" s="5">
        <v>553</v>
      </c>
      <c r="G196" s="5">
        <v>850</v>
      </c>
      <c r="H196" s="6">
        <f t="shared" si="10"/>
        <v>6.6548724018004911E-4</v>
      </c>
      <c r="I196" s="6">
        <f t="shared" si="11"/>
        <v>0.3511111111111111</v>
      </c>
      <c r="J196" s="6">
        <f t="shared" si="12"/>
        <v>0.42141794744670302</v>
      </c>
      <c r="K196" s="6">
        <f t="shared" si="13"/>
        <v>2.336599643298839E-4</v>
      </c>
      <c r="L196" s="6">
        <f t="shared" si="14"/>
        <v>2.8044826680864737E-4</v>
      </c>
    </row>
    <row r="197" spans="1:12" ht="22.95" customHeight="1">
      <c r="A197" s="5">
        <v>2</v>
      </c>
      <c r="B197" s="7" t="s">
        <v>179</v>
      </c>
      <c r="C197" s="7" t="s">
        <v>292</v>
      </c>
      <c r="D197" s="5">
        <v>118</v>
      </c>
      <c r="E197" s="5">
        <v>42</v>
      </c>
      <c r="F197" s="5">
        <v>86</v>
      </c>
      <c r="G197" s="5">
        <v>31</v>
      </c>
      <c r="H197" s="6">
        <f t="shared" si="10"/>
        <v>4.9858726565870351E-5</v>
      </c>
      <c r="I197" s="6">
        <f t="shared" si="11"/>
        <v>0.72881355932203384</v>
      </c>
      <c r="J197" s="6">
        <f t="shared" si="12"/>
        <v>0.73809523809523814</v>
      </c>
      <c r="K197" s="6">
        <f t="shared" si="13"/>
        <v>3.6337715971736015E-5</v>
      </c>
      <c r="L197" s="6">
        <f t="shared" si="14"/>
        <v>3.6800488655761451E-5</v>
      </c>
    </row>
    <row r="198" spans="1:12" ht="22.95" customHeight="1">
      <c r="A198" s="5">
        <v>2</v>
      </c>
      <c r="B198" s="7" t="s">
        <v>113</v>
      </c>
      <c r="C198" s="7" t="s">
        <v>295</v>
      </c>
      <c r="D198" s="5">
        <v>4886</v>
      </c>
      <c r="E198" s="5">
        <v>3457</v>
      </c>
      <c r="F198" s="5">
        <v>2081</v>
      </c>
      <c r="G198" s="5">
        <v>1947</v>
      </c>
      <c r="H198" s="6">
        <f t="shared" si="10"/>
        <v>2.0644893050918859E-3</v>
      </c>
      <c r="I198" s="6">
        <f t="shared" si="11"/>
        <v>0.42591076545231271</v>
      </c>
      <c r="J198" s="6">
        <f t="shared" si="12"/>
        <v>0.5632050911194677</v>
      </c>
      <c r="K198" s="6">
        <f t="shared" si="13"/>
        <v>8.7928822019979827E-4</v>
      </c>
      <c r="L198" s="6">
        <f t="shared" si="14"/>
        <v>1.1627308871894422E-3</v>
      </c>
    </row>
    <row r="199" spans="1:12" ht="22.95" customHeight="1">
      <c r="A199" s="5">
        <v>2</v>
      </c>
      <c r="B199" s="7" t="s">
        <v>262</v>
      </c>
      <c r="C199" s="7" t="s">
        <v>294</v>
      </c>
      <c r="D199" s="5">
        <v>744</v>
      </c>
      <c r="E199" s="5">
        <v>596</v>
      </c>
      <c r="F199" s="5">
        <v>567</v>
      </c>
      <c r="G199" s="5">
        <v>473</v>
      </c>
      <c r="H199" s="6">
        <f t="shared" si="10"/>
        <v>3.1436349631362324E-4</v>
      </c>
      <c r="I199" s="6">
        <f t="shared" si="11"/>
        <v>0.76209677419354838</v>
      </c>
      <c r="J199" s="6">
        <f t="shared" si="12"/>
        <v>0.7936241610738255</v>
      </c>
      <c r="K199" s="6">
        <f t="shared" si="13"/>
        <v>2.3957540646481771E-4</v>
      </c>
      <c r="L199" s="6">
        <f t="shared" si="14"/>
        <v>2.4948646603413385E-4</v>
      </c>
    </row>
    <row r="200" spans="1:12" ht="22.95" customHeight="1">
      <c r="A200" s="5">
        <v>2</v>
      </c>
      <c r="B200" s="7" t="s">
        <v>237</v>
      </c>
      <c r="C200" s="7" t="s">
        <v>303</v>
      </c>
      <c r="D200" s="5">
        <v>9</v>
      </c>
      <c r="E200" s="5">
        <v>11</v>
      </c>
      <c r="F200" s="5">
        <v>6</v>
      </c>
      <c r="G200" s="5">
        <v>8</v>
      </c>
      <c r="H200" s="6">
        <f t="shared" si="10"/>
        <v>3.8027842296002809E-6</v>
      </c>
      <c r="I200" s="6">
        <f t="shared" si="11"/>
        <v>0.66666666666666663</v>
      </c>
      <c r="J200" s="6">
        <f t="shared" si="12"/>
        <v>0.72727272727272729</v>
      </c>
      <c r="K200" s="6">
        <f t="shared" si="13"/>
        <v>2.5351894864001871E-6</v>
      </c>
      <c r="L200" s="6">
        <f t="shared" si="14"/>
        <v>2.7656612578911134E-6</v>
      </c>
    </row>
    <row r="201" spans="1:12" ht="22.95" customHeight="1">
      <c r="A201" s="5">
        <v>2</v>
      </c>
      <c r="B201" s="7" t="s">
        <v>148</v>
      </c>
      <c r="C201" s="7" t="s">
        <v>293</v>
      </c>
      <c r="D201" s="5">
        <v>370</v>
      </c>
      <c r="E201" s="5">
        <v>301</v>
      </c>
      <c r="F201" s="5">
        <v>205</v>
      </c>
      <c r="G201" s="5">
        <v>134</v>
      </c>
      <c r="H201" s="6">
        <f t="shared" si="10"/>
        <v>1.5633668499467822E-4</v>
      </c>
      <c r="I201" s="6">
        <f t="shared" si="11"/>
        <v>0.55405405405405406</v>
      </c>
      <c r="J201" s="6">
        <f t="shared" si="12"/>
        <v>0.44518272425249167</v>
      </c>
      <c r="K201" s="6">
        <f t="shared" si="13"/>
        <v>8.6618974118673071E-5</v>
      </c>
      <c r="L201" s="6">
        <f t="shared" si="14"/>
        <v>6.9598391326534484E-5</v>
      </c>
    </row>
    <row r="202" spans="1:12" ht="22.95" customHeight="1">
      <c r="A202" s="5">
        <v>2</v>
      </c>
      <c r="B202" s="7" t="s">
        <v>132</v>
      </c>
      <c r="C202" s="7" t="s">
        <v>295</v>
      </c>
      <c r="D202" s="5">
        <v>669</v>
      </c>
      <c r="E202" s="5">
        <v>852</v>
      </c>
      <c r="F202" s="5">
        <v>456</v>
      </c>
      <c r="G202" s="5">
        <v>603</v>
      </c>
      <c r="H202" s="6">
        <f t="shared" si="10"/>
        <v>2.8267362773362088E-4</v>
      </c>
      <c r="I202" s="6">
        <f t="shared" si="11"/>
        <v>0.68161434977578472</v>
      </c>
      <c r="J202" s="6">
        <f t="shared" si="12"/>
        <v>0.70774647887323938</v>
      </c>
      <c r="K202" s="6">
        <f t="shared" si="13"/>
        <v>1.9267440096641422E-4</v>
      </c>
      <c r="L202" s="6">
        <f t="shared" si="14"/>
        <v>2.0006126469879505E-4</v>
      </c>
    </row>
    <row r="203" spans="1:12" ht="22.95" customHeight="1">
      <c r="A203" s="5">
        <v>2</v>
      </c>
      <c r="B203" s="7" t="s">
        <v>164</v>
      </c>
      <c r="C203" s="7" t="s">
        <v>294</v>
      </c>
      <c r="D203" s="5">
        <v>67</v>
      </c>
      <c r="E203" s="5">
        <v>64</v>
      </c>
      <c r="F203" s="5">
        <v>21</v>
      </c>
      <c r="G203" s="5">
        <v>25</v>
      </c>
      <c r="H203" s="6">
        <f t="shared" si="10"/>
        <v>2.8309615931468758E-5</v>
      </c>
      <c r="I203" s="6">
        <f t="shared" si="11"/>
        <v>0.31343283582089554</v>
      </c>
      <c r="J203" s="6">
        <f t="shared" si="12"/>
        <v>0.390625</v>
      </c>
      <c r="K203" s="6">
        <f t="shared" si="13"/>
        <v>8.8731632024006561E-6</v>
      </c>
      <c r="L203" s="6">
        <f t="shared" si="14"/>
        <v>1.1058443723229983E-5</v>
      </c>
    </row>
    <row r="204" spans="1:12" ht="22.95" customHeight="1">
      <c r="A204" s="5">
        <v>2</v>
      </c>
      <c r="B204" s="7" t="s">
        <v>164</v>
      </c>
      <c r="C204" s="7" t="s">
        <v>303</v>
      </c>
      <c r="D204" s="5">
        <v>36</v>
      </c>
      <c r="E204" s="5">
        <v>54</v>
      </c>
      <c r="F204" s="5">
        <v>11</v>
      </c>
      <c r="G204" s="5">
        <v>17</v>
      </c>
      <c r="H204" s="6">
        <f t="shared" si="10"/>
        <v>1.5211136918401124E-5</v>
      </c>
      <c r="I204" s="6">
        <f t="shared" si="11"/>
        <v>0.30555555555555558</v>
      </c>
      <c r="J204" s="6">
        <f t="shared" si="12"/>
        <v>0.31481481481481483</v>
      </c>
      <c r="K204" s="6">
        <f t="shared" si="13"/>
        <v>4.6478473917336773E-6</v>
      </c>
      <c r="L204" s="6">
        <f t="shared" si="14"/>
        <v>4.788691252089243E-6</v>
      </c>
    </row>
    <row r="205" spans="1:12" ht="22.95" customHeight="1">
      <c r="A205" s="5">
        <v>2</v>
      </c>
      <c r="B205" s="7" t="s">
        <v>199</v>
      </c>
      <c r="C205" s="7" t="s">
        <v>296</v>
      </c>
      <c r="D205" s="5">
        <v>36</v>
      </c>
      <c r="E205" s="5">
        <v>29</v>
      </c>
      <c r="F205" s="5">
        <v>0</v>
      </c>
      <c r="G205" s="5">
        <v>0</v>
      </c>
      <c r="H205" s="6">
        <f t="shared" si="10"/>
        <v>1.5211136918401124E-5</v>
      </c>
      <c r="I205" s="6">
        <f t="shared" si="11"/>
        <v>0</v>
      </c>
      <c r="J205" s="6">
        <f t="shared" si="12"/>
        <v>0</v>
      </c>
      <c r="K205" s="6">
        <f t="shared" si="13"/>
        <v>0</v>
      </c>
      <c r="L205" s="6">
        <f t="shared" si="14"/>
        <v>0</v>
      </c>
    </row>
    <row r="206" spans="1:12" ht="22.95" customHeight="1">
      <c r="A206" s="5">
        <v>2</v>
      </c>
      <c r="B206" s="7" t="s">
        <v>196</v>
      </c>
      <c r="C206" s="7" t="s">
        <v>303</v>
      </c>
      <c r="D206" s="5">
        <v>9</v>
      </c>
      <c r="E206" s="5">
        <v>6</v>
      </c>
      <c r="F206" s="5">
        <v>8</v>
      </c>
      <c r="G206" s="5">
        <v>5</v>
      </c>
      <c r="H206" s="6">
        <f t="shared" si="10"/>
        <v>3.8027842296002809E-6</v>
      </c>
      <c r="I206" s="6">
        <f t="shared" si="11"/>
        <v>0.88888888888888884</v>
      </c>
      <c r="J206" s="6">
        <f t="shared" si="12"/>
        <v>0.83333333333333337</v>
      </c>
      <c r="K206" s="6">
        <f t="shared" si="13"/>
        <v>3.3802526485335827E-6</v>
      </c>
      <c r="L206" s="6">
        <f t="shared" si="14"/>
        <v>3.1689868580002342E-6</v>
      </c>
    </row>
    <row r="207" spans="1:12" ht="22.95" customHeight="1">
      <c r="A207" s="5">
        <v>2</v>
      </c>
      <c r="B207" s="7" t="s">
        <v>187</v>
      </c>
      <c r="C207" s="7" t="s">
        <v>291</v>
      </c>
      <c r="D207" s="5">
        <v>3</v>
      </c>
      <c r="E207" s="5">
        <v>5</v>
      </c>
      <c r="F207" s="5">
        <v>2</v>
      </c>
      <c r="G207" s="5">
        <v>3</v>
      </c>
      <c r="H207" s="6">
        <f t="shared" si="10"/>
        <v>1.2675947432000936E-6</v>
      </c>
      <c r="I207" s="6">
        <f t="shared" si="11"/>
        <v>0.66666666666666663</v>
      </c>
      <c r="J207" s="6">
        <f t="shared" si="12"/>
        <v>0.6</v>
      </c>
      <c r="K207" s="6">
        <f t="shared" si="13"/>
        <v>8.4506316213339568E-7</v>
      </c>
      <c r="L207" s="6">
        <f t="shared" si="14"/>
        <v>7.605568459200561E-7</v>
      </c>
    </row>
    <row r="208" spans="1:12" ht="22.95" customHeight="1">
      <c r="A208" s="5">
        <v>2</v>
      </c>
      <c r="B208" s="7" t="s">
        <v>167</v>
      </c>
      <c r="C208" s="7" t="s">
        <v>291</v>
      </c>
      <c r="D208" s="5">
        <v>38</v>
      </c>
      <c r="E208" s="5">
        <v>25</v>
      </c>
      <c r="F208" s="5">
        <v>30</v>
      </c>
      <c r="G208" s="5">
        <v>20</v>
      </c>
      <c r="H208" s="6">
        <f t="shared" si="10"/>
        <v>1.6056200080534521E-5</v>
      </c>
      <c r="I208" s="6">
        <f t="shared" si="11"/>
        <v>0.78947368421052633</v>
      </c>
      <c r="J208" s="6">
        <f t="shared" si="12"/>
        <v>0.8</v>
      </c>
      <c r="K208" s="6">
        <f t="shared" si="13"/>
        <v>1.2675947432000937E-5</v>
      </c>
      <c r="L208" s="6">
        <f t="shared" si="14"/>
        <v>1.2844960064427617E-5</v>
      </c>
    </row>
    <row r="209" spans="1:12" ht="22.95" customHeight="1">
      <c r="A209" s="5">
        <v>2</v>
      </c>
      <c r="B209" s="7" t="s">
        <v>89</v>
      </c>
      <c r="C209" s="7" t="s">
        <v>295</v>
      </c>
      <c r="D209" s="5">
        <v>12516</v>
      </c>
      <c r="E209" s="5">
        <v>19909</v>
      </c>
      <c r="F209" s="5">
        <v>4353</v>
      </c>
      <c r="G209" s="5">
        <v>12305</v>
      </c>
      <c r="H209" s="6">
        <f t="shared" si="10"/>
        <v>5.2884052686307907E-3</v>
      </c>
      <c r="I209" s="6">
        <f t="shared" si="11"/>
        <v>0.34779482262703737</v>
      </c>
      <c r="J209" s="6">
        <f t="shared" si="12"/>
        <v>0.61806218293234216</v>
      </c>
      <c r="K209" s="6">
        <f t="shared" si="13"/>
        <v>1.8392799723833358E-3</v>
      </c>
      <c r="L209" s="6">
        <f t="shared" si="14"/>
        <v>3.2685633045608457E-3</v>
      </c>
    </row>
    <row r="210" spans="1:12" ht="22.95" customHeight="1">
      <c r="A210" s="5">
        <v>2</v>
      </c>
      <c r="B210" s="7" t="s">
        <v>158</v>
      </c>
      <c r="C210" s="7" t="s">
        <v>296</v>
      </c>
      <c r="D210" s="5">
        <v>376</v>
      </c>
      <c r="E210" s="5">
        <v>408</v>
      </c>
      <c r="F210" s="5">
        <v>0</v>
      </c>
      <c r="G210" s="5">
        <v>0</v>
      </c>
      <c r="H210" s="6">
        <f t="shared" si="10"/>
        <v>1.5887187448107842E-4</v>
      </c>
      <c r="I210" s="6">
        <f t="shared" si="11"/>
        <v>0</v>
      </c>
      <c r="J210" s="6">
        <f t="shared" si="12"/>
        <v>0</v>
      </c>
      <c r="K210" s="6">
        <f t="shared" si="13"/>
        <v>0</v>
      </c>
      <c r="L210" s="6">
        <f t="shared" si="14"/>
        <v>0</v>
      </c>
    </row>
    <row r="211" spans="1:12" ht="22.95" customHeight="1">
      <c r="A211" s="5">
        <v>2</v>
      </c>
      <c r="B211" s="7" t="s">
        <v>150</v>
      </c>
      <c r="C211" s="7" t="s">
        <v>291</v>
      </c>
      <c r="D211" s="5">
        <v>34</v>
      </c>
      <c r="E211" s="5">
        <v>123</v>
      </c>
      <c r="F211" s="5">
        <v>6</v>
      </c>
      <c r="G211" s="5">
        <v>29</v>
      </c>
      <c r="H211" s="6">
        <f t="shared" si="10"/>
        <v>1.4366073756267728E-5</v>
      </c>
      <c r="I211" s="6">
        <f t="shared" si="11"/>
        <v>0.17647058823529413</v>
      </c>
      <c r="J211" s="6">
        <f t="shared" si="12"/>
        <v>0.23577235772357724</v>
      </c>
      <c r="K211" s="6">
        <f t="shared" si="13"/>
        <v>2.5351894864001876E-6</v>
      </c>
      <c r="L211" s="6">
        <f t="shared" si="14"/>
        <v>3.3871230807460497E-6</v>
      </c>
    </row>
    <row r="212" spans="1:12" ht="22.95" customHeight="1">
      <c r="A212" s="5">
        <v>2</v>
      </c>
      <c r="B212" s="7" t="s">
        <v>259</v>
      </c>
      <c r="C212" s="7" t="s">
        <v>291</v>
      </c>
      <c r="D212" s="5">
        <v>251</v>
      </c>
      <c r="E212" s="5">
        <v>155</v>
      </c>
      <c r="F212" s="5">
        <v>34</v>
      </c>
      <c r="G212" s="5">
        <v>24</v>
      </c>
      <c r="H212" s="6">
        <f t="shared" si="10"/>
        <v>1.0605542684774117E-4</v>
      </c>
      <c r="I212" s="6">
        <f t="shared" si="11"/>
        <v>0.13545816733067728</v>
      </c>
      <c r="J212" s="6">
        <f t="shared" si="12"/>
        <v>0.15483870967741936</v>
      </c>
      <c r="K212" s="6">
        <f t="shared" si="13"/>
        <v>1.4366073756267726E-5</v>
      </c>
      <c r="L212" s="6">
        <f t="shared" si="14"/>
        <v>1.6421485447392182E-5</v>
      </c>
    </row>
    <row r="213" spans="1:12" ht="22.95" customHeight="1">
      <c r="A213" s="5">
        <v>2</v>
      </c>
      <c r="B213" s="7" t="s">
        <v>198</v>
      </c>
      <c r="C213" s="7" t="s">
        <v>303</v>
      </c>
      <c r="D213" s="5">
        <v>2</v>
      </c>
      <c r="E213" s="5">
        <v>2</v>
      </c>
      <c r="F213" s="5">
        <v>0</v>
      </c>
      <c r="G213" s="5">
        <v>2</v>
      </c>
      <c r="H213" s="6">
        <f t="shared" si="10"/>
        <v>8.4506316213339578E-7</v>
      </c>
      <c r="I213" s="6">
        <f t="shared" si="11"/>
        <v>0</v>
      </c>
      <c r="J213" s="6">
        <f t="shared" si="12"/>
        <v>1</v>
      </c>
      <c r="K213" s="6">
        <f t="shared" si="13"/>
        <v>0</v>
      </c>
      <c r="L213" s="6">
        <f t="shared" si="14"/>
        <v>8.4506316213339578E-7</v>
      </c>
    </row>
    <row r="214" spans="1:12" ht="22.95" customHeight="1">
      <c r="A214" s="5">
        <v>2</v>
      </c>
      <c r="B214" s="7" t="s">
        <v>102</v>
      </c>
      <c r="C214" s="7" t="s">
        <v>296</v>
      </c>
      <c r="D214" s="5">
        <v>1307</v>
      </c>
      <c r="E214" s="5">
        <v>1315</v>
      </c>
      <c r="F214" s="5">
        <v>0</v>
      </c>
      <c r="G214" s="5">
        <v>0</v>
      </c>
      <c r="H214" s="6">
        <f t="shared" si="10"/>
        <v>5.5224877645417415E-4</v>
      </c>
      <c r="I214" s="6">
        <f t="shared" si="11"/>
        <v>0</v>
      </c>
      <c r="J214" s="6">
        <f t="shared" si="12"/>
        <v>0</v>
      </c>
      <c r="K214" s="6">
        <f t="shared" si="13"/>
        <v>0</v>
      </c>
      <c r="L214" s="6">
        <f t="shared" si="14"/>
        <v>0</v>
      </c>
    </row>
    <row r="215" spans="1:12" ht="22.95" customHeight="1">
      <c r="A215" s="5">
        <v>2</v>
      </c>
      <c r="B215" s="7" t="s">
        <v>131</v>
      </c>
      <c r="C215" s="7" t="s">
        <v>291</v>
      </c>
      <c r="D215" s="5">
        <v>100</v>
      </c>
      <c r="E215" s="5">
        <v>379</v>
      </c>
      <c r="F215" s="5">
        <v>47</v>
      </c>
      <c r="G215" s="5">
        <v>182</v>
      </c>
      <c r="H215" s="6">
        <f t="shared" si="10"/>
        <v>4.2253158106669789E-5</v>
      </c>
      <c r="I215" s="6">
        <f t="shared" si="11"/>
        <v>0.47</v>
      </c>
      <c r="J215" s="6">
        <f t="shared" si="12"/>
        <v>0.48021108179419525</v>
      </c>
      <c r="K215" s="6">
        <f t="shared" si="13"/>
        <v>1.9858984310134799E-5</v>
      </c>
      <c r="L215" s="6">
        <f t="shared" si="14"/>
        <v>2.0290434763625069E-5</v>
      </c>
    </row>
    <row r="216" spans="1:12" ht="22.95" customHeight="1">
      <c r="A216" s="5">
        <v>2</v>
      </c>
      <c r="B216" s="7" t="s">
        <v>177</v>
      </c>
      <c r="C216" s="7" t="s">
        <v>291</v>
      </c>
      <c r="D216" s="5">
        <v>6</v>
      </c>
      <c r="E216" s="5">
        <v>22</v>
      </c>
      <c r="F216" s="5">
        <v>5</v>
      </c>
      <c r="G216" s="5">
        <v>19</v>
      </c>
      <c r="H216" s="6">
        <f t="shared" si="10"/>
        <v>2.5351894864001871E-6</v>
      </c>
      <c r="I216" s="6">
        <f t="shared" si="11"/>
        <v>0.83333333333333337</v>
      </c>
      <c r="J216" s="6">
        <f t="shared" si="12"/>
        <v>0.86363636363636365</v>
      </c>
      <c r="K216" s="6">
        <f t="shared" si="13"/>
        <v>2.1126579053334894E-6</v>
      </c>
      <c r="L216" s="6">
        <f t="shared" si="14"/>
        <v>2.189481829163798E-6</v>
      </c>
    </row>
    <row r="217" spans="1:12" ht="22.95" customHeight="1">
      <c r="A217" s="5">
        <v>2</v>
      </c>
      <c r="B217" s="7" t="s">
        <v>258</v>
      </c>
      <c r="C217" s="7" t="s">
        <v>292</v>
      </c>
      <c r="D217" s="5">
        <v>163</v>
      </c>
      <c r="E217" s="5">
        <v>67</v>
      </c>
      <c r="F217" s="5">
        <v>93</v>
      </c>
      <c r="G217" s="5">
        <v>36</v>
      </c>
      <c r="H217" s="6">
        <f t="shared" si="10"/>
        <v>6.8872647713871755E-5</v>
      </c>
      <c r="I217" s="6">
        <f t="shared" si="11"/>
        <v>0.57055214723926384</v>
      </c>
      <c r="J217" s="6">
        <f t="shared" si="12"/>
        <v>0.53731343283582089</v>
      </c>
      <c r="K217" s="6">
        <f t="shared" si="13"/>
        <v>3.9295437039202905E-5</v>
      </c>
      <c r="L217" s="6">
        <f t="shared" si="14"/>
        <v>3.7006198771632588E-5</v>
      </c>
    </row>
    <row r="218" spans="1:12" ht="22.95" customHeight="1">
      <c r="A218" s="5">
        <v>2</v>
      </c>
      <c r="B218" s="7" t="s">
        <v>183</v>
      </c>
      <c r="C218" s="7" t="s">
        <v>303</v>
      </c>
      <c r="D218" s="5">
        <v>91</v>
      </c>
      <c r="E218" s="5">
        <v>97</v>
      </c>
      <c r="F218" s="5">
        <v>47</v>
      </c>
      <c r="G218" s="5">
        <v>60</v>
      </c>
      <c r="H218" s="6">
        <f t="shared" si="10"/>
        <v>3.8450373877069508E-5</v>
      </c>
      <c r="I218" s="6">
        <f t="shared" si="11"/>
        <v>0.51648351648351654</v>
      </c>
      <c r="J218" s="6">
        <f t="shared" si="12"/>
        <v>0.61855670103092786</v>
      </c>
      <c r="K218" s="6">
        <f t="shared" si="13"/>
        <v>1.9858984310134802E-5</v>
      </c>
      <c r="L218" s="6">
        <f t="shared" si="14"/>
        <v>2.3783736418805882E-5</v>
      </c>
    </row>
    <row r="219" spans="1:12" ht="22.95" customHeight="1">
      <c r="A219" s="5">
        <v>2</v>
      </c>
      <c r="B219" s="7" t="s">
        <v>118</v>
      </c>
      <c r="C219" s="7" t="s">
        <v>299</v>
      </c>
      <c r="D219" s="5">
        <v>1199</v>
      </c>
      <c r="E219" s="5">
        <v>1341</v>
      </c>
      <c r="F219" s="5">
        <v>551</v>
      </c>
      <c r="G219" s="5">
        <v>690</v>
      </c>
      <c r="H219" s="6">
        <f t="shared" si="10"/>
        <v>5.0661536569897075E-4</v>
      </c>
      <c r="I219" s="6">
        <f t="shared" si="11"/>
        <v>0.45954962468723937</v>
      </c>
      <c r="J219" s="6">
        <f t="shared" si="12"/>
        <v>0.5145413870246085</v>
      </c>
      <c r="K219" s="6">
        <f t="shared" si="13"/>
        <v>2.3281490116775053E-4</v>
      </c>
      <c r="L219" s="6">
        <f t="shared" si="14"/>
        <v>2.6067457295472768E-4</v>
      </c>
    </row>
    <row r="220" spans="1:12" ht="22.95" customHeight="1">
      <c r="A220" s="5">
        <v>2</v>
      </c>
      <c r="B220" s="7" t="s">
        <v>223</v>
      </c>
      <c r="C220" s="7" t="s">
        <v>296</v>
      </c>
      <c r="D220" s="5">
        <v>2</v>
      </c>
      <c r="E220" s="5">
        <v>3</v>
      </c>
      <c r="F220" s="5">
        <v>0</v>
      </c>
      <c r="G220" s="5">
        <v>0</v>
      </c>
      <c r="H220" s="6">
        <f t="shared" si="10"/>
        <v>8.4506316213339578E-7</v>
      </c>
      <c r="I220" s="6">
        <f t="shared" si="11"/>
        <v>0</v>
      </c>
      <c r="J220" s="6">
        <f t="shared" si="12"/>
        <v>0</v>
      </c>
      <c r="K220" s="6">
        <f t="shared" si="13"/>
        <v>0</v>
      </c>
      <c r="L220" s="6">
        <f t="shared" si="14"/>
        <v>0</v>
      </c>
    </row>
    <row r="221" spans="1:12" ht="22.95" customHeight="1">
      <c r="A221" s="5">
        <v>2</v>
      </c>
      <c r="B221" s="7" t="s">
        <v>129</v>
      </c>
      <c r="C221" s="7" t="s">
        <v>291</v>
      </c>
      <c r="D221" s="5">
        <v>503</v>
      </c>
      <c r="E221" s="5">
        <v>401</v>
      </c>
      <c r="F221" s="5">
        <v>336</v>
      </c>
      <c r="G221" s="5">
        <v>274</v>
      </c>
      <c r="H221" s="6">
        <f t="shared" si="10"/>
        <v>2.1253338527654902E-4</v>
      </c>
      <c r="I221" s="6">
        <f t="shared" si="11"/>
        <v>0.66799204771371767</v>
      </c>
      <c r="J221" s="6">
        <f t="shared" si="12"/>
        <v>0.68329177057356605</v>
      </c>
      <c r="K221" s="6">
        <f t="shared" si="13"/>
        <v>1.4197061123841047E-4</v>
      </c>
      <c r="L221" s="6">
        <f t="shared" si="14"/>
        <v>1.4522231313160704E-4</v>
      </c>
    </row>
    <row r="222" spans="1:12" ht="22.95" customHeight="1">
      <c r="A222" s="5">
        <v>2</v>
      </c>
      <c r="B222" s="7" t="s">
        <v>100</v>
      </c>
      <c r="C222" s="7" t="s">
        <v>290</v>
      </c>
      <c r="D222" s="5">
        <v>3569</v>
      </c>
      <c r="E222" s="5">
        <v>4843</v>
      </c>
      <c r="F222" s="5">
        <v>1377</v>
      </c>
      <c r="G222" s="5">
        <v>2207</v>
      </c>
      <c r="H222" s="6">
        <f t="shared" ref="H222:H285" si="15">D222/$B$16</f>
        <v>1.5080152128270448E-3</v>
      </c>
      <c r="I222" s="6">
        <f t="shared" ref="I222:I285" si="16">F222/D222</f>
        <v>0.38582235920425889</v>
      </c>
      <c r="J222" s="6">
        <f t="shared" ref="J222:J285" si="17">G222/E222</f>
        <v>0.45570927111294651</v>
      </c>
      <c r="K222" s="6">
        <f t="shared" ref="K222:K285" si="18">H222*I222</f>
        <v>5.8182598712884297E-4</v>
      </c>
      <c r="L222" s="6">
        <f t="shared" ref="L222:L285" si="19">H222*J222</f>
        <v>6.8721651346464747E-4</v>
      </c>
    </row>
    <row r="223" spans="1:12" ht="22.95" customHeight="1">
      <c r="A223" s="5">
        <v>2</v>
      </c>
      <c r="B223" s="7" t="s">
        <v>92</v>
      </c>
      <c r="C223" s="7" t="s">
        <v>293</v>
      </c>
      <c r="D223" s="5">
        <v>1285</v>
      </c>
      <c r="E223" s="5">
        <v>2969</v>
      </c>
      <c r="F223" s="5">
        <v>389</v>
      </c>
      <c r="G223" s="5">
        <v>1616</v>
      </c>
      <c r="H223" s="6">
        <f t="shared" si="15"/>
        <v>5.4295308167070675E-4</v>
      </c>
      <c r="I223" s="6">
        <f t="shared" si="16"/>
        <v>0.30272373540856029</v>
      </c>
      <c r="J223" s="6">
        <f t="shared" si="17"/>
        <v>0.54429100707308853</v>
      </c>
      <c r="K223" s="6">
        <f t="shared" si="18"/>
        <v>1.6436478503494546E-4</v>
      </c>
      <c r="L223" s="6">
        <f t="shared" si="19"/>
        <v>2.9552447961598584E-4</v>
      </c>
    </row>
    <row r="224" spans="1:12" ht="22.95" customHeight="1">
      <c r="A224" s="5">
        <v>2</v>
      </c>
      <c r="B224" s="7" t="s">
        <v>173</v>
      </c>
      <c r="C224" s="7" t="s">
        <v>303</v>
      </c>
      <c r="D224" s="5">
        <v>101</v>
      </c>
      <c r="E224" s="5">
        <v>129</v>
      </c>
      <c r="F224" s="5">
        <v>55</v>
      </c>
      <c r="G224" s="5">
        <v>74</v>
      </c>
      <c r="H224" s="6">
        <f t="shared" si="15"/>
        <v>4.2675689687736487E-5</v>
      </c>
      <c r="I224" s="6">
        <f t="shared" si="16"/>
        <v>0.54455445544554459</v>
      </c>
      <c r="J224" s="6">
        <f t="shared" si="17"/>
        <v>0.5736434108527132</v>
      </c>
      <c r="K224" s="6">
        <f t="shared" si="18"/>
        <v>2.3239236958668388E-5</v>
      </c>
      <c r="L224" s="6">
        <f t="shared" si="19"/>
        <v>2.4480628192965117E-5</v>
      </c>
    </row>
    <row r="225" spans="1:12" ht="22.95" customHeight="1">
      <c r="A225" s="5">
        <v>2</v>
      </c>
      <c r="B225" s="7" t="s">
        <v>233</v>
      </c>
      <c r="C225" s="7" t="s">
        <v>292</v>
      </c>
      <c r="D225" s="5">
        <v>612</v>
      </c>
      <c r="E225" s="5">
        <v>403</v>
      </c>
      <c r="F225" s="5">
        <v>210</v>
      </c>
      <c r="G225" s="5">
        <v>137</v>
      </c>
      <c r="H225" s="6">
        <f t="shared" si="15"/>
        <v>2.5858932761281908E-4</v>
      </c>
      <c r="I225" s="6">
        <f t="shared" si="16"/>
        <v>0.34313725490196079</v>
      </c>
      <c r="J225" s="6">
        <f t="shared" si="17"/>
        <v>0.33995037220843671</v>
      </c>
      <c r="K225" s="6">
        <f t="shared" si="18"/>
        <v>8.873163202400655E-5</v>
      </c>
      <c r="L225" s="6">
        <f t="shared" si="19"/>
        <v>8.7907538171107231E-5</v>
      </c>
    </row>
    <row r="226" spans="1:12" ht="22.95" customHeight="1">
      <c r="A226" s="5">
        <v>2</v>
      </c>
      <c r="B226" s="7" t="s">
        <v>133</v>
      </c>
      <c r="C226" s="7" t="s">
        <v>293</v>
      </c>
      <c r="D226" s="5">
        <v>322</v>
      </c>
      <c r="E226" s="5">
        <v>236</v>
      </c>
      <c r="F226" s="5">
        <v>145</v>
      </c>
      <c r="G226" s="5">
        <v>110</v>
      </c>
      <c r="H226" s="6">
        <f t="shared" si="15"/>
        <v>1.3605516910347672E-4</v>
      </c>
      <c r="I226" s="6">
        <f t="shared" si="16"/>
        <v>0.4503105590062112</v>
      </c>
      <c r="J226" s="6">
        <f t="shared" si="17"/>
        <v>0.46610169491525422</v>
      </c>
      <c r="K226" s="6">
        <f t="shared" si="18"/>
        <v>6.1267079254671193E-5</v>
      </c>
      <c r="L226" s="6">
        <f t="shared" si="19"/>
        <v>6.3415544921112019E-5</v>
      </c>
    </row>
    <row r="227" spans="1:12" ht="22.95" customHeight="1">
      <c r="A227" s="5">
        <v>2</v>
      </c>
      <c r="B227" s="7" t="s">
        <v>280</v>
      </c>
      <c r="C227" s="7" t="s">
        <v>292</v>
      </c>
      <c r="D227" s="5">
        <v>3221</v>
      </c>
      <c r="E227" s="5">
        <v>1840</v>
      </c>
      <c r="F227" s="5">
        <v>0</v>
      </c>
      <c r="G227" s="5">
        <v>0</v>
      </c>
      <c r="H227" s="6">
        <f t="shared" si="15"/>
        <v>1.3609742226158338E-3</v>
      </c>
      <c r="I227" s="6">
        <f t="shared" si="16"/>
        <v>0</v>
      </c>
      <c r="J227" s="6">
        <f t="shared" si="17"/>
        <v>0</v>
      </c>
      <c r="K227" s="6">
        <f t="shared" si="18"/>
        <v>0</v>
      </c>
      <c r="L227" s="6">
        <f t="shared" si="19"/>
        <v>0</v>
      </c>
    </row>
    <row r="228" spans="1:12" ht="22.95" customHeight="1">
      <c r="A228" s="5">
        <v>2</v>
      </c>
      <c r="B228" s="7" t="s">
        <v>98</v>
      </c>
      <c r="C228" s="7" t="s">
        <v>292</v>
      </c>
      <c r="D228" s="5">
        <v>3782</v>
      </c>
      <c r="E228" s="5">
        <v>5042</v>
      </c>
      <c r="F228" s="5">
        <v>1416</v>
      </c>
      <c r="G228" s="5">
        <v>1861</v>
      </c>
      <c r="H228" s="6">
        <f t="shared" si="15"/>
        <v>1.5980144395942514E-3</v>
      </c>
      <c r="I228" s="6">
        <f t="shared" si="16"/>
        <v>0.3744050766790058</v>
      </c>
      <c r="J228" s="6">
        <f t="shared" si="17"/>
        <v>0.36909956366521224</v>
      </c>
      <c r="K228" s="6">
        <f t="shared" si="18"/>
        <v>5.9830471879044418E-4</v>
      </c>
      <c r="L228" s="6">
        <f t="shared" si="19"/>
        <v>5.8982643238494686E-4</v>
      </c>
    </row>
    <row r="229" spans="1:12" ht="22.95" customHeight="1">
      <c r="A229" s="5">
        <v>2</v>
      </c>
      <c r="B229" s="7" t="s">
        <v>231</v>
      </c>
      <c r="C229" s="7" t="s">
        <v>295</v>
      </c>
      <c r="D229" s="5">
        <v>4</v>
      </c>
      <c r="E229" s="5">
        <v>6</v>
      </c>
      <c r="F229" s="5">
        <v>4</v>
      </c>
      <c r="G229" s="5">
        <v>6</v>
      </c>
      <c r="H229" s="6">
        <f t="shared" si="15"/>
        <v>1.6901263242667916E-6</v>
      </c>
      <c r="I229" s="6">
        <f t="shared" si="16"/>
        <v>1</v>
      </c>
      <c r="J229" s="6">
        <f t="shared" si="17"/>
        <v>1</v>
      </c>
      <c r="K229" s="6">
        <f t="shared" si="18"/>
        <v>1.6901263242667916E-6</v>
      </c>
      <c r="L229" s="6">
        <f t="shared" si="19"/>
        <v>1.6901263242667916E-6</v>
      </c>
    </row>
    <row r="230" spans="1:12" ht="22.95" customHeight="1">
      <c r="A230" s="5">
        <v>2</v>
      </c>
      <c r="B230" s="7" t="s">
        <v>263</v>
      </c>
      <c r="C230" s="7" t="s">
        <v>295</v>
      </c>
      <c r="D230" s="5">
        <v>134</v>
      </c>
      <c r="E230" s="5">
        <v>121</v>
      </c>
      <c r="F230" s="5">
        <v>107</v>
      </c>
      <c r="G230" s="5">
        <v>96</v>
      </c>
      <c r="H230" s="6">
        <f t="shared" si="15"/>
        <v>5.6619231862937515E-5</v>
      </c>
      <c r="I230" s="6">
        <f t="shared" si="16"/>
        <v>0.79850746268656714</v>
      </c>
      <c r="J230" s="6">
        <f t="shared" si="17"/>
        <v>0.79338842975206614</v>
      </c>
      <c r="K230" s="6">
        <f t="shared" si="18"/>
        <v>4.5210879174136672E-5</v>
      </c>
      <c r="L230" s="6">
        <f t="shared" si="19"/>
        <v>4.4921043461504143E-5</v>
      </c>
    </row>
    <row r="231" spans="1:12" ht="22.95" customHeight="1">
      <c r="A231" s="5">
        <v>2</v>
      </c>
      <c r="B231" s="7" t="s">
        <v>242</v>
      </c>
      <c r="C231" s="7" t="s">
        <v>303</v>
      </c>
      <c r="D231" s="5">
        <v>30</v>
      </c>
      <c r="E231" s="5">
        <v>26</v>
      </c>
      <c r="F231" s="5">
        <v>9</v>
      </c>
      <c r="G231" s="5">
        <v>9</v>
      </c>
      <c r="H231" s="6">
        <f t="shared" si="15"/>
        <v>1.2675947432000937E-5</v>
      </c>
      <c r="I231" s="6">
        <f t="shared" si="16"/>
        <v>0.3</v>
      </c>
      <c r="J231" s="6">
        <f t="shared" si="17"/>
        <v>0.34615384615384615</v>
      </c>
      <c r="K231" s="6">
        <f t="shared" si="18"/>
        <v>3.8027842296002809E-6</v>
      </c>
      <c r="L231" s="6">
        <f t="shared" si="19"/>
        <v>4.3878279572310937E-6</v>
      </c>
    </row>
    <row r="232" spans="1:12" ht="22.95" customHeight="1">
      <c r="A232" s="5">
        <v>2</v>
      </c>
      <c r="B232" s="7" t="s">
        <v>283</v>
      </c>
      <c r="C232" s="7" t="s">
        <v>295</v>
      </c>
      <c r="D232" s="5">
        <v>1740</v>
      </c>
      <c r="E232" s="5">
        <v>634</v>
      </c>
      <c r="F232" s="5">
        <v>1659</v>
      </c>
      <c r="G232" s="5">
        <v>592</v>
      </c>
      <c r="H232" s="6">
        <f t="shared" si="15"/>
        <v>7.3520495105605427E-4</v>
      </c>
      <c r="I232" s="6">
        <f t="shared" si="16"/>
        <v>0.95344827586206893</v>
      </c>
      <c r="J232" s="6">
        <f t="shared" si="17"/>
        <v>0.93375394321766558</v>
      </c>
      <c r="K232" s="6">
        <f t="shared" si="18"/>
        <v>7.0097989298965175E-4</v>
      </c>
      <c r="L232" s="6">
        <f t="shared" si="19"/>
        <v>6.865005221217415E-4</v>
      </c>
    </row>
    <row r="233" spans="1:12" ht="22.95" customHeight="1">
      <c r="A233" s="5">
        <v>2</v>
      </c>
      <c r="B233" s="7" t="s">
        <v>147</v>
      </c>
      <c r="C233" s="7" t="s">
        <v>292</v>
      </c>
      <c r="D233" s="5">
        <v>129</v>
      </c>
      <c r="E233" s="5">
        <v>148</v>
      </c>
      <c r="F233" s="5">
        <v>87</v>
      </c>
      <c r="G233" s="5">
        <v>111</v>
      </c>
      <c r="H233" s="6">
        <f t="shared" si="15"/>
        <v>5.4506573957604029E-5</v>
      </c>
      <c r="I233" s="6">
        <f t="shared" si="16"/>
        <v>0.67441860465116277</v>
      </c>
      <c r="J233" s="6">
        <f t="shared" si="17"/>
        <v>0.75</v>
      </c>
      <c r="K233" s="6">
        <f t="shared" si="18"/>
        <v>3.6760247552802713E-5</v>
      </c>
      <c r="L233" s="6">
        <f t="shared" si="19"/>
        <v>4.0879930468203022E-5</v>
      </c>
    </row>
    <row r="234" spans="1:12" ht="22.95" customHeight="1">
      <c r="A234" s="5">
        <v>2</v>
      </c>
      <c r="B234" s="7" t="s">
        <v>252</v>
      </c>
      <c r="C234" s="7" t="s">
        <v>291</v>
      </c>
      <c r="D234" s="5">
        <v>37</v>
      </c>
      <c r="E234" s="5">
        <v>14</v>
      </c>
      <c r="F234" s="5">
        <v>12</v>
      </c>
      <c r="G234" s="5">
        <v>6</v>
      </c>
      <c r="H234" s="6">
        <f t="shared" si="15"/>
        <v>1.5633668499467822E-5</v>
      </c>
      <c r="I234" s="6">
        <f t="shared" si="16"/>
        <v>0.32432432432432434</v>
      </c>
      <c r="J234" s="6">
        <f t="shared" si="17"/>
        <v>0.42857142857142855</v>
      </c>
      <c r="K234" s="6">
        <f t="shared" si="18"/>
        <v>5.0703789728003751E-6</v>
      </c>
      <c r="L234" s="6">
        <f t="shared" si="19"/>
        <v>6.7001436426290661E-6</v>
      </c>
    </row>
    <row r="235" spans="1:12" ht="22.95" customHeight="1">
      <c r="A235" s="5">
        <v>2</v>
      </c>
      <c r="B235" s="7" t="s">
        <v>103</v>
      </c>
      <c r="C235" s="7" t="s">
        <v>290</v>
      </c>
      <c r="D235" s="5">
        <v>2394</v>
      </c>
      <c r="E235" s="5">
        <v>3458</v>
      </c>
      <c r="F235" s="5">
        <v>1006</v>
      </c>
      <c r="G235" s="5">
        <v>1775</v>
      </c>
      <c r="H235" s="6">
        <f t="shared" si="15"/>
        <v>1.0115406050736748E-3</v>
      </c>
      <c r="I235" s="6">
        <f t="shared" si="16"/>
        <v>0.42021720969089388</v>
      </c>
      <c r="J235" s="6">
        <f t="shared" si="17"/>
        <v>0.51330248698669756</v>
      </c>
      <c r="K235" s="6">
        <f t="shared" si="18"/>
        <v>4.2506677055309804E-4</v>
      </c>
      <c r="L235" s="6">
        <f t="shared" si="19"/>
        <v>5.1922630827234615E-4</v>
      </c>
    </row>
    <row r="236" spans="1:12" ht="22.95" customHeight="1">
      <c r="A236" s="5">
        <v>2</v>
      </c>
      <c r="B236" s="7" t="s">
        <v>140</v>
      </c>
      <c r="C236" s="7" t="s">
        <v>290</v>
      </c>
      <c r="D236" s="5">
        <v>117</v>
      </c>
      <c r="E236" s="5">
        <v>146</v>
      </c>
      <c r="F236" s="5">
        <v>71</v>
      </c>
      <c r="G236" s="5">
        <v>110</v>
      </c>
      <c r="H236" s="6">
        <f t="shared" si="15"/>
        <v>4.9436194984803652E-5</v>
      </c>
      <c r="I236" s="6">
        <f t="shared" si="16"/>
        <v>0.60683760683760679</v>
      </c>
      <c r="J236" s="6">
        <f t="shared" si="17"/>
        <v>0.75342465753424659</v>
      </c>
      <c r="K236" s="6">
        <f t="shared" si="18"/>
        <v>2.9999742255735549E-5</v>
      </c>
      <c r="L236" s="6">
        <f t="shared" si="19"/>
        <v>3.7246448276221931E-5</v>
      </c>
    </row>
    <row r="237" spans="1:12" ht="22.95" customHeight="1">
      <c r="A237" s="5">
        <v>2</v>
      </c>
      <c r="B237" s="7" t="s">
        <v>144</v>
      </c>
      <c r="C237" s="7" t="s">
        <v>296</v>
      </c>
      <c r="D237" s="5">
        <v>164</v>
      </c>
      <c r="E237" s="5">
        <v>207</v>
      </c>
      <c r="F237" s="5">
        <v>0</v>
      </c>
      <c r="G237" s="5">
        <v>0</v>
      </c>
      <c r="H237" s="6">
        <f t="shared" si="15"/>
        <v>6.9295179294938454E-5</v>
      </c>
      <c r="I237" s="6">
        <f t="shared" si="16"/>
        <v>0</v>
      </c>
      <c r="J237" s="6">
        <f t="shared" si="17"/>
        <v>0</v>
      </c>
      <c r="K237" s="6">
        <f t="shared" si="18"/>
        <v>0</v>
      </c>
      <c r="L237" s="6">
        <f t="shared" si="19"/>
        <v>0</v>
      </c>
    </row>
    <row r="238" spans="1:12" ht="22.95" customHeight="1">
      <c r="A238" s="5">
        <v>2</v>
      </c>
      <c r="B238" s="7" t="s">
        <v>107</v>
      </c>
      <c r="C238" s="7" t="s">
        <v>296</v>
      </c>
      <c r="D238" s="5">
        <v>1506</v>
      </c>
      <c r="E238" s="5">
        <v>2295</v>
      </c>
      <c r="F238" s="5">
        <v>0</v>
      </c>
      <c r="G238" s="5">
        <v>0</v>
      </c>
      <c r="H238" s="6">
        <f t="shared" si="15"/>
        <v>6.3633256108644703E-4</v>
      </c>
      <c r="I238" s="6">
        <f t="shared" si="16"/>
        <v>0</v>
      </c>
      <c r="J238" s="6">
        <f t="shared" si="17"/>
        <v>0</v>
      </c>
      <c r="K238" s="6">
        <f t="shared" si="18"/>
        <v>0</v>
      </c>
      <c r="L238" s="6">
        <f t="shared" si="19"/>
        <v>0</v>
      </c>
    </row>
    <row r="239" spans="1:12" ht="22.95" customHeight="1">
      <c r="A239" s="5">
        <v>2</v>
      </c>
      <c r="B239" s="7" t="s">
        <v>146</v>
      </c>
      <c r="C239" s="7" t="s">
        <v>296</v>
      </c>
      <c r="D239" s="5">
        <v>211</v>
      </c>
      <c r="E239" s="5">
        <v>214</v>
      </c>
      <c r="F239" s="5">
        <v>0</v>
      </c>
      <c r="G239" s="5">
        <v>0</v>
      </c>
      <c r="H239" s="6">
        <f t="shared" si="15"/>
        <v>8.9154163605073249E-5</v>
      </c>
      <c r="I239" s="6">
        <f t="shared" si="16"/>
        <v>0</v>
      </c>
      <c r="J239" s="6">
        <f t="shared" si="17"/>
        <v>0</v>
      </c>
      <c r="K239" s="6">
        <f t="shared" si="18"/>
        <v>0</v>
      </c>
      <c r="L239" s="6">
        <f t="shared" si="19"/>
        <v>0</v>
      </c>
    </row>
    <row r="240" spans="1:12" ht="22.95" customHeight="1">
      <c r="A240" s="5">
        <v>2</v>
      </c>
      <c r="B240" s="7" t="s">
        <v>143</v>
      </c>
      <c r="C240" s="7" t="s">
        <v>304</v>
      </c>
      <c r="D240" s="5">
        <v>674</v>
      </c>
      <c r="E240" s="5">
        <v>324</v>
      </c>
      <c r="F240" s="5">
        <v>218</v>
      </c>
      <c r="G240" s="5">
        <v>122</v>
      </c>
      <c r="H240" s="6">
        <f t="shared" si="15"/>
        <v>2.8478628563895436E-4</v>
      </c>
      <c r="I240" s="6">
        <f t="shared" si="16"/>
        <v>0.32344213649851633</v>
      </c>
      <c r="J240" s="6">
        <f t="shared" si="17"/>
        <v>0.37654320987654322</v>
      </c>
      <c r="K240" s="6">
        <f t="shared" si="18"/>
        <v>9.2111884672540139E-5</v>
      </c>
      <c r="L240" s="6">
        <f t="shared" si="19"/>
        <v>1.0723434212330998E-4</v>
      </c>
    </row>
    <row r="241" spans="1:12" ht="22.95" customHeight="1">
      <c r="A241" s="5">
        <v>2</v>
      </c>
      <c r="B241" s="7" t="s">
        <v>143</v>
      </c>
      <c r="C241" s="7" t="s">
        <v>295</v>
      </c>
      <c r="D241" s="5">
        <v>1639</v>
      </c>
      <c r="E241" s="5">
        <v>631</v>
      </c>
      <c r="F241" s="5">
        <v>624</v>
      </c>
      <c r="G241" s="5">
        <v>249</v>
      </c>
      <c r="H241" s="6">
        <f t="shared" si="15"/>
        <v>6.9252926136831783E-4</v>
      </c>
      <c r="I241" s="6">
        <f t="shared" si="16"/>
        <v>0.38071995118974983</v>
      </c>
      <c r="J241" s="6">
        <f t="shared" si="17"/>
        <v>0.39461172741679873</v>
      </c>
      <c r="K241" s="6">
        <f t="shared" si="18"/>
        <v>2.6365970658561946E-4</v>
      </c>
      <c r="L241" s="6">
        <f t="shared" si="19"/>
        <v>2.7328016811523157E-4</v>
      </c>
    </row>
    <row r="242" spans="1:12" ht="22.95" customHeight="1">
      <c r="A242" s="5">
        <v>2</v>
      </c>
      <c r="B242" s="7" t="s">
        <v>106</v>
      </c>
      <c r="C242" s="7" t="s">
        <v>290</v>
      </c>
      <c r="D242" s="5">
        <v>1958</v>
      </c>
      <c r="E242" s="5">
        <v>2617</v>
      </c>
      <c r="F242" s="5">
        <v>705</v>
      </c>
      <c r="G242" s="5">
        <v>1155</v>
      </c>
      <c r="H242" s="6">
        <f t="shared" si="15"/>
        <v>8.2731683572859443E-4</v>
      </c>
      <c r="I242" s="6">
        <f t="shared" si="16"/>
        <v>0.36006128702757917</v>
      </c>
      <c r="J242" s="6">
        <f t="shared" si="17"/>
        <v>0.44134505158578524</v>
      </c>
      <c r="K242" s="6">
        <f t="shared" si="18"/>
        <v>2.9788476465202198E-4</v>
      </c>
      <c r="L242" s="6">
        <f t="shared" si="19"/>
        <v>3.6513219154242515E-4</v>
      </c>
    </row>
    <row r="243" spans="1:12" ht="22.95" customHeight="1">
      <c r="A243" s="5">
        <v>2</v>
      </c>
      <c r="B243" s="7" t="s">
        <v>186</v>
      </c>
      <c r="C243" s="7" t="s">
        <v>291</v>
      </c>
      <c r="D243" s="5">
        <v>6</v>
      </c>
      <c r="E243" s="5">
        <v>8</v>
      </c>
      <c r="F243" s="5">
        <v>4</v>
      </c>
      <c r="G243" s="5">
        <v>3</v>
      </c>
      <c r="H243" s="6">
        <f t="shared" si="15"/>
        <v>2.5351894864001871E-6</v>
      </c>
      <c r="I243" s="6">
        <f t="shared" si="16"/>
        <v>0.66666666666666663</v>
      </c>
      <c r="J243" s="6">
        <f t="shared" si="17"/>
        <v>0.375</v>
      </c>
      <c r="K243" s="6">
        <f t="shared" si="18"/>
        <v>1.6901263242667914E-6</v>
      </c>
      <c r="L243" s="6">
        <f t="shared" si="19"/>
        <v>9.5069605740007023E-7</v>
      </c>
    </row>
    <row r="244" spans="1:12" ht="22.95" customHeight="1">
      <c r="A244" s="5">
        <v>2</v>
      </c>
      <c r="B244" s="7" t="s">
        <v>190</v>
      </c>
      <c r="C244" s="7" t="s">
        <v>291</v>
      </c>
      <c r="D244" s="5">
        <v>29</v>
      </c>
      <c r="E244" s="5">
        <v>28</v>
      </c>
      <c r="F244" s="5">
        <v>16</v>
      </c>
      <c r="G244" s="5">
        <v>15</v>
      </c>
      <c r="H244" s="6">
        <f t="shared" si="15"/>
        <v>1.2253415850934238E-5</v>
      </c>
      <c r="I244" s="6">
        <f t="shared" si="16"/>
        <v>0.55172413793103448</v>
      </c>
      <c r="J244" s="6">
        <f t="shared" si="17"/>
        <v>0.5357142857142857</v>
      </c>
      <c r="K244" s="6">
        <f t="shared" si="18"/>
        <v>6.7605052970671663E-6</v>
      </c>
      <c r="L244" s="6">
        <f t="shared" si="19"/>
        <v>6.5643299201433418E-6</v>
      </c>
    </row>
    <row r="245" spans="1:12" ht="22.95" customHeight="1">
      <c r="A245" s="5">
        <v>2</v>
      </c>
      <c r="B245" s="7" t="s">
        <v>124</v>
      </c>
      <c r="C245" s="7" t="s">
        <v>303</v>
      </c>
      <c r="D245" s="5">
        <v>881</v>
      </c>
      <c r="E245" s="5">
        <v>898</v>
      </c>
      <c r="F245" s="5">
        <v>467</v>
      </c>
      <c r="G245" s="5">
        <v>470</v>
      </c>
      <c r="H245" s="6">
        <f t="shared" si="15"/>
        <v>3.7225032291976083E-4</v>
      </c>
      <c r="I245" s="6">
        <f t="shared" si="16"/>
        <v>0.53007945516458566</v>
      </c>
      <c r="J245" s="6">
        <f t="shared" si="17"/>
        <v>0.52338530066815148</v>
      </c>
      <c r="K245" s="6">
        <f t="shared" si="18"/>
        <v>1.973222483581479E-4</v>
      </c>
      <c r="L245" s="6">
        <f t="shared" si="19"/>
        <v>1.948303471851755E-4</v>
      </c>
    </row>
    <row r="246" spans="1:12" ht="22.95" customHeight="1">
      <c r="A246" s="5">
        <v>2</v>
      </c>
      <c r="B246" s="7" t="s">
        <v>170</v>
      </c>
      <c r="C246" s="7" t="s">
        <v>303</v>
      </c>
      <c r="D246" s="5">
        <v>256</v>
      </c>
      <c r="E246" s="5">
        <v>244</v>
      </c>
      <c r="F246" s="5">
        <v>178</v>
      </c>
      <c r="G246" s="5">
        <v>157</v>
      </c>
      <c r="H246" s="6">
        <f t="shared" si="15"/>
        <v>1.0816808475307466E-4</v>
      </c>
      <c r="I246" s="6">
        <f t="shared" si="16"/>
        <v>0.6953125</v>
      </c>
      <c r="J246" s="6">
        <f t="shared" si="17"/>
        <v>0.64344262295081966</v>
      </c>
      <c r="K246" s="6">
        <f t="shared" si="18"/>
        <v>7.5210621429872221E-5</v>
      </c>
      <c r="L246" s="6">
        <f t="shared" si="19"/>
        <v>6.9599956173084919E-5</v>
      </c>
    </row>
    <row r="247" spans="1:12" ht="22.95" customHeight="1">
      <c r="A247" s="5">
        <v>2</v>
      </c>
      <c r="B247" s="7" t="s">
        <v>125</v>
      </c>
      <c r="C247" s="7" t="s">
        <v>298</v>
      </c>
      <c r="D247" s="5">
        <v>1444</v>
      </c>
      <c r="E247" s="5">
        <v>1314</v>
      </c>
      <c r="F247" s="5">
        <v>1134</v>
      </c>
      <c r="G247" s="5">
        <v>255</v>
      </c>
      <c r="H247" s="6">
        <f t="shared" si="15"/>
        <v>6.1013560306031169E-4</v>
      </c>
      <c r="I247" s="6">
        <f t="shared" si="16"/>
        <v>0.78531855955678675</v>
      </c>
      <c r="J247" s="6">
        <f t="shared" si="17"/>
        <v>0.19406392694063926</v>
      </c>
      <c r="K247" s="6">
        <f t="shared" si="18"/>
        <v>4.7915081292963541E-4</v>
      </c>
      <c r="L247" s="6">
        <f t="shared" si="19"/>
        <v>1.184053110961792E-4</v>
      </c>
    </row>
    <row r="248" spans="1:12" ht="22.95" customHeight="1">
      <c r="A248" s="5">
        <v>2</v>
      </c>
      <c r="B248" s="7" t="s">
        <v>154</v>
      </c>
      <c r="C248" s="7" t="s">
        <v>298</v>
      </c>
      <c r="D248" s="5">
        <v>29</v>
      </c>
      <c r="E248" s="5">
        <v>35</v>
      </c>
      <c r="F248" s="5">
        <v>5</v>
      </c>
      <c r="G248" s="5">
        <v>12</v>
      </c>
      <c r="H248" s="6">
        <f t="shared" si="15"/>
        <v>1.2253415850934238E-5</v>
      </c>
      <c r="I248" s="6">
        <f t="shared" si="16"/>
        <v>0.17241379310344829</v>
      </c>
      <c r="J248" s="6">
        <f t="shared" si="17"/>
        <v>0.34285714285714286</v>
      </c>
      <c r="K248" s="6">
        <f t="shared" si="18"/>
        <v>2.1126579053334894E-6</v>
      </c>
      <c r="L248" s="6">
        <f t="shared" si="19"/>
        <v>4.201171148891739E-6</v>
      </c>
    </row>
    <row r="249" spans="1:12" ht="22.95" customHeight="1">
      <c r="A249" s="5">
        <v>2</v>
      </c>
      <c r="B249" s="7" t="s">
        <v>246</v>
      </c>
      <c r="C249" s="7" t="s">
        <v>298</v>
      </c>
      <c r="D249" s="5">
        <v>10</v>
      </c>
      <c r="E249" s="5">
        <v>3</v>
      </c>
      <c r="F249" s="5">
        <v>3</v>
      </c>
      <c r="G249" s="5">
        <v>2</v>
      </c>
      <c r="H249" s="6">
        <f t="shared" si="15"/>
        <v>4.2253158106669787E-6</v>
      </c>
      <c r="I249" s="6">
        <f t="shared" si="16"/>
        <v>0.3</v>
      </c>
      <c r="J249" s="6">
        <f t="shared" si="17"/>
        <v>0.66666666666666663</v>
      </c>
      <c r="K249" s="6">
        <f t="shared" si="18"/>
        <v>1.2675947432000936E-6</v>
      </c>
      <c r="L249" s="6">
        <f t="shared" si="19"/>
        <v>2.8168772071113189E-6</v>
      </c>
    </row>
    <row r="250" spans="1:12" ht="22.95" customHeight="1">
      <c r="A250" s="5">
        <v>2</v>
      </c>
      <c r="B250" s="7" t="s">
        <v>95</v>
      </c>
      <c r="C250" s="7" t="s">
        <v>290</v>
      </c>
      <c r="D250" s="5">
        <v>2459</v>
      </c>
      <c r="E250" s="5">
        <v>3381</v>
      </c>
      <c r="F250" s="5">
        <v>1158</v>
      </c>
      <c r="G250" s="5">
        <v>1822</v>
      </c>
      <c r="H250" s="6">
        <f t="shared" si="15"/>
        <v>1.0390051578430101E-3</v>
      </c>
      <c r="I250" s="6">
        <f t="shared" si="16"/>
        <v>0.47092313948759656</v>
      </c>
      <c r="J250" s="6">
        <f t="shared" si="17"/>
        <v>0.53889381839692396</v>
      </c>
      <c r="K250" s="6">
        <f t="shared" si="18"/>
        <v>4.8929157087523618E-4</v>
      </c>
      <c r="L250" s="6">
        <f t="shared" si="19"/>
        <v>5.5991345684411841E-4</v>
      </c>
    </row>
    <row r="251" spans="1:12" ht="22.95" customHeight="1">
      <c r="A251" s="5">
        <v>2</v>
      </c>
      <c r="B251" s="7" t="s">
        <v>105</v>
      </c>
      <c r="C251" s="7" t="s">
        <v>296</v>
      </c>
      <c r="D251" s="5">
        <v>2208</v>
      </c>
      <c r="E251" s="5">
        <v>2341</v>
      </c>
      <c r="F251" s="5">
        <v>0</v>
      </c>
      <c r="G251" s="5">
        <v>0</v>
      </c>
      <c r="H251" s="6">
        <f t="shared" si="15"/>
        <v>9.3294973099526896E-4</v>
      </c>
      <c r="I251" s="6">
        <f t="shared" si="16"/>
        <v>0</v>
      </c>
      <c r="J251" s="6">
        <f t="shared" si="17"/>
        <v>0</v>
      </c>
      <c r="K251" s="6">
        <f t="shared" si="18"/>
        <v>0</v>
      </c>
      <c r="L251" s="6">
        <f t="shared" si="19"/>
        <v>0</v>
      </c>
    </row>
    <row r="252" spans="1:12" ht="22.95" customHeight="1">
      <c r="A252" s="5">
        <v>2</v>
      </c>
      <c r="B252" s="7" t="s">
        <v>268</v>
      </c>
      <c r="C252" s="7" t="s">
        <v>292</v>
      </c>
      <c r="D252" s="5">
        <v>1435</v>
      </c>
      <c r="E252" s="5">
        <v>731</v>
      </c>
      <c r="F252" s="5">
        <v>0</v>
      </c>
      <c r="G252" s="5">
        <v>0</v>
      </c>
      <c r="H252" s="6">
        <f t="shared" si="15"/>
        <v>6.0633281883071147E-4</v>
      </c>
      <c r="I252" s="6">
        <f t="shared" si="16"/>
        <v>0</v>
      </c>
      <c r="J252" s="6">
        <f t="shared" si="17"/>
        <v>0</v>
      </c>
      <c r="K252" s="6">
        <f t="shared" si="18"/>
        <v>0</v>
      </c>
      <c r="L252" s="6">
        <f t="shared" si="19"/>
        <v>0</v>
      </c>
    </row>
    <row r="253" spans="1:12" ht="22.95" customHeight="1">
      <c r="A253" s="5">
        <v>2</v>
      </c>
      <c r="B253" s="7" t="s">
        <v>268</v>
      </c>
      <c r="C253" s="7" t="s">
        <v>295</v>
      </c>
      <c r="D253" s="5">
        <v>72</v>
      </c>
      <c r="E253" s="5">
        <v>65</v>
      </c>
      <c r="F253" s="5">
        <v>64</v>
      </c>
      <c r="G253" s="5">
        <v>62</v>
      </c>
      <c r="H253" s="6">
        <f t="shared" si="15"/>
        <v>3.0422273836802247E-5</v>
      </c>
      <c r="I253" s="6">
        <f t="shared" si="16"/>
        <v>0.88888888888888884</v>
      </c>
      <c r="J253" s="6">
        <f t="shared" si="17"/>
        <v>0.9538461538461539</v>
      </c>
      <c r="K253" s="6">
        <f t="shared" si="18"/>
        <v>2.7042021188268662E-5</v>
      </c>
      <c r="L253" s="6">
        <f t="shared" si="19"/>
        <v>2.9018168890488301E-5</v>
      </c>
    </row>
    <row r="254" spans="1:12" ht="22.95" customHeight="1">
      <c r="A254" s="5">
        <v>2</v>
      </c>
      <c r="B254" s="7" t="s">
        <v>203</v>
      </c>
      <c r="C254" s="7" t="s">
        <v>298</v>
      </c>
      <c r="D254" s="5">
        <v>22</v>
      </c>
      <c r="E254" s="5">
        <v>37</v>
      </c>
      <c r="F254" s="5">
        <v>14</v>
      </c>
      <c r="G254" s="5">
        <v>12</v>
      </c>
      <c r="H254" s="6">
        <f t="shared" si="15"/>
        <v>9.295694783467353E-6</v>
      </c>
      <c r="I254" s="6">
        <f t="shared" si="16"/>
        <v>0.63636363636363635</v>
      </c>
      <c r="J254" s="6">
        <f t="shared" si="17"/>
        <v>0.32432432432432434</v>
      </c>
      <c r="K254" s="6">
        <f t="shared" si="18"/>
        <v>5.9154421349337699E-6</v>
      </c>
      <c r="L254" s="6">
        <f t="shared" si="19"/>
        <v>3.0148199297731959E-6</v>
      </c>
    </row>
    <row r="255" spans="1:12" ht="22.95" customHeight="1">
      <c r="A255" s="5">
        <v>2</v>
      </c>
      <c r="B255" s="7" t="s">
        <v>244</v>
      </c>
      <c r="C255" s="7" t="s">
        <v>298</v>
      </c>
      <c r="D255" s="5">
        <v>5</v>
      </c>
      <c r="E255" s="5">
        <v>4</v>
      </c>
      <c r="F255" s="5">
        <v>3</v>
      </c>
      <c r="G255" s="5">
        <v>3</v>
      </c>
      <c r="H255" s="6">
        <f t="shared" si="15"/>
        <v>2.1126579053334894E-6</v>
      </c>
      <c r="I255" s="6">
        <f t="shared" si="16"/>
        <v>0.6</v>
      </c>
      <c r="J255" s="6">
        <f t="shared" si="17"/>
        <v>0.75</v>
      </c>
      <c r="K255" s="6">
        <f t="shared" si="18"/>
        <v>1.2675947432000936E-6</v>
      </c>
      <c r="L255" s="6">
        <f t="shared" si="19"/>
        <v>1.5844934290001169E-6</v>
      </c>
    </row>
    <row r="256" spans="1:12" ht="22.95" customHeight="1">
      <c r="A256" s="5">
        <v>2</v>
      </c>
      <c r="B256" s="7" t="s">
        <v>87</v>
      </c>
      <c r="C256" s="7" t="s">
        <v>290</v>
      </c>
      <c r="D256" s="5">
        <v>40699</v>
      </c>
      <c r="E256" s="5">
        <v>59031</v>
      </c>
      <c r="F256" s="5">
        <v>22137</v>
      </c>
      <c r="G256" s="5">
        <v>40264</v>
      </c>
      <c r="H256" s="6">
        <f t="shared" si="15"/>
        <v>1.7196612817833537E-2</v>
      </c>
      <c r="I256" s="6">
        <f t="shared" si="16"/>
        <v>0.54391999803434976</v>
      </c>
      <c r="J256" s="6">
        <f t="shared" si="17"/>
        <v>0.68208229574291479</v>
      </c>
      <c r="K256" s="6">
        <f t="shared" si="18"/>
        <v>9.3535816100734914E-3</v>
      </c>
      <c r="L256" s="6">
        <f t="shared" si="19"/>
        <v>1.1729505149789933E-2</v>
      </c>
    </row>
    <row r="257" spans="1:12" ht="22.95" customHeight="1">
      <c r="A257" s="5">
        <v>2</v>
      </c>
      <c r="B257" s="7" t="s">
        <v>255</v>
      </c>
      <c r="C257" s="7" t="s">
        <v>303</v>
      </c>
      <c r="D257" s="5">
        <v>8</v>
      </c>
      <c r="E257" s="5">
        <v>3</v>
      </c>
      <c r="F257" s="5">
        <v>6</v>
      </c>
      <c r="G257" s="5">
        <v>2</v>
      </c>
      <c r="H257" s="6">
        <f t="shared" si="15"/>
        <v>3.3802526485335831E-6</v>
      </c>
      <c r="I257" s="6">
        <f t="shared" si="16"/>
        <v>0.75</v>
      </c>
      <c r="J257" s="6">
        <f t="shared" si="17"/>
        <v>0.66666666666666663</v>
      </c>
      <c r="K257" s="6">
        <f t="shared" si="18"/>
        <v>2.5351894864001876E-6</v>
      </c>
      <c r="L257" s="6">
        <f t="shared" si="19"/>
        <v>2.2535017656890554E-6</v>
      </c>
    </row>
    <row r="258" spans="1:12" ht="22.95" customHeight="1">
      <c r="A258" s="5">
        <v>2</v>
      </c>
      <c r="B258" s="7" t="s">
        <v>260</v>
      </c>
      <c r="C258" s="7" t="s">
        <v>294</v>
      </c>
      <c r="D258" s="5">
        <v>141</v>
      </c>
      <c r="E258" s="5">
        <v>109</v>
      </c>
      <c r="F258" s="5">
        <v>68</v>
      </c>
      <c r="G258" s="5">
        <v>48</v>
      </c>
      <c r="H258" s="6">
        <f t="shared" si="15"/>
        <v>5.9576952930404399E-5</v>
      </c>
      <c r="I258" s="6">
        <f t="shared" si="16"/>
        <v>0.48226950354609927</v>
      </c>
      <c r="J258" s="6">
        <f t="shared" si="17"/>
        <v>0.44036697247706424</v>
      </c>
      <c r="K258" s="6">
        <f t="shared" si="18"/>
        <v>2.8732147512535453E-5</v>
      </c>
      <c r="L258" s="6">
        <f t="shared" si="19"/>
        <v>2.6235722391370747E-5</v>
      </c>
    </row>
    <row r="259" spans="1:12" ht="22.95" customHeight="1">
      <c r="A259" s="5">
        <v>2</v>
      </c>
      <c r="B259" s="7" t="s">
        <v>114</v>
      </c>
      <c r="C259" s="7" t="s">
        <v>291</v>
      </c>
      <c r="D259" s="5">
        <v>366</v>
      </c>
      <c r="E259" s="5">
        <v>756</v>
      </c>
      <c r="F259" s="5">
        <v>142</v>
      </c>
      <c r="G259" s="5">
        <v>314</v>
      </c>
      <c r="H259" s="6">
        <f t="shared" si="15"/>
        <v>1.5464655867041143E-4</v>
      </c>
      <c r="I259" s="6">
        <f t="shared" si="16"/>
        <v>0.38797814207650272</v>
      </c>
      <c r="J259" s="6">
        <f t="shared" si="17"/>
        <v>0.41534391534391535</v>
      </c>
      <c r="K259" s="6">
        <f t="shared" si="18"/>
        <v>5.9999484511471098E-5</v>
      </c>
      <c r="L259" s="6">
        <f t="shared" si="19"/>
        <v>6.4231507172631206E-5</v>
      </c>
    </row>
    <row r="260" spans="1:12" ht="22.95" customHeight="1">
      <c r="A260" s="5">
        <v>2</v>
      </c>
      <c r="B260" s="7" t="s">
        <v>114</v>
      </c>
      <c r="C260" s="7" t="s">
        <v>292</v>
      </c>
      <c r="D260" s="5">
        <v>73</v>
      </c>
      <c r="E260" s="5">
        <v>20</v>
      </c>
      <c r="F260" s="5">
        <v>34</v>
      </c>
      <c r="G260" s="5">
        <v>6</v>
      </c>
      <c r="H260" s="6">
        <f t="shared" si="15"/>
        <v>3.0844805417868946E-5</v>
      </c>
      <c r="I260" s="6">
        <f t="shared" si="16"/>
        <v>0.46575342465753422</v>
      </c>
      <c r="J260" s="6">
        <f t="shared" si="17"/>
        <v>0.3</v>
      </c>
      <c r="K260" s="6">
        <f t="shared" si="18"/>
        <v>1.4366073756267728E-5</v>
      </c>
      <c r="L260" s="6">
        <f t="shared" si="19"/>
        <v>9.2534416253606835E-6</v>
      </c>
    </row>
    <row r="261" spans="1:12" ht="22.95" customHeight="1">
      <c r="A261" s="5">
        <v>2</v>
      </c>
      <c r="B261" s="7" t="s">
        <v>249</v>
      </c>
      <c r="C261" s="7" t="s">
        <v>291</v>
      </c>
      <c r="D261" s="5">
        <v>9</v>
      </c>
      <c r="E261" s="5">
        <v>5</v>
      </c>
      <c r="F261" s="5">
        <v>6</v>
      </c>
      <c r="G261" s="5">
        <v>3</v>
      </c>
      <c r="H261" s="6">
        <f t="shared" si="15"/>
        <v>3.8027842296002809E-6</v>
      </c>
      <c r="I261" s="6">
        <f t="shared" si="16"/>
        <v>0.66666666666666663</v>
      </c>
      <c r="J261" s="6">
        <f t="shared" si="17"/>
        <v>0.6</v>
      </c>
      <c r="K261" s="6">
        <f t="shared" si="18"/>
        <v>2.5351894864001871E-6</v>
      </c>
      <c r="L261" s="6">
        <f t="shared" si="19"/>
        <v>2.2816705377601683E-6</v>
      </c>
    </row>
    <row r="262" spans="1:12" ht="22.95" customHeight="1">
      <c r="A262" s="5">
        <v>2</v>
      </c>
      <c r="B262" s="7" t="s">
        <v>224</v>
      </c>
      <c r="C262" s="7" t="s">
        <v>291</v>
      </c>
      <c r="D262" s="5">
        <v>2</v>
      </c>
      <c r="E262" s="5">
        <v>2</v>
      </c>
      <c r="F262" s="5">
        <v>1</v>
      </c>
      <c r="G262" s="5">
        <v>0</v>
      </c>
      <c r="H262" s="6">
        <f t="shared" si="15"/>
        <v>8.4506316213339578E-7</v>
      </c>
      <c r="I262" s="6">
        <f t="shared" si="16"/>
        <v>0.5</v>
      </c>
      <c r="J262" s="6">
        <f t="shared" si="17"/>
        <v>0</v>
      </c>
      <c r="K262" s="6">
        <f t="shared" si="18"/>
        <v>4.2253158106669789E-7</v>
      </c>
      <c r="L262" s="6">
        <f t="shared" si="19"/>
        <v>0</v>
      </c>
    </row>
    <row r="263" spans="1:12" ht="22.95" customHeight="1">
      <c r="A263" s="5">
        <v>2</v>
      </c>
      <c r="B263" s="7" t="s">
        <v>209</v>
      </c>
      <c r="C263" s="7" t="s">
        <v>291</v>
      </c>
      <c r="D263" s="5">
        <v>1</v>
      </c>
      <c r="E263" s="5">
        <v>3</v>
      </c>
      <c r="F263" s="5">
        <v>0</v>
      </c>
      <c r="G263" s="5">
        <v>0</v>
      </c>
      <c r="H263" s="6">
        <f t="shared" si="15"/>
        <v>4.2253158106669789E-7</v>
      </c>
      <c r="I263" s="6">
        <f t="shared" si="16"/>
        <v>0</v>
      </c>
      <c r="J263" s="6">
        <f t="shared" si="17"/>
        <v>0</v>
      </c>
      <c r="K263" s="6">
        <f t="shared" si="18"/>
        <v>0</v>
      </c>
      <c r="L263" s="6">
        <f t="shared" si="19"/>
        <v>0</v>
      </c>
    </row>
    <row r="264" spans="1:12" ht="22.95" customHeight="1">
      <c r="A264" s="5">
        <v>2</v>
      </c>
      <c r="B264" s="7" t="s">
        <v>272</v>
      </c>
      <c r="C264" s="7" t="s">
        <v>304</v>
      </c>
      <c r="D264" s="5">
        <v>1252</v>
      </c>
      <c r="E264" s="5">
        <v>505</v>
      </c>
      <c r="F264" s="5">
        <v>354</v>
      </c>
      <c r="G264" s="5">
        <v>186</v>
      </c>
      <c r="H264" s="6">
        <f t="shared" si="15"/>
        <v>5.2900953949550577E-4</v>
      </c>
      <c r="I264" s="6">
        <f t="shared" si="16"/>
        <v>0.28274760383386582</v>
      </c>
      <c r="J264" s="6">
        <f t="shared" si="17"/>
        <v>0.36831683168316831</v>
      </c>
      <c r="K264" s="6">
        <f t="shared" si="18"/>
        <v>1.4957617969761107E-4</v>
      </c>
      <c r="L264" s="6">
        <f t="shared" si="19"/>
        <v>1.9484311751715659E-4</v>
      </c>
    </row>
    <row r="265" spans="1:12" ht="22.95" customHeight="1">
      <c r="A265" s="5">
        <v>2</v>
      </c>
      <c r="B265" s="7" t="s">
        <v>253</v>
      </c>
      <c r="C265" s="7" t="s">
        <v>303</v>
      </c>
      <c r="D265" s="5">
        <v>28</v>
      </c>
      <c r="E265" s="5">
        <v>31</v>
      </c>
      <c r="F265" s="5">
        <v>14</v>
      </c>
      <c r="G265" s="5">
        <v>19</v>
      </c>
      <c r="H265" s="6">
        <f t="shared" si="15"/>
        <v>1.1830884269867541E-5</v>
      </c>
      <c r="I265" s="6">
        <f t="shared" si="16"/>
        <v>0.5</v>
      </c>
      <c r="J265" s="6">
        <f t="shared" si="17"/>
        <v>0.61290322580645162</v>
      </c>
      <c r="K265" s="6">
        <f t="shared" si="18"/>
        <v>5.9154421349337707E-6</v>
      </c>
      <c r="L265" s="6">
        <f t="shared" si="19"/>
        <v>7.2511871331446223E-6</v>
      </c>
    </row>
    <row r="266" spans="1:12" ht="22.95" customHeight="1">
      <c r="A266" s="5">
        <v>2</v>
      </c>
      <c r="B266" s="7" t="s">
        <v>241</v>
      </c>
      <c r="C266" s="7" t="s">
        <v>303</v>
      </c>
      <c r="D266" s="5">
        <v>11</v>
      </c>
      <c r="E266" s="5">
        <v>2</v>
      </c>
      <c r="F266" s="5">
        <v>6</v>
      </c>
      <c r="G266" s="5">
        <v>2</v>
      </c>
      <c r="H266" s="6">
        <f t="shared" si="15"/>
        <v>4.6478473917336765E-6</v>
      </c>
      <c r="I266" s="6">
        <f t="shared" si="16"/>
        <v>0.54545454545454541</v>
      </c>
      <c r="J266" s="6">
        <f t="shared" si="17"/>
        <v>1</v>
      </c>
      <c r="K266" s="6">
        <f t="shared" si="18"/>
        <v>2.5351894864001871E-6</v>
      </c>
      <c r="L266" s="6">
        <f t="shared" si="19"/>
        <v>4.6478473917336765E-6</v>
      </c>
    </row>
    <row r="267" spans="1:12" ht="22.95" customHeight="1">
      <c r="A267" s="5">
        <v>2</v>
      </c>
      <c r="B267" s="7" t="s">
        <v>271</v>
      </c>
      <c r="C267" s="7" t="s">
        <v>292</v>
      </c>
      <c r="D267" s="5">
        <v>2271</v>
      </c>
      <c r="E267" s="5">
        <v>1766</v>
      </c>
      <c r="F267" s="5">
        <v>678</v>
      </c>
      <c r="G267" s="5">
        <v>404</v>
      </c>
      <c r="H267" s="6">
        <f t="shared" si="15"/>
        <v>9.5956922060247093E-4</v>
      </c>
      <c r="I267" s="6">
        <f t="shared" si="16"/>
        <v>0.29854689564068693</v>
      </c>
      <c r="J267" s="6">
        <f t="shared" si="17"/>
        <v>0.22876557191392979</v>
      </c>
      <c r="K267" s="6">
        <f t="shared" si="18"/>
        <v>2.8647641196322116E-4</v>
      </c>
      <c r="L267" s="6">
        <f t="shared" si="19"/>
        <v>2.1951640154212814E-4</v>
      </c>
    </row>
    <row r="268" spans="1:12" ht="22.95" customHeight="1">
      <c r="A268" s="5">
        <v>2</v>
      </c>
      <c r="B268" s="7" t="s">
        <v>261</v>
      </c>
      <c r="C268" s="7" t="s">
        <v>295</v>
      </c>
      <c r="D268" s="5">
        <v>72</v>
      </c>
      <c r="E268" s="5">
        <v>97</v>
      </c>
      <c r="F268" s="5">
        <v>61</v>
      </c>
      <c r="G268" s="5">
        <v>86</v>
      </c>
      <c r="H268" s="6">
        <f t="shared" si="15"/>
        <v>3.0422273836802247E-5</v>
      </c>
      <c r="I268" s="6">
        <f t="shared" si="16"/>
        <v>0.84722222222222221</v>
      </c>
      <c r="J268" s="6">
        <f t="shared" si="17"/>
        <v>0.88659793814432986</v>
      </c>
      <c r="K268" s="6">
        <f t="shared" si="18"/>
        <v>2.5774426445068569E-5</v>
      </c>
      <c r="L268" s="6">
        <f t="shared" si="19"/>
        <v>2.6972325257371064E-5</v>
      </c>
    </row>
    <row r="269" spans="1:12" ht="22.95" customHeight="1">
      <c r="A269" s="5">
        <v>2</v>
      </c>
      <c r="B269" s="7" t="s">
        <v>88</v>
      </c>
      <c r="C269" s="7" t="s">
        <v>295</v>
      </c>
      <c r="D269" s="5">
        <v>42267</v>
      </c>
      <c r="E269" s="5">
        <v>47781</v>
      </c>
      <c r="F269" s="5">
        <v>16992</v>
      </c>
      <c r="G269" s="5">
        <v>23116</v>
      </c>
      <c r="H269" s="6">
        <f t="shared" si="15"/>
        <v>1.7859142336946118E-2</v>
      </c>
      <c r="I269" s="6">
        <f t="shared" si="16"/>
        <v>0.40201575697352543</v>
      </c>
      <c r="J269" s="6">
        <f t="shared" si="17"/>
        <v>0.48379062807392059</v>
      </c>
      <c r="K269" s="6">
        <f t="shared" si="18"/>
        <v>7.1796566254853297E-3</v>
      </c>
      <c r="L269" s="6">
        <f t="shared" si="19"/>
        <v>8.640085688052709E-3</v>
      </c>
    </row>
    <row r="270" spans="1:12" ht="22.95" customHeight="1">
      <c r="A270" s="5">
        <v>2</v>
      </c>
      <c r="B270" s="7" t="s">
        <v>153</v>
      </c>
      <c r="C270" s="7" t="s">
        <v>292</v>
      </c>
      <c r="D270" s="5">
        <v>393</v>
      </c>
      <c r="E270" s="5">
        <v>271</v>
      </c>
      <c r="F270" s="5">
        <v>380</v>
      </c>
      <c r="G270" s="5">
        <v>263</v>
      </c>
      <c r="H270" s="6">
        <f t="shared" si="15"/>
        <v>1.6605491135921228E-4</v>
      </c>
      <c r="I270" s="6">
        <f t="shared" si="16"/>
        <v>0.9669211195928753</v>
      </c>
      <c r="J270" s="6">
        <f t="shared" si="17"/>
        <v>0.97047970479704793</v>
      </c>
      <c r="K270" s="6">
        <f t="shared" si="18"/>
        <v>1.6056200080534521E-4</v>
      </c>
      <c r="L270" s="6">
        <f t="shared" si="19"/>
        <v>1.6115292135598829E-4</v>
      </c>
    </row>
    <row r="271" spans="1:12" ht="22.95" customHeight="1">
      <c r="A271" s="5">
        <v>2</v>
      </c>
      <c r="B271" s="7" t="s">
        <v>137</v>
      </c>
      <c r="C271" s="7" t="s">
        <v>293</v>
      </c>
      <c r="D271" s="5">
        <v>243</v>
      </c>
      <c r="E271" s="5">
        <v>173</v>
      </c>
      <c r="F271" s="5">
        <v>55</v>
      </c>
      <c r="G271" s="5">
        <v>27</v>
      </c>
      <c r="H271" s="6">
        <f t="shared" si="15"/>
        <v>1.0267517419920758E-4</v>
      </c>
      <c r="I271" s="6">
        <f t="shared" si="16"/>
        <v>0.22633744855967078</v>
      </c>
      <c r="J271" s="6">
        <f t="shared" si="17"/>
        <v>0.15606936416184972</v>
      </c>
      <c r="K271" s="6">
        <f t="shared" si="18"/>
        <v>2.3239236958668381E-5</v>
      </c>
      <c r="L271" s="6">
        <f t="shared" si="19"/>
        <v>1.6024449152477483E-5</v>
      </c>
    </row>
    <row r="272" spans="1:12" ht="22.95" customHeight="1">
      <c r="A272" s="5">
        <v>2</v>
      </c>
      <c r="B272" s="7" t="s">
        <v>247</v>
      </c>
      <c r="C272" s="7" t="s">
        <v>292</v>
      </c>
      <c r="D272" s="5">
        <v>1</v>
      </c>
      <c r="E272" s="5">
        <v>6</v>
      </c>
      <c r="F272" s="5">
        <v>0</v>
      </c>
      <c r="G272" s="5">
        <v>0</v>
      </c>
      <c r="H272" s="6">
        <f t="shared" si="15"/>
        <v>4.2253158106669789E-7</v>
      </c>
      <c r="I272" s="6">
        <f t="shared" si="16"/>
        <v>0</v>
      </c>
      <c r="J272" s="6">
        <f t="shared" si="17"/>
        <v>0</v>
      </c>
      <c r="K272" s="6">
        <f t="shared" si="18"/>
        <v>0</v>
      </c>
      <c r="L272" s="6">
        <f t="shared" si="19"/>
        <v>0</v>
      </c>
    </row>
    <row r="273" spans="1:12" ht="22.95" customHeight="1">
      <c r="A273" s="5">
        <v>2</v>
      </c>
      <c r="B273" s="7" t="s">
        <v>119</v>
      </c>
      <c r="C273" s="7" t="s">
        <v>303</v>
      </c>
      <c r="D273" s="5">
        <v>609</v>
      </c>
      <c r="E273" s="5">
        <v>784</v>
      </c>
      <c r="F273" s="5">
        <v>292</v>
      </c>
      <c r="G273" s="5">
        <v>372</v>
      </c>
      <c r="H273" s="6">
        <f t="shared" si="15"/>
        <v>2.5732173286961902E-4</v>
      </c>
      <c r="I273" s="6">
        <f t="shared" si="16"/>
        <v>0.47947454844006571</v>
      </c>
      <c r="J273" s="6">
        <f t="shared" si="17"/>
        <v>0.47448979591836737</v>
      </c>
      <c r="K273" s="6">
        <f t="shared" si="18"/>
        <v>1.2337922167147578E-4</v>
      </c>
      <c r="L273" s="6">
        <f t="shared" si="19"/>
        <v>1.2209653651466617E-4</v>
      </c>
    </row>
    <row r="274" spans="1:12" ht="22.95" customHeight="1">
      <c r="A274" s="5">
        <v>2</v>
      </c>
      <c r="B274" s="7" t="s">
        <v>159</v>
      </c>
      <c r="C274" s="7" t="s">
        <v>303</v>
      </c>
      <c r="D274" s="5">
        <v>35</v>
      </c>
      <c r="E274" s="5">
        <v>53</v>
      </c>
      <c r="F274" s="5">
        <v>12</v>
      </c>
      <c r="G274" s="5">
        <v>18</v>
      </c>
      <c r="H274" s="6">
        <f t="shared" si="15"/>
        <v>1.4788605337334425E-5</v>
      </c>
      <c r="I274" s="6">
        <f t="shared" si="16"/>
        <v>0.34285714285714286</v>
      </c>
      <c r="J274" s="6">
        <f t="shared" si="17"/>
        <v>0.33962264150943394</v>
      </c>
      <c r="K274" s="6">
        <f t="shared" si="18"/>
        <v>5.0703789728003743E-6</v>
      </c>
      <c r="L274" s="6">
        <f t="shared" si="19"/>
        <v>5.0225452089060308E-6</v>
      </c>
    </row>
    <row r="275" spans="1:12" ht="22.95" customHeight="1">
      <c r="A275" s="5">
        <v>2</v>
      </c>
      <c r="B275" s="7" t="s">
        <v>145</v>
      </c>
      <c r="C275" s="7" t="s">
        <v>294</v>
      </c>
      <c r="D275" s="5">
        <v>36</v>
      </c>
      <c r="E275" s="5">
        <v>45</v>
      </c>
      <c r="F275" s="5">
        <v>19</v>
      </c>
      <c r="G275" s="5">
        <v>24</v>
      </c>
      <c r="H275" s="6">
        <f t="shared" si="15"/>
        <v>1.5211136918401124E-5</v>
      </c>
      <c r="I275" s="6">
        <f t="shared" si="16"/>
        <v>0.52777777777777779</v>
      </c>
      <c r="J275" s="6">
        <f t="shared" si="17"/>
        <v>0.53333333333333333</v>
      </c>
      <c r="K275" s="6">
        <f t="shared" si="18"/>
        <v>8.0281000402672605E-6</v>
      </c>
      <c r="L275" s="6">
        <f t="shared" si="19"/>
        <v>8.1126063564805995E-6</v>
      </c>
    </row>
    <row r="276" spans="1:12" ht="22.95" customHeight="1">
      <c r="A276" s="5">
        <v>2</v>
      </c>
      <c r="B276" s="7" t="s">
        <v>232</v>
      </c>
      <c r="C276" s="7" t="s">
        <v>292</v>
      </c>
      <c r="D276" s="5">
        <v>2</v>
      </c>
      <c r="E276" s="5">
        <v>1</v>
      </c>
      <c r="F276" s="5">
        <v>1</v>
      </c>
      <c r="G276" s="5">
        <v>1</v>
      </c>
      <c r="H276" s="6">
        <f t="shared" si="15"/>
        <v>8.4506316213339578E-7</v>
      </c>
      <c r="I276" s="6">
        <f t="shared" si="16"/>
        <v>0.5</v>
      </c>
      <c r="J276" s="6">
        <f t="shared" si="17"/>
        <v>1</v>
      </c>
      <c r="K276" s="6">
        <f t="shared" si="18"/>
        <v>4.2253158106669789E-7</v>
      </c>
      <c r="L276" s="6">
        <f t="shared" si="19"/>
        <v>8.4506316213339578E-7</v>
      </c>
    </row>
    <row r="277" spans="1:12" ht="22.95" customHeight="1">
      <c r="A277" s="5">
        <v>2</v>
      </c>
      <c r="B277" s="7" t="s">
        <v>174</v>
      </c>
      <c r="C277" s="7" t="s">
        <v>296</v>
      </c>
      <c r="D277" s="5">
        <v>53</v>
      </c>
      <c r="E277" s="5">
        <v>36</v>
      </c>
      <c r="F277" s="5">
        <v>0</v>
      </c>
      <c r="G277" s="5">
        <v>0</v>
      </c>
      <c r="H277" s="6">
        <f t="shared" si="15"/>
        <v>2.2394173796534987E-5</v>
      </c>
      <c r="I277" s="6">
        <f t="shared" si="16"/>
        <v>0</v>
      </c>
      <c r="J277" s="6">
        <f t="shared" si="17"/>
        <v>0</v>
      </c>
      <c r="K277" s="6">
        <f t="shared" si="18"/>
        <v>0</v>
      </c>
      <c r="L277" s="6">
        <f t="shared" si="19"/>
        <v>0</v>
      </c>
    </row>
    <row r="278" spans="1:12" ht="22.95" customHeight="1">
      <c r="A278" s="5">
        <v>2</v>
      </c>
      <c r="B278" s="7" t="s">
        <v>273</v>
      </c>
      <c r="C278" s="7" t="s">
        <v>294</v>
      </c>
      <c r="D278" s="5">
        <v>1015</v>
      </c>
      <c r="E278" s="5">
        <v>700</v>
      </c>
      <c r="F278" s="5">
        <v>856</v>
      </c>
      <c r="G278" s="5">
        <v>610</v>
      </c>
      <c r="H278" s="6">
        <f t="shared" si="15"/>
        <v>4.2886955478269837E-4</v>
      </c>
      <c r="I278" s="6">
        <f t="shared" si="16"/>
        <v>0.84334975369458132</v>
      </c>
      <c r="J278" s="6">
        <f t="shared" si="17"/>
        <v>0.87142857142857144</v>
      </c>
      <c r="K278" s="6">
        <f t="shared" si="18"/>
        <v>3.6168703339309343E-4</v>
      </c>
      <c r="L278" s="6">
        <f t="shared" si="19"/>
        <v>3.7372918345349431E-4</v>
      </c>
    </row>
    <row r="279" spans="1:12" ht="22.95" customHeight="1">
      <c r="A279" s="5">
        <v>2</v>
      </c>
      <c r="B279" s="7" t="s">
        <v>176</v>
      </c>
      <c r="C279" s="7" t="s">
        <v>301</v>
      </c>
      <c r="D279" s="5">
        <v>41</v>
      </c>
      <c r="E279" s="5">
        <v>9</v>
      </c>
      <c r="F279" s="5">
        <v>17</v>
      </c>
      <c r="G279" s="5">
        <v>5</v>
      </c>
      <c r="H279" s="6">
        <f t="shared" si="15"/>
        <v>1.7323794823734613E-5</v>
      </c>
      <c r="I279" s="6">
        <f t="shared" si="16"/>
        <v>0.41463414634146339</v>
      </c>
      <c r="J279" s="6">
        <f t="shared" si="17"/>
        <v>0.55555555555555558</v>
      </c>
      <c r="K279" s="6">
        <f t="shared" si="18"/>
        <v>7.1830368781338641E-6</v>
      </c>
      <c r="L279" s="6">
        <f t="shared" si="19"/>
        <v>9.6243304576303418E-6</v>
      </c>
    </row>
    <row r="280" spans="1:12" ht="22.95" customHeight="1">
      <c r="A280" s="5">
        <v>2</v>
      </c>
      <c r="B280" s="7" t="s">
        <v>169</v>
      </c>
      <c r="C280" s="7" t="s">
        <v>292</v>
      </c>
      <c r="D280" s="5">
        <v>36</v>
      </c>
      <c r="E280" s="5">
        <v>49</v>
      </c>
      <c r="F280" s="5">
        <v>29</v>
      </c>
      <c r="G280" s="5">
        <v>26</v>
      </c>
      <c r="H280" s="6">
        <f t="shared" si="15"/>
        <v>1.5211136918401124E-5</v>
      </c>
      <c r="I280" s="6">
        <f t="shared" si="16"/>
        <v>0.80555555555555558</v>
      </c>
      <c r="J280" s="6">
        <f t="shared" si="17"/>
        <v>0.53061224489795922</v>
      </c>
      <c r="K280" s="6">
        <f t="shared" si="18"/>
        <v>1.2253415850934238E-5</v>
      </c>
      <c r="L280" s="6">
        <f t="shared" si="19"/>
        <v>8.0712155077230455E-6</v>
      </c>
    </row>
    <row r="281" spans="1:12" ht="22.95" customHeight="1">
      <c r="A281" s="5">
        <v>2</v>
      </c>
      <c r="B281" s="7" t="s">
        <v>234</v>
      </c>
      <c r="C281" s="7" t="s">
        <v>292</v>
      </c>
      <c r="D281" s="5">
        <v>261</v>
      </c>
      <c r="E281" s="5">
        <v>187</v>
      </c>
      <c r="F281" s="5">
        <v>168</v>
      </c>
      <c r="G281" s="5">
        <v>118</v>
      </c>
      <c r="H281" s="6">
        <f t="shared" si="15"/>
        <v>1.1028074265840814E-4</v>
      </c>
      <c r="I281" s="6">
        <f t="shared" si="16"/>
        <v>0.64367816091954022</v>
      </c>
      <c r="J281" s="6">
        <f t="shared" si="17"/>
        <v>0.63101604278074863</v>
      </c>
      <c r="K281" s="6">
        <f t="shared" si="18"/>
        <v>7.0985305619205235E-5</v>
      </c>
      <c r="L281" s="6">
        <f t="shared" si="19"/>
        <v>6.9588917827230801E-5</v>
      </c>
    </row>
    <row r="282" spans="1:12" ht="22.95" customHeight="1">
      <c r="A282" s="5">
        <v>2</v>
      </c>
      <c r="B282" s="7" t="s">
        <v>141</v>
      </c>
      <c r="C282" s="7" t="s">
        <v>298</v>
      </c>
      <c r="D282" s="5">
        <v>470</v>
      </c>
      <c r="E282" s="5">
        <v>491</v>
      </c>
      <c r="F282" s="5">
        <v>91</v>
      </c>
      <c r="G282" s="5">
        <v>115</v>
      </c>
      <c r="H282" s="6">
        <f t="shared" si="15"/>
        <v>1.9858984310134801E-4</v>
      </c>
      <c r="I282" s="6">
        <f t="shared" si="16"/>
        <v>0.19361702127659575</v>
      </c>
      <c r="J282" s="6">
        <f t="shared" si="17"/>
        <v>0.23421588594704684</v>
      </c>
      <c r="K282" s="6">
        <f t="shared" si="18"/>
        <v>3.8450373877069508E-5</v>
      </c>
      <c r="L282" s="6">
        <f t="shared" si="19"/>
        <v>4.651289604206725E-5</v>
      </c>
    </row>
    <row r="283" spans="1:12" ht="22.95" customHeight="1">
      <c r="A283" s="5">
        <v>2</v>
      </c>
      <c r="B283" s="7" t="s">
        <v>166</v>
      </c>
      <c r="C283" s="7" t="s">
        <v>292</v>
      </c>
      <c r="D283" s="5">
        <v>49</v>
      </c>
      <c r="E283" s="5">
        <v>18</v>
      </c>
      <c r="F283" s="5">
        <v>29</v>
      </c>
      <c r="G283" s="5">
        <v>8</v>
      </c>
      <c r="H283" s="6">
        <f t="shared" si="15"/>
        <v>2.0704047472268196E-5</v>
      </c>
      <c r="I283" s="6">
        <f t="shared" si="16"/>
        <v>0.59183673469387754</v>
      </c>
      <c r="J283" s="6">
        <f t="shared" si="17"/>
        <v>0.44444444444444442</v>
      </c>
      <c r="K283" s="6">
        <f t="shared" si="18"/>
        <v>1.2253415850934238E-5</v>
      </c>
      <c r="L283" s="6">
        <f t="shared" si="19"/>
        <v>9.2017988765636414E-6</v>
      </c>
    </row>
    <row r="284" spans="1:12" ht="22.95" customHeight="1">
      <c r="A284" s="5">
        <v>2</v>
      </c>
      <c r="B284" s="7" t="s">
        <v>104</v>
      </c>
      <c r="C284" s="7" t="s">
        <v>293</v>
      </c>
      <c r="D284" s="5">
        <v>813</v>
      </c>
      <c r="E284" s="5">
        <v>1513</v>
      </c>
      <c r="F284" s="5">
        <v>298</v>
      </c>
      <c r="G284" s="5">
        <v>790</v>
      </c>
      <c r="H284" s="6">
        <f t="shared" si="15"/>
        <v>3.4351817540722538E-4</v>
      </c>
      <c r="I284" s="6">
        <f t="shared" si="16"/>
        <v>0.36654366543665434</v>
      </c>
      <c r="J284" s="6">
        <f t="shared" si="17"/>
        <v>0.52214144084600134</v>
      </c>
      <c r="K284" s="6">
        <f t="shared" si="18"/>
        <v>1.2591441115787595E-4</v>
      </c>
      <c r="L284" s="6">
        <f t="shared" si="19"/>
        <v>1.7936507506391807E-4</v>
      </c>
    </row>
    <row r="285" spans="1:12" ht="22.95" customHeight="1">
      <c r="A285" s="5">
        <v>2</v>
      </c>
      <c r="B285" s="7" t="s">
        <v>282</v>
      </c>
      <c r="C285" s="7" t="s">
        <v>292</v>
      </c>
      <c r="D285" s="5">
        <v>2025</v>
      </c>
      <c r="E285" s="5">
        <v>1546</v>
      </c>
      <c r="F285" s="5">
        <v>1664</v>
      </c>
      <c r="G285" s="5">
        <v>608</v>
      </c>
      <c r="H285" s="6">
        <f t="shared" si="15"/>
        <v>8.5562645166006326E-4</v>
      </c>
      <c r="I285" s="6">
        <f t="shared" si="16"/>
        <v>0.82172839506172835</v>
      </c>
      <c r="J285" s="6">
        <f t="shared" si="17"/>
        <v>0.39327296248382926</v>
      </c>
      <c r="K285" s="6">
        <f t="shared" si="18"/>
        <v>7.0309255089498522E-4</v>
      </c>
      <c r="L285" s="6">
        <f t="shared" si="19"/>
        <v>3.3649474942388E-4</v>
      </c>
    </row>
    <row r="286" spans="1:12" ht="22.95" customHeight="1">
      <c r="A286" s="5">
        <v>2</v>
      </c>
      <c r="B286" s="7" t="s">
        <v>270</v>
      </c>
      <c r="C286" s="7" t="s">
        <v>303</v>
      </c>
      <c r="D286" s="5">
        <v>208</v>
      </c>
      <c r="E286" s="5">
        <v>117</v>
      </c>
      <c r="F286" s="5">
        <v>45</v>
      </c>
      <c r="G286" s="5">
        <v>25</v>
      </c>
      <c r="H286" s="6">
        <f t="shared" ref="H286:H349" si="20">D286/$B$16</f>
        <v>8.7886568861873153E-5</v>
      </c>
      <c r="I286" s="6">
        <f t="shared" ref="I286:I349" si="21">F286/D286</f>
        <v>0.21634615384615385</v>
      </c>
      <c r="J286" s="6">
        <f t="shared" ref="J286:J349" si="22">G286/E286</f>
        <v>0.21367521367521367</v>
      </c>
      <c r="K286" s="6">
        <f t="shared" ref="K286:K349" si="23">H286*I286</f>
        <v>1.9013921148001405E-5</v>
      </c>
      <c r="L286" s="6">
        <f t="shared" ref="L286:L349" si="24">H286*J286</f>
        <v>1.8779181380742126E-5</v>
      </c>
    </row>
    <row r="287" spans="1:12" ht="22.95" customHeight="1">
      <c r="A287" s="5">
        <v>2</v>
      </c>
      <c r="B287" s="7" t="s">
        <v>250</v>
      </c>
      <c r="C287" s="7" t="s">
        <v>303</v>
      </c>
      <c r="D287" s="5">
        <v>30</v>
      </c>
      <c r="E287" s="5">
        <v>30</v>
      </c>
      <c r="F287" s="5">
        <v>11</v>
      </c>
      <c r="G287" s="5">
        <v>14</v>
      </c>
      <c r="H287" s="6">
        <f t="shared" si="20"/>
        <v>1.2675947432000937E-5</v>
      </c>
      <c r="I287" s="6">
        <f t="shared" si="21"/>
        <v>0.36666666666666664</v>
      </c>
      <c r="J287" s="6">
        <f t="shared" si="22"/>
        <v>0.46666666666666667</v>
      </c>
      <c r="K287" s="6">
        <f t="shared" si="23"/>
        <v>4.6478473917336765E-6</v>
      </c>
      <c r="L287" s="6">
        <f t="shared" si="24"/>
        <v>5.9154421349337707E-6</v>
      </c>
    </row>
    <row r="288" spans="1:12" ht="22.95" customHeight="1">
      <c r="A288" s="5">
        <v>2</v>
      </c>
      <c r="B288" s="7" t="s">
        <v>182</v>
      </c>
      <c r="C288" s="7" t="s">
        <v>291</v>
      </c>
      <c r="D288" s="5">
        <v>6</v>
      </c>
      <c r="E288" s="5">
        <v>16</v>
      </c>
      <c r="F288" s="5">
        <v>2</v>
      </c>
      <c r="G288" s="5">
        <v>6</v>
      </c>
      <c r="H288" s="6">
        <f t="shared" si="20"/>
        <v>2.5351894864001871E-6</v>
      </c>
      <c r="I288" s="6">
        <f t="shared" si="21"/>
        <v>0.33333333333333331</v>
      </c>
      <c r="J288" s="6">
        <f t="shared" si="22"/>
        <v>0.375</v>
      </c>
      <c r="K288" s="6">
        <f t="shared" si="23"/>
        <v>8.4506316213339568E-7</v>
      </c>
      <c r="L288" s="6">
        <f t="shared" si="24"/>
        <v>9.5069605740007023E-7</v>
      </c>
    </row>
    <row r="289" spans="1:12" ht="22.95" customHeight="1">
      <c r="A289" s="5">
        <v>2</v>
      </c>
      <c r="B289" s="7" t="s">
        <v>245</v>
      </c>
      <c r="C289" s="7" t="s">
        <v>293</v>
      </c>
      <c r="D289" s="5">
        <v>32</v>
      </c>
      <c r="E289" s="5">
        <v>6</v>
      </c>
      <c r="F289" s="5">
        <v>20</v>
      </c>
      <c r="G289" s="5">
        <v>2</v>
      </c>
      <c r="H289" s="6">
        <f t="shared" si="20"/>
        <v>1.3521010594134333E-5</v>
      </c>
      <c r="I289" s="6">
        <f t="shared" si="21"/>
        <v>0.625</v>
      </c>
      <c r="J289" s="6">
        <f t="shared" si="22"/>
        <v>0.33333333333333331</v>
      </c>
      <c r="K289" s="6">
        <f t="shared" si="23"/>
        <v>8.4506316213339574E-6</v>
      </c>
      <c r="L289" s="6">
        <f t="shared" si="24"/>
        <v>4.5070035313781109E-6</v>
      </c>
    </row>
    <row r="290" spans="1:12" ht="22.95" customHeight="1">
      <c r="A290" s="5">
        <v>2</v>
      </c>
      <c r="B290" s="7" t="s">
        <v>108</v>
      </c>
      <c r="C290" s="7" t="s">
        <v>294</v>
      </c>
      <c r="D290" s="5">
        <v>3884</v>
      </c>
      <c r="E290" s="5">
        <v>3970</v>
      </c>
      <c r="F290" s="5">
        <v>3055</v>
      </c>
      <c r="G290" s="5">
        <v>3345</v>
      </c>
      <c r="H290" s="6">
        <f t="shared" si="20"/>
        <v>1.6411126608630545E-3</v>
      </c>
      <c r="I290" s="6">
        <f t="shared" si="21"/>
        <v>0.78656024716786821</v>
      </c>
      <c r="J290" s="6">
        <f t="shared" si="22"/>
        <v>0.84256926952141054</v>
      </c>
      <c r="K290" s="6">
        <f t="shared" si="23"/>
        <v>1.290833980158762E-3</v>
      </c>
      <c r="L290" s="6">
        <f t="shared" si="24"/>
        <v>1.3827510958657223E-3</v>
      </c>
    </row>
    <row r="291" spans="1:12" ht="22.95" customHeight="1">
      <c r="A291" s="5">
        <v>2</v>
      </c>
      <c r="B291" s="7" t="s">
        <v>276</v>
      </c>
      <c r="C291" s="7" t="s">
        <v>295</v>
      </c>
      <c r="D291" s="5">
        <v>4063</v>
      </c>
      <c r="E291" s="5">
        <v>3336</v>
      </c>
      <c r="F291" s="5">
        <v>1887</v>
      </c>
      <c r="G291" s="5">
        <v>1504</v>
      </c>
      <c r="H291" s="6">
        <f t="shared" si="20"/>
        <v>1.7167458138739936E-3</v>
      </c>
      <c r="I291" s="6">
        <f t="shared" si="21"/>
        <v>0.46443514644351463</v>
      </c>
      <c r="J291" s="6">
        <f t="shared" si="22"/>
        <v>0.45083932853717024</v>
      </c>
      <c r="K291" s="6">
        <f t="shared" si="23"/>
        <v>7.9731709347285898E-4</v>
      </c>
      <c r="L291" s="6">
        <f t="shared" si="24"/>
        <v>7.7397652999594915E-4</v>
      </c>
    </row>
    <row r="292" spans="1:12" ht="22.95" customHeight="1">
      <c r="A292" s="5">
        <v>2</v>
      </c>
      <c r="B292" s="7" t="s">
        <v>281</v>
      </c>
      <c r="C292" s="7" t="s">
        <v>305</v>
      </c>
      <c r="D292" s="5">
        <v>1660</v>
      </c>
      <c r="E292" s="5">
        <v>1041</v>
      </c>
      <c r="F292" s="5">
        <v>1655</v>
      </c>
      <c r="G292" s="5">
        <v>1038</v>
      </c>
      <c r="H292" s="6">
        <f t="shared" si="20"/>
        <v>7.0140242457071848E-4</v>
      </c>
      <c r="I292" s="6">
        <f t="shared" si="21"/>
        <v>0.99698795180722888</v>
      </c>
      <c r="J292" s="6">
        <f t="shared" si="22"/>
        <v>0.99711815561959649</v>
      </c>
      <c r="K292" s="6">
        <f t="shared" si="23"/>
        <v>6.9928976666538501E-4</v>
      </c>
      <c r="L292" s="6">
        <f t="shared" si="24"/>
        <v>6.9938109193506796E-4</v>
      </c>
    </row>
    <row r="293" spans="1:12" ht="22.95" customHeight="1">
      <c r="A293" s="5">
        <v>2</v>
      </c>
      <c r="B293" s="7" t="s">
        <v>207</v>
      </c>
      <c r="C293" s="7" t="s">
        <v>295</v>
      </c>
      <c r="D293" s="5">
        <v>145</v>
      </c>
      <c r="E293" s="5">
        <v>262</v>
      </c>
      <c r="F293" s="5">
        <v>139</v>
      </c>
      <c r="G293" s="5">
        <v>261</v>
      </c>
      <c r="H293" s="6">
        <f t="shared" si="20"/>
        <v>6.1267079254671193E-5</v>
      </c>
      <c r="I293" s="6">
        <f t="shared" si="21"/>
        <v>0.95862068965517244</v>
      </c>
      <c r="J293" s="6">
        <f t="shared" si="22"/>
        <v>0.99618320610687028</v>
      </c>
      <c r="K293" s="6">
        <f t="shared" si="23"/>
        <v>5.8731889768271008E-5</v>
      </c>
      <c r="L293" s="6">
        <f t="shared" si="24"/>
        <v>6.103323544072207E-5</v>
      </c>
    </row>
    <row r="294" spans="1:12" ht="22.95" customHeight="1">
      <c r="A294" s="5">
        <v>2</v>
      </c>
      <c r="B294" s="7" t="s">
        <v>269</v>
      </c>
      <c r="C294" s="7" t="s">
        <v>295</v>
      </c>
      <c r="D294" s="5">
        <v>167</v>
      </c>
      <c r="E294" s="5">
        <v>158</v>
      </c>
      <c r="F294" s="5">
        <v>149</v>
      </c>
      <c r="G294" s="5">
        <v>146</v>
      </c>
      <c r="H294" s="6">
        <f t="shared" si="20"/>
        <v>7.056277403813855E-5</v>
      </c>
      <c r="I294" s="6">
        <f t="shared" si="21"/>
        <v>0.89221556886227549</v>
      </c>
      <c r="J294" s="6">
        <f t="shared" si="22"/>
        <v>0.92405063291139244</v>
      </c>
      <c r="K294" s="6">
        <f t="shared" si="23"/>
        <v>6.2957205578937988E-5</v>
      </c>
      <c r="L294" s="6">
        <f t="shared" si="24"/>
        <v>6.52035760099255E-5</v>
      </c>
    </row>
    <row r="295" spans="1:12" ht="22.95" customHeight="1">
      <c r="A295" s="5">
        <v>2</v>
      </c>
      <c r="B295" s="7" t="s">
        <v>284</v>
      </c>
      <c r="C295" s="7" t="s">
        <v>295</v>
      </c>
      <c r="D295" s="5">
        <v>26945</v>
      </c>
      <c r="E295" s="5">
        <v>26949</v>
      </c>
      <c r="F295" s="5">
        <v>12972</v>
      </c>
      <c r="G295" s="5">
        <v>16898</v>
      </c>
      <c r="H295" s="6">
        <f t="shared" si="20"/>
        <v>1.1385113451842174E-2</v>
      </c>
      <c r="I295" s="6">
        <f t="shared" si="21"/>
        <v>0.48142512525514936</v>
      </c>
      <c r="J295" s="6">
        <f t="shared" si="22"/>
        <v>0.62703625366432891</v>
      </c>
      <c r="K295" s="6">
        <f t="shared" si="23"/>
        <v>5.4810796695972039E-3</v>
      </c>
      <c r="L295" s="6">
        <f t="shared" si="24"/>
        <v>7.1388788863864724E-3</v>
      </c>
    </row>
    <row r="296" spans="1:12" ht="22.95" customHeight="1">
      <c r="A296" s="5">
        <v>2</v>
      </c>
      <c r="B296" s="7" t="s">
        <v>117</v>
      </c>
      <c r="C296" s="7" t="s">
        <v>295</v>
      </c>
      <c r="D296" s="5">
        <v>3881</v>
      </c>
      <c r="E296" s="5">
        <v>4139</v>
      </c>
      <c r="F296" s="5">
        <v>1829</v>
      </c>
      <c r="G296" s="5">
        <v>2445</v>
      </c>
      <c r="H296" s="6">
        <f t="shared" si="20"/>
        <v>1.6398450661198544E-3</v>
      </c>
      <c r="I296" s="6">
        <f t="shared" si="21"/>
        <v>0.47127029116207164</v>
      </c>
      <c r="J296" s="6">
        <f t="shared" si="22"/>
        <v>0.59072239671418214</v>
      </c>
      <c r="K296" s="6">
        <f t="shared" si="23"/>
        <v>7.7281026177099038E-4</v>
      </c>
      <c r="L296" s="6">
        <f t="shared" si="24"/>
        <v>9.6869320769824691E-4</v>
      </c>
    </row>
    <row r="297" spans="1:12" ht="22.95" customHeight="1">
      <c r="A297" s="5">
        <v>2</v>
      </c>
      <c r="B297" s="7" t="s">
        <v>99</v>
      </c>
      <c r="C297" s="7" t="s">
        <v>295</v>
      </c>
      <c r="D297" s="5">
        <v>1762</v>
      </c>
      <c r="E297" s="5">
        <v>2184</v>
      </c>
      <c r="F297" s="5">
        <v>810</v>
      </c>
      <c r="G297" s="5">
        <v>1149</v>
      </c>
      <c r="H297" s="6">
        <f t="shared" si="20"/>
        <v>7.4450064583952166E-4</v>
      </c>
      <c r="I297" s="6">
        <f t="shared" si="21"/>
        <v>0.45970488081725314</v>
      </c>
      <c r="J297" s="6">
        <f t="shared" si="22"/>
        <v>0.52609890109890112</v>
      </c>
      <c r="K297" s="6">
        <f t="shared" si="23"/>
        <v>3.4225058066402527E-4</v>
      </c>
      <c r="L297" s="6">
        <f t="shared" si="24"/>
        <v>3.9168097164359451E-4</v>
      </c>
    </row>
    <row r="298" spans="1:12" ht="22.95" customHeight="1">
      <c r="A298" s="5">
        <v>2</v>
      </c>
      <c r="B298" s="7" t="s">
        <v>181</v>
      </c>
      <c r="C298" s="7" t="s">
        <v>295</v>
      </c>
      <c r="D298" s="5">
        <v>1475</v>
      </c>
      <c r="E298" s="5">
        <v>1563</v>
      </c>
      <c r="F298" s="5">
        <v>1202</v>
      </c>
      <c r="G298" s="5">
        <v>1323</v>
      </c>
      <c r="H298" s="6">
        <f t="shared" si="20"/>
        <v>6.2323408207337941E-4</v>
      </c>
      <c r="I298" s="6">
        <f t="shared" si="21"/>
        <v>0.81491525423728817</v>
      </c>
      <c r="J298" s="6">
        <f t="shared" si="22"/>
        <v>0.84644913627639151</v>
      </c>
      <c r="K298" s="6">
        <f t="shared" si="23"/>
        <v>5.0788296044217086E-4</v>
      </c>
      <c r="L298" s="6">
        <f t="shared" si="24"/>
        <v>5.2753595046902172E-4</v>
      </c>
    </row>
    <row r="299" spans="1:12" ht="22.95" customHeight="1">
      <c r="A299" s="5">
        <v>2</v>
      </c>
      <c r="B299" s="7" t="s">
        <v>139</v>
      </c>
      <c r="C299" s="7" t="s">
        <v>303</v>
      </c>
      <c r="D299" s="5">
        <v>132</v>
      </c>
      <c r="E299" s="5">
        <v>417</v>
      </c>
      <c r="F299" s="5">
        <v>85</v>
      </c>
      <c r="G299" s="5">
        <v>376</v>
      </c>
      <c r="H299" s="6">
        <f t="shared" si="20"/>
        <v>5.5774168700804118E-5</v>
      </c>
      <c r="I299" s="6">
        <f t="shared" si="21"/>
        <v>0.64393939393939392</v>
      </c>
      <c r="J299" s="6">
        <f t="shared" si="22"/>
        <v>0.90167865707434047</v>
      </c>
      <c r="K299" s="6">
        <f t="shared" si="23"/>
        <v>3.5915184390669316E-5</v>
      </c>
      <c r="L299" s="6">
        <f t="shared" si="24"/>
        <v>5.0290377533578769E-5</v>
      </c>
    </row>
    <row r="300" spans="1:12" ht="22.95" customHeight="1">
      <c r="A300" s="5">
        <v>2</v>
      </c>
      <c r="B300" s="7" t="s">
        <v>152</v>
      </c>
      <c r="C300" s="7" t="s">
        <v>290</v>
      </c>
      <c r="D300" s="5">
        <v>67</v>
      </c>
      <c r="E300" s="5">
        <v>118</v>
      </c>
      <c r="F300" s="5">
        <v>21</v>
      </c>
      <c r="G300" s="5">
        <v>43</v>
      </c>
      <c r="H300" s="6">
        <f t="shared" si="20"/>
        <v>2.8309615931468758E-5</v>
      </c>
      <c r="I300" s="6">
        <f t="shared" si="21"/>
        <v>0.31343283582089554</v>
      </c>
      <c r="J300" s="6">
        <f t="shared" si="22"/>
        <v>0.36440677966101692</v>
      </c>
      <c r="K300" s="6">
        <f t="shared" si="23"/>
        <v>8.8731632024006561E-6</v>
      </c>
      <c r="L300" s="6">
        <f t="shared" si="24"/>
        <v>1.031621597502675E-5</v>
      </c>
    </row>
    <row r="301" spans="1:12" ht="22.95" customHeight="1">
      <c r="A301" s="5">
        <v>2</v>
      </c>
      <c r="B301" s="7" t="s">
        <v>122</v>
      </c>
      <c r="C301" s="7" t="s">
        <v>292</v>
      </c>
      <c r="D301" s="5">
        <v>1267</v>
      </c>
      <c r="E301" s="5">
        <v>1370</v>
      </c>
      <c r="F301" s="5">
        <v>878</v>
      </c>
      <c r="G301" s="5">
        <v>1005</v>
      </c>
      <c r="H301" s="6">
        <f t="shared" si="20"/>
        <v>5.3534751321150621E-4</v>
      </c>
      <c r="I301" s="6">
        <f t="shared" si="21"/>
        <v>0.69297553275453827</v>
      </c>
      <c r="J301" s="6">
        <f t="shared" si="22"/>
        <v>0.73357664233576647</v>
      </c>
      <c r="K301" s="6">
        <f t="shared" si="23"/>
        <v>3.7098272817656072E-4</v>
      </c>
      <c r="L301" s="6">
        <f t="shared" si="24"/>
        <v>3.9271843122449911E-4</v>
      </c>
    </row>
    <row r="302" spans="1:12" ht="22.95" customHeight="1">
      <c r="A302" s="5">
        <v>2</v>
      </c>
      <c r="B302" s="7" t="s">
        <v>265</v>
      </c>
      <c r="C302" s="7" t="s">
        <v>291</v>
      </c>
      <c r="D302" s="5">
        <v>131</v>
      </c>
      <c r="E302" s="5">
        <v>114</v>
      </c>
      <c r="F302" s="5">
        <v>106</v>
      </c>
      <c r="G302" s="5">
        <v>102</v>
      </c>
      <c r="H302" s="6">
        <f t="shared" si="20"/>
        <v>5.5351637119737419E-5</v>
      </c>
      <c r="I302" s="6">
        <f t="shared" si="21"/>
        <v>0.80916030534351147</v>
      </c>
      <c r="J302" s="6">
        <f t="shared" si="22"/>
        <v>0.89473684210526316</v>
      </c>
      <c r="K302" s="6">
        <f t="shared" si="23"/>
        <v>4.4788347593069974E-5</v>
      </c>
      <c r="L302" s="6">
        <f t="shared" si="24"/>
        <v>4.9525149001870322E-5</v>
      </c>
    </row>
    <row r="303" spans="1:12" ht="22.95" customHeight="1">
      <c r="A303" s="5">
        <v>2</v>
      </c>
      <c r="B303" s="7" t="s">
        <v>109</v>
      </c>
      <c r="C303" s="7" t="s">
        <v>293</v>
      </c>
      <c r="D303" s="5">
        <v>510</v>
      </c>
      <c r="E303" s="5">
        <v>307</v>
      </c>
      <c r="F303" s="5">
        <v>228</v>
      </c>
      <c r="G303" s="5">
        <v>99</v>
      </c>
      <c r="H303" s="6">
        <f t="shared" si="20"/>
        <v>2.1549110634401592E-4</v>
      </c>
      <c r="I303" s="6">
        <f t="shared" si="21"/>
        <v>0.44705882352941179</v>
      </c>
      <c r="J303" s="6">
        <f t="shared" si="22"/>
        <v>0.32247557003257327</v>
      </c>
      <c r="K303" s="6">
        <f t="shared" si="23"/>
        <v>9.6337200483207126E-5</v>
      </c>
      <c r="L303" s="6">
        <f t="shared" si="24"/>
        <v>6.9490617355236404E-5</v>
      </c>
    </row>
    <row r="304" spans="1:12" ht="22.95" customHeight="1">
      <c r="A304" s="5">
        <v>2</v>
      </c>
      <c r="B304" s="7" t="s">
        <v>97</v>
      </c>
      <c r="C304" s="7" t="s">
        <v>290</v>
      </c>
      <c r="D304" s="5">
        <v>4451</v>
      </c>
      <c r="E304" s="5">
        <v>6198</v>
      </c>
      <c r="F304" s="5">
        <v>1509</v>
      </c>
      <c r="G304" s="5">
        <v>2273</v>
      </c>
      <c r="H304" s="6">
        <f t="shared" si="20"/>
        <v>1.8806880673278722E-3</v>
      </c>
      <c r="I304" s="6">
        <f t="shared" si="21"/>
        <v>0.33902493821613122</v>
      </c>
      <c r="J304" s="6">
        <f t="shared" si="22"/>
        <v>0.36673120361406908</v>
      </c>
      <c r="K304" s="6">
        <f t="shared" si="23"/>
        <v>6.3760015582964714E-4</v>
      </c>
      <c r="L304" s="6">
        <f t="shared" si="24"/>
        <v>6.8970699855376799E-4</v>
      </c>
    </row>
    <row r="305" spans="1:12" ht="22.95" customHeight="1">
      <c r="A305" s="5">
        <v>2</v>
      </c>
      <c r="B305" s="7" t="s">
        <v>91</v>
      </c>
      <c r="C305" s="7" t="s">
        <v>290</v>
      </c>
      <c r="D305" s="5">
        <v>5762</v>
      </c>
      <c r="E305" s="5">
        <v>9707</v>
      </c>
      <c r="F305" s="5">
        <v>2706</v>
      </c>
      <c r="G305" s="5">
        <v>5557</v>
      </c>
      <c r="H305" s="6">
        <f t="shared" si="20"/>
        <v>2.4346269701063131E-3</v>
      </c>
      <c r="I305" s="6">
        <f t="shared" si="21"/>
        <v>0.46962860118014577</v>
      </c>
      <c r="J305" s="6">
        <f t="shared" si="22"/>
        <v>0.57247347275162253</v>
      </c>
      <c r="K305" s="6">
        <f t="shared" si="23"/>
        <v>1.1433704583664844E-3</v>
      </c>
      <c r="L305" s="6">
        <f t="shared" si="24"/>
        <v>1.3937593564315217E-3</v>
      </c>
    </row>
    <row r="306" spans="1:12" ht="22.95" customHeight="1">
      <c r="A306" s="5">
        <v>2</v>
      </c>
      <c r="B306" s="7" t="s">
        <v>266</v>
      </c>
      <c r="C306" s="7" t="s">
        <v>295</v>
      </c>
      <c r="D306" s="5">
        <v>829</v>
      </c>
      <c r="E306" s="5">
        <v>668</v>
      </c>
      <c r="F306" s="5">
        <v>58</v>
      </c>
      <c r="G306" s="5">
        <v>45</v>
      </c>
      <c r="H306" s="6">
        <f t="shared" si="20"/>
        <v>3.5027868070429256E-4</v>
      </c>
      <c r="I306" s="6">
        <f t="shared" si="21"/>
        <v>6.9963811821471655E-2</v>
      </c>
      <c r="J306" s="6">
        <f t="shared" si="22"/>
        <v>6.7365269461077848E-2</v>
      </c>
      <c r="K306" s="6">
        <f t="shared" si="23"/>
        <v>2.450683170186848E-5</v>
      </c>
      <c r="L306" s="6">
        <f t="shared" si="24"/>
        <v>2.3596617712115517E-5</v>
      </c>
    </row>
    <row r="307" spans="1:12" ht="22.95" customHeight="1">
      <c r="A307" s="5">
        <v>2</v>
      </c>
      <c r="B307" s="7" t="s">
        <v>180</v>
      </c>
      <c r="C307" s="7" t="s">
        <v>294</v>
      </c>
      <c r="D307" s="5">
        <v>7</v>
      </c>
      <c r="E307" s="5">
        <v>13</v>
      </c>
      <c r="F307" s="5">
        <v>6</v>
      </c>
      <c r="G307" s="5">
        <v>11</v>
      </c>
      <c r="H307" s="6">
        <f t="shared" si="20"/>
        <v>2.9577210674668854E-6</v>
      </c>
      <c r="I307" s="6">
        <f t="shared" si="21"/>
        <v>0.8571428571428571</v>
      </c>
      <c r="J307" s="6">
        <f t="shared" si="22"/>
        <v>0.84615384615384615</v>
      </c>
      <c r="K307" s="6">
        <f t="shared" si="23"/>
        <v>2.5351894864001871E-6</v>
      </c>
      <c r="L307" s="6">
        <f t="shared" si="24"/>
        <v>2.5026870570873644E-6</v>
      </c>
    </row>
    <row r="308" spans="1:12" ht="22.95" customHeight="1">
      <c r="A308" s="5">
        <v>2</v>
      </c>
      <c r="B308" s="7" t="s">
        <v>134</v>
      </c>
      <c r="C308" s="7" t="s">
        <v>296</v>
      </c>
      <c r="D308" s="5">
        <v>193</v>
      </c>
      <c r="E308" s="5">
        <v>436</v>
      </c>
      <c r="F308" s="5">
        <v>0</v>
      </c>
      <c r="G308" s="5">
        <v>0</v>
      </c>
      <c r="H308" s="6">
        <f t="shared" si="20"/>
        <v>8.1548595145872687E-5</v>
      </c>
      <c r="I308" s="6">
        <f t="shared" si="21"/>
        <v>0</v>
      </c>
      <c r="J308" s="6">
        <f t="shared" si="22"/>
        <v>0</v>
      </c>
      <c r="K308" s="6">
        <f t="shared" si="23"/>
        <v>0</v>
      </c>
      <c r="L308" s="6">
        <f t="shared" si="24"/>
        <v>0</v>
      </c>
    </row>
    <row r="309" spans="1:12" ht="22.95" customHeight="1">
      <c r="A309" s="5">
        <v>2</v>
      </c>
      <c r="B309" s="7" t="s">
        <v>248</v>
      </c>
      <c r="C309" s="7" t="s">
        <v>295</v>
      </c>
      <c r="D309" s="5">
        <v>4</v>
      </c>
      <c r="E309" s="5">
        <v>5</v>
      </c>
      <c r="F309" s="5">
        <v>4</v>
      </c>
      <c r="G309" s="5">
        <v>3</v>
      </c>
      <c r="H309" s="6">
        <f t="shared" si="20"/>
        <v>1.6901263242667916E-6</v>
      </c>
      <c r="I309" s="6">
        <f t="shared" si="21"/>
        <v>1</v>
      </c>
      <c r="J309" s="6">
        <f t="shared" si="22"/>
        <v>0.6</v>
      </c>
      <c r="K309" s="6">
        <f t="shared" si="23"/>
        <v>1.6901263242667916E-6</v>
      </c>
      <c r="L309" s="6">
        <f t="shared" si="24"/>
        <v>1.0140757945600749E-6</v>
      </c>
    </row>
    <row r="310" spans="1:12" ht="22.95" customHeight="1">
      <c r="A310" s="5">
        <v>2</v>
      </c>
      <c r="B310" s="7" t="s">
        <v>195</v>
      </c>
      <c r="C310" s="7" t="s">
        <v>291</v>
      </c>
      <c r="D310" s="5">
        <v>2</v>
      </c>
      <c r="E310" s="5">
        <v>4</v>
      </c>
      <c r="F310" s="5">
        <v>0</v>
      </c>
      <c r="G310" s="5">
        <v>0</v>
      </c>
      <c r="H310" s="6">
        <f t="shared" si="20"/>
        <v>8.4506316213339578E-7</v>
      </c>
      <c r="I310" s="6">
        <f t="shared" si="21"/>
        <v>0</v>
      </c>
      <c r="J310" s="6">
        <f t="shared" si="22"/>
        <v>0</v>
      </c>
      <c r="K310" s="6">
        <f t="shared" si="23"/>
        <v>0</v>
      </c>
      <c r="L310" s="6">
        <f t="shared" si="24"/>
        <v>0</v>
      </c>
    </row>
    <row r="311" spans="1:12" ht="22.95" customHeight="1">
      <c r="A311" s="5">
        <v>2</v>
      </c>
      <c r="B311" s="7" t="s">
        <v>136</v>
      </c>
      <c r="C311" s="7" t="s">
        <v>296</v>
      </c>
      <c r="D311" s="5">
        <v>387</v>
      </c>
      <c r="E311" s="5">
        <v>395</v>
      </c>
      <c r="F311" s="5">
        <v>0</v>
      </c>
      <c r="G311" s="5">
        <v>0</v>
      </c>
      <c r="H311" s="6">
        <f t="shared" si="20"/>
        <v>1.6351972187281209E-4</v>
      </c>
      <c r="I311" s="6">
        <f t="shared" si="21"/>
        <v>0</v>
      </c>
      <c r="J311" s="6">
        <f t="shared" si="22"/>
        <v>0</v>
      </c>
      <c r="K311" s="6">
        <f t="shared" si="23"/>
        <v>0</v>
      </c>
      <c r="L311" s="6">
        <f t="shared" si="24"/>
        <v>0</v>
      </c>
    </row>
    <row r="312" spans="1:12" ht="22.95" customHeight="1">
      <c r="A312" s="5">
        <v>2</v>
      </c>
      <c r="B312" s="7" t="s">
        <v>243</v>
      </c>
      <c r="C312" s="7" t="s">
        <v>292</v>
      </c>
      <c r="D312" s="5">
        <v>5</v>
      </c>
      <c r="E312" s="5">
        <v>5</v>
      </c>
      <c r="F312" s="5">
        <v>5</v>
      </c>
      <c r="G312" s="5">
        <v>4</v>
      </c>
      <c r="H312" s="6">
        <f t="shared" si="20"/>
        <v>2.1126579053334894E-6</v>
      </c>
      <c r="I312" s="6">
        <f t="shared" si="21"/>
        <v>1</v>
      </c>
      <c r="J312" s="6">
        <f t="shared" si="22"/>
        <v>0.8</v>
      </c>
      <c r="K312" s="6">
        <f t="shared" si="23"/>
        <v>2.1126579053334894E-6</v>
      </c>
      <c r="L312" s="6">
        <f t="shared" si="24"/>
        <v>1.6901263242667916E-6</v>
      </c>
    </row>
    <row r="313" spans="1:12" ht="22.95" customHeight="1">
      <c r="A313" s="5">
        <v>2</v>
      </c>
      <c r="B313" s="7" t="s">
        <v>274</v>
      </c>
      <c r="C313" s="7" t="s">
        <v>292</v>
      </c>
      <c r="D313" s="5">
        <v>1097</v>
      </c>
      <c r="E313" s="5">
        <v>809</v>
      </c>
      <c r="F313" s="5">
        <v>785</v>
      </c>
      <c r="G313" s="5">
        <v>527</v>
      </c>
      <c r="H313" s="6">
        <f t="shared" si="20"/>
        <v>4.6351714443016757E-4</v>
      </c>
      <c r="I313" s="6">
        <f t="shared" si="21"/>
        <v>0.71558796718322704</v>
      </c>
      <c r="J313" s="6">
        <f t="shared" si="22"/>
        <v>0.65142150803461063</v>
      </c>
      <c r="K313" s="6">
        <f t="shared" si="23"/>
        <v>3.3168729113735787E-4</v>
      </c>
      <c r="L313" s="6">
        <f t="shared" si="24"/>
        <v>3.019450372245962E-4</v>
      </c>
    </row>
    <row r="314" spans="1:12" ht="22.95" customHeight="1">
      <c r="A314" s="5">
        <v>2</v>
      </c>
      <c r="B314" s="7" t="s">
        <v>279</v>
      </c>
      <c r="C314" s="7" t="s">
        <v>303</v>
      </c>
      <c r="D314" s="5">
        <v>2077</v>
      </c>
      <c r="E314" s="5">
        <v>1183</v>
      </c>
      <c r="F314" s="5">
        <v>578</v>
      </c>
      <c r="G314" s="5">
        <v>638</v>
      </c>
      <c r="H314" s="6">
        <f t="shared" si="20"/>
        <v>8.7759809387553153E-4</v>
      </c>
      <c r="I314" s="6">
        <f t="shared" si="21"/>
        <v>0.27828598940779969</v>
      </c>
      <c r="J314" s="6">
        <f t="shared" si="22"/>
        <v>0.53930684699915465</v>
      </c>
      <c r="K314" s="6">
        <f t="shared" si="23"/>
        <v>2.4422325385655135E-4</v>
      </c>
      <c r="L314" s="6">
        <f t="shared" si="24"/>
        <v>4.7329466094048103E-4</v>
      </c>
    </row>
    <row r="315" spans="1:12" ht="22.95" customHeight="1">
      <c r="A315" s="5">
        <v>2</v>
      </c>
      <c r="B315" s="7" t="s">
        <v>257</v>
      </c>
      <c r="C315" s="7" t="s">
        <v>293</v>
      </c>
      <c r="D315" s="5">
        <v>526</v>
      </c>
      <c r="E315" s="5">
        <v>415</v>
      </c>
      <c r="F315" s="5">
        <v>197</v>
      </c>
      <c r="G315" s="5">
        <v>127</v>
      </c>
      <c r="H315" s="6">
        <f t="shared" si="20"/>
        <v>2.2225161164108307E-4</v>
      </c>
      <c r="I315" s="6">
        <f t="shared" si="21"/>
        <v>0.37452471482889732</v>
      </c>
      <c r="J315" s="6">
        <f t="shared" si="22"/>
        <v>0.30602409638554218</v>
      </c>
      <c r="K315" s="6">
        <f t="shared" si="23"/>
        <v>8.3238721470139468E-5</v>
      </c>
      <c r="L315" s="6">
        <f t="shared" si="24"/>
        <v>6.8014348622692891E-5</v>
      </c>
    </row>
    <row r="316" spans="1:12" ht="22.95" customHeight="1">
      <c r="A316" s="5">
        <v>2</v>
      </c>
      <c r="B316" s="7" t="s">
        <v>121</v>
      </c>
      <c r="C316" s="7" t="s">
        <v>290</v>
      </c>
      <c r="D316" s="5">
        <v>1016</v>
      </c>
      <c r="E316" s="5">
        <v>1151</v>
      </c>
      <c r="F316" s="5">
        <v>636</v>
      </c>
      <c r="G316" s="5">
        <v>691</v>
      </c>
      <c r="H316" s="6">
        <f t="shared" si="20"/>
        <v>4.2929208636376505E-4</v>
      </c>
      <c r="I316" s="6">
        <f t="shared" si="21"/>
        <v>0.62598425196850394</v>
      </c>
      <c r="J316" s="6">
        <f t="shared" si="22"/>
        <v>0.60034752389226764</v>
      </c>
      <c r="K316" s="6">
        <f t="shared" si="23"/>
        <v>2.6873008555841984E-4</v>
      </c>
      <c r="L316" s="6">
        <f t="shared" si="24"/>
        <v>2.5772444107503189E-4</v>
      </c>
    </row>
    <row r="317" spans="1:12" ht="22.95" customHeight="1">
      <c r="A317" s="5">
        <v>2</v>
      </c>
      <c r="B317" s="7" t="s">
        <v>160</v>
      </c>
      <c r="C317" s="7" t="s">
        <v>292</v>
      </c>
      <c r="D317" s="5">
        <v>246</v>
      </c>
      <c r="E317" s="5">
        <v>321</v>
      </c>
      <c r="F317" s="5">
        <v>60</v>
      </c>
      <c r="G317" s="5">
        <v>32</v>
      </c>
      <c r="H317" s="6">
        <f t="shared" si="20"/>
        <v>1.0394276894240767E-4</v>
      </c>
      <c r="I317" s="6">
        <f t="shared" si="21"/>
        <v>0.24390243902439024</v>
      </c>
      <c r="J317" s="6">
        <f t="shared" si="22"/>
        <v>9.9688473520249218E-2</v>
      </c>
      <c r="K317" s="6">
        <f t="shared" si="23"/>
        <v>2.5351894864001871E-5</v>
      </c>
      <c r="L317" s="6">
        <f t="shared" si="24"/>
        <v>1.036189596933659E-5</v>
      </c>
    </row>
    <row r="318" spans="1:12" ht="22.95" customHeight="1">
      <c r="A318" s="5">
        <v>2</v>
      </c>
      <c r="B318" s="7" t="s">
        <v>240</v>
      </c>
      <c r="C318" s="7" t="s">
        <v>296</v>
      </c>
      <c r="D318" s="5">
        <v>3</v>
      </c>
      <c r="E318" s="5">
        <v>2</v>
      </c>
      <c r="F318" s="5">
        <v>0</v>
      </c>
      <c r="G318" s="5">
        <v>0</v>
      </c>
      <c r="H318" s="6">
        <f t="shared" si="20"/>
        <v>1.2675947432000936E-6</v>
      </c>
      <c r="I318" s="6">
        <f t="shared" si="21"/>
        <v>0</v>
      </c>
      <c r="J318" s="6">
        <f t="shared" si="22"/>
        <v>0</v>
      </c>
      <c r="K318" s="6">
        <f t="shared" si="23"/>
        <v>0</v>
      </c>
      <c r="L318" s="6">
        <f t="shared" si="24"/>
        <v>0</v>
      </c>
    </row>
    <row r="319" spans="1:12" ht="22.95" customHeight="1">
      <c r="A319" s="5">
        <v>2</v>
      </c>
      <c r="B319" s="7" t="s">
        <v>264</v>
      </c>
      <c r="C319" s="7" t="s">
        <v>302</v>
      </c>
      <c r="D319" s="5">
        <v>94</v>
      </c>
      <c r="E319" s="5">
        <v>317</v>
      </c>
      <c r="F319" s="5">
        <v>67</v>
      </c>
      <c r="G319" s="5">
        <v>233</v>
      </c>
      <c r="H319" s="6">
        <f t="shared" si="20"/>
        <v>3.9717968620269604E-5</v>
      </c>
      <c r="I319" s="6">
        <f t="shared" si="21"/>
        <v>0.71276595744680848</v>
      </c>
      <c r="J319" s="6">
        <f t="shared" si="22"/>
        <v>0.73501577287066244</v>
      </c>
      <c r="K319" s="6">
        <f t="shared" si="23"/>
        <v>2.8309615931468758E-5</v>
      </c>
      <c r="L319" s="6">
        <f t="shared" si="24"/>
        <v>2.9193333402280183E-5</v>
      </c>
    </row>
    <row r="320" spans="1:12" ht="22.95" customHeight="1">
      <c r="A320" s="5">
        <v>2</v>
      </c>
      <c r="B320" s="7" t="s">
        <v>116</v>
      </c>
      <c r="C320" s="7" t="s">
        <v>294</v>
      </c>
      <c r="D320" s="5">
        <v>1604</v>
      </c>
      <c r="E320" s="5">
        <v>1785</v>
      </c>
      <c r="F320" s="5">
        <v>501</v>
      </c>
      <c r="G320" s="5">
        <v>725</v>
      </c>
      <c r="H320" s="6">
        <f t="shared" si="20"/>
        <v>6.7774065603098336E-4</v>
      </c>
      <c r="I320" s="6">
        <f t="shared" si="21"/>
        <v>0.31234413965087282</v>
      </c>
      <c r="J320" s="6">
        <f t="shared" si="22"/>
        <v>0.4061624649859944</v>
      </c>
      <c r="K320" s="6">
        <f t="shared" si="23"/>
        <v>2.1168832211441562E-4</v>
      </c>
      <c r="L320" s="6">
        <f t="shared" si="24"/>
        <v>2.7527281547476916E-4</v>
      </c>
    </row>
    <row r="321" spans="1:12" ht="22.95" customHeight="1">
      <c r="A321" s="5">
        <v>2</v>
      </c>
      <c r="B321" s="7" t="s">
        <v>135</v>
      </c>
      <c r="C321" s="7" t="s">
        <v>291</v>
      </c>
      <c r="D321" s="5">
        <v>1412</v>
      </c>
      <c r="E321" s="5">
        <v>1366</v>
      </c>
      <c r="F321" s="5">
        <v>514</v>
      </c>
      <c r="G321" s="5">
        <v>587</v>
      </c>
      <c r="H321" s="6">
        <f t="shared" si="20"/>
        <v>5.9661459246617744E-4</v>
      </c>
      <c r="I321" s="6">
        <f t="shared" si="21"/>
        <v>0.3640226628895184</v>
      </c>
      <c r="J321" s="6">
        <f t="shared" si="22"/>
        <v>0.42972181551976574</v>
      </c>
      <c r="K321" s="6">
        <f t="shared" si="23"/>
        <v>2.1718123266828272E-4</v>
      </c>
      <c r="L321" s="6">
        <f t="shared" si="24"/>
        <v>2.5637830584015092E-4</v>
      </c>
    </row>
    <row r="322" spans="1:12" ht="22.95" customHeight="1">
      <c r="A322" s="5">
        <v>2</v>
      </c>
      <c r="B322" s="7" t="s">
        <v>120</v>
      </c>
      <c r="C322" s="7" t="s">
        <v>303</v>
      </c>
      <c r="D322" s="5">
        <v>479</v>
      </c>
      <c r="E322" s="5">
        <v>777</v>
      </c>
      <c r="F322" s="5">
        <v>292</v>
      </c>
      <c r="G322" s="5">
        <v>575</v>
      </c>
      <c r="H322" s="6">
        <f t="shared" si="20"/>
        <v>2.0239262733094828E-4</v>
      </c>
      <c r="I322" s="6">
        <f t="shared" si="21"/>
        <v>0.60960334029227559</v>
      </c>
      <c r="J322" s="6">
        <f t="shared" si="22"/>
        <v>0.74002574002574006</v>
      </c>
      <c r="K322" s="6">
        <f t="shared" si="23"/>
        <v>1.2337922167147578E-4</v>
      </c>
      <c r="L322" s="6">
        <f t="shared" si="24"/>
        <v>1.4977575381633883E-4</v>
      </c>
    </row>
    <row r="323" spans="1:12" ht="22.95" customHeight="1">
      <c r="A323" s="5">
        <v>2</v>
      </c>
      <c r="B323" s="7" t="s">
        <v>86</v>
      </c>
      <c r="C323" s="7" t="s">
        <v>292</v>
      </c>
      <c r="D323" s="5">
        <v>2817</v>
      </c>
      <c r="E323" s="5">
        <v>30943</v>
      </c>
      <c r="F323" s="5">
        <v>1037</v>
      </c>
      <c r="G323" s="5">
        <v>16262</v>
      </c>
      <c r="H323" s="6">
        <f t="shared" si="20"/>
        <v>1.1902714638648878E-3</v>
      </c>
      <c r="I323" s="6">
        <f t="shared" si="21"/>
        <v>0.36812211572594961</v>
      </c>
      <c r="J323" s="6">
        <f t="shared" si="22"/>
        <v>0.52554697346734314</v>
      </c>
      <c r="K323" s="6">
        <f t="shared" si="23"/>
        <v>4.3816524956616566E-4</v>
      </c>
      <c r="L323" s="6">
        <f t="shared" si="24"/>
        <v>6.2554356543873587E-4</v>
      </c>
    </row>
    <row r="324" spans="1:12" ht="22.95" customHeight="1">
      <c r="A324" s="5">
        <v>2</v>
      </c>
      <c r="B324" s="7" t="s">
        <v>239</v>
      </c>
      <c r="C324" s="7" t="s">
        <v>296</v>
      </c>
      <c r="D324" s="5">
        <v>2</v>
      </c>
      <c r="E324" s="5">
        <v>1</v>
      </c>
      <c r="F324" s="5">
        <v>0</v>
      </c>
      <c r="G324" s="5">
        <v>0</v>
      </c>
      <c r="H324" s="6">
        <f t="shared" si="20"/>
        <v>8.4506316213339578E-7</v>
      </c>
      <c r="I324" s="6">
        <f t="shared" si="21"/>
        <v>0</v>
      </c>
      <c r="J324" s="6">
        <f t="shared" si="22"/>
        <v>0</v>
      </c>
      <c r="K324" s="6">
        <f t="shared" si="23"/>
        <v>0</v>
      </c>
      <c r="L324" s="6">
        <f t="shared" si="24"/>
        <v>0</v>
      </c>
    </row>
    <row r="325" spans="1:12" ht="22.95" customHeight="1">
      <c r="A325" s="5">
        <v>2</v>
      </c>
      <c r="B325" s="7" t="s">
        <v>175</v>
      </c>
      <c r="C325" s="7" t="s">
        <v>296</v>
      </c>
      <c r="D325" s="5">
        <v>249</v>
      </c>
      <c r="E325" s="5">
        <v>243</v>
      </c>
      <c r="F325" s="5">
        <v>0</v>
      </c>
      <c r="G325" s="5">
        <v>0</v>
      </c>
      <c r="H325" s="6">
        <f t="shared" si="20"/>
        <v>1.0521036368560777E-4</v>
      </c>
      <c r="I325" s="6">
        <f t="shared" si="21"/>
        <v>0</v>
      </c>
      <c r="J325" s="6">
        <f t="shared" si="22"/>
        <v>0</v>
      </c>
      <c r="K325" s="6">
        <f t="shared" si="23"/>
        <v>0</v>
      </c>
      <c r="L325" s="6">
        <f t="shared" si="24"/>
        <v>0</v>
      </c>
    </row>
    <row r="326" spans="1:12" ht="22.95" customHeight="1">
      <c r="A326" s="5">
        <v>2</v>
      </c>
      <c r="B326" s="7" t="s">
        <v>85</v>
      </c>
      <c r="C326" s="7" t="s">
        <v>291</v>
      </c>
      <c r="D326" s="5">
        <v>5623</v>
      </c>
      <c r="E326" s="5">
        <v>6913</v>
      </c>
      <c r="F326" s="5">
        <v>1043</v>
      </c>
      <c r="G326" s="5">
        <v>1159</v>
      </c>
      <c r="H326" s="6">
        <f t="shared" si="20"/>
        <v>2.375895080338042E-3</v>
      </c>
      <c r="I326" s="6">
        <f t="shared" si="21"/>
        <v>0.1854881735728259</v>
      </c>
      <c r="J326" s="6">
        <f t="shared" si="22"/>
        <v>0.16765514248517285</v>
      </c>
      <c r="K326" s="6">
        <f t="shared" si="23"/>
        <v>4.4070043905256588E-4</v>
      </c>
      <c r="L326" s="6">
        <f t="shared" si="24"/>
        <v>3.9833102822389564E-4</v>
      </c>
    </row>
    <row r="327" spans="1:12" ht="22.95" customHeight="1">
      <c r="A327" s="5">
        <v>2</v>
      </c>
      <c r="B327" s="7" t="s">
        <v>110</v>
      </c>
      <c r="C327" s="7" t="s">
        <v>291</v>
      </c>
      <c r="D327" s="5">
        <v>2570</v>
      </c>
      <c r="E327" s="5">
        <v>2237</v>
      </c>
      <c r="F327" s="5">
        <v>0</v>
      </c>
      <c r="G327" s="5">
        <v>0</v>
      </c>
      <c r="H327" s="6">
        <f t="shared" si="20"/>
        <v>1.0859061633414135E-3</v>
      </c>
      <c r="I327" s="6">
        <f t="shared" si="21"/>
        <v>0</v>
      </c>
      <c r="J327" s="6">
        <f t="shared" si="22"/>
        <v>0</v>
      </c>
      <c r="K327" s="6">
        <f t="shared" si="23"/>
        <v>0</v>
      </c>
      <c r="L327" s="6">
        <f t="shared" si="24"/>
        <v>0</v>
      </c>
    </row>
    <row r="328" spans="1:12" ht="22.95" customHeight="1">
      <c r="A328" s="5">
        <v>2</v>
      </c>
      <c r="B328" s="7" t="s">
        <v>151</v>
      </c>
      <c r="C328" s="7" t="s">
        <v>291</v>
      </c>
      <c r="D328" s="5">
        <v>357</v>
      </c>
      <c r="E328" s="5">
        <v>274</v>
      </c>
      <c r="F328" s="5">
        <v>102</v>
      </c>
      <c r="G328" s="5">
        <v>74</v>
      </c>
      <c r="H328" s="6">
        <f t="shared" si="20"/>
        <v>1.5084377444081115E-4</v>
      </c>
      <c r="I328" s="6">
        <f t="shared" si="21"/>
        <v>0.2857142857142857</v>
      </c>
      <c r="J328" s="6">
        <f t="shared" si="22"/>
        <v>0.27007299270072993</v>
      </c>
      <c r="K328" s="6">
        <f t="shared" si="23"/>
        <v>4.3098221268803186E-5</v>
      </c>
      <c r="L328" s="6">
        <f t="shared" si="24"/>
        <v>4.0738829593503744E-5</v>
      </c>
    </row>
    <row r="329" spans="1:12" ht="22.95" customHeight="1">
      <c r="A329" s="5">
        <v>2</v>
      </c>
      <c r="B329" s="7" t="s">
        <v>161</v>
      </c>
      <c r="C329" s="7" t="s">
        <v>291</v>
      </c>
      <c r="D329" s="5">
        <v>414</v>
      </c>
      <c r="E329" s="5">
        <v>317</v>
      </c>
      <c r="F329" s="5">
        <v>118</v>
      </c>
      <c r="G329" s="5">
        <v>128</v>
      </c>
      <c r="H329" s="6">
        <f t="shared" si="20"/>
        <v>1.7492807456161291E-4</v>
      </c>
      <c r="I329" s="6">
        <f t="shared" si="21"/>
        <v>0.28502415458937197</v>
      </c>
      <c r="J329" s="6">
        <f t="shared" si="22"/>
        <v>0.40378548895899052</v>
      </c>
      <c r="K329" s="6">
        <f t="shared" si="23"/>
        <v>4.9858726565870344E-5</v>
      </c>
      <c r="L329" s="6">
        <f t="shared" si="24"/>
        <v>7.0633418119515627E-5</v>
      </c>
    </row>
    <row r="330" spans="1:12" ht="22.95" customHeight="1">
      <c r="A330" s="5">
        <v>2</v>
      </c>
      <c r="B330" s="7" t="s">
        <v>162</v>
      </c>
      <c r="C330" s="7" t="s">
        <v>291</v>
      </c>
      <c r="D330" s="5">
        <v>267</v>
      </c>
      <c r="E330" s="5">
        <v>199</v>
      </c>
      <c r="F330" s="5">
        <v>60</v>
      </c>
      <c r="G330" s="5">
        <v>48</v>
      </c>
      <c r="H330" s="6">
        <f t="shared" si="20"/>
        <v>1.1281593214480833E-4</v>
      </c>
      <c r="I330" s="6">
        <f t="shared" si="21"/>
        <v>0.2247191011235955</v>
      </c>
      <c r="J330" s="6">
        <f t="shared" si="22"/>
        <v>0.24120603015075376</v>
      </c>
      <c r="K330" s="6">
        <f t="shared" si="23"/>
        <v>2.5351894864001871E-5</v>
      </c>
      <c r="L330" s="6">
        <f t="shared" si="24"/>
        <v>2.7211883130406028E-5</v>
      </c>
    </row>
    <row r="331" spans="1:12" ht="22.95" customHeight="1">
      <c r="A331" s="5">
        <v>2</v>
      </c>
      <c r="B331" s="7" t="s">
        <v>130</v>
      </c>
      <c r="C331" s="7" t="s">
        <v>292</v>
      </c>
      <c r="D331" s="5">
        <v>291</v>
      </c>
      <c r="E331" s="5">
        <v>101</v>
      </c>
      <c r="F331" s="5">
        <v>165</v>
      </c>
      <c r="G331" s="5">
        <v>62</v>
      </c>
      <c r="H331" s="6">
        <f t="shared" si="20"/>
        <v>1.2295669009040907E-4</v>
      </c>
      <c r="I331" s="6">
        <f t="shared" si="21"/>
        <v>0.5670103092783505</v>
      </c>
      <c r="J331" s="6">
        <f t="shared" si="22"/>
        <v>0.61386138613861385</v>
      </c>
      <c r="K331" s="6">
        <f t="shared" si="23"/>
        <v>6.9717710876005139E-5</v>
      </c>
      <c r="L331" s="6">
        <f t="shared" si="24"/>
        <v>7.5478364213914478E-5</v>
      </c>
    </row>
    <row r="332" spans="1:12" ht="22.95" customHeight="1">
      <c r="A332" s="5">
        <v>2</v>
      </c>
      <c r="B332" s="7" t="s">
        <v>192</v>
      </c>
      <c r="C332" s="7" t="s">
        <v>303</v>
      </c>
      <c r="D332" s="5">
        <v>17</v>
      </c>
      <c r="E332" s="5">
        <v>11</v>
      </c>
      <c r="F332" s="5">
        <v>14</v>
      </c>
      <c r="G332" s="5">
        <v>9</v>
      </c>
      <c r="H332" s="6">
        <f t="shared" si="20"/>
        <v>7.1830368781338641E-6</v>
      </c>
      <c r="I332" s="6">
        <f t="shared" si="21"/>
        <v>0.82352941176470584</v>
      </c>
      <c r="J332" s="6">
        <f t="shared" si="22"/>
        <v>0.81818181818181823</v>
      </c>
      <c r="K332" s="6">
        <f t="shared" si="23"/>
        <v>5.9154421349337699E-6</v>
      </c>
      <c r="L332" s="6">
        <f t="shared" si="24"/>
        <v>5.8770301730186168E-6</v>
      </c>
    </row>
    <row r="333" spans="1:12" ht="22.95" customHeight="1">
      <c r="A333" s="5">
        <v>2</v>
      </c>
      <c r="B333" s="7" t="s">
        <v>126</v>
      </c>
      <c r="C333" s="7" t="s">
        <v>298</v>
      </c>
      <c r="D333" s="5">
        <v>529</v>
      </c>
      <c r="E333" s="5">
        <v>767</v>
      </c>
      <c r="F333" s="5">
        <v>269</v>
      </c>
      <c r="G333" s="5">
        <v>377</v>
      </c>
      <c r="H333" s="6">
        <f t="shared" si="20"/>
        <v>2.2351920638428318E-4</v>
      </c>
      <c r="I333" s="6">
        <f t="shared" si="21"/>
        <v>0.50850661625708882</v>
      </c>
      <c r="J333" s="6">
        <f t="shared" si="22"/>
        <v>0.49152542372881358</v>
      </c>
      <c r="K333" s="6">
        <f t="shared" si="23"/>
        <v>1.1366099530694173E-4</v>
      </c>
      <c r="L333" s="6">
        <f t="shared" si="24"/>
        <v>1.0986537262956293E-4</v>
      </c>
    </row>
    <row r="334" spans="1:12" ht="22.95" customHeight="1">
      <c r="A334" s="5">
        <v>2</v>
      </c>
      <c r="B334" s="7" t="s">
        <v>197</v>
      </c>
      <c r="C334" s="7" t="s">
        <v>298</v>
      </c>
      <c r="D334" s="5">
        <v>7</v>
      </c>
      <c r="E334" s="5">
        <v>9</v>
      </c>
      <c r="F334" s="5">
        <v>7</v>
      </c>
      <c r="G334" s="5">
        <v>7</v>
      </c>
      <c r="H334" s="6">
        <f t="shared" si="20"/>
        <v>2.9577210674668854E-6</v>
      </c>
      <c r="I334" s="6">
        <f t="shared" si="21"/>
        <v>1</v>
      </c>
      <c r="J334" s="6">
        <f t="shared" si="22"/>
        <v>0.77777777777777779</v>
      </c>
      <c r="K334" s="6">
        <f t="shared" si="23"/>
        <v>2.9577210674668854E-6</v>
      </c>
      <c r="L334" s="6">
        <f t="shared" si="24"/>
        <v>2.3004497191409108E-6</v>
      </c>
    </row>
    <row r="335" spans="1:12" ht="22.95" customHeight="1">
      <c r="A335" s="5">
        <v>2</v>
      </c>
      <c r="B335" s="7" t="s">
        <v>206</v>
      </c>
      <c r="C335" s="7" t="s">
        <v>298</v>
      </c>
      <c r="D335" s="5">
        <v>1</v>
      </c>
      <c r="E335" s="5">
        <v>1</v>
      </c>
      <c r="F335" s="5">
        <v>0</v>
      </c>
      <c r="G335" s="5">
        <v>0</v>
      </c>
      <c r="H335" s="6">
        <f t="shared" si="20"/>
        <v>4.2253158106669789E-7</v>
      </c>
      <c r="I335" s="6">
        <f t="shared" si="21"/>
        <v>0</v>
      </c>
      <c r="J335" s="6">
        <f t="shared" si="22"/>
        <v>0</v>
      </c>
      <c r="K335" s="6">
        <f t="shared" si="23"/>
        <v>0</v>
      </c>
      <c r="L335" s="6">
        <f t="shared" si="24"/>
        <v>0</v>
      </c>
    </row>
    <row r="336" spans="1:12" ht="22.95" customHeight="1">
      <c r="A336" s="5">
        <v>2</v>
      </c>
      <c r="B336" s="7" t="s">
        <v>189</v>
      </c>
      <c r="C336" s="7" t="s">
        <v>298</v>
      </c>
      <c r="D336" s="5">
        <v>48</v>
      </c>
      <c r="E336" s="5">
        <v>55</v>
      </c>
      <c r="F336" s="5">
        <v>23</v>
      </c>
      <c r="G336" s="5">
        <v>22</v>
      </c>
      <c r="H336" s="6">
        <f t="shared" si="20"/>
        <v>2.0281515891201497E-5</v>
      </c>
      <c r="I336" s="6">
        <f t="shared" si="21"/>
        <v>0.47916666666666669</v>
      </c>
      <c r="J336" s="6">
        <f t="shared" si="22"/>
        <v>0.4</v>
      </c>
      <c r="K336" s="6">
        <f t="shared" si="23"/>
        <v>9.7182263645340516E-6</v>
      </c>
      <c r="L336" s="6">
        <f t="shared" si="24"/>
        <v>8.1126063564805995E-6</v>
      </c>
    </row>
    <row r="337" spans="1:12" ht="22.95" customHeight="1">
      <c r="A337" s="5">
        <v>2</v>
      </c>
      <c r="B337" s="7" t="s">
        <v>194</v>
      </c>
      <c r="C337" s="7" t="s">
        <v>303</v>
      </c>
      <c r="D337" s="5">
        <v>8</v>
      </c>
      <c r="E337" s="5">
        <v>9</v>
      </c>
      <c r="F337" s="5">
        <v>6</v>
      </c>
      <c r="G337" s="5">
        <v>3</v>
      </c>
      <c r="H337" s="6">
        <f t="shared" si="20"/>
        <v>3.3802526485335831E-6</v>
      </c>
      <c r="I337" s="6">
        <f t="shared" si="21"/>
        <v>0.75</v>
      </c>
      <c r="J337" s="6">
        <f t="shared" si="22"/>
        <v>0.33333333333333331</v>
      </c>
      <c r="K337" s="6">
        <f t="shared" si="23"/>
        <v>2.5351894864001876E-6</v>
      </c>
      <c r="L337" s="6">
        <f t="shared" si="24"/>
        <v>1.1267508828445277E-6</v>
      </c>
    </row>
    <row r="338" spans="1:12" ht="22.95" customHeight="1">
      <c r="A338" s="5">
        <v>2</v>
      </c>
      <c r="B338" s="7" t="s">
        <v>275</v>
      </c>
      <c r="C338" s="7" t="s">
        <v>295</v>
      </c>
      <c r="D338" s="5">
        <v>892</v>
      </c>
      <c r="E338" s="5">
        <v>453</v>
      </c>
      <c r="F338" s="5">
        <v>753</v>
      </c>
      <c r="G338" s="5">
        <v>208</v>
      </c>
      <c r="H338" s="6">
        <f t="shared" si="20"/>
        <v>3.7689817031149453E-4</v>
      </c>
      <c r="I338" s="6">
        <f t="shared" si="21"/>
        <v>0.844170403587444</v>
      </c>
      <c r="J338" s="6">
        <f t="shared" si="22"/>
        <v>0.45916114790286977</v>
      </c>
      <c r="K338" s="6">
        <f t="shared" si="23"/>
        <v>3.1816628054322352E-4</v>
      </c>
      <c r="L338" s="6">
        <f t="shared" si="24"/>
        <v>1.7305699652271715E-4</v>
      </c>
    </row>
    <row r="339" spans="1:12" ht="22.95" customHeight="1">
      <c r="A339" s="5">
        <v>2</v>
      </c>
      <c r="B339" s="7" t="s">
        <v>94</v>
      </c>
      <c r="C339" s="7" t="s">
        <v>291</v>
      </c>
      <c r="D339" s="5">
        <v>5656</v>
      </c>
      <c r="E339" s="5">
        <v>10712</v>
      </c>
      <c r="F339" s="5">
        <v>0</v>
      </c>
      <c r="G339" s="5">
        <v>0</v>
      </c>
      <c r="H339" s="6">
        <f t="shared" si="20"/>
        <v>2.3898386225132432E-3</v>
      </c>
      <c r="I339" s="6">
        <f t="shared" si="21"/>
        <v>0</v>
      </c>
      <c r="J339" s="6">
        <f t="shared" si="22"/>
        <v>0</v>
      </c>
      <c r="K339" s="6">
        <f t="shared" si="23"/>
        <v>0</v>
      </c>
      <c r="L339" s="6">
        <f t="shared" si="24"/>
        <v>0</v>
      </c>
    </row>
    <row r="340" spans="1:12" ht="22.95" customHeight="1">
      <c r="A340" s="5">
        <v>2</v>
      </c>
      <c r="B340" s="7" t="s">
        <v>90</v>
      </c>
      <c r="C340" s="7" t="s">
        <v>290</v>
      </c>
      <c r="D340" s="5">
        <v>7581</v>
      </c>
      <c r="E340" s="5">
        <v>9662</v>
      </c>
      <c r="F340" s="5">
        <v>3308</v>
      </c>
      <c r="G340" s="5">
        <v>4613</v>
      </c>
      <c r="H340" s="6">
        <f t="shared" si="20"/>
        <v>3.2032119160666367E-3</v>
      </c>
      <c r="I340" s="6">
        <f t="shared" si="21"/>
        <v>0.43635404300224245</v>
      </c>
      <c r="J340" s="6">
        <f t="shared" si="22"/>
        <v>0.4774373835644794</v>
      </c>
      <c r="K340" s="6">
        <f t="shared" si="23"/>
        <v>1.3977344701686365E-3</v>
      </c>
      <c r="L340" s="6">
        <f t="shared" si="24"/>
        <v>1.5293331162094179E-3</v>
      </c>
    </row>
    <row r="341" spans="1:12" ht="22.95" customHeight="1">
      <c r="A341" s="5">
        <v>2</v>
      </c>
      <c r="B341" s="7" t="s">
        <v>163</v>
      </c>
      <c r="C341" s="7" t="s">
        <v>303</v>
      </c>
      <c r="D341" s="5">
        <v>120</v>
      </c>
      <c r="E341" s="5">
        <v>103</v>
      </c>
      <c r="F341" s="5">
        <v>70</v>
      </c>
      <c r="G341" s="5">
        <v>59</v>
      </c>
      <c r="H341" s="6">
        <f t="shared" si="20"/>
        <v>5.0703789728003748E-5</v>
      </c>
      <c r="I341" s="6">
        <f t="shared" si="21"/>
        <v>0.58333333333333337</v>
      </c>
      <c r="J341" s="6">
        <f t="shared" si="22"/>
        <v>0.57281553398058249</v>
      </c>
      <c r="K341" s="6">
        <f t="shared" si="23"/>
        <v>2.9577210674668854E-5</v>
      </c>
      <c r="L341" s="6">
        <f t="shared" si="24"/>
        <v>2.904391838788564E-5</v>
      </c>
    </row>
    <row r="342" spans="1:12" ht="22.95" customHeight="1">
      <c r="A342" s="5">
        <v>2</v>
      </c>
      <c r="B342" s="7" t="s">
        <v>214</v>
      </c>
      <c r="C342" s="7" t="s">
        <v>303</v>
      </c>
      <c r="D342" s="5">
        <v>4</v>
      </c>
      <c r="E342" s="5">
        <v>6</v>
      </c>
      <c r="F342" s="5">
        <v>2</v>
      </c>
      <c r="G342" s="5">
        <v>4</v>
      </c>
      <c r="H342" s="6">
        <f t="shared" si="20"/>
        <v>1.6901263242667916E-6</v>
      </c>
      <c r="I342" s="6">
        <f t="shared" si="21"/>
        <v>0.5</v>
      </c>
      <c r="J342" s="6">
        <f t="shared" si="22"/>
        <v>0.66666666666666663</v>
      </c>
      <c r="K342" s="6">
        <f t="shared" si="23"/>
        <v>8.4506316213339578E-7</v>
      </c>
      <c r="L342" s="6">
        <f t="shared" si="24"/>
        <v>1.1267508828445277E-6</v>
      </c>
    </row>
    <row r="343" spans="1:12" ht="22.95" customHeight="1">
      <c r="A343" s="5">
        <v>2</v>
      </c>
      <c r="B343" s="7" t="s">
        <v>138</v>
      </c>
      <c r="C343" s="7" t="s">
        <v>303</v>
      </c>
      <c r="D343" s="5">
        <v>176</v>
      </c>
      <c r="E343" s="5">
        <v>273</v>
      </c>
      <c r="F343" s="5">
        <v>96</v>
      </c>
      <c r="G343" s="5">
        <v>161</v>
      </c>
      <c r="H343" s="6">
        <f t="shared" si="20"/>
        <v>7.4365558267738824E-5</v>
      </c>
      <c r="I343" s="6">
        <f t="shared" si="21"/>
        <v>0.54545454545454541</v>
      </c>
      <c r="J343" s="6">
        <f t="shared" si="22"/>
        <v>0.58974358974358976</v>
      </c>
      <c r="K343" s="6">
        <f t="shared" si="23"/>
        <v>4.0563031782402994E-5</v>
      </c>
      <c r="L343" s="6">
        <f t="shared" si="24"/>
        <v>4.3856611286102386E-5</v>
      </c>
    </row>
    <row r="344" spans="1:12" ht="22.95" customHeight="1">
      <c r="A344" s="5">
        <v>2</v>
      </c>
      <c r="B344" s="7" t="s">
        <v>168</v>
      </c>
      <c r="C344" s="7" t="s">
        <v>303</v>
      </c>
      <c r="D344" s="5">
        <v>136</v>
      </c>
      <c r="E344" s="5">
        <v>110</v>
      </c>
      <c r="F344" s="5">
        <v>100</v>
      </c>
      <c r="G344" s="5">
        <v>77</v>
      </c>
      <c r="H344" s="6">
        <f t="shared" si="20"/>
        <v>5.7464295025070913E-5</v>
      </c>
      <c r="I344" s="6">
        <f t="shared" si="21"/>
        <v>0.73529411764705888</v>
      </c>
      <c r="J344" s="6">
        <f t="shared" si="22"/>
        <v>0.7</v>
      </c>
      <c r="K344" s="6">
        <f t="shared" si="23"/>
        <v>4.2253158106669789E-5</v>
      </c>
      <c r="L344" s="6">
        <f t="shared" si="24"/>
        <v>4.0225006517549638E-5</v>
      </c>
    </row>
    <row r="345" spans="1:12" ht="22.95" customHeight="1">
      <c r="A345" s="5">
        <v>2</v>
      </c>
      <c r="B345" s="7" t="s">
        <v>165</v>
      </c>
      <c r="C345" s="7" t="s">
        <v>293</v>
      </c>
      <c r="D345" s="5">
        <v>13</v>
      </c>
      <c r="E345" s="5">
        <v>12</v>
      </c>
      <c r="F345" s="5">
        <v>10</v>
      </c>
      <c r="G345" s="5">
        <v>7</v>
      </c>
      <c r="H345" s="6">
        <f t="shared" si="20"/>
        <v>5.4929105538670721E-6</v>
      </c>
      <c r="I345" s="6">
        <f t="shared" si="21"/>
        <v>0.76923076923076927</v>
      </c>
      <c r="J345" s="6">
        <f t="shared" si="22"/>
        <v>0.58333333333333337</v>
      </c>
      <c r="K345" s="6">
        <f t="shared" si="23"/>
        <v>4.2253158106669787E-6</v>
      </c>
      <c r="L345" s="6">
        <f t="shared" si="24"/>
        <v>3.2041978230891257E-6</v>
      </c>
    </row>
    <row r="346" spans="1:12" ht="22.95" customHeight="1">
      <c r="A346" s="5">
        <v>2</v>
      </c>
      <c r="B346" s="7" t="s">
        <v>149</v>
      </c>
      <c r="C346" s="7" t="s">
        <v>295</v>
      </c>
      <c r="D346" s="5">
        <v>45</v>
      </c>
      <c r="E346" s="5">
        <v>63</v>
      </c>
      <c r="F346" s="5">
        <v>39</v>
      </c>
      <c r="G346" s="5">
        <v>43</v>
      </c>
      <c r="H346" s="6">
        <f t="shared" si="20"/>
        <v>1.9013921148001405E-5</v>
      </c>
      <c r="I346" s="6">
        <f t="shared" si="21"/>
        <v>0.8666666666666667</v>
      </c>
      <c r="J346" s="6">
        <f t="shared" si="22"/>
        <v>0.68253968253968256</v>
      </c>
      <c r="K346" s="6">
        <f t="shared" si="23"/>
        <v>1.6478731661601216E-5</v>
      </c>
      <c r="L346" s="6">
        <f t="shared" si="24"/>
        <v>1.2977755704191435E-5</v>
      </c>
    </row>
    <row r="347" spans="1:12" ht="22.95" customHeight="1">
      <c r="A347" s="5">
        <v>2</v>
      </c>
      <c r="B347" s="7" t="s">
        <v>278</v>
      </c>
      <c r="C347" s="7" t="s">
        <v>292</v>
      </c>
      <c r="D347" s="5">
        <v>1380</v>
      </c>
      <c r="E347" s="5">
        <v>979</v>
      </c>
      <c r="F347" s="5">
        <v>1111</v>
      </c>
      <c r="G347" s="5">
        <v>805</v>
      </c>
      <c r="H347" s="6">
        <f t="shared" si="20"/>
        <v>5.8309358187204308E-4</v>
      </c>
      <c r="I347" s="6">
        <f t="shared" si="21"/>
        <v>0.80507246376811592</v>
      </c>
      <c r="J347" s="6">
        <f t="shared" si="22"/>
        <v>0.82226762002042897</v>
      </c>
      <c r="K347" s="6">
        <f t="shared" si="23"/>
        <v>4.6943258656510133E-4</v>
      </c>
      <c r="L347" s="6">
        <f t="shared" si="24"/>
        <v>4.7945897181511199E-4</v>
      </c>
    </row>
    <row r="348" spans="1:12" ht="22.95" customHeight="1">
      <c r="A348" s="5">
        <v>2</v>
      </c>
      <c r="B348" s="7" t="s">
        <v>127</v>
      </c>
      <c r="C348" s="7" t="s">
        <v>293</v>
      </c>
      <c r="D348" s="5">
        <v>72</v>
      </c>
      <c r="E348" s="5">
        <v>42</v>
      </c>
      <c r="F348" s="5">
        <v>30</v>
      </c>
      <c r="G348" s="5">
        <v>20</v>
      </c>
      <c r="H348" s="6">
        <f t="shared" si="20"/>
        <v>3.0422273836802247E-5</v>
      </c>
      <c r="I348" s="6">
        <f t="shared" si="21"/>
        <v>0.41666666666666669</v>
      </c>
      <c r="J348" s="6">
        <f t="shared" si="22"/>
        <v>0.47619047619047616</v>
      </c>
      <c r="K348" s="6">
        <f t="shared" si="23"/>
        <v>1.2675947432000937E-5</v>
      </c>
      <c r="L348" s="6">
        <f t="shared" si="24"/>
        <v>1.4486797065143927E-5</v>
      </c>
    </row>
    <row r="349" spans="1:12" ht="22.95" customHeight="1">
      <c r="A349" s="5">
        <v>2</v>
      </c>
      <c r="B349" s="7" t="s">
        <v>96</v>
      </c>
      <c r="C349" s="7" t="s">
        <v>290</v>
      </c>
      <c r="D349" s="5">
        <v>2946</v>
      </c>
      <c r="E349" s="5">
        <v>5084</v>
      </c>
      <c r="F349" s="5">
        <v>1198</v>
      </c>
      <c r="G349" s="5">
        <v>2310</v>
      </c>
      <c r="H349" s="6">
        <f t="shared" si="20"/>
        <v>1.2447780378224919E-3</v>
      </c>
      <c r="I349" s="6">
        <f t="shared" si="21"/>
        <v>0.40665308893414798</v>
      </c>
      <c r="J349" s="6">
        <f t="shared" si="22"/>
        <v>0.45436664044059794</v>
      </c>
      <c r="K349" s="6">
        <f t="shared" si="23"/>
        <v>5.0619283411790401E-4</v>
      </c>
      <c r="L349" s="6">
        <f t="shared" si="24"/>
        <v>5.6558561513964513E-4</v>
      </c>
    </row>
    <row r="350" spans="1:12" ht="22.95" customHeight="1">
      <c r="A350" s="5">
        <v>2</v>
      </c>
      <c r="B350" s="7" t="s">
        <v>115</v>
      </c>
      <c r="C350" s="7" t="s">
        <v>294</v>
      </c>
      <c r="D350" s="5">
        <v>229</v>
      </c>
      <c r="E350" s="5">
        <v>1764</v>
      </c>
      <c r="F350" s="5">
        <v>73</v>
      </c>
      <c r="G350" s="5">
        <v>532</v>
      </c>
      <c r="H350" s="6">
        <f t="shared" ref="H350:H413" si="25">D350/$B$16</f>
        <v>9.6759732064273811E-5</v>
      </c>
      <c r="I350" s="6">
        <f t="shared" ref="I350:I413" si="26">F350/D350</f>
        <v>0.31877729257641924</v>
      </c>
      <c r="J350" s="6">
        <f t="shared" ref="J350:J413" si="27">G350/E350</f>
        <v>0.30158730158730157</v>
      </c>
      <c r="K350" s="6">
        <f t="shared" ref="K350:K413" si="28">H350*I350</f>
        <v>3.0844805417868946E-5</v>
      </c>
      <c r="L350" s="6">
        <f t="shared" ref="L350:L413" si="29">H350*J350</f>
        <v>2.9181506495574639E-5</v>
      </c>
    </row>
    <row r="351" spans="1:12" ht="22.95" customHeight="1">
      <c r="A351" s="5">
        <v>2</v>
      </c>
      <c r="B351" s="7" t="s">
        <v>93</v>
      </c>
      <c r="C351" s="7" t="s">
        <v>294</v>
      </c>
      <c r="D351" s="5">
        <v>2</v>
      </c>
      <c r="E351" s="5">
        <v>18</v>
      </c>
      <c r="F351" s="5">
        <v>1</v>
      </c>
      <c r="G351" s="5">
        <v>9</v>
      </c>
      <c r="H351" s="6">
        <f t="shared" si="25"/>
        <v>8.4506316213339578E-7</v>
      </c>
      <c r="I351" s="6">
        <f t="shared" si="26"/>
        <v>0.5</v>
      </c>
      <c r="J351" s="6">
        <f t="shared" si="27"/>
        <v>0.5</v>
      </c>
      <c r="K351" s="6">
        <f t="shared" si="28"/>
        <v>4.2253158106669789E-7</v>
      </c>
      <c r="L351" s="6">
        <f t="shared" si="29"/>
        <v>4.2253158106669789E-7</v>
      </c>
    </row>
    <row r="352" spans="1:12" ht="22.95" customHeight="1">
      <c r="A352" s="5">
        <v>2</v>
      </c>
      <c r="B352" s="7" t="s">
        <v>256</v>
      </c>
      <c r="C352" s="7" t="s">
        <v>294</v>
      </c>
      <c r="D352" s="5">
        <v>99</v>
      </c>
      <c r="E352" s="5">
        <v>85</v>
      </c>
      <c r="F352" s="5">
        <v>42</v>
      </c>
      <c r="G352" s="5">
        <v>37</v>
      </c>
      <c r="H352" s="6">
        <f t="shared" si="25"/>
        <v>4.183062652560309E-5</v>
      </c>
      <c r="I352" s="6">
        <f t="shared" si="26"/>
        <v>0.42424242424242425</v>
      </c>
      <c r="J352" s="6">
        <f t="shared" si="27"/>
        <v>0.43529411764705883</v>
      </c>
      <c r="K352" s="6">
        <f t="shared" si="28"/>
        <v>1.7746326404801312E-5</v>
      </c>
      <c r="L352" s="6">
        <f t="shared" si="29"/>
        <v>1.820862566408605E-5</v>
      </c>
    </row>
    <row r="353" spans="1:12" ht="22.95" customHeight="1">
      <c r="A353" s="5">
        <v>2</v>
      </c>
      <c r="B353" s="7" t="s">
        <v>277</v>
      </c>
      <c r="C353" s="7" t="s">
        <v>294</v>
      </c>
      <c r="D353" s="5">
        <v>5245</v>
      </c>
      <c r="E353" s="5">
        <v>7998</v>
      </c>
      <c r="F353" s="5">
        <v>1748</v>
      </c>
      <c r="G353" s="5">
        <v>2485</v>
      </c>
      <c r="H353" s="6">
        <f t="shared" si="25"/>
        <v>2.2161781426948304E-3</v>
      </c>
      <c r="I353" s="6">
        <f t="shared" si="26"/>
        <v>0.33326978074356528</v>
      </c>
      <c r="J353" s="6">
        <f t="shared" si="27"/>
        <v>0.31070267566891724</v>
      </c>
      <c r="K353" s="6">
        <f t="shared" si="28"/>
        <v>7.3858520370458786E-4</v>
      </c>
      <c r="L353" s="6">
        <f t="shared" si="29"/>
        <v>6.8857247869425528E-4</v>
      </c>
    </row>
    <row r="354" spans="1:12" ht="22.95" customHeight="1">
      <c r="A354" s="5">
        <v>2</v>
      </c>
      <c r="B354" s="7" t="s">
        <v>201</v>
      </c>
      <c r="C354" s="7" t="s">
        <v>303</v>
      </c>
      <c r="D354" s="5">
        <v>1</v>
      </c>
      <c r="E354" s="5">
        <v>1</v>
      </c>
      <c r="F354" s="5">
        <v>1</v>
      </c>
      <c r="G354" s="5">
        <v>1</v>
      </c>
      <c r="H354" s="6">
        <f t="shared" si="25"/>
        <v>4.2253158106669789E-7</v>
      </c>
      <c r="I354" s="6">
        <f t="shared" si="26"/>
        <v>1</v>
      </c>
      <c r="J354" s="6">
        <f t="shared" si="27"/>
        <v>1</v>
      </c>
      <c r="K354" s="6">
        <f t="shared" si="28"/>
        <v>4.2253158106669789E-7</v>
      </c>
      <c r="L354" s="6">
        <f t="shared" si="29"/>
        <v>4.2253158106669789E-7</v>
      </c>
    </row>
    <row r="355" spans="1:12" ht="22.95" customHeight="1">
      <c r="A355" s="5">
        <v>2</v>
      </c>
      <c r="B355" s="7" t="s">
        <v>128</v>
      </c>
      <c r="C355" s="7" t="s">
        <v>293</v>
      </c>
      <c r="D355" s="5">
        <v>37</v>
      </c>
      <c r="E355" s="5">
        <v>138</v>
      </c>
      <c r="F355" s="5">
        <v>13</v>
      </c>
      <c r="G355" s="5">
        <v>96</v>
      </c>
      <c r="H355" s="6">
        <f t="shared" si="25"/>
        <v>1.5633668499467822E-5</v>
      </c>
      <c r="I355" s="6">
        <f t="shared" si="26"/>
        <v>0.35135135135135137</v>
      </c>
      <c r="J355" s="6">
        <f t="shared" si="27"/>
        <v>0.69565217391304346</v>
      </c>
      <c r="K355" s="6">
        <f t="shared" si="28"/>
        <v>5.4929105538670729E-6</v>
      </c>
      <c r="L355" s="6">
        <f t="shared" si="29"/>
        <v>1.0875595477890659E-5</v>
      </c>
    </row>
    <row r="356" spans="1:12" ht="22.95" customHeight="1">
      <c r="A356" s="5">
        <v>3</v>
      </c>
      <c r="B356" s="7" t="s">
        <v>172</v>
      </c>
      <c r="C356" s="7" t="s">
        <v>296</v>
      </c>
      <c r="D356" s="5">
        <v>3</v>
      </c>
      <c r="E356" s="5">
        <v>7</v>
      </c>
      <c r="F356" s="5">
        <v>0</v>
      </c>
      <c r="G356" s="5">
        <v>0</v>
      </c>
      <c r="H356" s="6">
        <f t="shared" si="25"/>
        <v>1.2675947432000936E-6</v>
      </c>
      <c r="I356" s="6">
        <f t="shared" si="26"/>
        <v>0</v>
      </c>
      <c r="J356" s="6">
        <f t="shared" si="27"/>
        <v>0</v>
      </c>
      <c r="K356" s="6">
        <f t="shared" si="28"/>
        <v>0</v>
      </c>
      <c r="L356" s="6">
        <f t="shared" si="29"/>
        <v>0</v>
      </c>
    </row>
    <row r="357" spans="1:12" ht="22.95" customHeight="1">
      <c r="A357" s="5">
        <v>3</v>
      </c>
      <c r="B357" s="7" t="s">
        <v>112</v>
      </c>
      <c r="C357" s="7" t="s">
        <v>290</v>
      </c>
      <c r="D357" s="5">
        <v>1543</v>
      </c>
      <c r="E357" s="5">
        <v>2059</v>
      </c>
      <c r="F357" s="5">
        <v>499</v>
      </c>
      <c r="G357" s="5">
        <v>767</v>
      </c>
      <c r="H357" s="6">
        <f t="shared" si="25"/>
        <v>6.5196622958591487E-4</v>
      </c>
      <c r="I357" s="6">
        <f t="shared" si="26"/>
        <v>0.32339598185353208</v>
      </c>
      <c r="J357" s="6">
        <f t="shared" si="27"/>
        <v>0.37251092763477417</v>
      </c>
      <c r="K357" s="6">
        <f t="shared" si="28"/>
        <v>2.1084325895228225E-4</v>
      </c>
      <c r="L357" s="6">
        <f t="shared" si="29"/>
        <v>2.428645449695953E-4</v>
      </c>
    </row>
    <row r="358" spans="1:12" ht="22.95" customHeight="1">
      <c r="A358" s="5">
        <v>3</v>
      </c>
      <c r="B358" s="7" t="s">
        <v>179</v>
      </c>
      <c r="C358" s="7" t="s">
        <v>292</v>
      </c>
      <c r="D358" s="5">
        <v>201</v>
      </c>
      <c r="E358" s="5">
        <v>221</v>
      </c>
      <c r="F358" s="5">
        <v>150</v>
      </c>
      <c r="G358" s="5">
        <v>155</v>
      </c>
      <c r="H358" s="6">
        <f t="shared" si="25"/>
        <v>8.4928847794406276E-5</v>
      </c>
      <c r="I358" s="6">
        <f t="shared" si="26"/>
        <v>0.74626865671641796</v>
      </c>
      <c r="J358" s="6">
        <f t="shared" si="27"/>
        <v>0.70135746606334837</v>
      </c>
      <c r="K358" s="6">
        <f t="shared" si="28"/>
        <v>6.3379737160004687E-5</v>
      </c>
      <c r="L358" s="6">
        <f t="shared" si="29"/>
        <v>5.9565481484764578E-5</v>
      </c>
    </row>
    <row r="359" spans="1:12" ht="22.95" customHeight="1">
      <c r="A359" s="5">
        <v>3</v>
      </c>
      <c r="B359" s="7" t="s">
        <v>113</v>
      </c>
      <c r="C359" s="7" t="s">
        <v>295</v>
      </c>
      <c r="D359" s="5">
        <v>6108</v>
      </c>
      <c r="E359" s="5">
        <v>7660</v>
      </c>
      <c r="F359" s="5">
        <v>2505</v>
      </c>
      <c r="G359" s="5">
        <v>4310</v>
      </c>
      <c r="H359" s="6">
        <f t="shared" si="25"/>
        <v>2.5808228971553908E-3</v>
      </c>
      <c r="I359" s="6">
        <f t="shared" si="26"/>
        <v>0.41011787819253437</v>
      </c>
      <c r="J359" s="6">
        <f t="shared" si="27"/>
        <v>0.56266318537859006</v>
      </c>
      <c r="K359" s="6">
        <f t="shared" si="28"/>
        <v>1.0584416105720782E-3</v>
      </c>
      <c r="L359" s="6">
        <f t="shared" si="29"/>
        <v>1.4521340322114534E-3</v>
      </c>
    </row>
    <row r="360" spans="1:12" ht="22.95" customHeight="1">
      <c r="A360" s="5">
        <v>3</v>
      </c>
      <c r="B360" s="7" t="s">
        <v>262</v>
      </c>
      <c r="C360" s="7" t="s">
        <v>294</v>
      </c>
      <c r="D360" s="5">
        <v>963</v>
      </c>
      <c r="E360" s="5">
        <v>711</v>
      </c>
      <c r="F360" s="5">
        <v>761</v>
      </c>
      <c r="G360" s="5">
        <v>517</v>
      </c>
      <c r="H360" s="6">
        <f t="shared" si="25"/>
        <v>4.0689791256723004E-4</v>
      </c>
      <c r="I360" s="6">
        <f t="shared" si="26"/>
        <v>0.79023883696780894</v>
      </c>
      <c r="J360" s="6">
        <f t="shared" si="27"/>
        <v>0.72714486638537268</v>
      </c>
      <c r="K360" s="6">
        <f t="shared" si="28"/>
        <v>3.2154653319175705E-4</v>
      </c>
      <c r="L360" s="6">
        <f t="shared" si="29"/>
        <v>2.9587372826618552E-4</v>
      </c>
    </row>
    <row r="361" spans="1:12" ht="22.95" customHeight="1">
      <c r="A361" s="5">
        <v>3</v>
      </c>
      <c r="B361" s="7" t="s">
        <v>237</v>
      </c>
      <c r="C361" s="7" t="s">
        <v>303</v>
      </c>
      <c r="D361" s="5">
        <v>11</v>
      </c>
      <c r="E361" s="5">
        <v>14</v>
      </c>
      <c r="F361" s="5">
        <v>6</v>
      </c>
      <c r="G361" s="5">
        <v>12</v>
      </c>
      <c r="H361" s="6">
        <f t="shared" si="25"/>
        <v>4.6478473917336765E-6</v>
      </c>
      <c r="I361" s="6">
        <f t="shared" si="26"/>
        <v>0.54545454545454541</v>
      </c>
      <c r="J361" s="6">
        <f t="shared" si="27"/>
        <v>0.8571428571428571</v>
      </c>
      <c r="K361" s="6">
        <f t="shared" si="28"/>
        <v>2.5351894864001871E-6</v>
      </c>
      <c r="L361" s="6">
        <f t="shared" si="29"/>
        <v>3.9838691929145797E-6</v>
      </c>
    </row>
    <row r="362" spans="1:12" ht="22.95" customHeight="1">
      <c r="A362" s="5">
        <v>3</v>
      </c>
      <c r="B362" s="7" t="s">
        <v>148</v>
      </c>
      <c r="C362" s="7" t="s">
        <v>293</v>
      </c>
      <c r="D362" s="5">
        <v>706</v>
      </c>
      <c r="E362" s="5">
        <v>690</v>
      </c>
      <c r="F362" s="5">
        <v>472</v>
      </c>
      <c r="G362" s="5">
        <v>356</v>
      </c>
      <c r="H362" s="6">
        <f t="shared" si="25"/>
        <v>2.9830729623308872E-4</v>
      </c>
      <c r="I362" s="6">
        <f t="shared" si="26"/>
        <v>0.66855524079320117</v>
      </c>
      <c r="J362" s="6">
        <f t="shared" si="27"/>
        <v>0.51594202898550723</v>
      </c>
      <c r="K362" s="6">
        <f t="shared" si="28"/>
        <v>1.9943490626348143E-4</v>
      </c>
      <c r="L362" s="6">
        <f t="shared" si="29"/>
        <v>1.5390927167968055E-4</v>
      </c>
    </row>
    <row r="363" spans="1:12" ht="22.95" customHeight="1">
      <c r="A363" s="5">
        <v>3</v>
      </c>
      <c r="B363" s="7" t="s">
        <v>132</v>
      </c>
      <c r="C363" s="7" t="s">
        <v>295</v>
      </c>
      <c r="D363" s="5">
        <v>742</v>
      </c>
      <c r="E363" s="5">
        <v>867</v>
      </c>
      <c r="F363" s="5">
        <v>507</v>
      </c>
      <c r="G363" s="5">
        <v>598</v>
      </c>
      <c r="H363" s="6">
        <f t="shared" si="25"/>
        <v>3.1351843315148982E-4</v>
      </c>
      <c r="I363" s="6">
        <f t="shared" si="26"/>
        <v>0.68328840970350402</v>
      </c>
      <c r="J363" s="6">
        <f t="shared" si="27"/>
        <v>0.68973471741637826</v>
      </c>
      <c r="K363" s="6">
        <f t="shared" si="28"/>
        <v>2.1422351160081581E-4</v>
      </c>
      <c r="L363" s="6">
        <f t="shared" si="29"/>
        <v>2.1624454789456851E-4</v>
      </c>
    </row>
    <row r="364" spans="1:12" ht="22.95" customHeight="1">
      <c r="A364" s="5">
        <v>3</v>
      </c>
      <c r="B364" s="7" t="s">
        <v>164</v>
      </c>
      <c r="C364" s="7" t="s">
        <v>294</v>
      </c>
      <c r="D364" s="5">
        <v>65</v>
      </c>
      <c r="E364" s="5">
        <v>111</v>
      </c>
      <c r="F364" s="5">
        <v>37</v>
      </c>
      <c r="G364" s="5">
        <v>42</v>
      </c>
      <c r="H364" s="6">
        <f t="shared" si="25"/>
        <v>2.7464552769335364E-5</v>
      </c>
      <c r="I364" s="6">
        <f t="shared" si="26"/>
        <v>0.56923076923076921</v>
      </c>
      <c r="J364" s="6">
        <f t="shared" si="27"/>
        <v>0.3783783783783784</v>
      </c>
      <c r="K364" s="6">
        <f t="shared" si="28"/>
        <v>1.5633668499467822E-5</v>
      </c>
      <c r="L364" s="6">
        <f t="shared" si="29"/>
        <v>1.0391992939748516E-5</v>
      </c>
    </row>
    <row r="365" spans="1:12" ht="22.95" customHeight="1">
      <c r="A365" s="5">
        <v>3</v>
      </c>
      <c r="B365" s="7" t="s">
        <v>164</v>
      </c>
      <c r="C365" s="7" t="s">
        <v>303</v>
      </c>
      <c r="D365" s="5">
        <v>46</v>
      </c>
      <c r="E365" s="5">
        <v>57</v>
      </c>
      <c r="F365" s="5">
        <v>20</v>
      </c>
      <c r="G365" s="5">
        <v>19</v>
      </c>
      <c r="H365" s="6">
        <f t="shared" si="25"/>
        <v>1.9436452729068103E-5</v>
      </c>
      <c r="I365" s="6">
        <f t="shared" si="26"/>
        <v>0.43478260869565216</v>
      </c>
      <c r="J365" s="6">
        <f t="shared" si="27"/>
        <v>0.33333333333333331</v>
      </c>
      <c r="K365" s="6">
        <f t="shared" si="28"/>
        <v>8.4506316213339574E-6</v>
      </c>
      <c r="L365" s="6">
        <f t="shared" si="29"/>
        <v>6.4788175763560341E-6</v>
      </c>
    </row>
    <row r="366" spans="1:12" ht="22.95" customHeight="1">
      <c r="A366" s="5">
        <v>3</v>
      </c>
      <c r="B366" s="7" t="s">
        <v>199</v>
      </c>
      <c r="C366" s="7" t="s">
        <v>296</v>
      </c>
      <c r="D366" s="5">
        <v>36</v>
      </c>
      <c r="E366" s="5">
        <v>60</v>
      </c>
      <c r="F366" s="5">
        <v>0</v>
      </c>
      <c r="G366" s="5">
        <v>0</v>
      </c>
      <c r="H366" s="6">
        <f t="shared" si="25"/>
        <v>1.5211136918401124E-5</v>
      </c>
      <c r="I366" s="6">
        <f t="shared" si="26"/>
        <v>0</v>
      </c>
      <c r="J366" s="6">
        <f t="shared" si="27"/>
        <v>0</v>
      </c>
      <c r="K366" s="6">
        <f t="shared" si="28"/>
        <v>0</v>
      </c>
      <c r="L366" s="6">
        <f t="shared" si="29"/>
        <v>0</v>
      </c>
    </row>
    <row r="367" spans="1:12" ht="22.95" customHeight="1">
      <c r="A367" s="5">
        <v>3</v>
      </c>
      <c r="B367" s="7" t="s">
        <v>196</v>
      </c>
      <c r="C367" s="7" t="s">
        <v>303</v>
      </c>
      <c r="D367" s="5">
        <v>26</v>
      </c>
      <c r="E367" s="5">
        <v>24</v>
      </c>
      <c r="F367" s="5">
        <v>13</v>
      </c>
      <c r="G367" s="5">
        <v>12</v>
      </c>
      <c r="H367" s="6">
        <f t="shared" si="25"/>
        <v>1.0985821107734144E-5</v>
      </c>
      <c r="I367" s="6">
        <f t="shared" si="26"/>
        <v>0.5</v>
      </c>
      <c r="J367" s="6">
        <f t="shared" si="27"/>
        <v>0.5</v>
      </c>
      <c r="K367" s="6">
        <f t="shared" si="28"/>
        <v>5.4929105538670721E-6</v>
      </c>
      <c r="L367" s="6">
        <f t="shared" si="29"/>
        <v>5.4929105538670721E-6</v>
      </c>
    </row>
    <row r="368" spans="1:12" ht="22.95" customHeight="1">
      <c r="A368" s="5">
        <v>3</v>
      </c>
      <c r="B368" s="7" t="s">
        <v>187</v>
      </c>
      <c r="C368" s="7" t="s">
        <v>291</v>
      </c>
      <c r="D368" s="5">
        <v>9</v>
      </c>
      <c r="E368" s="5">
        <v>18</v>
      </c>
      <c r="F368" s="5">
        <v>5</v>
      </c>
      <c r="G368" s="5">
        <v>13</v>
      </c>
      <c r="H368" s="6">
        <f t="shared" si="25"/>
        <v>3.8027842296002809E-6</v>
      </c>
      <c r="I368" s="6">
        <f t="shared" si="26"/>
        <v>0.55555555555555558</v>
      </c>
      <c r="J368" s="6">
        <f t="shared" si="27"/>
        <v>0.72222222222222221</v>
      </c>
      <c r="K368" s="6">
        <f t="shared" si="28"/>
        <v>2.1126579053334894E-6</v>
      </c>
      <c r="L368" s="6">
        <f t="shared" si="29"/>
        <v>2.746455276933536E-6</v>
      </c>
    </row>
    <row r="369" spans="1:12" ht="22.95" customHeight="1">
      <c r="A369" s="5">
        <v>3</v>
      </c>
      <c r="B369" s="7" t="s">
        <v>167</v>
      </c>
      <c r="C369" s="7" t="s">
        <v>291</v>
      </c>
      <c r="D369" s="5">
        <v>96</v>
      </c>
      <c r="E369" s="5">
        <v>84</v>
      </c>
      <c r="F369" s="5">
        <v>77</v>
      </c>
      <c r="G369" s="5">
        <v>64</v>
      </c>
      <c r="H369" s="6">
        <f t="shared" si="25"/>
        <v>4.0563031782402994E-5</v>
      </c>
      <c r="I369" s="6">
        <f t="shared" si="26"/>
        <v>0.80208333333333337</v>
      </c>
      <c r="J369" s="6">
        <f t="shared" si="27"/>
        <v>0.76190476190476186</v>
      </c>
      <c r="K369" s="6">
        <f t="shared" si="28"/>
        <v>3.2534931742135734E-5</v>
      </c>
      <c r="L369" s="6">
        <f t="shared" si="29"/>
        <v>3.0905167072307042E-5</v>
      </c>
    </row>
    <row r="370" spans="1:12" ht="22.95" customHeight="1">
      <c r="A370" s="5">
        <v>3</v>
      </c>
      <c r="B370" s="7" t="s">
        <v>89</v>
      </c>
      <c r="C370" s="7" t="s">
        <v>295</v>
      </c>
      <c r="D370" s="5">
        <v>14150</v>
      </c>
      <c r="E370" s="5">
        <v>16388</v>
      </c>
      <c r="F370" s="5">
        <v>5089</v>
      </c>
      <c r="G370" s="5">
        <v>10016</v>
      </c>
      <c r="H370" s="6">
        <f t="shared" si="25"/>
        <v>5.9788218720937753E-3</v>
      </c>
      <c r="I370" s="6">
        <f t="shared" si="26"/>
        <v>0.35964664310954064</v>
      </c>
      <c r="J370" s="6">
        <f t="shared" si="27"/>
        <v>0.61117891139858438</v>
      </c>
      <c r="K370" s="6">
        <f t="shared" si="28"/>
        <v>2.1502632160484256E-3</v>
      </c>
      <c r="L370" s="6">
        <f t="shared" si="29"/>
        <v>3.6541298432323198E-3</v>
      </c>
    </row>
    <row r="371" spans="1:12" ht="22.95" customHeight="1">
      <c r="A371" s="5">
        <v>3</v>
      </c>
      <c r="B371" s="7" t="s">
        <v>158</v>
      </c>
      <c r="C371" s="7" t="s">
        <v>296</v>
      </c>
      <c r="D371" s="5">
        <v>317</v>
      </c>
      <c r="E371" s="5">
        <v>362</v>
      </c>
      <c r="F371" s="5">
        <v>0</v>
      </c>
      <c r="G371" s="5">
        <v>0</v>
      </c>
      <c r="H371" s="6">
        <f t="shared" si="25"/>
        <v>1.3394251119814324E-4</v>
      </c>
      <c r="I371" s="6">
        <f t="shared" si="26"/>
        <v>0</v>
      </c>
      <c r="J371" s="6">
        <f t="shared" si="27"/>
        <v>0</v>
      </c>
      <c r="K371" s="6">
        <f t="shared" si="28"/>
        <v>0</v>
      </c>
      <c r="L371" s="6">
        <f t="shared" si="29"/>
        <v>0</v>
      </c>
    </row>
    <row r="372" spans="1:12" ht="22.95" customHeight="1">
      <c r="A372" s="5">
        <v>3</v>
      </c>
      <c r="B372" s="7" t="s">
        <v>150</v>
      </c>
      <c r="C372" s="7" t="s">
        <v>291</v>
      </c>
      <c r="D372" s="5">
        <v>24</v>
      </c>
      <c r="E372" s="5">
        <v>91</v>
      </c>
      <c r="F372" s="5">
        <v>1</v>
      </c>
      <c r="G372" s="5">
        <v>20</v>
      </c>
      <c r="H372" s="6">
        <f t="shared" si="25"/>
        <v>1.0140757945600749E-5</v>
      </c>
      <c r="I372" s="6">
        <f t="shared" si="26"/>
        <v>4.1666666666666664E-2</v>
      </c>
      <c r="J372" s="6">
        <f t="shared" si="27"/>
        <v>0.21978021978021978</v>
      </c>
      <c r="K372" s="6">
        <f t="shared" si="28"/>
        <v>4.2253158106669784E-7</v>
      </c>
      <c r="L372" s="6">
        <f t="shared" si="29"/>
        <v>2.2287380100221427E-6</v>
      </c>
    </row>
    <row r="373" spans="1:12" ht="22.95" customHeight="1">
      <c r="A373" s="5">
        <v>3</v>
      </c>
      <c r="B373" s="7" t="s">
        <v>259</v>
      </c>
      <c r="C373" s="7" t="s">
        <v>291</v>
      </c>
      <c r="D373" s="5">
        <v>234</v>
      </c>
      <c r="E373" s="5">
        <v>256</v>
      </c>
      <c r="F373" s="5">
        <v>47</v>
      </c>
      <c r="G373" s="5">
        <v>58</v>
      </c>
      <c r="H373" s="6">
        <f t="shared" si="25"/>
        <v>9.8872389969607304E-5</v>
      </c>
      <c r="I373" s="6">
        <f t="shared" si="26"/>
        <v>0.20085470085470086</v>
      </c>
      <c r="J373" s="6">
        <f t="shared" si="27"/>
        <v>0.2265625</v>
      </c>
      <c r="K373" s="6">
        <f t="shared" si="28"/>
        <v>1.9858984310134802E-5</v>
      </c>
      <c r="L373" s="6">
        <f t="shared" si="29"/>
        <v>2.2400775852489156E-5</v>
      </c>
    </row>
    <row r="374" spans="1:12" ht="22.95" customHeight="1">
      <c r="A374" s="5">
        <v>3</v>
      </c>
      <c r="B374" s="7" t="s">
        <v>198</v>
      </c>
      <c r="C374" s="7" t="s">
        <v>303</v>
      </c>
      <c r="D374" s="5">
        <v>6</v>
      </c>
      <c r="E374" s="5">
        <v>4</v>
      </c>
      <c r="F374" s="5">
        <v>2</v>
      </c>
      <c r="G374" s="5">
        <v>3</v>
      </c>
      <c r="H374" s="6">
        <f t="shared" si="25"/>
        <v>2.5351894864001871E-6</v>
      </c>
      <c r="I374" s="6">
        <f t="shared" si="26"/>
        <v>0.33333333333333331</v>
      </c>
      <c r="J374" s="6">
        <f t="shared" si="27"/>
        <v>0.75</v>
      </c>
      <c r="K374" s="6">
        <f t="shared" si="28"/>
        <v>8.4506316213339568E-7</v>
      </c>
      <c r="L374" s="6">
        <f t="shared" si="29"/>
        <v>1.9013921148001405E-6</v>
      </c>
    </row>
    <row r="375" spans="1:12" ht="22.95" customHeight="1">
      <c r="A375" s="5">
        <v>3</v>
      </c>
      <c r="B375" s="7" t="s">
        <v>102</v>
      </c>
      <c r="C375" s="7" t="s">
        <v>296</v>
      </c>
      <c r="D375" s="5">
        <v>1611</v>
      </c>
      <c r="E375" s="5">
        <v>3189</v>
      </c>
      <c r="F375" s="5">
        <v>0</v>
      </c>
      <c r="G375" s="5">
        <v>0</v>
      </c>
      <c r="H375" s="6">
        <f t="shared" si="25"/>
        <v>6.8069837709845032E-4</v>
      </c>
      <c r="I375" s="6">
        <f t="shared" si="26"/>
        <v>0</v>
      </c>
      <c r="J375" s="6">
        <f t="shared" si="27"/>
        <v>0</v>
      </c>
      <c r="K375" s="6">
        <f t="shared" si="28"/>
        <v>0</v>
      </c>
      <c r="L375" s="6">
        <f t="shared" si="29"/>
        <v>0</v>
      </c>
    </row>
    <row r="376" spans="1:12" ht="22.95" customHeight="1">
      <c r="A376" s="5">
        <v>3</v>
      </c>
      <c r="B376" s="7" t="s">
        <v>131</v>
      </c>
      <c r="C376" s="7" t="s">
        <v>291</v>
      </c>
      <c r="D376" s="5">
        <v>77</v>
      </c>
      <c r="E376" s="5">
        <v>125</v>
      </c>
      <c r="F376" s="5">
        <v>49</v>
      </c>
      <c r="G376" s="5">
        <v>66</v>
      </c>
      <c r="H376" s="6">
        <f t="shared" si="25"/>
        <v>3.2534931742135734E-5</v>
      </c>
      <c r="I376" s="6">
        <f t="shared" si="26"/>
        <v>0.63636363636363635</v>
      </c>
      <c r="J376" s="6">
        <f t="shared" si="27"/>
        <v>0.52800000000000002</v>
      </c>
      <c r="K376" s="6">
        <f t="shared" si="28"/>
        <v>2.0704047472268192E-5</v>
      </c>
      <c r="L376" s="6">
        <f t="shared" si="29"/>
        <v>1.7178443959847669E-5</v>
      </c>
    </row>
    <row r="377" spans="1:12" ht="22.95" customHeight="1">
      <c r="A377" s="5">
        <v>3</v>
      </c>
      <c r="B377" s="7" t="s">
        <v>177</v>
      </c>
      <c r="C377" s="7" t="s">
        <v>291</v>
      </c>
      <c r="D377" s="5">
        <v>19</v>
      </c>
      <c r="E377" s="5">
        <v>25</v>
      </c>
      <c r="F377" s="5">
        <v>12</v>
      </c>
      <c r="G377" s="5">
        <v>17</v>
      </c>
      <c r="H377" s="6">
        <f t="shared" si="25"/>
        <v>8.0281000402672605E-6</v>
      </c>
      <c r="I377" s="6">
        <f t="shared" si="26"/>
        <v>0.63157894736842102</v>
      </c>
      <c r="J377" s="6">
        <f t="shared" si="27"/>
        <v>0.68</v>
      </c>
      <c r="K377" s="6">
        <f t="shared" si="28"/>
        <v>5.0703789728003751E-6</v>
      </c>
      <c r="L377" s="6">
        <f t="shared" si="29"/>
        <v>5.4591080273817378E-6</v>
      </c>
    </row>
    <row r="378" spans="1:12" ht="22.95" customHeight="1">
      <c r="A378" s="5">
        <v>3</v>
      </c>
      <c r="B378" s="7" t="s">
        <v>258</v>
      </c>
      <c r="C378" s="7" t="s">
        <v>292</v>
      </c>
      <c r="D378" s="5">
        <v>205</v>
      </c>
      <c r="E378" s="5">
        <v>123</v>
      </c>
      <c r="F378" s="5">
        <v>131</v>
      </c>
      <c r="G378" s="5">
        <v>63</v>
      </c>
      <c r="H378" s="6">
        <f t="shared" si="25"/>
        <v>8.6618974118673071E-5</v>
      </c>
      <c r="I378" s="6">
        <f t="shared" si="26"/>
        <v>0.63902439024390245</v>
      </c>
      <c r="J378" s="6">
        <f t="shared" si="27"/>
        <v>0.51219512195121952</v>
      </c>
      <c r="K378" s="6">
        <f t="shared" si="28"/>
        <v>5.5351637119737426E-5</v>
      </c>
      <c r="L378" s="6">
        <f t="shared" si="29"/>
        <v>4.4365816012003282E-5</v>
      </c>
    </row>
    <row r="379" spans="1:12" ht="22.95" customHeight="1">
      <c r="A379" s="5">
        <v>3</v>
      </c>
      <c r="B379" s="7" t="s">
        <v>183</v>
      </c>
      <c r="C379" s="7" t="s">
        <v>303</v>
      </c>
      <c r="D379" s="5">
        <v>114</v>
      </c>
      <c r="E379" s="5">
        <v>125</v>
      </c>
      <c r="F379" s="5">
        <v>74</v>
      </c>
      <c r="G379" s="5">
        <v>84</v>
      </c>
      <c r="H379" s="6">
        <f t="shared" si="25"/>
        <v>4.8168600241603556E-5</v>
      </c>
      <c r="I379" s="6">
        <f t="shared" si="26"/>
        <v>0.64912280701754388</v>
      </c>
      <c r="J379" s="6">
        <f t="shared" si="27"/>
        <v>0.67200000000000004</v>
      </c>
      <c r="K379" s="6">
        <f t="shared" si="28"/>
        <v>3.1267336998935645E-5</v>
      </c>
      <c r="L379" s="6">
        <f t="shared" si="29"/>
        <v>3.236929936235759E-5</v>
      </c>
    </row>
    <row r="380" spans="1:12" ht="22.95" customHeight="1">
      <c r="A380" s="5">
        <v>3</v>
      </c>
      <c r="B380" s="7" t="s">
        <v>118</v>
      </c>
      <c r="C380" s="7" t="s">
        <v>299</v>
      </c>
      <c r="D380" s="5">
        <v>1311</v>
      </c>
      <c r="E380" s="5">
        <v>1747</v>
      </c>
      <c r="F380" s="5">
        <v>610</v>
      </c>
      <c r="G380" s="5">
        <v>881</v>
      </c>
      <c r="H380" s="6">
        <f t="shared" si="25"/>
        <v>5.5393890277844089E-4</v>
      </c>
      <c r="I380" s="6">
        <f t="shared" si="26"/>
        <v>0.46529366895499619</v>
      </c>
      <c r="J380" s="6">
        <f t="shared" si="27"/>
        <v>0.50429307384087008</v>
      </c>
      <c r="K380" s="6">
        <f t="shared" si="28"/>
        <v>2.5774426445068571E-4</v>
      </c>
      <c r="L380" s="6">
        <f t="shared" si="29"/>
        <v>2.7934755200217882E-4</v>
      </c>
    </row>
    <row r="381" spans="1:12" ht="22.95" customHeight="1">
      <c r="A381" s="5">
        <v>3</v>
      </c>
      <c r="B381" s="7" t="s">
        <v>178</v>
      </c>
      <c r="C381" s="7" t="s">
        <v>303</v>
      </c>
      <c r="D381" s="5">
        <v>2</v>
      </c>
      <c r="E381" s="5">
        <v>3</v>
      </c>
      <c r="F381" s="5">
        <v>2</v>
      </c>
      <c r="G381" s="5">
        <v>2</v>
      </c>
      <c r="H381" s="6">
        <f t="shared" si="25"/>
        <v>8.4506316213339578E-7</v>
      </c>
      <c r="I381" s="6">
        <f t="shared" si="26"/>
        <v>1</v>
      </c>
      <c r="J381" s="6">
        <f t="shared" si="27"/>
        <v>0.66666666666666663</v>
      </c>
      <c r="K381" s="6">
        <f t="shared" si="28"/>
        <v>8.4506316213339578E-7</v>
      </c>
      <c r="L381" s="6">
        <f t="shared" si="29"/>
        <v>5.6337544142226386E-7</v>
      </c>
    </row>
    <row r="382" spans="1:12" ht="22.95" customHeight="1">
      <c r="A382" s="5">
        <v>3</v>
      </c>
      <c r="B382" s="7" t="s">
        <v>223</v>
      </c>
      <c r="C382" s="7" t="s">
        <v>296</v>
      </c>
      <c r="D382" s="5">
        <v>22</v>
      </c>
      <c r="E382" s="5">
        <v>4</v>
      </c>
      <c r="F382" s="5">
        <v>0</v>
      </c>
      <c r="G382" s="5">
        <v>0</v>
      </c>
      <c r="H382" s="6">
        <f t="shared" si="25"/>
        <v>9.295694783467353E-6</v>
      </c>
      <c r="I382" s="6">
        <f t="shared" si="26"/>
        <v>0</v>
      </c>
      <c r="J382" s="6">
        <f t="shared" si="27"/>
        <v>0</v>
      </c>
      <c r="K382" s="6">
        <f t="shared" si="28"/>
        <v>0</v>
      </c>
      <c r="L382" s="6">
        <f t="shared" si="29"/>
        <v>0</v>
      </c>
    </row>
    <row r="383" spans="1:12" ht="22.95" customHeight="1">
      <c r="A383" s="5">
        <v>3</v>
      </c>
      <c r="B383" s="7" t="s">
        <v>129</v>
      </c>
      <c r="C383" s="7" t="s">
        <v>291</v>
      </c>
      <c r="D383" s="5">
        <v>653</v>
      </c>
      <c r="E383" s="5">
        <v>886</v>
      </c>
      <c r="F383" s="5">
        <v>378</v>
      </c>
      <c r="G383" s="5">
        <v>504</v>
      </c>
      <c r="H383" s="6">
        <f t="shared" si="25"/>
        <v>2.7591312243655371E-4</v>
      </c>
      <c r="I383" s="6">
        <f t="shared" si="26"/>
        <v>0.57886676875957122</v>
      </c>
      <c r="J383" s="6">
        <f t="shared" si="27"/>
        <v>0.56884875846501126</v>
      </c>
      <c r="K383" s="6">
        <f t="shared" si="28"/>
        <v>1.5971693764321179E-4</v>
      </c>
      <c r="L383" s="6">
        <f t="shared" si="29"/>
        <v>1.5695283714223823E-4</v>
      </c>
    </row>
    <row r="384" spans="1:12" ht="22.95" customHeight="1">
      <c r="A384" s="5">
        <v>3</v>
      </c>
      <c r="B384" s="7" t="s">
        <v>211</v>
      </c>
      <c r="C384" s="7" t="s">
        <v>291</v>
      </c>
      <c r="D384" s="5">
        <v>1</v>
      </c>
      <c r="E384" s="5">
        <v>1</v>
      </c>
      <c r="F384" s="5">
        <v>0</v>
      </c>
      <c r="G384" s="5">
        <v>0</v>
      </c>
      <c r="H384" s="6">
        <f t="shared" si="25"/>
        <v>4.2253158106669789E-7</v>
      </c>
      <c r="I384" s="6">
        <f t="shared" si="26"/>
        <v>0</v>
      </c>
      <c r="J384" s="6">
        <f t="shared" si="27"/>
        <v>0</v>
      </c>
      <c r="K384" s="6">
        <f t="shared" si="28"/>
        <v>0</v>
      </c>
      <c r="L384" s="6">
        <f t="shared" si="29"/>
        <v>0</v>
      </c>
    </row>
    <row r="385" spans="1:12" ht="22.95" customHeight="1">
      <c r="A385" s="5">
        <v>3</v>
      </c>
      <c r="B385" s="7" t="s">
        <v>205</v>
      </c>
      <c r="C385" s="7" t="s">
        <v>291</v>
      </c>
      <c r="D385" s="5">
        <v>1</v>
      </c>
      <c r="E385" s="5">
        <v>1</v>
      </c>
      <c r="F385" s="5">
        <v>0</v>
      </c>
      <c r="G385" s="5">
        <v>0</v>
      </c>
      <c r="H385" s="6">
        <f t="shared" si="25"/>
        <v>4.2253158106669789E-7</v>
      </c>
      <c r="I385" s="6">
        <f t="shared" si="26"/>
        <v>0</v>
      </c>
      <c r="J385" s="6">
        <f t="shared" si="27"/>
        <v>0</v>
      </c>
      <c r="K385" s="6">
        <f t="shared" si="28"/>
        <v>0</v>
      </c>
      <c r="L385" s="6">
        <f t="shared" si="29"/>
        <v>0</v>
      </c>
    </row>
    <row r="386" spans="1:12" ht="22.95" customHeight="1">
      <c r="A386" s="5">
        <v>3</v>
      </c>
      <c r="B386" s="7" t="s">
        <v>100</v>
      </c>
      <c r="C386" s="7" t="s">
        <v>290</v>
      </c>
      <c r="D386" s="5">
        <v>3616</v>
      </c>
      <c r="E386" s="5">
        <v>4543</v>
      </c>
      <c r="F386" s="5">
        <v>1286</v>
      </c>
      <c r="G386" s="5">
        <v>1840</v>
      </c>
      <c r="H386" s="6">
        <f t="shared" si="25"/>
        <v>1.5278741971371794E-3</v>
      </c>
      <c r="I386" s="6">
        <f t="shared" si="26"/>
        <v>0.35564159292035397</v>
      </c>
      <c r="J386" s="6">
        <f t="shared" si="27"/>
        <v>0.40501871010345586</v>
      </c>
      <c r="K386" s="6">
        <f t="shared" si="28"/>
        <v>5.4337561325177339E-4</v>
      </c>
      <c r="L386" s="6">
        <f t="shared" si="29"/>
        <v>6.1881763652485368E-4</v>
      </c>
    </row>
    <row r="387" spans="1:12" ht="22.95" customHeight="1">
      <c r="A387" s="5">
        <v>3</v>
      </c>
      <c r="B387" s="7" t="s">
        <v>92</v>
      </c>
      <c r="C387" s="7" t="s">
        <v>293</v>
      </c>
      <c r="D387" s="5">
        <v>1575</v>
      </c>
      <c r="E387" s="5">
        <v>2255</v>
      </c>
      <c r="F387" s="5">
        <v>479</v>
      </c>
      <c r="G387" s="5">
        <v>323</v>
      </c>
      <c r="H387" s="6">
        <f t="shared" si="25"/>
        <v>6.6548724018004911E-4</v>
      </c>
      <c r="I387" s="6">
        <f t="shared" si="26"/>
        <v>0.30412698412698413</v>
      </c>
      <c r="J387" s="6">
        <f t="shared" si="27"/>
        <v>0.14323725055432374</v>
      </c>
      <c r="K387" s="6">
        <f t="shared" si="28"/>
        <v>2.0239262733094828E-4</v>
      </c>
      <c r="L387" s="6">
        <f t="shared" si="29"/>
        <v>9.5322562562375108E-5</v>
      </c>
    </row>
    <row r="388" spans="1:12" ht="22.95" customHeight="1">
      <c r="A388" s="5">
        <v>3</v>
      </c>
      <c r="B388" s="7" t="s">
        <v>173</v>
      </c>
      <c r="C388" s="7" t="s">
        <v>303</v>
      </c>
      <c r="D388" s="5">
        <v>114</v>
      </c>
      <c r="E388" s="5">
        <v>143</v>
      </c>
      <c r="F388" s="5">
        <v>69</v>
      </c>
      <c r="G388" s="5">
        <v>72</v>
      </c>
      <c r="H388" s="6">
        <f t="shared" si="25"/>
        <v>4.8168600241603556E-5</v>
      </c>
      <c r="I388" s="6">
        <f t="shared" si="26"/>
        <v>0.60526315789473684</v>
      </c>
      <c r="J388" s="6">
        <f t="shared" si="27"/>
        <v>0.50349650349650354</v>
      </c>
      <c r="K388" s="6">
        <f t="shared" si="28"/>
        <v>2.9154679093602151E-5</v>
      </c>
      <c r="L388" s="6">
        <f t="shared" si="29"/>
        <v>2.4252721799968225E-5</v>
      </c>
    </row>
    <row r="389" spans="1:12" ht="22.95" customHeight="1">
      <c r="A389" s="5">
        <v>3</v>
      </c>
      <c r="B389" s="7" t="s">
        <v>233</v>
      </c>
      <c r="C389" s="7" t="s">
        <v>292</v>
      </c>
      <c r="D389" s="5">
        <v>869</v>
      </c>
      <c r="E389" s="5">
        <v>821</v>
      </c>
      <c r="F389" s="5">
        <v>284</v>
      </c>
      <c r="G389" s="5">
        <v>268</v>
      </c>
      <c r="H389" s="6">
        <f t="shared" si="25"/>
        <v>3.6717994394696045E-4</v>
      </c>
      <c r="I389" s="6">
        <f t="shared" si="26"/>
        <v>0.32681242807825084</v>
      </c>
      <c r="J389" s="6">
        <f t="shared" si="27"/>
        <v>0.32643118148599271</v>
      </c>
      <c r="K389" s="6">
        <f t="shared" si="28"/>
        <v>1.1999896902294218E-4</v>
      </c>
      <c r="L389" s="6">
        <f t="shared" si="29"/>
        <v>1.1985898292056687E-4</v>
      </c>
    </row>
    <row r="390" spans="1:12" ht="22.95" customHeight="1">
      <c r="A390" s="5">
        <v>3</v>
      </c>
      <c r="B390" s="7" t="s">
        <v>133</v>
      </c>
      <c r="C390" s="7" t="s">
        <v>293</v>
      </c>
      <c r="D390" s="5">
        <v>630</v>
      </c>
      <c r="E390" s="5">
        <v>526</v>
      </c>
      <c r="F390" s="5">
        <v>286</v>
      </c>
      <c r="G390" s="5">
        <v>146</v>
      </c>
      <c r="H390" s="6">
        <f t="shared" si="25"/>
        <v>2.6619489607201968E-4</v>
      </c>
      <c r="I390" s="6">
        <f t="shared" si="26"/>
        <v>0.45396825396825397</v>
      </c>
      <c r="J390" s="6">
        <f t="shared" si="27"/>
        <v>0.27756653992395436</v>
      </c>
      <c r="K390" s="6">
        <f t="shared" si="28"/>
        <v>1.2084403218507561E-4</v>
      </c>
      <c r="L390" s="6">
        <f t="shared" si="29"/>
        <v>7.3886796248127129E-5</v>
      </c>
    </row>
    <row r="391" spans="1:12" ht="22.95" customHeight="1">
      <c r="A391" s="5">
        <v>3</v>
      </c>
      <c r="B391" s="7" t="s">
        <v>280</v>
      </c>
      <c r="C391" s="7" t="s">
        <v>292</v>
      </c>
      <c r="D391" s="5">
        <v>3870</v>
      </c>
      <c r="E391" s="5">
        <v>3923</v>
      </c>
      <c r="F391" s="5">
        <v>0</v>
      </c>
      <c r="G391" s="5">
        <v>0</v>
      </c>
      <c r="H391" s="6">
        <f t="shared" si="25"/>
        <v>1.6351972187281208E-3</v>
      </c>
      <c r="I391" s="6">
        <f t="shared" si="26"/>
        <v>0</v>
      </c>
      <c r="J391" s="6">
        <f t="shared" si="27"/>
        <v>0</v>
      </c>
      <c r="K391" s="6">
        <f t="shared" si="28"/>
        <v>0</v>
      </c>
      <c r="L391" s="6">
        <f t="shared" si="29"/>
        <v>0</v>
      </c>
    </row>
    <row r="392" spans="1:12" ht="22.95" customHeight="1">
      <c r="A392" s="5">
        <v>3</v>
      </c>
      <c r="B392" s="7" t="s">
        <v>98</v>
      </c>
      <c r="C392" s="7" t="s">
        <v>292</v>
      </c>
      <c r="D392" s="5">
        <v>4812</v>
      </c>
      <c r="E392" s="5">
        <v>7826</v>
      </c>
      <c r="F392" s="5">
        <v>1970</v>
      </c>
      <c r="G392" s="5">
        <v>2727</v>
      </c>
      <c r="H392" s="6">
        <f t="shared" si="25"/>
        <v>2.03322196809295E-3</v>
      </c>
      <c r="I392" s="6">
        <f t="shared" si="26"/>
        <v>0.40939318370739819</v>
      </c>
      <c r="J392" s="6">
        <f t="shared" si="27"/>
        <v>0.34845387170968567</v>
      </c>
      <c r="K392" s="6">
        <f t="shared" si="28"/>
        <v>8.3238721470139476E-4</v>
      </c>
      <c r="L392" s="6">
        <f t="shared" si="29"/>
        <v>7.0848406682717541E-4</v>
      </c>
    </row>
    <row r="393" spans="1:12" ht="22.95" customHeight="1">
      <c r="A393" s="5">
        <v>3</v>
      </c>
      <c r="B393" s="7" t="s">
        <v>231</v>
      </c>
      <c r="C393" s="7" t="s">
        <v>295</v>
      </c>
      <c r="D393" s="5">
        <v>9</v>
      </c>
      <c r="E393" s="5">
        <v>17</v>
      </c>
      <c r="F393" s="5">
        <v>6</v>
      </c>
      <c r="G393" s="5">
        <v>16</v>
      </c>
      <c r="H393" s="6">
        <f t="shared" si="25"/>
        <v>3.8027842296002809E-6</v>
      </c>
      <c r="I393" s="6">
        <f t="shared" si="26"/>
        <v>0.66666666666666663</v>
      </c>
      <c r="J393" s="6">
        <f t="shared" si="27"/>
        <v>0.94117647058823528</v>
      </c>
      <c r="K393" s="6">
        <f t="shared" si="28"/>
        <v>2.5351894864001871E-6</v>
      </c>
      <c r="L393" s="6">
        <f t="shared" si="29"/>
        <v>3.5790910396237936E-6</v>
      </c>
    </row>
    <row r="394" spans="1:12" ht="22.95" customHeight="1">
      <c r="A394" s="5">
        <v>3</v>
      </c>
      <c r="B394" s="7" t="s">
        <v>263</v>
      </c>
      <c r="C394" s="7" t="s">
        <v>295</v>
      </c>
      <c r="D394" s="5">
        <v>261</v>
      </c>
      <c r="E394" s="5">
        <v>215</v>
      </c>
      <c r="F394" s="5">
        <v>216</v>
      </c>
      <c r="G394" s="5">
        <v>173</v>
      </c>
      <c r="H394" s="6">
        <f t="shared" si="25"/>
        <v>1.1028074265840814E-4</v>
      </c>
      <c r="I394" s="6">
        <f t="shared" si="26"/>
        <v>0.82758620689655171</v>
      </c>
      <c r="J394" s="6">
        <f t="shared" si="27"/>
        <v>0.8046511627906977</v>
      </c>
      <c r="K394" s="6">
        <f t="shared" si="28"/>
        <v>9.1266821510406729E-5</v>
      </c>
      <c r="L394" s="6">
        <f t="shared" si="29"/>
        <v>8.8737527813509805E-5</v>
      </c>
    </row>
    <row r="395" spans="1:12" ht="22.95" customHeight="1">
      <c r="A395" s="5">
        <v>3</v>
      </c>
      <c r="B395" s="7" t="s">
        <v>242</v>
      </c>
      <c r="C395" s="7" t="s">
        <v>303</v>
      </c>
      <c r="D395" s="5">
        <v>24</v>
      </c>
      <c r="E395" s="5">
        <v>21</v>
      </c>
      <c r="F395" s="5">
        <v>7</v>
      </c>
      <c r="G395" s="5">
        <v>9</v>
      </c>
      <c r="H395" s="6">
        <f t="shared" si="25"/>
        <v>1.0140757945600749E-5</v>
      </c>
      <c r="I395" s="6">
        <f t="shared" si="26"/>
        <v>0.29166666666666669</v>
      </c>
      <c r="J395" s="6">
        <f t="shared" si="27"/>
        <v>0.42857142857142855</v>
      </c>
      <c r="K395" s="6">
        <f t="shared" si="28"/>
        <v>2.9577210674668854E-6</v>
      </c>
      <c r="L395" s="6">
        <f t="shared" si="29"/>
        <v>4.3460391195431774E-6</v>
      </c>
    </row>
    <row r="396" spans="1:12" ht="22.95" customHeight="1">
      <c r="A396" s="5">
        <v>3</v>
      </c>
      <c r="B396" s="7" t="s">
        <v>283</v>
      </c>
      <c r="C396" s="7" t="s">
        <v>295</v>
      </c>
      <c r="D396" s="5">
        <v>2156</v>
      </c>
      <c r="E396" s="5">
        <v>1145</v>
      </c>
      <c r="F396" s="5">
        <v>2098</v>
      </c>
      <c r="G396" s="5">
        <v>1058</v>
      </c>
      <c r="H396" s="6">
        <f t="shared" si="25"/>
        <v>9.1097808877980057E-4</v>
      </c>
      <c r="I396" s="6">
        <f t="shared" si="26"/>
        <v>0.97309833024118741</v>
      </c>
      <c r="J396" s="6">
        <f t="shared" si="27"/>
        <v>0.92401746724890832</v>
      </c>
      <c r="K396" s="6">
        <f t="shared" si="28"/>
        <v>8.8647125707793208E-4</v>
      </c>
      <c r="L396" s="6">
        <f t="shared" si="29"/>
        <v>8.4175966631356246E-4</v>
      </c>
    </row>
    <row r="397" spans="1:12" ht="22.95" customHeight="1">
      <c r="A397" s="5">
        <v>3</v>
      </c>
      <c r="B397" s="7" t="s">
        <v>147</v>
      </c>
      <c r="C397" s="7" t="s">
        <v>292</v>
      </c>
      <c r="D397" s="5">
        <v>121</v>
      </c>
      <c r="E397" s="5">
        <v>223</v>
      </c>
      <c r="F397" s="5">
        <v>89</v>
      </c>
      <c r="G397" s="5">
        <v>143</v>
      </c>
      <c r="H397" s="6">
        <f t="shared" si="25"/>
        <v>5.1126321309070447E-5</v>
      </c>
      <c r="I397" s="6">
        <f t="shared" si="26"/>
        <v>0.73553719008264462</v>
      </c>
      <c r="J397" s="6">
        <f t="shared" si="27"/>
        <v>0.64125560538116588</v>
      </c>
      <c r="K397" s="6">
        <f t="shared" si="28"/>
        <v>3.7605310714936111E-5</v>
      </c>
      <c r="L397" s="6">
        <f t="shared" si="29"/>
        <v>3.2785040121959973E-5</v>
      </c>
    </row>
    <row r="398" spans="1:12" ht="22.95" customHeight="1">
      <c r="A398" s="5">
        <v>3</v>
      </c>
      <c r="B398" s="7" t="s">
        <v>252</v>
      </c>
      <c r="C398" s="7" t="s">
        <v>291</v>
      </c>
      <c r="D398" s="5">
        <v>36</v>
      </c>
      <c r="E398" s="5">
        <v>18</v>
      </c>
      <c r="F398" s="5">
        <v>9</v>
      </c>
      <c r="G398" s="5">
        <v>7</v>
      </c>
      <c r="H398" s="6">
        <f t="shared" si="25"/>
        <v>1.5211136918401124E-5</v>
      </c>
      <c r="I398" s="6">
        <f t="shared" si="26"/>
        <v>0.25</v>
      </c>
      <c r="J398" s="6">
        <f t="shared" si="27"/>
        <v>0.3888888888888889</v>
      </c>
      <c r="K398" s="6">
        <f t="shared" si="28"/>
        <v>3.8027842296002809E-6</v>
      </c>
      <c r="L398" s="6">
        <f t="shared" si="29"/>
        <v>5.9154421349337707E-6</v>
      </c>
    </row>
    <row r="399" spans="1:12" ht="22.95" customHeight="1">
      <c r="A399" s="5">
        <v>3</v>
      </c>
      <c r="B399" s="7" t="s">
        <v>103</v>
      </c>
      <c r="C399" s="7" t="s">
        <v>290</v>
      </c>
      <c r="D399" s="5">
        <v>2517</v>
      </c>
      <c r="E399" s="5">
        <v>2868</v>
      </c>
      <c r="F399" s="5">
        <v>1043</v>
      </c>
      <c r="G399" s="5">
        <v>1219</v>
      </c>
      <c r="H399" s="6">
        <f t="shared" si="25"/>
        <v>1.0635119895448786E-3</v>
      </c>
      <c r="I399" s="6">
        <f t="shared" si="26"/>
        <v>0.41438220103297574</v>
      </c>
      <c r="J399" s="6">
        <f t="shared" si="27"/>
        <v>0.42503486750348674</v>
      </c>
      <c r="K399" s="6">
        <f t="shared" si="28"/>
        <v>4.4070043905256588E-4</v>
      </c>
      <c r="L399" s="6">
        <f t="shared" si="29"/>
        <v>4.5202967756457704E-4</v>
      </c>
    </row>
    <row r="400" spans="1:12" ht="22.95" customHeight="1">
      <c r="A400" s="5">
        <v>3</v>
      </c>
      <c r="B400" s="7" t="s">
        <v>140</v>
      </c>
      <c r="C400" s="7" t="s">
        <v>290</v>
      </c>
      <c r="D400" s="5">
        <v>111</v>
      </c>
      <c r="E400" s="5">
        <v>199</v>
      </c>
      <c r="F400" s="5">
        <v>76</v>
      </c>
      <c r="G400" s="5">
        <v>144</v>
      </c>
      <c r="H400" s="6">
        <f t="shared" si="25"/>
        <v>4.6901005498403467E-5</v>
      </c>
      <c r="I400" s="6">
        <f t="shared" si="26"/>
        <v>0.68468468468468469</v>
      </c>
      <c r="J400" s="6">
        <f t="shared" si="27"/>
        <v>0.72361809045226133</v>
      </c>
      <c r="K400" s="6">
        <f t="shared" si="28"/>
        <v>3.2112400161069042E-5</v>
      </c>
      <c r="L400" s="6">
        <f t="shared" si="29"/>
        <v>3.3938416039045729E-5</v>
      </c>
    </row>
    <row r="401" spans="1:12" ht="22.95" customHeight="1">
      <c r="A401" s="5">
        <v>3</v>
      </c>
      <c r="B401" s="7" t="s">
        <v>144</v>
      </c>
      <c r="C401" s="7" t="s">
        <v>296</v>
      </c>
      <c r="D401" s="5">
        <v>179</v>
      </c>
      <c r="E401" s="5">
        <v>283</v>
      </c>
      <c r="F401" s="5">
        <v>0</v>
      </c>
      <c r="G401" s="5">
        <v>0</v>
      </c>
      <c r="H401" s="6">
        <f t="shared" si="25"/>
        <v>7.563315301093892E-5</v>
      </c>
      <c r="I401" s="6">
        <f t="shared" si="26"/>
        <v>0</v>
      </c>
      <c r="J401" s="6">
        <f t="shared" si="27"/>
        <v>0</v>
      </c>
      <c r="K401" s="6">
        <f t="shared" si="28"/>
        <v>0</v>
      </c>
      <c r="L401" s="6">
        <f t="shared" si="29"/>
        <v>0</v>
      </c>
    </row>
    <row r="402" spans="1:12" ht="22.95" customHeight="1">
      <c r="A402" s="5">
        <v>3</v>
      </c>
      <c r="B402" s="7" t="s">
        <v>107</v>
      </c>
      <c r="C402" s="7" t="s">
        <v>296</v>
      </c>
      <c r="D402" s="5">
        <v>1633</v>
      </c>
      <c r="E402" s="5">
        <v>2045</v>
      </c>
      <c r="F402" s="5">
        <v>0</v>
      </c>
      <c r="G402" s="5">
        <v>0</v>
      </c>
      <c r="H402" s="6">
        <f t="shared" si="25"/>
        <v>6.8999407188191761E-4</v>
      </c>
      <c r="I402" s="6">
        <f t="shared" si="26"/>
        <v>0</v>
      </c>
      <c r="J402" s="6">
        <f t="shared" si="27"/>
        <v>0</v>
      </c>
      <c r="K402" s="6">
        <f t="shared" si="28"/>
        <v>0</v>
      </c>
      <c r="L402" s="6">
        <f t="shared" si="29"/>
        <v>0</v>
      </c>
    </row>
    <row r="403" spans="1:12" ht="22.95" customHeight="1">
      <c r="A403" s="5">
        <v>3</v>
      </c>
      <c r="B403" s="7" t="s">
        <v>146</v>
      </c>
      <c r="C403" s="7" t="s">
        <v>296</v>
      </c>
      <c r="D403" s="5">
        <v>307</v>
      </c>
      <c r="E403" s="5">
        <v>355</v>
      </c>
      <c r="F403" s="5">
        <v>0</v>
      </c>
      <c r="G403" s="5">
        <v>0</v>
      </c>
      <c r="H403" s="6">
        <f t="shared" si="25"/>
        <v>1.2971719538747625E-4</v>
      </c>
      <c r="I403" s="6">
        <f t="shared" si="26"/>
        <v>0</v>
      </c>
      <c r="J403" s="6">
        <f t="shared" si="27"/>
        <v>0</v>
      </c>
      <c r="K403" s="6">
        <f t="shared" si="28"/>
        <v>0</v>
      </c>
      <c r="L403" s="6">
        <f t="shared" si="29"/>
        <v>0</v>
      </c>
    </row>
    <row r="404" spans="1:12" ht="22.95" customHeight="1">
      <c r="A404" s="5">
        <v>3</v>
      </c>
      <c r="B404" s="7" t="s">
        <v>143</v>
      </c>
      <c r="C404" s="7" t="s">
        <v>304</v>
      </c>
      <c r="D404" s="5">
        <v>925</v>
      </c>
      <c r="E404" s="5">
        <v>1072</v>
      </c>
      <c r="F404" s="5">
        <v>320</v>
      </c>
      <c r="G404" s="5">
        <v>350</v>
      </c>
      <c r="H404" s="6">
        <f t="shared" si="25"/>
        <v>3.9084171248669552E-4</v>
      </c>
      <c r="I404" s="6">
        <f t="shared" si="26"/>
        <v>0.34594594594594597</v>
      </c>
      <c r="J404" s="6">
        <f t="shared" si="27"/>
        <v>0.32649253731343286</v>
      </c>
      <c r="K404" s="6">
        <f t="shared" si="28"/>
        <v>1.3521010594134332E-4</v>
      </c>
      <c r="L404" s="6">
        <f t="shared" si="29"/>
        <v>1.2760690239770842E-4</v>
      </c>
    </row>
    <row r="405" spans="1:12" ht="22.95" customHeight="1">
      <c r="A405" s="5">
        <v>3</v>
      </c>
      <c r="B405" s="7" t="s">
        <v>143</v>
      </c>
      <c r="C405" s="7" t="s">
        <v>295</v>
      </c>
      <c r="D405" s="5">
        <v>1997</v>
      </c>
      <c r="E405" s="5">
        <v>2391</v>
      </c>
      <c r="F405" s="5">
        <v>762</v>
      </c>
      <c r="G405" s="5">
        <v>805</v>
      </c>
      <c r="H405" s="6">
        <f t="shared" si="25"/>
        <v>8.4379556739019564E-4</v>
      </c>
      <c r="I405" s="6">
        <f t="shared" si="26"/>
        <v>0.38157235853780669</v>
      </c>
      <c r="J405" s="6">
        <f t="shared" si="27"/>
        <v>0.3366792137181096</v>
      </c>
      <c r="K405" s="6">
        <f t="shared" si="28"/>
        <v>3.2196906477282374E-4</v>
      </c>
      <c r="L405" s="6">
        <f t="shared" si="29"/>
        <v>2.8408842816775721E-4</v>
      </c>
    </row>
    <row r="406" spans="1:12" ht="22.95" customHeight="1">
      <c r="A406" s="5">
        <v>3</v>
      </c>
      <c r="B406" s="7" t="s">
        <v>106</v>
      </c>
      <c r="C406" s="7" t="s">
        <v>290</v>
      </c>
      <c r="D406" s="5">
        <v>2231</v>
      </c>
      <c r="E406" s="5">
        <v>2804</v>
      </c>
      <c r="F406" s="5">
        <v>749</v>
      </c>
      <c r="G406" s="5">
        <v>1112</v>
      </c>
      <c r="H406" s="6">
        <f t="shared" si="25"/>
        <v>9.4266795735980298E-4</v>
      </c>
      <c r="I406" s="6">
        <f t="shared" si="26"/>
        <v>0.33572389063200359</v>
      </c>
      <c r="J406" s="6">
        <f t="shared" si="27"/>
        <v>0.39657631954350925</v>
      </c>
      <c r="K406" s="6">
        <f t="shared" si="28"/>
        <v>3.1647615421895672E-4</v>
      </c>
      <c r="L406" s="6">
        <f t="shared" si="29"/>
        <v>3.7383978908134838E-4</v>
      </c>
    </row>
    <row r="407" spans="1:12" ht="22.95" customHeight="1">
      <c r="A407" s="5">
        <v>3</v>
      </c>
      <c r="B407" s="7" t="s">
        <v>186</v>
      </c>
      <c r="C407" s="7" t="s">
        <v>291</v>
      </c>
      <c r="D407" s="5">
        <v>13</v>
      </c>
      <c r="E407" s="5">
        <v>21</v>
      </c>
      <c r="F407" s="5">
        <v>9</v>
      </c>
      <c r="G407" s="5">
        <v>12</v>
      </c>
      <c r="H407" s="6">
        <f t="shared" si="25"/>
        <v>5.4929105538670721E-6</v>
      </c>
      <c r="I407" s="6">
        <f t="shared" si="26"/>
        <v>0.69230769230769229</v>
      </c>
      <c r="J407" s="6">
        <f t="shared" si="27"/>
        <v>0.5714285714285714</v>
      </c>
      <c r="K407" s="6">
        <f t="shared" si="28"/>
        <v>3.8027842296002805E-6</v>
      </c>
      <c r="L407" s="6">
        <f t="shared" si="29"/>
        <v>3.1388060307811837E-6</v>
      </c>
    </row>
    <row r="408" spans="1:12" ht="22.95" customHeight="1">
      <c r="A408" s="5">
        <v>3</v>
      </c>
      <c r="B408" s="7" t="s">
        <v>190</v>
      </c>
      <c r="C408" s="7" t="s">
        <v>291</v>
      </c>
      <c r="D408" s="5">
        <v>28</v>
      </c>
      <c r="E408" s="5">
        <v>31</v>
      </c>
      <c r="F408" s="5">
        <v>15</v>
      </c>
      <c r="G408" s="5">
        <v>19</v>
      </c>
      <c r="H408" s="6">
        <f t="shared" si="25"/>
        <v>1.1830884269867541E-5</v>
      </c>
      <c r="I408" s="6">
        <f t="shared" si="26"/>
        <v>0.5357142857142857</v>
      </c>
      <c r="J408" s="6">
        <f t="shared" si="27"/>
        <v>0.61290322580645162</v>
      </c>
      <c r="K408" s="6">
        <f t="shared" si="28"/>
        <v>6.3379737160004685E-6</v>
      </c>
      <c r="L408" s="6">
        <f t="shared" si="29"/>
        <v>7.2511871331446223E-6</v>
      </c>
    </row>
    <row r="409" spans="1:12" ht="22.95" customHeight="1">
      <c r="A409" s="5">
        <v>3</v>
      </c>
      <c r="B409" s="7" t="s">
        <v>124</v>
      </c>
      <c r="C409" s="7" t="s">
        <v>303</v>
      </c>
      <c r="D409" s="5">
        <v>1107</v>
      </c>
      <c r="E409" s="5">
        <v>1074</v>
      </c>
      <c r="F409" s="5">
        <v>543</v>
      </c>
      <c r="G409" s="5">
        <v>474</v>
      </c>
      <c r="H409" s="6">
        <f t="shared" si="25"/>
        <v>4.6774246024083453E-4</v>
      </c>
      <c r="I409" s="6">
        <f t="shared" si="26"/>
        <v>0.49051490514905149</v>
      </c>
      <c r="J409" s="6">
        <f t="shared" si="27"/>
        <v>0.44134078212290501</v>
      </c>
      <c r="K409" s="6">
        <f t="shared" si="28"/>
        <v>2.2943464851921694E-4</v>
      </c>
      <c r="L409" s="6">
        <f t="shared" si="29"/>
        <v>2.064338232347817E-4</v>
      </c>
    </row>
    <row r="410" spans="1:12" ht="22.95" customHeight="1">
      <c r="A410" s="5">
        <v>3</v>
      </c>
      <c r="B410" s="7" t="s">
        <v>170</v>
      </c>
      <c r="C410" s="7" t="s">
        <v>303</v>
      </c>
      <c r="D410" s="5">
        <v>270</v>
      </c>
      <c r="E410" s="5">
        <v>288</v>
      </c>
      <c r="F410" s="5">
        <v>172</v>
      </c>
      <c r="G410" s="5">
        <v>190</v>
      </c>
      <c r="H410" s="6">
        <f t="shared" si="25"/>
        <v>1.1408352688800843E-4</v>
      </c>
      <c r="I410" s="6">
        <f t="shared" si="26"/>
        <v>0.63703703703703707</v>
      </c>
      <c r="J410" s="6">
        <f t="shared" si="27"/>
        <v>0.65972222222222221</v>
      </c>
      <c r="K410" s="6">
        <f t="shared" si="28"/>
        <v>7.2675431943472043E-5</v>
      </c>
      <c r="L410" s="6">
        <f t="shared" si="29"/>
        <v>7.5263437877505564E-5</v>
      </c>
    </row>
    <row r="411" spans="1:12" ht="22.95" customHeight="1">
      <c r="A411" s="5">
        <v>3</v>
      </c>
      <c r="B411" s="7" t="s">
        <v>125</v>
      </c>
      <c r="C411" s="7" t="s">
        <v>298</v>
      </c>
      <c r="D411" s="5">
        <v>1482</v>
      </c>
      <c r="E411" s="5">
        <v>1684</v>
      </c>
      <c r="F411" s="5">
        <v>1134</v>
      </c>
      <c r="G411" s="5">
        <v>348</v>
      </c>
      <c r="H411" s="6">
        <f t="shared" si="25"/>
        <v>6.2619180314084626E-4</v>
      </c>
      <c r="I411" s="6">
        <f t="shared" si="26"/>
        <v>0.76518218623481782</v>
      </c>
      <c r="J411" s="6">
        <f t="shared" si="27"/>
        <v>0.20665083135391923</v>
      </c>
      <c r="K411" s="6">
        <f t="shared" si="28"/>
        <v>4.7915081292963541E-4</v>
      </c>
      <c r="L411" s="6">
        <f t="shared" si="29"/>
        <v>1.2940305670606562E-4</v>
      </c>
    </row>
    <row r="412" spans="1:12" ht="22.95" customHeight="1">
      <c r="A412" s="5">
        <v>3</v>
      </c>
      <c r="B412" s="7" t="s">
        <v>154</v>
      </c>
      <c r="C412" s="7" t="s">
        <v>298</v>
      </c>
      <c r="D412" s="5">
        <v>34</v>
      </c>
      <c r="E412" s="5">
        <v>37</v>
      </c>
      <c r="F412" s="5">
        <v>9</v>
      </c>
      <c r="G412" s="5">
        <v>12</v>
      </c>
      <c r="H412" s="6">
        <f t="shared" si="25"/>
        <v>1.4366073756267728E-5</v>
      </c>
      <c r="I412" s="6">
        <f t="shared" si="26"/>
        <v>0.26470588235294118</v>
      </c>
      <c r="J412" s="6">
        <f t="shared" si="27"/>
        <v>0.32432432432432434</v>
      </c>
      <c r="K412" s="6">
        <f t="shared" si="28"/>
        <v>3.8027842296002809E-6</v>
      </c>
      <c r="L412" s="6">
        <f t="shared" si="29"/>
        <v>4.659267164194939E-6</v>
      </c>
    </row>
    <row r="413" spans="1:12" ht="22.95" customHeight="1">
      <c r="A413" s="5">
        <v>3</v>
      </c>
      <c r="B413" s="7" t="s">
        <v>246</v>
      </c>
      <c r="C413" s="7" t="s">
        <v>298</v>
      </c>
      <c r="D413" s="5">
        <v>11</v>
      </c>
      <c r="E413" s="5">
        <v>5</v>
      </c>
      <c r="F413" s="5">
        <v>5</v>
      </c>
      <c r="G413" s="5">
        <v>3</v>
      </c>
      <c r="H413" s="6">
        <f t="shared" si="25"/>
        <v>4.6478473917336765E-6</v>
      </c>
      <c r="I413" s="6">
        <f t="shared" si="26"/>
        <v>0.45454545454545453</v>
      </c>
      <c r="J413" s="6">
        <f t="shared" si="27"/>
        <v>0.6</v>
      </c>
      <c r="K413" s="6">
        <f t="shared" si="28"/>
        <v>2.1126579053334894E-6</v>
      </c>
      <c r="L413" s="6">
        <f t="shared" si="29"/>
        <v>2.788708435040206E-6</v>
      </c>
    </row>
    <row r="414" spans="1:12" ht="22.95" customHeight="1">
      <c r="A414" s="5">
        <v>3</v>
      </c>
      <c r="B414" s="7" t="s">
        <v>95</v>
      </c>
      <c r="C414" s="7" t="s">
        <v>290</v>
      </c>
      <c r="D414" s="5">
        <v>2660</v>
      </c>
      <c r="E414" s="5">
        <v>3468</v>
      </c>
      <c r="F414" s="5">
        <v>1255</v>
      </c>
      <c r="G414" s="5">
        <v>1704</v>
      </c>
      <c r="H414" s="6">
        <f t="shared" ref="H414:H477" si="30">D414/$B$16</f>
        <v>1.1239340056374164E-3</v>
      </c>
      <c r="I414" s="6">
        <f t="shared" ref="I414:I477" si="31">F414/D414</f>
        <v>0.4718045112781955</v>
      </c>
      <c r="J414" s="6">
        <f t="shared" ref="J414:J477" si="32">G414/E414</f>
        <v>0.49134948096885811</v>
      </c>
      <c r="K414" s="6">
        <f t="shared" ref="K414:K477" si="33">H414*I414</f>
        <v>5.3027713423870588E-4</v>
      </c>
      <c r="L414" s="6">
        <f t="shared" ref="L414:L477" si="34">H414*J414</f>
        <v>5.5224439031319422E-4</v>
      </c>
    </row>
    <row r="415" spans="1:12" ht="22.95" customHeight="1">
      <c r="A415" s="5">
        <v>3</v>
      </c>
      <c r="B415" s="7" t="s">
        <v>105</v>
      </c>
      <c r="C415" s="7" t="s">
        <v>296</v>
      </c>
      <c r="D415" s="5">
        <v>3063</v>
      </c>
      <c r="E415" s="5">
        <v>3448</v>
      </c>
      <c r="F415" s="5">
        <v>0</v>
      </c>
      <c r="G415" s="5">
        <v>0</v>
      </c>
      <c r="H415" s="6">
        <f t="shared" si="30"/>
        <v>1.2942142328072957E-3</v>
      </c>
      <c r="I415" s="6">
        <f t="shared" si="31"/>
        <v>0</v>
      </c>
      <c r="J415" s="6">
        <f t="shared" si="32"/>
        <v>0</v>
      </c>
      <c r="K415" s="6">
        <f t="shared" si="33"/>
        <v>0</v>
      </c>
      <c r="L415" s="6">
        <f t="shared" si="34"/>
        <v>0</v>
      </c>
    </row>
    <row r="416" spans="1:12" ht="22.95" customHeight="1">
      <c r="A416" s="5">
        <v>3</v>
      </c>
      <c r="B416" s="7" t="s">
        <v>268</v>
      </c>
      <c r="C416" s="7" t="s">
        <v>292</v>
      </c>
      <c r="D416" s="5">
        <v>1724</v>
      </c>
      <c r="E416" s="5">
        <v>1334</v>
      </c>
      <c r="F416" s="5">
        <v>0</v>
      </c>
      <c r="G416" s="5">
        <v>0</v>
      </c>
      <c r="H416" s="6">
        <f t="shared" si="30"/>
        <v>7.2844444575898709E-4</v>
      </c>
      <c r="I416" s="6">
        <f t="shared" si="31"/>
        <v>0</v>
      </c>
      <c r="J416" s="6">
        <f t="shared" si="32"/>
        <v>0</v>
      </c>
      <c r="K416" s="6">
        <f t="shared" si="33"/>
        <v>0</v>
      </c>
      <c r="L416" s="6">
        <f t="shared" si="34"/>
        <v>0</v>
      </c>
    </row>
    <row r="417" spans="1:12" ht="22.95" customHeight="1">
      <c r="A417" s="5">
        <v>3</v>
      </c>
      <c r="B417" s="7" t="s">
        <v>268</v>
      </c>
      <c r="C417" s="7" t="s">
        <v>295</v>
      </c>
      <c r="D417" s="5">
        <v>85</v>
      </c>
      <c r="E417" s="5">
        <v>124</v>
      </c>
      <c r="F417" s="5">
        <v>74</v>
      </c>
      <c r="G417" s="5">
        <v>117</v>
      </c>
      <c r="H417" s="6">
        <f t="shared" si="30"/>
        <v>3.5915184390669323E-5</v>
      </c>
      <c r="I417" s="6">
        <f t="shared" si="31"/>
        <v>0.87058823529411766</v>
      </c>
      <c r="J417" s="6">
        <f t="shared" si="32"/>
        <v>0.94354838709677424</v>
      </c>
      <c r="K417" s="6">
        <f t="shared" si="33"/>
        <v>3.1267336998935645E-5</v>
      </c>
      <c r="L417" s="6">
        <f t="shared" si="34"/>
        <v>3.3887714304099284E-5</v>
      </c>
    </row>
    <row r="418" spans="1:12" ht="22.95" customHeight="1">
      <c r="A418" s="5">
        <v>3</v>
      </c>
      <c r="B418" s="7" t="s">
        <v>203</v>
      </c>
      <c r="C418" s="7" t="s">
        <v>298</v>
      </c>
      <c r="D418" s="5">
        <v>23</v>
      </c>
      <c r="E418" s="5">
        <v>35</v>
      </c>
      <c r="F418" s="5">
        <v>12</v>
      </c>
      <c r="G418" s="5">
        <v>21</v>
      </c>
      <c r="H418" s="6">
        <f t="shared" si="30"/>
        <v>9.7182263645340516E-6</v>
      </c>
      <c r="I418" s="6">
        <f t="shared" si="31"/>
        <v>0.52173913043478259</v>
      </c>
      <c r="J418" s="6">
        <f t="shared" si="32"/>
        <v>0.6</v>
      </c>
      <c r="K418" s="6">
        <f t="shared" si="33"/>
        <v>5.0703789728003743E-6</v>
      </c>
      <c r="L418" s="6">
        <f t="shared" si="34"/>
        <v>5.8309358187204308E-6</v>
      </c>
    </row>
    <row r="419" spans="1:12" ht="22.95" customHeight="1">
      <c r="A419" s="5">
        <v>3</v>
      </c>
      <c r="B419" s="7" t="s">
        <v>244</v>
      </c>
      <c r="C419" s="7" t="s">
        <v>298</v>
      </c>
      <c r="D419" s="5">
        <v>3</v>
      </c>
      <c r="E419" s="5">
        <v>4</v>
      </c>
      <c r="F419" s="5">
        <v>2</v>
      </c>
      <c r="G419" s="5">
        <v>0</v>
      </c>
      <c r="H419" s="6">
        <f t="shared" si="30"/>
        <v>1.2675947432000936E-6</v>
      </c>
      <c r="I419" s="6">
        <f t="shared" si="31"/>
        <v>0.66666666666666663</v>
      </c>
      <c r="J419" s="6">
        <f t="shared" si="32"/>
        <v>0</v>
      </c>
      <c r="K419" s="6">
        <f t="shared" si="33"/>
        <v>8.4506316213339568E-7</v>
      </c>
      <c r="L419" s="6">
        <f t="shared" si="34"/>
        <v>0</v>
      </c>
    </row>
    <row r="420" spans="1:12" ht="22.95" customHeight="1">
      <c r="A420" s="5">
        <v>3</v>
      </c>
      <c r="B420" s="7" t="s">
        <v>87</v>
      </c>
      <c r="C420" s="7" t="s">
        <v>290</v>
      </c>
      <c r="D420" s="5">
        <v>26276</v>
      </c>
      <c r="E420" s="5">
        <v>29783</v>
      </c>
      <c r="F420" s="5">
        <v>15097</v>
      </c>
      <c r="G420" s="5">
        <v>19990</v>
      </c>
      <c r="H420" s="6">
        <f t="shared" si="30"/>
        <v>1.1102439824108553E-2</v>
      </c>
      <c r="I420" s="6">
        <f t="shared" si="31"/>
        <v>0.57455472674684127</v>
      </c>
      <c r="J420" s="6">
        <f t="shared" si="32"/>
        <v>0.67118826176006452</v>
      </c>
      <c r="K420" s="6">
        <f t="shared" si="33"/>
        <v>6.3789592793639383E-3</v>
      </c>
      <c r="L420" s="6">
        <f t="shared" si="34"/>
        <v>7.4518272868391361E-3</v>
      </c>
    </row>
    <row r="421" spans="1:12" ht="22.95" customHeight="1">
      <c r="A421" s="5">
        <v>3</v>
      </c>
      <c r="B421" s="7" t="s">
        <v>255</v>
      </c>
      <c r="C421" s="7" t="s">
        <v>303</v>
      </c>
      <c r="D421" s="5">
        <v>14</v>
      </c>
      <c r="E421" s="5">
        <v>6</v>
      </c>
      <c r="F421" s="5">
        <v>10</v>
      </c>
      <c r="G421" s="5">
        <v>2</v>
      </c>
      <c r="H421" s="6">
        <f t="shared" si="30"/>
        <v>5.9154421349337707E-6</v>
      </c>
      <c r="I421" s="6">
        <f t="shared" si="31"/>
        <v>0.7142857142857143</v>
      </c>
      <c r="J421" s="6">
        <f t="shared" si="32"/>
        <v>0.33333333333333331</v>
      </c>
      <c r="K421" s="6">
        <f t="shared" si="33"/>
        <v>4.2253158106669796E-6</v>
      </c>
      <c r="L421" s="6">
        <f t="shared" si="34"/>
        <v>1.9718140449779233E-6</v>
      </c>
    </row>
    <row r="422" spans="1:12" ht="22.95" customHeight="1">
      <c r="A422" s="5">
        <v>3</v>
      </c>
      <c r="B422" s="7" t="s">
        <v>260</v>
      </c>
      <c r="C422" s="7" t="s">
        <v>294</v>
      </c>
      <c r="D422" s="5">
        <v>124</v>
      </c>
      <c r="E422" s="5">
        <v>210</v>
      </c>
      <c r="F422" s="5">
        <v>61</v>
      </c>
      <c r="G422" s="5">
        <v>109</v>
      </c>
      <c r="H422" s="6">
        <f t="shared" si="30"/>
        <v>5.2393916052270536E-5</v>
      </c>
      <c r="I422" s="6">
        <f t="shared" si="31"/>
        <v>0.49193548387096775</v>
      </c>
      <c r="J422" s="6">
        <f t="shared" si="32"/>
        <v>0.51904761904761909</v>
      </c>
      <c r="K422" s="6">
        <f t="shared" si="33"/>
        <v>2.5774426445068569E-5</v>
      </c>
      <c r="L422" s="6">
        <f t="shared" si="34"/>
        <v>2.7194937379511852E-5</v>
      </c>
    </row>
    <row r="423" spans="1:12" ht="22.95" customHeight="1">
      <c r="A423" s="5">
        <v>3</v>
      </c>
      <c r="B423" s="7" t="s">
        <v>114</v>
      </c>
      <c r="C423" s="7" t="s">
        <v>291</v>
      </c>
      <c r="D423" s="5">
        <v>276</v>
      </c>
      <c r="E423" s="5">
        <v>1883</v>
      </c>
      <c r="F423" s="5">
        <v>121</v>
      </c>
      <c r="G423" s="5">
        <v>850</v>
      </c>
      <c r="H423" s="6">
        <f t="shared" si="30"/>
        <v>1.1661871637440862E-4</v>
      </c>
      <c r="I423" s="6">
        <f t="shared" si="31"/>
        <v>0.43840579710144928</v>
      </c>
      <c r="J423" s="6">
        <f t="shared" si="32"/>
        <v>0.45140732873074879</v>
      </c>
      <c r="K423" s="6">
        <f t="shared" si="33"/>
        <v>5.1126321309070447E-5</v>
      </c>
      <c r="L423" s="6">
        <f t="shared" si="34"/>
        <v>5.2642543238580627E-5</v>
      </c>
    </row>
    <row r="424" spans="1:12" ht="22.95" customHeight="1">
      <c r="A424" s="5">
        <v>3</v>
      </c>
      <c r="B424" s="7" t="s">
        <v>114</v>
      </c>
      <c r="C424" s="7" t="s">
        <v>292</v>
      </c>
      <c r="D424" s="5">
        <v>110</v>
      </c>
      <c r="E424" s="5">
        <v>129</v>
      </c>
      <c r="F424" s="5">
        <v>64</v>
      </c>
      <c r="G424" s="5">
        <v>65</v>
      </c>
      <c r="H424" s="6">
        <f t="shared" si="30"/>
        <v>4.6478473917336768E-5</v>
      </c>
      <c r="I424" s="6">
        <f t="shared" si="31"/>
        <v>0.58181818181818179</v>
      </c>
      <c r="J424" s="6">
        <f t="shared" si="32"/>
        <v>0.50387596899224807</v>
      </c>
      <c r="K424" s="6">
        <f t="shared" si="33"/>
        <v>2.7042021188268665E-5</v>
      </c>
      <c r="L424" s="6">
        <f t="shared" si="34"/>
        <v>2.3419386082378992E-5</v>
      </c>
    </row>
    <row r="425" spans="1:12" ht="22.95" customHeight="1">
      <c r="A425" s="5">
        <v>3</v>
      </c>
      <c r="B425" s="7" t="s">
        <v>249</v>
      </c>
      <c r="C425" s="7" t="s">
        <v>291</v>
      </c>
      <c r="D425" s="5">
        <v>8</v>
      </c>
      <c r="E425" s="5">
        <v>7</v>
      </c>
      <c r="F425" s="5">
        <v>4</v>
      </c>
      <c r="G425" s="5">
        <v>3</v>
      </c>
      <c r="H425" s="6">
        <f t="shared" si="30"/>
        <v>3.3802526485335831E-6</v>
      </c>
      <c r="I425" s="6">
        <f t="shared" si="31"/>
        <v>0.5</v>
      </c>
      <c r="J425" s="6">
        <f t="shared" si="32"/>
        <v>0.42857142857142855</v>
      </c>
      <c r="K425" s="6">
        <f t="shared" si="33"/>
        <v>1.6901263242667916E-6</v>
      </c>
      <c r="L425" s="6">
        <f t="shared" si="34"/>
        <v>1.4486797065143926E-6</v>
      </c>
    </row>
    <row r="426" spans="1:12" ht="22.95" customHeight="1">
      <c r="A426" s="5">
        <v>3</v>
      </c>
      <c r="B426" s="7" t="s">
        <v>209</v>
      </c>
      <c r="C426" s="7" t="s">
        <v>291</v>
      </c>
      <c r="D426" s="5">
        <v>1</v>
      </c>
      <c r="E426" s="5">
        <v>6</v>
      </c>
      <c r="F426" s="5">
        <v>1</v>
      </c>
      <c r="G426" s="5">
        <v>1</v>
      </c>
      <c r="H426" s="6">
        <f t="shared" si="30"/>
        <v>4.2253158106669789E-7</v>
      </c>
      <c r="I426" s="6">
        <f t="shared" si="31"/>
        <v>1</v>
      </c>
      <c r="J426" s="6">
        <f t="shared" si="32"/>
        <v>0.16666666666666666</v>
      </c>
      <c r="K426" s="6">
        <f t="shared" si="33"/>
        <v>4.2253158106669789E-7</v>
      </c>
      <c r="L426" s="6">
        <f t="shared" si="34"/>
        <v>7.0421930177782982E-8</v>
      </c>
    </row>
    <row r="427" spans="1:12" ht="22.95" customHeight="1">
      <c r="A427" s="5">
        <v>3</v>
      </c>
      <c r="B427" s="7" t="s">
        <v>272</v>
      </c>
      <c r="C427" s="7" t="s">
        <v>304</v>
      </c>
      <c r="D427" s="5">
        <v>2256</v>
      </c>
      <c r="E427" s="5">
        <v>2541</v>
      </c>
      <c r="F427" s="5">
        <v>675</v>
      </c>
      <c r="G427" s="5">
        <v>781</v>
      </c>
      <c r="H427" s="6">
        <f t="shared" si="30"/>
        <v>9.5323124688647038E-4</v>
      </c>
      <c r="I427" s="6">
        <f t="shared" si="31"/>
        <v>0.29920212765957449</v>
      </c>
      <c r="J427" s="6">
        <f t="shared" si="32"/>
        <v>0.30735930735930733</v>
      </c>
      <c r="K427" s="6">
        <f t="shared" si="33"/>
        <v>2.852088172200211E-4</v>
      </c>
      <c r="L427" s="6">
        <f t="shared" si="34"/>
        <v>2.9298449579627441E-4</v>
      </c>
    </row>
    <row r="428" spans="1:12" ht="22.95" customHeight="1">
      <c r="A428" s="5">
        <v>3</v>
      </c>
      <c r="B428" s="7" t="s">
        <v>253</v>
      </c>
      <c r="C428" s="7" t="s">
        <v>303</v>
      </c>
      <c r="D428" s="5">
        <v>55</v>
      </c>
      <c r="E428" s="5">
        <v>63</v>
      </c>
      <c r="F428" s="5">
        <v>34</v>
      </c>
      <c r="G428" s="5">
        <v>41</v>
      </c>
      <c r="H428" s="6">
        <f t="shared" si="30"/>
        <v>2.3239236958668384E-5</v>
      </c>
      <c r="I428" s="6">
        <f t="shared" si="31"/>
        <v>0.61818181818181817</v>
      </c>
      <c r="J428" s="6">
        <f t="shared" si="32"/>
        <v>0.65079365079365081</v>
      </c>
      <c r="K428" s="6">
        <f t="shared" si="33"/>
        <v>1.4366073756267728E-5</v>
      </c>
      <c r="L428" s="6">
        <f t="shared" si="34"/>
        <v>1.5123947861990536E-5</v>
      </c>
    </row>
    <row r="429" spans="1:12" ht="22.95" customHeight="1">
      <c r="A429" s="5">
        <v>3</v>
      </c>
      <c r="B429" s="7" t="s">
        <v>241</v>
      </c>
      <c r="C429" s="7" t="s">
        <v>303</v>
      </c>
      <c r="D429" s="5">
        <v>16</v>
      </c>
      <c r="E429" s="5">
        <v>6</v>
      </c>
      <c r="F429" s="5">
        <v>4</v>
      </c>
      <c r="G429" s="5">
        <v>4</v>
      </c>
      <c r="H429" s="6">
        <f t="shared" si="30"/>
        <v>6.7605052970671663E-6</v>
      </c>
      <c r="I429" s="6">
        <f t="shared" si="31"/>
        <v>0.25</v>
      </c>
      <c r="J429" s="6">
        <f t="shared" si="32"/>
        <v>0.66666666666666663</v>
      </c>
      <c r="K429" s="6">
        <f t="shared" si="33"/>
        <v>1.6901263242667916E-6</v>
      </c>
      <c r="L429" s="6">
        <f t="shared" si="34"/>
        <v>4.5070035313781109E-6</v>
      </c>
    </row>
    <row r="430" spans="1:12" ht="22.95" customHeight="1">
      <c r="A430" s="5">
        <v>3</v>
      </c>
      <c r="B430" s="7" t="s">
        <v>271</v>
      </c>
      <c r="C430" s="7" t="s">
        <v>292</v>
      </c>
      <c r="D430" s="5">
        <v>3517</v>
      </c>
      <c r="E430" s="5">
        <v>3466</v>
      </c>
      <c r="F430" s="5">
        <v>968</v>
      </c>
      <c r="G430" s="5">
        <v>780</v>
      </c>
      <c r="H430" s="6">
        <f t="shared" si="30"/>
        <v>1.4860435706115765E-3</v>
      </c>
      <c r="I430" s="6">
        <f t="shared" si="31"/>
        <v>0.27523457492180836</v>
      </c>
      <c r="J430" s="6">
        <f t="shared" si="32"/>
        <v>0.22504327755337564</v>
      </c>
      <c r="K430" s="6">
        <f t="shared" si="33"/>
        <v>4.0901057047256357E-4</v>
      </c>
      <c r="L430" s="6">
        <f t="shared" si="34"/>
        <v>3.3442411571755039E-4</v>
      </c>
    </row>
    <row r="431" spans="1:12" ht="22.95" customHeight="1">
      <c r="A431" s="5">
        <v>3</v>
      </c>
      <c r="B431" s="7" t="s">
        <v>261</v>
      </c>
      <c r="C431" s="7" t="s">
        <v>295</v>
      </c>
      <c r="D431" s="5">
        <v>158</v>
      </c>
      <c r="E431" s="5">
        <v>195</v>
      </c>
      <c r="F431" s="5">
        <v>120</v>
      </c>
      <c r="G431" s="5">
        <v>151</v>
      </c>
      <c r="H431" s="6">
        <f t="shared" si="30"/>
        <v>6.6759989808538262E-5</v>
      </c>
      <c r="I431" s="6">
        <f t="shared" si="31"/>
        <v>0.759493670886076</v>
      </c>
      <c r="J431" s="6">
        <f t="shared" si="32"/>
        <v>0.77435897435897438</v>
      </c>
      <c r="K431" s="6">
        <f t="shared" si="33"/>
        <v>5.0703789728003748E-5</v>
      </c>
      <c r="L431" s="6">
        <f t="shared" si="34"/>
        <v>5.1696197236355274E-5</v>
      </c>
    </row>
    <row r="432" spans="1:12" ht="22.95" customHeight="1">
      <c r="A432" s="5">
        <v>3</v>
      </c>
      <c r="B432" s="7" t="s">
        <v>88</v>
      </c>
      <c r="C432" s="7" t="s">
        <v>295</v>
      </c>
      <c r="D432" s="5">
        <v>53740</v>
      </c>
      <c r="E432" s="5">
        <v>54104</v>
      </c>
      <c r="F432" s="5">
        <v>21848</v>
      </c>
      <c r="G432" s="5">
        <v>23629</v>
      </c>
      <c r="H432" s="6">
        <f t="shared" si="30"/>
        <v>2.2706847166524345E-2</v>
      </c>
      <c r="I432" s="6">
        <f t="shared" si="31"/>
        <v>0.4065500558243394</v>
      </c>
      <c r="J432" s="6">
        <f t="shared" si="32"/>
        <v>0.43673295874611856</v>
      </c>
      <c r="K432" s="6">
        <f t="shared" si="33"/>
        <v>9.2314699831452154E-3</v>
      </c>
      <c r="L432" s="6">
        <f t="shared" si="34"/>
        <v>9.916828546832096E-3</v>
      </c>
    </row>
    <row r="433" spans="1:12" ht="22.95" customHeight="1">
      <c r="A433" s="5">
        <v>3</v>
      </c>
      <c r="B433" s="7" t="s">
        <v>153</v>
      </c>
      <c r="C433" s="7" t="s">
        <v>292</v>
      </c>
      <c r="D433" s="5">
        <v>445</v>
      </c>
      <c r="E433" s="5">
        <v>643</v>
      </c>
      <c r="F433" s="5">
        <v>427</v>
      </c>
      <c r="G433" s="5">
        <v>617</v>
      </c>
      <c r="H433" s="6">
        <f t="shared" si="30"/>
        <v>1.8802655357468055E-4</v>
      </c>
      <c r="I433" s="6">
        <f t="shared" si="31"/>
        <v>0.95955056179775278</v>
      </c>
      <c r="J433" s="6">
        <f t="shared" si="32"/>
        <v>0.95956454121306378</v>
      </c>
      <c r="K433" s="6">
        <f t="shared" si="33"/>
        <v>1.8042098511547998E-4</v>
      </c>
      <c r="L433" s="6">
        <f t="shared" si="34"/>
        <v>1.804236136167619E-4</v>
      </c>
    </row>
    <row r="434" spans="1:12" ht="22.95" customHeight="1">
      <c r="A434" s="5">
        <v>3</v>
      </c>
      <c r="B434" s="7" t="s">
        <v>137</v>
      </c>
      <c r="C434" s="7" t="s">
        <v>293</v>
      </c>
      <c r="D434" s="5">
        <v>387</v>
      </c>
      <c r="E434" s="5">
        <v>430</v>
      </c>
      <c r="F434" s="5">
        <v>96</v>
      </c>
      <c r="G434" s="5">
        <v>96</v>
      </c>
      <c r="H434" s="6">
        <f t="shared" si="30"/>
        <v>1.6351972187281209E-4</v>
      </c>
      <c r="I434" s="6">
        <f t="shared" si="31"/>
        <v>0.24806201550387597</v>
      </c>
      <c r="J434" s="6">
        <f t="shared" si="32"/>
        <v>0.22325581395348837</v>
      </c>
      <c r="K434" s="6">
        <f t="shared" si="33"/>
        <v>4.0563031782402994E-5</v>
      </c>
      <c r="L434" s="6">
        <f t="shared" si="34"/>
        <v>3.65067286041627E-5</v>
      </c>
    </row>
    <row r="435" spans="1:12" ht="22.95" customHeight="1">
      <c r="A435" s="5">
        <v>3</v>
      </c>
      <c r="B435" s="7" t="s">
        <v>247</v>
      </c>
      <c r="C435" s="7" t="s">
        <v>292</v>
      </c>
      <c r="D435" s="5">
        <v>2</v>
      </c>
      <c r="E435" s="5">
        <v>3</v>
      </c>
      <c r="F435" s="5">
        <v>0</v>
      </c>
      <c r="G435" s="5">
        <v>0</v>
      </c>
      <c r="H435" s="6">
        <f t="shared" si="30"/>
        <v>8.4506316213339578E-7</v>
      </c>
      <c r="I435" s="6">
        <f t="shared" si="31"/>
        <v>0</v>
      </c>
      <c r="J435" s="6">
        <f t="shared" si="32"/>
        <v>0</v>
      </c>
      <c r="K435" s="6">
        <f t="shared" si="33"/>
        <v>0</v>
      </c>
      <c r="L435" s="6">
        <f t="shared" si="34"/>
        <v>0</v>
      </c>
    </row>
    <row r="436" spans="1:12" ht="22.95" customHeight="1">
      <c r="A436" s="5">
        <v>3</v>
      </c>
      <c r="B436" s="7" t="s">
        <v>119</v>
      </c>
      <c r="C436" s="7" t="s">
        <v>303</v>
      </c>
      <c r="D436" s="5">
        <v>713</v>
      </c>
      <c r="E436" s="5">
        <v>978</v>
      </c>
      <c r="F436" s="5">
        <v>308</v>
      </c>
      <c r="G436" s="5">
        <v>448</v>
      </c>
      <c r="H436" s="6">
        <f t="shared" si="30"/>
        <v>3.0126501730055557E-4</v>
      </c>
      <c r="I436" s="6">
        <f t="shared" si="31"/>
        <v>0.43197755960729312</v>
      </c>
      <c r="J436" s="6">
        <f t="shared" si="32"/>
        <v>0.45807770961145194</v>
      </c>
      <c r="K436" s="6">
        <f t="shared" si="33"/>
        <v>1.3013972696854294E-4</v>
      </c>
      <c r="L436" s="6">
        <f t="shared" si="34"/>
        <v>1.3800278911109293E-4</v>
      </c>
    </row>
    <row r="437" spans="1:12" ht="22.95" customHeight="1">
      <c r="A437" s="5">
        <v>3</v>
      </c>
      <c r="B437" s="7" t="s">
        <v>159</v>
      </c>
      <c r="C437" s="7" t="s">
        <v>303</v>
      </c>
      <c r="D437" s="5">
        <v>42</v>
      </c>
      <c r="E437" s="5">
        <v>57</v>
      </c>
      <c r="F437" s="5">
        <v>14</v>
      </c>
      <c r="G437" s="5">
        <v>16</v>
      </c>
      <c r="H437" s="6">
        <f t="shared" si="30"/>
        <v>1.7746326404801312E-5</v>
      </c>
      <c r="I437" s="6">
        <f t="shared" si="31"/>
        <v>0.33333333333333331</v>
      </c>
      <c r="J437" s="6">
        <f t="shared" si="32"/>
        <v>0.2807017543859649</v>
      </c>
      <c r="K437" s="6">
        <f t="shared" si="33"/>
        <v>5.9154421349337707E-6</v>
      </c>
      <c r="L437" s="6">
        <f t="shared" si="34"/>
        <v>4.9814249557337011E-6</v>
      </c>
    </row>
    <row r="438" spans="1:12" ht="22.95" customHeight="1">
      <c r="A438" s="5">
        <v>3</v>
      </c>
      <c r="B438" s="7" t="s">
        <v>145</v>
      </c>
      <c r="C438" s="7" t="s">
        <v>294</v>
      </c>
      <c r="D438" s="5">
        <v>66</v>
      </c>
      <c r="E438" s="5">
        <v>70</v>
      </c>
      <c r="F438" s="5">
        <v>32</v>
      </c>
      <c r="G438" s="5">
        <v>34</v>
      </c>
      <c r="H438" s="6">
        <f t="shared" si="30"/>
        <v>2.7887084350402059E-5</v>
      </c>
      <c r="I438" s="6">
        <f t="shared" si="31"/>
        <v>0.48484848484848486</v>
      </c>
      <c r="J438" s="6">
        <f t="shared" si="32"/>
        <v>0.48571428571428571</v>
      </c>
      <c r="K438" s="6">
        <f t="shared" si="33"/>
        <v>1.3521010594134333E-5</v>
      </c>
      <c r="L438" s="6">
        <f t="shared" si="34"/>
        <v>1.3545155255909571E-5</v>
      </c>
    </row>
    <row r="439" spans="1:12" ht="22.95" customHeight="1">
      <c r="A439" s="5">
        <v>3</v>
      </c>
      <c r="B439" s="7" t="s">
        <v>232</v>
      </c>
      <c r="C439" s="7" t="s">
        <v>292</v>
      </c>
      <c r="D439" s="5">
        <v>2</v>
      </c>
      <c r="E439" s="5">
        <v>6</v>
      </c>
      <c r="F439" s="5">
        <v>0</v>
      </c>
      <c r="G439" s="5">
        <v>5</v>
      </c>
      <c r="H439" s="6">
        <f t="shared" si="30"/>
        <v>8.4506316213339578E-7</v>
      </c>
      <c r="I439" s="6">
        <f t="shared" si="31"/>
        <v>0</v>
      </c>
      <c r="J439" s="6">
        <f t="shared" si="32"/>
        <v>0.83333333333333337</v>
      </c>
      <c r="K439" s="6">
        <f t="shared" si="33"/>
        <v>0</v>
      </c>
      <c r="L439" s="6">
        <f t="shared" si="34"/>
        <v>7.0421930177782982E-7</v>
      </c>
    </row>
    <row r="440" spans="1:12" ht="22.95" customHeight="1">
      <c r="A440" s="5">
        <v>3</v>
      </c>
      <c r="B440" s="7" t="s">
        <v>174</v>
      </c>
      <c r="C440" s="7" t="s">
        <v>296</v>
      </c>
      <c r="D440" s="5">
        <v>48</v>
      </c>
      <c r="E440" s="5">
        <v>61</v>
      </c>
      <c r="F440" s="5">
        <v>0</v>
      </c>
      <c r="G440" s="5">
        <v>0</v>
      </c>
      <c r="H440" s="6">
        <f t="shared" si="30"/>
        <v>2.0281515891201497E-5</v>
      </c>
      <c r="I440" s="6">
        <f t="shared" si="31"/>
        <v>0</v>
      </c>
      <c r="J440" s="6">
        <f t="shared" si="32"/>
        <v>0</v>
      </c>
      <c r="K440" s="6">
        <f t="shared" si="33"/>
        <v>0</v>
      </c>
      <c r="L440" s="6">
        <f t="shared" si="34"/>
        <v>0</v>
      </c>
    </row>
    <row r="441" spans="1:12" ht="22.95" customHeight="1">
      <c r="A441" s="5">
        <v>3</v>
      </c>
      <c r="B441" s="7" t="s">
        <v>273</v>
      </c>
      <c r="C441" s="7" t="s">
        <v>294</v>
      </c>
      <c r="D441" s="5">
        <v>1081</v>
      </c>
      <c r="E441" s="5">
        <v>844</v>
      </c>
      <c r="F441" s="5">
        <v>955</v>
      </c>
      <c r="G441" s="5">
        <v>705</v>
      </c>
      <c r="H441" s="6">
        <f t="shared" si="30"/>
        <v>4.567566391331004E-4</v>
      </c>
      <c r="I441" s="6">
        <f t="shared" si="31"/>
        <v>0.88344125809435703</v>
      </c>
      <c r="J441" s="6">
        <f t="shared" si="32"/>
        <v>0.83530805687203791</v>
      </c>
      <c r="K441" s="6">
        <f t="shared" si="33"/>
        <v>4.0351765991869645E-4</v>
      </c>
      <c r="L441" s="6">
        <f t="shared" si="34"/>
        <v>3.8153250069767274E-4</v>
      </c>
    </row>
    <row r="442" spans="1:12" ht="22.95" customHeight="1">
      <c r="A442" s="5">
        <v>3</v>
      </c>
      <c r="B442" s="7" t="s">
        <v>236</v>
      </c>
      <c r="C442" s="7" t="s">
        <v>303</v>
      </c>
      <c r="D442" s="5">
        <v>1</v>
      </c>
      <c r="E442" s="5">
        <v>2</v>
      </c>
      <c r="F442" s="5">
        <v>1</v>
      </c>
      <c r="G442" s="5">
        <v>1</v>
      </c>
      <c r="H442" s="6">
        <f t="shared" si="30"/>
        <v>4.2253158106669789E-7</v>
      </c>
      <c r="I442" s="6">
        <f t="shared" si="31"/>
        <v>1</v>
      </c>
      <c r="J442" s="6">
        <f t="shared" si="32"/>
        <v>0.5</v>
      </c>
      <c r="K442" s="6">
        <f t="shared" si="33"/>
        <v>4.2253158106669789E-7</v>
      </c>
      <c r="L442" s="6">
        <f t="shared" si="34"/>
        <v>2.1126579053334895E-7</v>
      </c>
    </row>
    <row r="443" spans="1:12" ht="22.95" customHeight="1">
      <c r="A443" s="5">
        <v>3</v>
      </c>
      <c r="B443" s="7" t="s">
        <v>176</v>
      </c>
      <c r="C443" s="7" t="s">
        <v>301</v>
      </c>
      <c r="D443" s="5">
        <v>13</v>
      </c>
      <c r="E443" s="5">
        <v>29</v>
      </c>
      <c r="F443" s="5">
        <v>4</v>
      </c>
      <c r="G443" s="5">
        <v>11</v>
      </c>
      <c r="H443" s="6">
        <f t="shared" si="30"/>
        <v>5.4929105538670721E-6</v>
      </c>
      <c r="I443" s="6">
        <f t="shared" si="31"/>
        <v>0.30769230769230771</v>
      </c>
      <c r="J443" s="6">
        <f t="shared" si="32"/>
        <v>0.37931034482758619</v>
      </c>
      <c r="K443" s="6">
        <f t="shared" si="33"/>
        <v>1.6901263242667916E-6</v>
      </c>
      <c r="L443" s="6">
        <f t="shared" si="34"/>
        <v>2.0835177962944064E-6</v>
      </c>
    </row>
    <row r="444" spans="1:12" ht="22.95" customHeight="1">
      <c r="A444" s="5">
        <v>3</v>
      </c>
      <c r="B444" s="7" t="s">
        <v>169</v>
      </c>
      <c r="C444" s="7" t="s">
        <v>292</v>
      </c>
      <c r="D444" s="5">
        <v>89</v>
      </c>
      <c r="E444" s="5">
        <v>87</v>
      </c>
      <c r="F444" s="5">
        <v>70</v>
      </c>
      <c r="G444" s="5">
        <v>56</v>
      </c>
      <c r="H444" s="6">
        <f t="shared" si="30"/>
        <v>3.7605310714936111E-5</v>
      </c>
      <c r="I444" s="6">
        <f t="shared" si="31"/>
        <v>0.7865168539325843</v>
      </c>
      <c r="J444" s="6">
        <f t="shared" si="32"/>
        <v>0.64367816091954022</v>
      </c>
      <c r="K444" s="6">
        <f t="shared" si="33"/>
        <v>2.9577210674668854E-5</v>
      </c>
      <c r="L444" s="6">
        <f t="shared" si="34"/>
        <v>2.4205717241797956E-5</v>
      </c>
    </row>
    <row r="445" spans="1:12" ht="22.95" customHeight="1">
      <c r="A445" s="5">
        <v>3</v>
      </c>
      <c r="B445" s="7" t="s">
        <v>234</v>
      </c>
      <c r="C445" s="7" t="s">
        <v>292</v>
      </c>
      <c r="D445" s="5">
        <v>286</v>
      </c>
      <c r="E445" s="5">
        <v>322</v>
      </c>
      <c r="F445" s="5">
        <v>170</v>
      </c>
      <c r="G445" s="5">
        <v>201</v>
      </c>
      <c r="H445" s="6">
        <f t="shared" si="30"/>
        <v>1.2084403218507559E-4</v>
      </c>
      <c r="I445" s="6">
        <f t="shared" si="31"/>
        <v>0.59440559440559437</v>
      </c>
      <c r="J445" s="6">
        <f t="shared" si="32"/>
        <v>0.62422360248447206</v>
      </c>
      <c r="K445" s="6">
        <f t="shared" si="33"/>
        <v>7.1830368781338632E-5</v>
      </c>
      <c r="L445" s="6">
        <f t="shared" si="34"/>
        <v>7.5433697109317368E-5</v>
      </c>
    </row>
    <row r="446" spans="1:12" ht="22.95" customHeight="1">
      <c r="A446" s="5">
        <v>3</v>
      </c>
      <c r="B446" s="7" t="s">
        <v>141</v>
      </c>
      <c r="C446" s="7" t="s">
        <v>298</v>
      </c>
      <c r="D446" s="5">
        <v>502</v>
      </c>
      <c r="E446" s="5">
        <v>554</v>
      </c>
      <c r="F446" s="5">
        <v>103</v>
      </c>
      <c r="G446" s="5">
        <v>126</v>
      </c>
      <c r="H446" s="6">
        <f t="shared" si="30"/>
        <v>2.1211085369548233E-4</v>
      </c>
      <c r="I446" s="6">
        <f t="shared" si="31"/>
        <v>0.20517928286852591</v>
      </c>
      <c r="J446" s="6">
        <f t="shared" si="32"/>
        <v>0.22743682310469315</v>
      </c>
      <c r="K446" s="6">
        <f t="shared" si="33"/>
        <v>4.3520752849869885E-5</v>
      </c>
      <c r="L446" s="6">
        <f t="shared" si="34"/>
        <v>4.8241818710524865E-5</v>
      </c>
    </row>
    <row r="447" spans="1:12" ht="22.95" customHeight="1">
      <c r="A447" s="5">
        <v>3</v>
      </c>
      <c r="B447" s="7" t="s">
        <v>166</v>
      </c>
      <c r="C447" s="7" t="s">
        <v>292</v>
      </c>
      <c r="D447" s="5">
        <v>112</v>
      </c>
      <c r="E447" s="5">
        <v>126</v>
      </c>
      <c r="F447" s="5">
        <v>61</v>
      </c>
      <c r="G447" s="5">
        <v>57</v>
      </c>
      <c r="H447" s="6">
        <f t="shared" si="30"/>
        <v>4.7323537079470166E-5</v>
      </c>
      <c r="I447" s="6">
        <f t="shared" si="31"/>
        <v>0.5446428571428571</v>
      </c>
      <c r="J447" s="6">
        <f t="shared" si="32"/>
        <v>0.45238095238095238</v>
      </c>
      <c r="K447" s="6">
        <f t="shared" si="33"/>
        <v>2.5774426445068569E-5</v>
      </c>
      <c r="L447" s="6">
        <f t="shared" si="34"/>
        <v>2.1408266774046029E-5</v>
      </c>
    </row>
    <row r="448" spans="1:12" ht="22.95" customHeight="1">
      <c r="A448" s="5">
        <v>3</v>
      </c>
      <c r="B448" s="7" t="s">
        <v>104</v>
      </c>
      <c r="C448" s="7" t="s">
        <v>293</v>
      </c>
      <c r="D448" s="5">
        <v>1259</v>
      </c>
      <c r="E448" s="5">
        <v>1573</v>
      </c>
      <c r="F448" s="5">
        <v>418</v>
      </c>
      <c r="G448" s="5">
        <v>880</v>
      </c>
      <c r="H448" s="6">
        <f t="shared" si="30"/>
        <v>5.3196726056297262E-4</v>
      </c>
      <c r="I448" s="6">
        <f t="shared" si="31"/>
        <v>0.33200953137410644</v>
      </c>
      <c r="J448" s="6">
        <f t="shared" si="32"/>
        <v>0.55944055944055948</v>
      </c>
      <c r="K448" s="6">
        <f t="shared" si="33"/>
        <v>1.766182008858797E-4</v>
      </c>
      <c r="L448" s="6">
        <f t="shared" si="34"/>
        <v>2.9760406185341126E-4</v>
      </c>
    </row>
    <row r="449" spans="1:12" ht="22.95" customHeight="1">
      <c r="A449" s="5">
        <v>3</v>
      </c>
      <c r="B449" s="7" t="s">
        <v>282</v>
      </c>
      <c r="C449" s="7" t="s">
        <v>292</v>
      </c>
      <c r="D449" s="5">
        <v>3697</v>
      </c>
      <c r="E449" s="5">
        <v>2907</v>
      </c>
      <c r="F449" s="5">
        <v>2978</v>
      </c>
      <c r="G449" s="5">
        <v>1085</v>
      </c>
      <c r="H449" s="6">
        <f t="shared" si="30"/>
        <v>1.562099255203582E-3</v>
      </c>
      <c r="I449" s="6">
        <f t="shared" si="31"/>
        <v>0.80551798755747905</v>
      </c>
      <c r="J449" s="6">
        <f t="shared" si="32"/>
        <v>0.37323701410388715</v>
      </c>
      <c r="K449" s="6">
        <f t="shared" si="33"/>
        <v>1.2582990484166262E-3</v>
      </c>
      <c r="L449" s="6">
        <f t="shared" si="34"/>
        <v>5.8303326174609089E-4</v>
      </c>
    </row>
    <row r="450" spans="1:12" ht="22.95" customHeight="1">
      <c r="A450" s="5">
        <v>3</v>
      </c>
      <c r="B450" s="7" t="s">
        <v>270</v>
      </c>
      <c r="C450" s="7" t="s">
        <v>303</v>
      </c>
      <c r="D450" s="5">
        <v>330</v>
      </c>
      <c r="E450" s="5">
        <v>209</v>
      </c>
      <c r="F450" s="5">
        <v>71</v>
      </c>
      <c r="G450" s="5">
        <v>63</v>
      </c>
      <c r="H450" s="6">
        <f t="shared" si="30"/>
        <v>1.3943542175201031E-4</v>
      </c>
      <c r="I450" s="6">
        <f t="shared" si="31"/>
        <v>0.21515151515151515</v>
      </c>
      <c r="J450" s="6">
        <f t="shared" si="32"/>
        <v>0.30143540669856461</v>
      </c>
      <c r="K450" s="6">
        <f t="shared" si="33"/>
        <v>2.9999742255735549E-5</v>
      </c>
      <c r="L450" s="6">
        <f t="shared" si="34"/>
        <v>4.2030773064003107E-5</v>
      </c>
    </row>
    <row r="451" spans="1:12" ht="22.95" customHeight="1">
      <c r="A451" s="5">
        <v>3</v>
      </c>
      <c r="B451" s="7" t="s">
        <v>250</v>
      </c>
      <c r="C451" s="7" t="s">
        <v>303</v>
      </c>
      <c r="D451" s="5">
        <v>46</v>
      </c>
      <c r="E451" s="5">
        <v>19</v>
      </c>
      <c r="F451" s="5">
        <v>31</v>
      </c>
      <c r="G451" s="5">
        <v>10</v>
      </c>
      <c r="H451" s="6">
        <f t="shared" si="30"/>
        <v>1.9436452729068103E-5</v>
      </c>
      <c r="I451" s="6">
        <f t="shared" si="31"/>
        <v>0.67391304347826086</v>
      </c>
      <c r="J451" s="6">
        <f t="shared" si="32"/>
        <v>0.52631578947368418</v>
      </c>
      <c r="K451" s="6">
        <f t="shared" si="33"/>
        <v>1.3098479013067634E-5</v>
      </c>
      <c r="L451" s="6">
        <f t="shared" si="34"/>
        <v>1.0229711962667422E-5</v>
      </c>
    </row>
    <row r="452" spans="1:12" ht="22.95" customHeight="1">
      <c r="A452" s="5">
        <v>3</v>
      </c>
      <c r="B452" s="7" t="s">
        <v>182</v>
      </c>
      <c r="C452" s="7" t="s">
        <v>291</v>
      </c>
      <c r="D452" s="5">
        <v>1</v>
      </c>
      <c r="E452" s="5">
        <v>4</v>
      </c>
      <c r="F452" s="5">
        <v>0</v>
      </c>
      <c r="G452" s="5">
        <v>0</v>
      </c>
      <c r="H452" s="6">
        <f t="shared" si="30"/>
        <v>4.2253158106669789E-7</v>
      </c>
      <c r="I452" s="6">
        <f t="shared" si="31"/>
        <v>0</v>
      </c>
      <c r="J452" s="6">
        <f t="shared" si="32"/>
        <v>0</v>
      </c>
      <c r="K452" s="6">
        <f t="shared" si="33"/>
        <v>0</v>
      </c>
      <c r="L452" s="6">
        <f t="shared" si="34"/>
        <v>0</v>
      </c>
    </row>
    <row r="453" spans="1:12" ht="22.95" customHeight="1">
      <c r="A453" s="5">
        <v>3</v>
      </c>
      <c r="B453" s="7" t="s">
        <v>245</v>
      </c>
      <c r="C453" s="7" t="s">
        <v>293</v>
      </c>
      <c r="D453" s="5">
        <v>69</v>
      </c>
      <c r="E453" s="5">
        <v>74</v>
      </c>
      <c r="F453" s="5">
        <v>19</v>
      </c>
      <c r="G453" s="5">
        <v>19</v>
      </c>
      <c r="H453" s="6">
        <f t="shared" si="30"/>
        <v>2.9154679093602155E-5</v>
      </c>
      <c r="I453" s="6">
        <f t="shared" si="31"/>
        <v>0.27536231884057971</v>
      </c>
      <c r="J453" s="6">
        <f t="shared" si="32"/>
        <v>0.25675675675675674</v>
      </c>
      <c r="K453" s="6">
        <f t="shared" si="33"/>
        <v>8.0281000402672605E-6</v>
      </c>
      <c r="L453" s="6">
        <f t="shared" si="34"/>
        <v>7.4856608483573094E-6</v>
      </c>
    </row>
    <row r="454" spans="1:12" ht="22.95" customHeight="1">
      <c r="A454" s="5">
        <v>3</v>
      </c>
      <c r="B454" s="7" t="s">
        <v>108</v>
      </c>
      <c r="C454" s="7" t="s">
        <v>294</v>
      </c>
      <c r="D454" s="5">
        <v>4932</v>
      </c>
      <c r="E454" s="5">
        <v>5989</v>
      </c>
      <c r="F454" s="5">
        <v>3995</v>
      </c>
      <c r="G454" s="5">
        <v>5047</v>
      </c>
      <c r="H454" s="6">
        <f t="shared" si="30"/>
        <v>2.0839257578209539E-3</v>
      </c>
      <c r="I454" s="6">
        <f t="shared" si="31"/>
        <v>0.81001622060016221</v>
      </c>
      <c r="J454" s="6">
        <f t="shared" si="32"/>
        <v>0.84271163800300553</v>
      </c>
      <c r="K454" s="6">
        <f t="shared" si="33"/>
        <v>1.6880136663614579E-3</v>
      </c>
      <c r="L454" s="6">
        <f t="shared" si="34"/>
        <v>1.7561484888499507E-3</v>
      </c>
    </row>
    <row r="455" spans="1:12" ht="22.95" customHeight="1">
      <c r="A455" s="5">
        <v>3</v>
      </c>
      <c r="B455" s="7" t="s">
        <v>276</v>
      </c>
      <c r="C455" s="7" t="s">
        <v>295</v>
      </c>
      <c r="D455" s="5">
        <v>5477</v>
      </c>
      <c r="E455" s="5">
        <v>5199</v>
      </c>
      <c r="F455" s="5">
        <v>2549</v>
      </c>
      <c r="G455" s="5">
        <v>2292</v>
      </c>
      <c r="H455" s="6">
        <f t="shared" si="30"/>
        <v>2.3142054695023044E-3</v>
      </c>
      <c r="I455" s="6">
        <f t="shared" si="31"/>
        <v>0.46540076684316234</v>
      </c>
      <c r="J455" s="6">
        <f t="shared" si="32"/>
        <v>0.44085401038661282</v>
      </c>
      <c r="K455" s="6">
        <f t="shared" si="33"/>
        <v>1.077033000139013E-3</v>
      </c>
      <c r="L455" s="6">
        <f t="shared" si="34"/>
        <v>1.0202267620887252E-3</v>
      </c>
    </row>
    <row r="456" spans="1:12" ht="22.95" customHeight="1">
      <c r="A456" s="5">
        <v>3</v>
      </c>
      <c r="B456" s="7" t="s">
        <v>281</v>
      </c>
      <c r="C456" s="7" t="s">
        <v>305</v>
      </c>
      <c r="D456" s="5">
        <v>1721</v>
      </c>
      <c r="E456" s="5">
        <v>1025</v>
      </c>
      <c r="F456" s="5">
        <v>1696</v>
      </c>
      <c r="G456" s="5">
        <v>1005</v>
      </c>
      <c r="H456" s="6">
        <f t="shared" si="30"/>
        <v>7.2717685101578709E-4</v>
      </c>
      <c r="I456" s="6">
        <f t="shared" si="31"/>
        <v>0.98547356188262636</v>
      </c>
      <c r="J456" s="6">
        <f t="shared" si="32"/>
        <v>0.98048780487804876</v>
      </c>
      <c r="K456" s="6">
        <f t="shared" si="33"/>
        <v>7.1661356148911958E-4</v>
      </c>
      <c r="L456" s="6">
        <f t="shared" si="34"/>
        <v>7.1298803441060101E-4</v>
      </c>
    </row>
    <row r="457" spans="1:12" ht="22.95" customHeight="1">
      <c r="A457" s="5">
        <v>3</v>
      </c>
      <c r="B457" s="7" t="s">
        <v>207</v>
      </c>
      <c r="C457" s="7" t="s">
        <v>295</v>
      </c>
      <c r="D457" s="5">
        <v>256</v>
      </c>
      <c r="E457" s="5">
        <v>281</v>
      </c>
      <c r="F457" s="5">
        <v>225</v>
      </c>
      <c r="G457" s="5">
        <v>267</v>
      </c>
      <c r="H457" s="6">
        <f t="shared" si="30"/>
        <v>1.0816808475307466E-4</v>
      </c>
      <c r="I457" s="6">
        <f t="shared" si="31"/>
        <v>0.87890625</v>
      </c>
      <c r="J457" s="6">
        <f t="shared" si="32"/>
        <v>0.95017793594306055</v>
      </c>
      <c r="K457" s="6">
        <f t="shared" si="33"/>
        <v>9.506960574000703E-5</v>
      </c>
      <c r="L457" s="6">
        <f t="shared" si="34"/>
        <v>1.0277892750559052E-4</v>
      </c>
    </row>
    <row r="458" spans="1:12" ht="22.95" customHeight="1">
      <c r="A458" s="5">
        <v>3</v>
      </c>
      <c r="B458" s="7" t="s">
        <v>269</v>
      </c>
      <c r="C458" s="7" t="s">
        <v>295</v>
      </c>
      <c r="D458" s="5">
        <v>540</v>
      </c>
      <c r="E458" s="5">
        <v>329</v>
      </c>
      <c r="F458" s="5">
        <v>482</v>
      </c>
      <c r="G458" s="5">
        <v>294</v>
      </c>
      <c r="H458" s="6">
        <f t="shared" si="30"/>
        <v>2.2816705377601686E-4</v>
      </c>
      <c r="I458" s="6">
        <f t="shared" si="31"/>
        <v>0.8925925925925926</v>
      </c>
      <c r="J458" s="6">
        <f t="shared" si="32"/>
        <v>0.8936170212765957</v>
      </c>
      <c r="K458" s="6">
        <f t="shared" si="33"/>
        <v>2.0366022207414839E-4</v>
      </c>
      <c r="L458" s="6">
        <f t="shared" si="34"/>
        <v>2.0389396294878101E-4</v>
      </c>
    </row>
    <row r="459" spans="1:12" ht="22.95" customHeight="1">
      <c r="A459" s="5">
        <v>3</v>
      </c>
      <c r="B459" s="7" t="s">
        <v>284</v>
      </c>
      <c r="C459" s="7" t="s">
        <v>295</v>
      </c>
      <c r="D459" s="5">
        <v>28850</v>
      </c>
      <c r="E459" s="5">
        <v>31823</v>
      </c>
      <c r="F459" s="5">
        <v>15493</v>
      </c>
      <c r="G459" s="5">
        <v>19727</v>
      </c>
      <c r="H459" s="6">
        <f t="shared" si="30"/>
        <v>1.2190036113774234E-2</v>
      </c>
      <c r="I459" s="6">
        <f t="shared" si="31"/>
        <v>0.5370190641247834</v>
      </c>
      <c r="J459" s="6">
        <f t="shared" si="32"/>
        <v>0.61989755836973259</v>
      </c>
      <c r="K459" s="6">
        <f t="shared" si="33"/>
        <v>6.546281785466351E-3</v>
      </c>
      <c r="L459" s="6">
        <f t="shared" si="34"/>
        <v>7.5565736233675117E-3</v>
      </c>
    </row>
    <row r="460" spans="1:12" ht="22.95" customHeight="1">
      <c r="A460" s="5">
        <v>3</v>
      </c>
      <c r="B460" s="7" t="s">
        <v>117</v>
      </c>
      <c r="C460" s="7" t="s">
        <v>295</v>
      </c>
      <c r="D460" s="5">
        <v>8320</v>
      </c>
      <c r="E460" s="5">
        <v>10865</v>
      </c>
      <c r="F460" s="5">
        <v>3769</v>
      </c>
      <c r="G460" s="5">
        <v>5828</v>
      </c>
      <c r="H460" s="6">
        <f t="shared" si="30"/>
        <v>3.5154627544749266E-3</v>
      </c>
      <c r="I460" s="6">
        <f t="shared" si="31"/>
        <v>0.45300480769230766</v>
      </c>
      <c r="J460" s="6">
        <f t="shared" si="32"/>
        <v>0.53640128854118729</v>
      </c>
      <c r="K460" s="6">
        <f t="shared" si="33"/>
        <v>1.5925215290403844E-3</v>
      </c>
      <c r="L460" s="6">
        <f t="shared" si="34"/>
        <v>1.8856987513189022E-3</v>
      </c>
    </row>
    <row r="461" spans="1:12" ht="22.95" customHeight="1">
      <c r="A461" s="5">
        <v>3</v>
      </c>
      <c r="B461" s="7" t="s">
        <v>99</v>
      </c>
      <c r="C461" s="7" t="s">
        <v>295</v>
      </c>
      <c r="D461" s="5">
        <v>3026</v>
      </c>
      <c r="E461" s="5">
        <v>4306</v>
      </c>
      <c r="F461" s="5">
        <v>1518</v>
      </c>
      <c r="G461" s="5">
        <v>2369</v>
      </c>
      <c r="H461" s="6">
        <f t="shared" si="30"/>
        <v>1.2785805643078278E-3</v>
      </c>
      <c r="I461" s="6">
        <f t="shared" si="31"/>
        <v>0.50165234633179112</v>
      </c>
      <c r="J461" s="6">
        <f t="shared" si="32"/>
        <v>0.55016256386437534</v>
      </c>
      <c r="K461" s="6">
        <f t="shared" si="33"/>
        <v>6.4140294005924736E-4</v>
      </c>
      <c r="L461" s="6">
        <f t="shared" si="34"/>
        <v>7.0342716136675434E-4</v>
      </c>
    </row>
    <row r="462" spans="1:12" ht="22.95" customHeight="1">
      <c r="A462" s="5">
        <v>3</v>
      </c>
      <c r="B462" s="7" t="s">
        <v>181</v>
      </c>
      <c r="C462" s="7" t="s">
        <v>295</v>
      </c>
      <c r="D462" s="5">
        <v>1870</v>
      </c>
      <c r="E462" s="5">
        <v>2042</v>
      </c>
      <c r="F462" s="5">
        <v>1512</v>
      </c>
      <c r="G462" s="5">
        <v>1619</v>
      </c>
      <c r="H462" s="6">
        <f t="shared" si="30"/>
        <v>7.9013405659472506E-4</v>
      </c>
      <c r="I462" s="6">
        <f t="shared" si="31"/>
        <v>0.80855614973262036</v>
      </c>
      <c r="J462" s="6">
        <f t="shared" si="32"/>
        <v>0.79285014691478939</v>
      </c>
      <c r="K462" s="6">
        <f t="shared" si="33"/>
        <v>6.3886775057284725E-4</v>
      </c>
      <c r="L462" s="6">
        <f t="shared" si="34"/>
        <v>6.2645790285350623E-4</v>
      </c>
    </row>
    <row r="463" spans="1:12" ht="22.95" customHeight="1">
      <c r="A463" s="5">
        <v>3</v>
      </c>
      <c r="B463" s="7" t="s">
        <v>139</v>
      </c>
      <c r="C463" s="7" t="s">
        <v>303</v>
      </c>
      <c r="D463" s="5">
        <v>46</v>
      </c>
      <c r="E463" s="5">
        <v>68</v>
      </c>
      <c r="F463" s="5">
        <v>31</v>
      </c>
      <c r="G463" s="5">
        <v>54</v>
      </c>
      <c r="H463" s="6">
        <f t="shared" si="30"/>
        <v>1.9436452729068103E-5</v>
      </c>
      <c r="I463" s="6">
        <f t="shared" si="31"/>
        <v>0.67391304347826086</v>
      </c>
      <c r="J463" s="6">
        <f t="shared" si="32"/>
        <v>0.79411764705882348</v>
      </c>
      <c r="K463" s="6">
        <f t="shared" si="33"/>
        <v>1.3098479013067634E-5</v>
      </c>
      <c r="L463" s="6">
        <f t="shared" si="34"/>
        <v>1.543483010837761E-5</v>
      </c>
    </row>
    <row r="464" spans="1:12" ht="22.95" customHeight="1">
      <c r="A464" s="5">
        <v>3</v>
      </c>
      <c r="B464" s="7" t="s">
        <v>152</v>
      </c>
      <c r="C464" s="7" t="s">
        <v>290</v>
      </c>
      <c r="D464" s="5">
        <v>95</v>
      </c>
      <c r="E464" s="5">
        <v>98</v>
      </c>
      <c r="F464" s="5">
        <v>49</v>
      </c>
      <c r="G464" s="5">
        <v>49</v>
      </c>
      <c r="H464" s="6">
        <f t="shared" si="30"/>
        <v>4.0140500201336296E-5</v>
      </c>
      <c r="I464" s="6">
        <f t="shared" si="31"/>
        <v>0.51578947368421058</v>
      </c>
      <c r="J464" s="6">
        <f t="shared" si="32"/>
        <v>0.5</v>
      </c>
      <c r="K464" s="6">
        <f t="shared" si="33"/>
        <v>2.0704047472268196E-5</v>
      </c>
      <c r="L464" s="6">
        <f t="shared" si="34"/>
        <v>2.0070250100668148E-5</v>
      </c>
    </row>
    <row r="465" spans="1:12" ht="22.95" customHeight="1">
      <c r="A465" s="5">
        <v>3</v>
      </c>
      <c r="B465" s="7" t="s">
        <v>122</v>
      </c>
      <c r="C465" s="7" t="s">
        <v>292</v>
      </c>
      <c r="D465" s="5">
        <v>1413</v>
      </c>
      <c r="E465" s="5">
        <v>1837</v>
      </c>
      <c r="F465" s="5">
        <v>913</v>
      </c>
      <c r="G465" s="5">
        <v>1261</v>
      </c>
      <c r="H465" s="6">
        <f t="shared" si="30"/>
        <v>5.9703712404724407E-4</v>
      </c>
      <c r="I465" s="6">
        <f t="shared" si="31"/>
        <v>0.64614295824486911</v>
      </c>
      <c r="J465" s="6">
        <f t="shared" si="32"/>
        <v>0.68644529123571041</v>
      </c>
      <c r="K465" s="6">
        <f t="shared" si="33"/>
        <v>3.8577133351389519E-4</v>
      </c>
      <c r="L465" s="6">
        <f t="shared" si="34"/>
        <v>4.098333224951414E-4</v>
      </c>
    </row>
    <row r="466" spans="1:12" ht="22.95" customHeight="1">
      <c r="A466" s="5">
        <v>3</v>
      </c>
      <c r="B466" s="7" t="s">
        <v>265</v>
      </c>
      <c r="C466" s="7" t="s">
        <v>291</v>
      </c>
      <c r="D466" s="5">
        <v>239</v>
      </c>
      <c r="E466" s="5">
        <v>191</v>
      </c>
      <c r="F466" s="5">
        <v>195</v>
      </c>
      <c r="G466" s="5">
        <v>148</v>
      </c>
      <c r="H466" s="6">
        <f t="shared" si="30"/>
        <v>1.009850478749408E-4</v>
      </c>
      <c r="I466" s="6">
        <f t="shared" si="31"/>
        <v>0.81589958158995812</v>
      </c>
      <c r="J466" s="6">
        <f t="shared" si="32"/>
        <v>0.77486910994764402</v>
      </c>
      <c r="K466" s="6">
        <f t="shared" si="33"/>
        <v>8.2393658308006084E-5</v>
      </c>
      <c r="L466" s="6">
        <f t="shared" si="34"/>
        <v>7.8250194164875602E-5</v>
      </c>
    </row>
    <row r="467" spans="1:12" ht="22.95" customHeight="1">
      <c r="A467" s="5">
        <v>3</v>
      </c>
      <c r="B467" s="7" t="s">
        <v>109</v>
      </c>
      <c r="C467" s="7" t="s">
        <v>293</v>
      </c>
      <c r="D467" s="5">
        <v>857</v>
      </c>
      <c r="E467" s="5">
        <v>862</v>
      </c>
      <c r="F467" s="5">
        <v>360</v>
      </c>
      <c r="G467" s="5">
        <v>179</v>
      </c>
      <c r="H467" s="6">
        <f t="shared" si="30"/>
        <v>3.6210956497416006E-4</v>
      </c>
      <c r="I467" s="6">
        <f t="shared" si="31"/>
        <v>0.42007001166861141</v>
      </c>
      <c r="J467" s="6">
        <f t="shared" si="32"/>
        <v>0.20765661252900233</v>
      </c>
      <c r="K467" s="6">
        <f t="shared" si="33"/>
        <v>1.5211136918401121E-4</v>
      </c>
      <c r="L467" s="6">
        <f t="shared" si="34"/>
        <v>7.5194445626884757E-5</v>
      </c>
    </row>
    <row r="468" spans="1:12" ht="22.95" customHeight="1">
      <c r="A468" s="5">
        <v>3</v>
      </c>
      <c r="B468" s="7" t="s">
        <v>97</v>
      </c>
      <c r="C468" s="7" t="s">
        <v>290</v>
      </c>
      <c r="D468" s="5">
        <v>4690</v>
      </c>
      <c r="E468" s="5">
        <v>6014</v>
      </c>
      <c r="F468" s="5">
        <v>1530</v>
      </c>
      <c r="G468" s="5">
        <v>2057</v>
      </c>
      <c r="H468" s="6">
        <f t="shared" si="30"/>
        <v>1.9816731152028132E-3</v>
      </c>
      <c r="I468" s="6">
        <f t="shared" si="31"/>
        <v>0.32622601279317698</v>
      </c>
      <c r="J468" s="6">
        <f t="shared" si="32"/>
        <v>0.34203525108081145</v>
      </c>
      <c r="K468" s="6">
        <f t="shared" si="33"/>
        <v>6.464733190320478E-4</v>
      </c>
      <c r="L468" s="6">
        <f t="shared" si="34"/>
        <v>6.7780206151848803E-4</v>
      </c>
    </row>
    <row r="469" spans="1:12" ht="22.95" customHeight="1">
      <c r="A469" s="5">
        <v>3</v>
      </c>
      <c r="B469" s="7" t="s">
        <v>91</v>
      </c>
      <c r="C469" s="7" t="s">
        <v>290</v>
      </c>
      <c r="D469" s="5">
        <v>5668</v>
      </c>
      <c r="E469" s="5">
        <v>6927</v>
      </c>
      <c r="F469" s="5">
        <v>2516</v>
      </c>
      <c r="G469" s="5">
        <v>3349</v>
      </c>
      <c r="H469" s="6">
        <f t="shared" si="30"/>
        <v>2.3949090014860437E-3</v>
      </c>
      <c r="I469" s="6">
        <f t="shared" si="31"/>
        <v>0.44389555398729713</v>
      </c>
      <c r="J469" s="6">
        <f t="shared" si="32"/>
        <v>0.48347047784033492</v>
      </c>
      <c r="K469" s="6">
        <f t="shared" si="33"/>
        <v>1.063089457963812E-3</v>
      </c>
      <c r="L469" s="6">
        <f t="shared" si="34"/>
        <v>1.1578677993325768E-3</v>
      </c>
    </row>
    <row r="470" spans="1:12" ht="22.95" customHeight="1">
      <c r="A470" s="5">
        <v>3</v>
      </c>
      <c r="B470" s="7" t="s">
        <v>266</v>
      </c>
      <c r="C470" s="7" t="s">
        <v>295</v>
      </c>
      <c r="D470" s="5">
        <v>868</v>
      </c>
      <c r="E470" s="5">
        <v>812</v>
      </c>
      <c r="F470" s="5">
        <v>65</v>
      </c>
      <c r="G470" s="5">
        <v>30</v>
      </c>
      <c r="H470" s="6">
        <f t="shared" si="30"/>
        <v>3.6675741236589376E-4</v>
      </c>
      <c r="I470" s="6">
        <f t="shared" si="31"/>
        <v>7.4884792626728106E-2</v>
      </c>
      <c r="J470" s="6">
        <f t="shared" si="32"/>
        <v>3.6945812807881777E-2</v>
      </c>
      <c r="K470" s="6">
        <f t="shared" si="33"/>
        <v>2.746455276933536E-5</v>
      </c>
      <c r="L470" s="6">
        <f t="shared" si="34"/>
        <v>1.3550150703173416E-5</v>
      </c>
    </row>
    <row r="471" spans="1:12" ht="22.95" customHeight="1">
      <c r="A471" s="5">
        <v>3</v>
      </c>
      <c r="B471" s="7" t="s">
        <v>180</v>
      </c>
      <c r="C471" s="7" t="s">
        <v>294</v>
      </c>
      <c r="D471" s="5">
        <v>4</v>
      </c>
      <c r="E471" s="5">
        <v>4</v>
      </c>
      <c r="F471" s="5">
        <v>4</v>
      </c>
      <c r="G471" s="5">
        <v>3</v>
      </c>
      <c r="H471" s="6">
        <f t="shared" si="30"/>
        <v>1.6901263242667916E-6</v>
      </c>
      <c r="I471" s="6">
        <f t="shared" si="31"/>
        <v>1</v>
      </c>
      <c r="J471" s="6">
        <f t="shared" si="32"/>
        <v>0.75</v>
      </c>
      <c r="K471" s="6">
        <f t="shared" si="33"/>
        <v>1.6901263242667916E-6</v>
      </c>
      <c r="L471" s="6">
        <f t="shared" si="34"/>
        <v>1.2675947432000938E-6</v>
      </c>
    </row>
    <row r="472" spans="1:12" ht="22.95" customHeight="1">
      <c r="A472" s="5">
        <v>3</v>
      </c>
      <c r="B472" s="7" t="s">
        <v>134</v>
      </c>
      <c r="C472" s="7" t="s">
        <v>296</v>
      </c>
      <c r="D472" s="5">
        <v>237</v>
      </c>
      <c r="E472" s="5">
        <v>288</v>
      </c>
      <c r="F472" s="5">
        <v>0</v>
      </c>
      <c r="G472" s="5">
        <v>0</v>
      </c>
      <c r="H472" s="6">
        <f t="shared" si="30"/>
        <v>1.001399847128074E-4</v>
      </c>
      <c r="I472" s="6">
        <f t="shared" si="31"/>
        <v>0</v>
      </c>
      <c r="J472" s="6">
        <f t="shared" si="32"/>
        <v>0</v>
      </c>
      <c r="K472" s="6">
        <f t="shared" si="33"/>
        <v>0</v>
      </c>
      <c r="L472" s="6">
        <f t="shared" si="34"/>
        <v>0</v>
      </c>
    </row>
    <row r="473" spans="1:12" ht="22.95" customHeight="1">
      <c r="A473" s="5">
        <v>3</v>
      </c>
      <c r="B473" s="7" t="s">
        <v>184</v>
      </c>
      <c r="C473" s="7" t="s">
        <v>303</v>
      </c>
      <c r="D473" s="5">
        <v>3</v>
      </c>
      <c r="E473" s="5">
        <v>2</v>
      </c>
      <c r="F473" s="5">
        <v>3</v>
      </c>
      <c r="G473" s="5">
        <v>1</v>
      </c>
      <c r="H473" s="6">
        <f t="shared" si="30"/>
        <v>1.2675947432000936E-6</v>
      </c>
      <c r="I473" s="6">
        <f t="shared" si="31"/>
        <v>1</v>
      </c>
      <c r="J473" s="6">
        <f t="shared" si="32"/>
        <v>0.5</v>
      </c>
      <c r="K473" s="6">
        <f t="shared" si="33"/>
        <v>1.2675947432000936E-6</v>
      </c>
      <c r="L473" s="6">
        <f t="shared" si="34"/>
        <v>6.3379737160004679E-7</v>
      </c>
    </row>
    <row r="474" spans="1:12" ht="22.95" customHeight="1">
      <c r="A474" s="5">
        <v>3</v>
      </c>
      <c r="B474" s="7" t="s">
        <v>248</v>
      </c>
      <c r="C474" s="7" t="s">
        <v>295</v>
      </c>
      <c r="D474" s="5">
        <v>23</v>
      </c>
      <c r="E474" s="5">
        <v>9</v>
      </c>
      <c r="F474" s="5">
        <v>14</v>
      </c>
      <c r="G474" s="5">
        <v>6</v>
      </c>
      <c r="H474" s="6">
        <f t="shared" si="30"/>
        <v>9.7182263645340516E-6</v>
      </c>
      <c r="I474" s="6">
        <f t="shared" si="31"/>
        <v>0.60869565217391308</v>
      </c>
      <c r="J474" s="6">
        <f t="shared" si="32"/>
        <v>0.66666666666666663</v>
      </c>
      <c r="K474" s="6">
        <f t="shared" si="33"/>
        <v>5.9154421349337707E-6</v>
      </c>
      <c r="L474" s="6">
        <f t="shared" si="34"/>
        <v>6.4788175763560341E-6</v>
      </c>
    </row>
    <row r="475" spans="1:12" ht="22.95" customHeight="1">
      <c r="A475" s="5">
        <v>3</v>
      </c>
      <c r="B475" s="7" t="s">
        <v>195</v>
      </c>
      <c r="C475" s="7" t="s">
        <v>291</v>
      </c>
      <c r="D475" s="5">
        <v>6</v>
      </c>
      <c r="E475" s="5">
        <v>3</v>
      </c>
      <c r="F475" s="5">
        <v>2</v>
      </c>
      <c r="G475" s="5">
        <v>1</v>
      </c>
      <c r="H475" s="6">
        <f t="shared" si="30"/>
        <v>2.5351894864001871E-6</v>
      </c>
      <c r="I475" s="6">
        <f t="shared" si="31"/>
        <v>0.33333333333333331</v>
      </c>
      <c r="J475" s="6">
        <f t="shared" si="32"/>
        <v>0.33333333333333331</v>
      </c>
      <c r="K475" s="6">
        <f t="shared" si="33"/>
        <v>8.4506316213339568E-7</v>
      </c>
      <c r="L475" s="6">
        <f t="shared" si="34"/>
        <v>8.4506316213339568E-7</v>
      </c>
    </row>
    <row r="476" spans="1:12" ht="22.95" customHeight="1">
      <c r="A476" s="5">
        <v>3</v>
      </c>
      <c r="B476" s="7" t="s">
        <v>235</v>
      </c>
      <c r="C476" s="7" t="s">
        <v>303</v>
      </c>
      <c r="D476" s="5">
        <v>1</v>
      </c>
      <c r="E476" s="5">
        <v>1</v>
      </c>
      <c r="F476" s="5">
        <v>1</v>
      </c>
      <c r="G476" s="5">
        <v>0</v>
      </c>
      <c r="H476" s="6">
        <f t="shared" si="30"/>
        <v>4.2253158106669789E-7</v>
      </c>
      <c r="I476" s="6">
        <f t="shared" si="31"/>
        <v>1</v>
      </c>
      <c r="J476" s="6">
        <f t="shared" si="32"/>
        <v>0</v>
      </c>
      <c r="K476" s="6">
        <f t="shared" si="33"/>
        <v>4.2253158106669789E-7</v>
      </c>
      <c r="L476" s="6">
        <f t="shared" si="34"/>
        <v>0</v>
      </c>
    </row>
    <row r="477" spans="1:12" ht="22.95" customHeight="1">
      <c r="A477" s="5">
        <v>3</v>
      </c>
      <c r="B477" s="7" t="s">
        <v>136</v>
      </c>
      <c r="C477" s="7" t="s">
        <v>296</v>
      </c>
      <c r="D477" s="5">
        <v>523</v>
      </c>
      <c r="E477" s="5">
        <v>583</v>
      </c>
      <c r="F477" s="5">
        <v>0</v>
      </c>
      <c r="G477" s="5">
        <v>0</v>
      </c>
      <c r="H477" s="6">
        <f t="shared" si="30"/>
        <v>2.2098401689788299E-4</v>
      </c>
      <c r="I477" s="6">
        <f t="shared" si="31"/>
        <v>0</v>
      </c>
      <c r="J477" s="6">
        <f t="shared" si="32"/>
        <v>0</v>
      </c>
      <c r="K477" s="6">
        <f t="shared" si="33"/>
        <v>0</v>
      </c>
      <c r="L477" s="6">
        <f t="shared" si="34"/>
        <v>0</v>
      </c>
    </row>
    <row r="478" spans="1:12" ht="22.95" customHeight="1">
      <c r="A478" s="5">
        <v>3</v>
      </c>
      <c r="B478" s="7" t="s">
        <v>243</v>
      </c>
      <c r="C478" s="7" t="s">
        <v>292</v>
      </c>
      <c r="D478" s="5">
        <v>9</v>
      </c>
      <c r="E478" s="5">
        <v>5</v>
      </c>
      <c r="F478" s="5">
        <v>6</v>
      </c>
      <c r="G478" s="5">
        <v>4</v>
      </c>
      <c r="H478" s="6">
        <f t="shared" ref="H478:H541" si="35">D478/$B$16</f>
        <v>3.8027842296002809E-6</v>
      </c>
      <c r="I478" s="6">
        <f t="shared" ref="I478:I541" si="36">F478/D478</f>
        <v>0.66666666666666663</v>
      </c>
      <c r="J478" s="6">
        <f t="shared" ref="J478:J541" si="37">G478/E478</f>
        <v>0.8</v>
      </c>
      <c r="K478" s="6">
        <f t="shared" ref="K478:K541" si="38">H478*I478</f>
        <v>2.5351894864001871E-6</v>
      </c>
      <c r="L478" s="6">
        <f t="shared" ref="L478:L541" si="39">H478*J478</f>
        <v>3.0422273836802248E-6</v>
      </c>
    </row>
    <row r="479" spans="1:12" ht="22.95" customHeight="1">
      <c r="A479" s="5">
        <v>3</v>
      </c>
      <c r="B479" s="7" t="s">
        <v>274</v>
      </c>
      <c r="C479" s="7" t="s">
        <v>292</v>
      </c>
      <c r="D479" s="5">
        <v>1133</v>
      </c>
      <c r="E479" s="5">
        <v>1253</v>
      </c>
      <c r="F479" s="5">
        <v>730</v>
      </c>
      <c r="G479" s="5">
        <v>752</v>
      </c>
      <c r="H479" s="6">
        <f t="shared" si="35"/>
        <v>4.7872828134856867E-4</v>
      </c>
      <c r="I479" s="6">
        <f t="shared" si="36"/>
        <v>0.6443071491615181</v>
      </c>
      <c r="J479" s="6">
        <f t="shared" si="37"/>
        <v>0.60015961691939346</v>
      </c>
      <c r="K479" s="6">
        <f t="shared" si="38"/>
        <v>3.0844805417868943E-4</v>
      </c>
      <c r="L479" s="6">
        <f t="shared" si="39"/>
        <v>2.8731338194263657E-4</v>
      </c>
    </row>
    <row r="480" spans="1:12" ht="22.95" customHeight="1">
      <c r="A480" s="5">
        <v>3</v>
      </c>
      <c r="B480" s="7" t="s">
        <v>279</v>
      </c>
      <c r="C480" s="7" t="s">
        <v>303</v>
      </c>
      <c r="D480" s="5">
        <v>2896</v>
      </c>
      <c r="E480" s="5">
        <v>2083</v>
      </c>
      <c r="F480" s="5">
        <v>858</v>
      </c>
      <c r="G480" s="5">
        <v>1082</v>
      </c>
      <c r="H480" s="6">
        <f t="shared" si="35"/>
        <v>1.2236514587691571E-3</v>
      </c>
      <c r="I480" s="6">
        <f t="shared" si="36"/>
        <v>0.29627071823204421</v>
      </c>
      <c r="J480" s="6">
        <f t="shared" si="37"/>
        <v>0.51944311089774364</v>
      </c>
      <c r="K480" s="6">
        <f t="shared" si="38"/>
        <v>3.625320965552268E-4</v>
      </c>
      <c r="L480" s="6">
        <f t="shared" si="39"/>
        <v>6.3561732039761306E-4</v>
      </c>
    </row>
    <row r="481" spans="1:12" ht="22.95" customHeight="1">
      <c r="A481" s="5">
        <v>3</v>
      </c>
      <c r="B481" s="7" t="s">
        <v>257</v>
      </c>
      <c r="C481" s="7" t="s">
        <v>293</v>
      </c>
      <c r="D481" s="5">
        <v>850</v>
      </c>
      <c r="E481" s="5">
        <v>844</v>
      </c>
      <c r="F481" s="5">
        <v>300</v>
      </c>
      <c r="G481" s="5">
        <v>214</v>
      </c>
      <c r="H481" s="6">
        <f t="shared" si="35"/>
        <v>3.5915184390669321E-4</v>
      </c>
      <c r="I481" s="6">
        <f t="shared" si="36"/>
        <v>0.35294117647058826</v>
      </c>
      <c r="J481" s="6">
        <f t="shared" si="37"/>
        <v>0.25355450236966826</v>
      </c>
      <c r="K481" s="6">
        <f t="shared" si="38"/>
        <v>1.2675947432000937E-4</v>
      </c>
      <c r="L481" s="6">
        <f t="shared" si="39"/>
        <v>9.1064567056910374E-5</v>
      </c>
    </row>
    <row r="482" spans="1:12" ht="22.95" customHeight="1">
      <c r="A482" s="5">
        <v>3</v>
      </c>
      <c r="B482" s="7" t="s">
        <v>121</v>
      </c>
      <c r="C482" s="7" t="s">
        <v>290</v>
      </c>
      <c r="D482" s="5">
        <v>1089</v>
      </c>
      <c r="E482" s="5">
        <v>1281</v>
      </c>
      <c r="F482" s="5">
        <v>690</v>
      </c>
      <c r="G482" s="5">
        <v>774</v>
      </c>
      <c r="H482" s="6">
        <f t="shared" si="35"/>
        <v>4.6013689178163399E-4</v>
      </c>
      <c r="I482" s="6">
        <f t="shared" si="36"/>
        <v>0.63360881542699721</v>
      </c>
      <c r="J482" s="6">
        <f t="shared" si="37"/>
        <v>0.60421545667447307</v>
      </c>
      <c r="K482" s="6">
        <f t="shared" si="38"/>
        <v>2.9154679093602154E-4</v>
      </c>
      <c r="L482" s="6">
        <f t="shared" si="39"/>
        <v>2.7802182220061259E-4</v>
      </c>
    </row>
    <row r="483" spans="1:12" ht="22.95" customHeight="1">
      <c r="A483" s="5">
        <v>3</v>
      </c>
      <c r="B483" s="7" t="s">
        <v>160</v>
      </c>
      <c r="C483" s="7" t="s">
        <v>292</v>
      </c>
      <c r="D483" s="5">
        <v>253</v>
      </c>
      <c r="E483" s="5">
        <v>333</v>
      </c>
      <c r="F483" s="5">
        <v>71</v>
      </c>
      <c r="G483" s="5">
        <v>58</v>
      </c>
      <c r="H483" s="6">
        <f t="shared" si="35"/>
        <v>1.0690049000987456E-4</v>
      </c>
      <c r="I483" s="6">
        <f t="shared" si="36"/>
        <v>0.28063241106719367</v>
      </c>
      <c r="J483" s="6">
        <f t="shared" si="37"/>
        <v>0.17417417417417416</v>
      </c>
      <c r="K483" s="6">
        <f t="shared" si="38"/>
        <v>2.9999742255735549E-5</v>
      </c>
      <c r="L483" s="6">
        <f t="shared" si="39"/>
        <v>1.8619304566284457E-5</v>
      </c>
    </row>
    <row r="484" spans="1:12" ht="22.95" customHeight="1">
      <c r="A484" s="5">
        <v>3</v>
      </c>
      <c r="B484" s="7" t="s">
        <v>240</v>
      </c>
      <c r="C484" s="7" t="s">
        <v>296</v>
      </c>
      <c r="D484" s="5">
        <v>19</v>
      </c>
      <c r="E484" s="5">
        <v>10</v>
      </c>
      <c r="F484" s="5">
        <v>0</v>
      </c>
      <c r="G484" s="5">
        <v>0</v>
      </c>
      <c r="H484" s="6">
        <f t="shared" si="35"/>
        <v>8.0281000402672605E-6</v>
      </c>
      <c r="I484" s="6">
        <f t="shared" si="36"/>
        <v>0</v>
      </c>
      <c r="J484" s="6">
        <f t="shared" si="37"/>
        <v>0</v>
      </c>
      <c r="K484" s="6">
        <f t="shared" si="38"/>
        <v>0</v>
      </c>
      <c r="L484" s="6">
        <f t="shared" si="39"/>
        <v>0</v>
      </c>
    </row>
    <row r="485" spans="1:12" ht="22.95" customHeight="1">
      <c r="A485" s="5">
        <v>3</v>
      </c>
      <c r="B485" s="7" t="s">
        <v>264</v>
      </c>
      <c r="C485" s="7" t="s">
        <v>302</v>
      </c>
      <c r="D485" s="5">
        <v>108</v>
      </c>
      <c r="E485" s="5">
        <v>64</v>
      </c>
      <c r="F485" s="5">
        <v>75</v>
      </c>
      <c r="G485" s="5">
        <v>48</v>
      </c>
      <c r="H485" s="6">
        <f t="shared" si="35"/>
        <v>4.5633410755203371E-5</v>
      </c>
      <c r="I485" s="6">
        <f t="shared" si="36"/>
        <v>0.69444444444444442</v>
      </c>
      <c r="J485" s="6">
        <f t="shared" si="37"/>
        <v>0.75</v>
      </c>
      <c r="K485" s="6">
        <f t="shared" si="38"/>
        <v>3.1689868580002343E-5</v>
      </c>
      <c r="L485" s="6">
        <f t="shared" si="39"/>
        <v>3.4225058066402528E-5</v>
      </c>
    </row>
    <row r="486" spans="1:12" ht="22.95" customHeight="1">
      <c r="A486" s="5">
        <v>3</v>
      </c>
      <c r="B486" s="7" t="s">
        <v>116</v>
      </c>
      <c r="C486" s="7" t="s">
        <v>294</v>
      </c>
      <c r="D486" s="5">
        <v>2017</v>
      </c>
      <c r="E486" s="5">
        <v>3079</v>
      </c>
      <c r="F486" s="5">
        <v>645</v>
      </c>
      <c r="G486" s="5">
        <v>1144</v>
      </c>
      <c r="H486" s="6">
        <f t="shared" si="35"/>
        <v>8.5224619901152967E-4</v>
      </c>
      <c r="I486" s="6">
        <f t="shared" si="36"/>
        <v>0.31978185423896877</v>
      </c>
      <c r="J486" s="6">
        <f t="shared" si="37"/>
        <v>0.37154920428710619</v>
      </c>
      <c r="K486" s="6">
        <f t="shared" si="38"/>
        <v>2.7253286978802017E-4</v>
      </c>
      <c r="L486" s="6">
        <f t="shared" si="39"/>
        <v>3.1665139709944462E-4</v>
      </c>
    </row>
    <row r="487" spans="1:12" ht="22.95" customHeight="1">
      <c r="A487" s="5">
        <v>3</v>
      </c>
      <c r="B487" s="7" t="s">
        <v>135</v>
      </c>
      <c r="C487" s="7" t="s">
        <v>291</v>
      </c>
      <c r="D487" s="5">
        <v>2090</v>
      </c>
      <c r="E487" s="5">
        <v>2396</v>
      </c>
      <c r="F487" s="5">
        <v>751</v>
      </c>
      <c r="G487" s="5">
        <v>937</v>
      </c>
      <c r="H487" s="6">
        <f t="shared" si="35"/>
        <v>8.830910044293986E-4</v>
      </c>
      <c r="I487" s="6">
        <f t="shared" si="36"/>
        <v>0.35933014354066983</v>
      </c>
      <c r="J487" s="6">
        <f t="shared" si="37"/>
        <v>0.39106844741235391</v>
      </c>
      <c r="K487" s="6">
        <f t="shared" si="38"/>
        <v>3.1732121738109009E-4</v>
      </c>
      <c r="L487" s="6">
        <f t="shared" si="39"/>
        <v>3.4534902802602107E-4</v>
      </c>
    </row>
    <row r="488" spans="1:12" ht="22.95" customHeight="1">
      <c r="A488" s="5">
        <v>3</v>
      </c>
      <c r="B488" s="7" t="s">
        <v>120</v>
      </c>
      <c r="C488" s="7" t="s">
        <v>303</v>
      </c>
      <c r="D488" s="5">
        <v>545</v>
      </c>
      <c r="E488" s="5">
        <v>871</v>
      </c>
      <c r="F488" s="5">
        <v>358</v>
      </c>
      <c r="G488" s="5">
        <v>645</v>
      </c>
      <c r="H488" s="6">
        <f t="shared" si="35"/>
        <v>2.3027971168135034E-4</v>
      </c>
      <c r="I488" s="6">
        <f t="shared" si="36"/>
        <v>0.65688073394495416</v>
      </c>
      <c r="J488" s="6">
        <f t="shared" si="37"/>
        <v>0.74052812858783013</v>
      </c>
      <c r="K488" s="6">
        <f t="shared" si="38"/>
        <v>1.5126630602187784E-4</v>
      </c>
      <c r="L488" s="6">
        <f t="shared" si="39"/>
        <v>1.7052860394313544E-4</v>
      </c>
    </row>
    <row r="489" spans="1:12" ht="22.95" customHeight="1">
      <c r="A489" s="5">
        <v>3</v>
      </c>
      <c r="B489" s="7" t="s">
        <v>86</v>
      </c>
      <c r="C489" s="7" t="s">
        <v>292</v>
      </c>
      <c r="D489" s="5">
        <v>12</v>
      </c>
      <c r="E489" s="5">
        <v>208</v>
      </c>
      <c r="F489" s="5">
        <v>5</v>
      </c>
      <c r="G489" s="5">
        <v>97</v>
      </c>
      <c r="H489" s="6">
        <f t="shared" si="35"/>
        <v>5.0703789728003743E-6</v>
      </c>
      <c r="I489" s="6">
        <f t="shared" si="36"/>
        <v>0.41666666666666669</v>
      </c>
      <c r="J489" s="6">
        <f t="shared" si="37"/>
        <v>0.46634615384615385</v>
      </c>
      <c r="K489" s="6">
        <f t="shared" si="38"/>
        <v>2.1126579053334894E-6</v>
      </c>
      <c r="L489" s="6">
        <f t="shared" si="39"/>
        <v>2.364551732507867E-6</v>
      </c>
    </row>
    <row r="490" spans="1:12" ht="22.95" customHeight="1">
      <c r="A490" s="5">
        <v>3</v>
      </c>
      <c r="B490" s="7" t="s">
        <v>239</v>
      </c>
      <c r="C490" s="7" t="s">
        <v>296</v>
      </c>
      <c r="D490" s="5">
        <v>4</v>
      </c>
      <c r="E490" s="5">
        <v>4</v>
      </c>
      <c r="F490" s="5">
        <v>0</v>
      </c>
      <c r="G490" s="5">
        <v>0</v>
      </c>
      <c r="H490" s="6">
        <f t="shared" si="35"/>
        <v>1.6901263242667916E-6</v>
      </c>
      <c r="I490" s="6">
        <f t="shared" si="36"/>
        <v>0</v>
      </c>
      <c r="J490" s="6">
        <f t="shared" si="37"/>
        <v>0</v>
      </c>
      <c r="K490" s="6">
        <f t="shared" si="38"/>
        <v>0</v>
      </c>
      <c r="L490" s="6">
        <f t="shared" si="39"/>
        <v>0</v>
      </c>
    </row>
    <row r="491" spans="1:12" ht="22.95" customHeight="1">
      <c r="A491" s="5">
        <v>3</v>
      </c>
      <c r="B491" s="7" t="s">
        <v>175</v>
      </c>
      <c r="C491" s="7" t="s">
        <v>296</v>
      </c>
      <c r="D491" s="5">
        <v>326</v>
      </c>
      <c r="E491" s="5">
        <v>373</v>
      </c>
      <c r="F491" s="5">
        <v>0</v>
      </c>
      <c r="G491" s="5">
        <v>0</v>
      </c>
      <c r="H491" s="6">
        <f t="shared" si="35"/>
        <v>1.3774529542774351E-4</v>
      </c>
      <c r="I491" s="6">
        <f t="shared" si="36"/>
        <v>0</v>
      </c>
      <c r="J491" s="6">
        <f t="shared" si="37"/>
        <v>0</v>
      </c>
      <c r="K491" s="6">
        <f t="shared" si="38"/>
        <v>0</v>
      </c>
      <c r="L491" s="6">
        <f t="shared" si="39"/>
        <v>0</v>
      </c>
    </row>
    <row r="492" spans="1:12" ht="22.95" customHeight="1">
      <c r="A492" s="5">
        <v>3</v>
      </c>
      <c r="B492" s="7" t="s">
        <v>85</v>
      </c>
      <c r="C492" s="7" t="s">
        <v>291</v>
      </c>
      <c r="D492" s="5">
        <v>7035</v>
      </c>
      <c r="E492" s="5">
        <v>28629</v>
      </c>
      <c r="F492" s="5">
        <v>1376</v>
      </c>
      <c r="G492" s="5">
        <v>2870</v>
      </c>
      <c r="H492" s="6">
        <f t="shared" si="35"/>
        <v>2.9725096728042194E-3</v>
      </c>
      <c r="I492" s="6">
        <f t="shared" si="36"/>
        <v>0.19559346126510305</v>
      </c>
      <c r="J492" s="6">
        <f t="shared" si="37"/>
        <v>0.10024800027943694</v>
      </c>
      <c r="K492" s="6">
        <f t="shared" si="38"/>
        <v>5.8140345554777624E-4</v>
      </c>
      <c r="L492" s="6">
        <f t="shared" si="39"/>
        <v>2.9798815050990636E-4</v>
      </c>
    </row>
    <row r="493" spans="1:12" ht="22.95" customHeight="1">
      <c r="A493" s="5">
        <v>3</v>
      </c>
      <c r="B493" s="7" t="s">
        <v>110</v>
      </c>
      <c r="C493" s="7" t="s">
        <v>291</v>
      </c>
      <c r="D493" s="5">
        <v>2466</v>
      </c>
      <c r="E493" s="5">
        <v>3138</v>
      </c>
      <c r="F493" s="5">
        <v>0</v>
      </c>
      <c r="G493" s="5">
        <v>0</v>
      </c>
      <c r="H493" s="6">
        <f t="shared" si="35"/>
        <v>1.041962878910477E-3</v>
      </c>
      <c r="I493" s="6">
        <f t="shared" si="36"/>
        <v>0</v>
      </c>
      <c r="J493" s="6">
        <f t="shared" si="37"/>
        <v>0</v>
      </c>
      <c r="K493" s="6">
        <f t="shared" si="38"/>
        <v>0</v>
      </c>
      <c r="L493" s="6">
        <f t="shared" si="39"/>
        <v>0</v>
      </c>
    </row>
    <row r="494" spans="1:12" ht="22.95" customHeight="1">
      <c r="A494" s="5">
        <v>3</v>
      </c>
      <c r="B494" s="7" t="s">
        <v>151</v>
      </c>
      <c r="C494" s="7" t="s">
        <v>291</v>
      </c>
      <c r="D494" s="5">
        <v>456</v>
      </c>
      <c r="E494" s="5">
        <v>543</v>
      </c>
      <c r="F494" s="5">
        <v>110</v>
      </c>
      <c r="G494" s="5">
        <v>146</v>
      </c>
      <c r="H494" s="6">
        <f t="shared" si="35"/>
        <v>1.9267440096641422E-4</v>
      </c>
      <c r="I494" s="6">
        <f t="shared" si="36"/>
        <v>0.2412280701754386</v>
      </c>
      <c r="J494" s="6">
        <f t="shared" si="37"/>
        <v>0.26887661141804786</v>
      </c>
      <c r="K494" s="6">
        <f t="shared" si="38"/>
        <v>4.6478473917336762E-5</v>
      </c>
      <c r="L494" s="6">
        <f t="shared" si="39"/>
        <v>5.1805640038851701E-5</v>
      </c>
    </row>
    <row r="495" spans="1:12" ht="22.95" customHeight="1">
      <c r="A495" s="5">
        <v>3</v>
      </c>
      <c r="B495" s="7" t="s">
        <v>161</v>
      </c>
      <c r="C495" s="7" t="s">
        <v>291</v>
      </c>
      <c r="D495" s="5">
        <v>472</v>
      </c>
      <c r="E495" s="5">
        <v>579</v>
      </c>
      <c r="F495" s="5">
        <v>156</v>
      </c>
      <c r="G495" s="5">
        <v>181</v>
      </c>
      <c r="H495" s="6">
        <f t="shared" si="35"/>
        <v>1.994349062634814E-4</v>
      </c>
      <c r="I495" s="6">
        <f t="shared" si="36"/>
        <v>0.33050847457627119</v>
      </c>
      <c r="J495" s="6">
        <f t="shared" si="37"/>
        <v>0.31260794473229708</v>
      </c>
      <c r="K495" s="6">
        <f t="shared" si="38"/>
        <v>6.5914926646404878E-5</v>
      </c>
      <c r="L495" s="6">
        <f t="shared" si="39"/>
        <v>6.2344936154905248E-5</v>
      </c>
    </row>
    <row r="496" spans="1:12" ht="22.95" customHeight="1">
      <c r="A496" s="5">
        <v>3</v>
      </c>
      <c r="B496" s="7" t="s">
        <v>162</v>
      </c>
      <c r="C496" s="7" t="s">
        <v>291</v>
      </c>
      <c r="D496" s="5">
        <v>323</v>
      </c>
      <c r="E496" s="5">
        <v>401</v>
      </c>
      <c r="F496" s="5">
        <v>76</v>
      </c>
      <c r="G496" s="5">
        <v>115</v>
      </c>
      <c r="H496" s="6">
        <f t="shared" si="35"/>
        <v>1.364777006845434E-4</v>
      </c>
      <c r="I496" s="6">
        <f t="shared" si="36"/>
        <v>0.23529411764705882</v>
      </c>
      <c r="J496" s="6">
        <f t="shared" si="37"/>
        <v>0.28678304239401498</v>
      </c>
      <c r="K496" s="6">
        <f t="shared" si="38"/>
        <v>3.2112400161069035E-5</v>
      </c>
      <c r="L496" s="6">
        <f t="shared" si="39"/>
        <v>3.9139490221253096E-5</v>
      </c>
    </row>
    <row r="497" spans="1:12" ht="22.95" customHeight="1">
      <c r="A497" s="5">
        <v>3</v>
      </c>
      <c r="B497" s="7" t="s">
        <v>130</v>
      </c>
      <c r="C497" s="7" t="s">
        <v>292</v>
      </c>
      <c r="D497" s="5">
        <v>502</v>
      </c>
      <c r="E497" s="5">
        <v>1116</v>
      </c>
      <c r="F497" s="5">
        <v>298</v>
      </c>
      <c r="G497" s="5">
        <v>647</v>
      </c>
      <c r="H497" s="6">
        <f t="shared" si="35"/>
        <v>2.1211085369548233E-4</v>
      </c>
      <c r="I497" s="6">
        <f t="shared" si="36"/>
        <v>0.59362549800796816</v>
      </c>
      <c r="J497" s="6">
        <f t="shared" si="37"/>
        <v>0.57974910394265233</v>
      </c>
      <c r="K497" s="6">
        <f t="shared" si="38"/>
        <v>1.2591441115787598E-4</v>
      </c>
      <c r="L497" s="6">
        <f t="shared" si="39"/>
        <v>1.229710773664669E-4</v>
      </c>
    </row>
    <row r="498" spans="1:12" ht="22.95" customHeight="1">
      <c r="A498" s="5">
        <v>3</v>
      </c>
      <c r="B498" s="7" t="s">
        <v>192</v>
      </c>
      <c r="C498" s="7" t="s">
        <v>303</v>
      </c>
      <c r="D498" s="5">
        <v>28</v>
      </c>
      <c r="E498" s="5">
        <v>20</v>
      </c>
      <c r="F498" s="5">
        <v>21</v>
      </c>
      <c r="G498" s="5">
        <v>14</v>
      </c>
      <c r="H498" s="6">
        <f t="shared" si="35"/>
        <v>1.1830884269867541E-5</v>
      </c>
      <c r="I498" s="6">
        <f t="shared" si="36"/>
        <v>0.75</v>
      </c>
      <c r="J498" s="6">
        <f t="shared" si="37"/>
        <v>0.7</v>
      </c>
      <c r="K498" s="6">
        <f t="shared" si="38"/>
        <v>8.8731632024006561E-6</v>
      </c>
      <c r="L498" s="6">
        <f t="shared" si="39"/>
        <v>8.2816189889072776E-6</v>
      </c>
    </row>
    <row r="499" spans="1:12" ht="22.95" customHeight="1">
      <c r="A499" s="5">
        <v>3</v>
      </c>
      <c r="B499" s="7" t="s">
        <v>126</v>
      </c>
      <c r="C499" s="7" t="s">
        <v>298</v>
      </c>
      <c r="D499" s="5">
        <v>644</v>
      </c>
      <c r="E499" s="5">
        <v>935</v>
      </c>
      <c r="F499" s="5">
        <v>369</v>
      </c>
      <c r="G499" s="5">
        <v>489</v>
      </c>
      <c r="H499" s="6">
        <f t="shared" si="35"/>
        <v>2.7211033820695343E-4</v>
      </c>
      <c r="I499" s="6">
        <f t="shared" si="36"/>
        <v>0.57298136645962738</v>
      </c>
      <c r="J499" s="6">
        <f t="shared" si="37"/>
        <v>0.52299465240641707</v>
      </c>
      <c r="K499" s="6">
        <f t="shared" si="38"/>
        <v>1.5591415341361154E-4</v>
      </c>
      <c r="L499" s="6">
        <f t="shared" si="39"/>
        <v>1.4231225174673819E-4</v>
      </c>
    </row>
    <row r="500" spans="1:12" ht="22.95" customHeight="1">
      <c r="A500" s="5">
        <v>3</v>
      </c>
      <c r="B500" s="7" t="s">
        <v>197</v>
      </c>
      <c r="C500" s="7" t="s">
        <v>298</v>
      </c>
      <c r="D500" s="5">
        <v>9</v>
      </c>
      <c r="E500" s="5">
        <v>14</v>
      </c>
      <c r="F500" s="5">
        <v>8</v>
      </c>
      <c r="G500" s="5">
        <v>13</v>
      </c>
      <c r="H500" s="6">
        <f t="shared" si="35"/>
        <v>3.8027842296002809E-6</v>
      </c>
      <c r="I500" s="6">
        <f t="shared" si="36"/>
        <v>0.88888888888888884</v>
      </c>
      <c r="J500" s="6">
        <f t="shared" si="37"/>
        <v>0.9285714285714286</v>
      </c>
      <c r="K500" s="6">
        <f t="shared" si="38"/>
        <v>3.3802526485335827E-6</v>
      </c>
      <c r="L500" s="6">
        <f t="shared" si="39"/>
        <v>3.5311567846288323E-6</v>
      </c>
    </row>
    <row r="501" spans="1:12" ht="22.95" customHeight="1">
      <c r="A501" s="5">
        <v>3</v>
      </c>
      <c r="B501" s="7" t="s">
        <v>189</v>
      </c>
      <c r="C501" s="7" t="s">
        <v>298</v>
      </c>
      <c r="D501" s="5">
        <v>61</v>
      </c>
      <c r="E501" s="5">
        <v>76</v>
      </c>
      <c r="F501" s="5">
        <v>24</v>
      </c>
      <c r="G501" s="5">
        <v>25</v>
      </c>
      <c r="H501" s="6">
        <f t="shared" si="35"/>
        <v>2.5774426445068569E-5</v>
      </c>
      <c r="I501" s="6">
        <f t="shared" si="36"/>
        <v>0.39344262295081966</v>
      </c>
      <c r="J501" s="6">
        <f t="shared" si="37"/>
        <v>0.32894736842105265</v>
      </c>
      <c r="K501" s="6">
        <f t="shared" si="38"/>
        <v>1.0140757945600749E-5</v>
      </c>
      <c r="L501" s="6">
        <f t="shared" si="39"/>
        <v>8.4784297516672926E-6</v>
      </c>
    </row>
    <row r="502" spans="1:12" ht="22.95" customHeight="1">
      <c r="A502" s="5">
        <v>3</v>
      </c>
      <c r="B502" s="7" t="s">
        <v>194</v>
      </c>
      <c r="C502" s="7" t="s">
        <v>303</v>
      </c>
      <c r="D502" s="5">
        <v>15</v>
      </c>
      <c r="E502" s="5">
        <v>14</v>
      </c>
      <c r="F502" s="5">
        <v>10</v>
      </c>
      <c r="G502" s="5">
        <v>7</v>
      </c>
      <c r="H502" s="6">
        <f t="shared" si="35"/>
        <v>6.3379737160004685E-6</v>
      </c>
      <c r="I502" s="6">
        <f t="shared" si="36"/>
        <v>0.66666666666666663</v>
      </c>
      <c r="J502" s="6">
        <f t="shared" si="37"/>
        <v>0.5</v>
      </c>
      <c r="K502" s="6">
        <f t="shared" si="38"/>
        <v>4.2253158106669787E-6</v>
      </c>
      <c r="L502" s="6">
        <f t="shared" si="39"/>
        <v>3.1689868580002342E-6</v>
      </c>
    </row>
    <row r="503" spans="1:12" ht="22.95" customHeight="1">
      <c r="A503" s="5">
        <v>3</v>
      </c>
      <c r="B503" s="7" t="s">
        <v>275</v>
      </c>
      <c r="C503" s="7" t="s">
        <v>295</v>
      </c>
      <c r="D503" s="5">
        <v>1291</v>
      </c>
      <c r="E503" s="5">
        <v>671</v>
      </c>
      <c r="F503" s="5">
        <v>1073</v>
      </c>
      <c r="G503" s="5">
        <v>500</v>
      </c>
      <c r="H503" s="6">
        <f t="shared" si="35"/>
        <v>5.4548827115710697E-4</v>
      </c>
      <c r="I503" s="6">
        <f t="shared" si="36"/>
        <v>0.83113865220759098</v>
      </c>
      <c r="J503" s="6">
        <f t="shared" si="37"/>
        <v>0.7451564828614009</v>
      </c>
      <c r="K503" s="6">
        <f t="shared" si="38"/>
        <v>4.5337638648456681E-4</v>
      </c>
      <c r="L503" s="6">
        <f t="shared" si="39"/>
        <v>4.0647412157757601E-4</v>
      </c>
    </row>
    <row r="504" spans="1:12" ht="22.95" customHeight="1">
      <c r="A504" s="5">
        <v>3</v>
      </c>
      <c r="B504" s="7" t="s">
        <v>94</v>
      </c>
      <c r="C504" s="7" t="s">
        <v>291</v>
      </c>
      <c r="D504" s="5">
        <v>4572</v>
      </c>
      <c r="E504" s="5">
        <v>7075</v>
      </c>
      <c r="F504" s="5">
        <v>0</v>
      </c>
      <c r="G504" s="5">
        <v>0</v>
      </c>
      <c r="H504" s="6">
        <f t="shared" si="35"/>
        <v>1.9318143886369427E-3</v>
      </c>
      <c r="I504" s="6">
        <f t="shared" si="36"/>
        <v>0</v>
      </c>
      <c r="J504" s="6">
        <f t="shared" si="37"/>
        <v>0</v>
      </c>
      <c r="K504" s="6">
        <f t="shared" si="38"/>
        <v>0</v>
      </c>
      <c r="L504" s="6">
        <f t="shared" si="39"/>
        <v>0</v>
      </c>
    </row>
    <row r="505" spans="1:12" ht="22.95" customHeight="1">
      <c r="A505" s="5">
        <v>3</v>
      </c>
      <c r="B505" s="7" t="s">
        <v>90</v>
      </c>
      <c r="C505" s="7" t="s">
        <v>290</v>
      </c>
      <c r="D505" s="5">
        <v>8401</v>
      </c>
      <c r="E505" s="5">
        <v>10355</v>
      </c>
      <c r="F505" s="5">
        <v>3680</v>
      </c>
      <c r="G505" s="5">
        <v>4425</v>
      </c>
      <c r="H505" s="6">
        <f t="shared" si="35"/>
        <v>3.5496878125413291E-3</v>
      </c>
      <c r="I505" s="6">
        <f t="shared" si="36"/>
        <v>0.43804309010832043</v>
      </c>
      <c r="J505" s="6">
        <f t="shared" si="37"/>
        <v>0.42732979237083535</v>
      </c>
      <c r="K505" s="6">
        <f t="shared" si="38"/>
        <v>1.5549162183254482E-3</v>
      </c>
      <c r="L505" s="6">
        <f t="shared" si="39"/>
        <v>1.5168873559145708E-3</v>
      </c>
    </row>
    <row r="506" spans="1:12" ht="22.95" customHeight="1">
      <c r="A506" s="5">
        <v>3</v>
      </c>
      <c r="B506" s="7" t="s">
        <v>163</v>
      </c>
      <c r="C506" s="7" t="s">
        <v>303</v>
      </c>
      <c r="D506" s="5">
        <v>156</v>
      </c>
      <c r="E506" s="5">
        <v>166</v>
      </c>
      <c r="F506" s="5">
        <v>91</v>
      </c>
      <c r="G506" s="5">
        <v>102</v>
      </c>
      <c r="H506" s="6">
        <f t="shared" si="35"/>
        <v>6.5914926646404865E-5</v>
      </c>
      <c r="I506" s="6">
        <f t="shared" si="36"/>
        <v>0.58333333333333337</v>
      </c>
      <c r="J506" s="6">
        <f t="shared" si="37"/>
        <v>0.61445783132530118</v>
      </c>
      <c r="K506" s="6">
        <f t="shared" si="38"/>
        <v>3.8450373877069508E-5</v>
      </c>
      <c r="L506" s="6">
        <f t="shared" si="39"/>
        <v>4.0501942879116239E-5</v>
      </c>
    </row>
    <row r="507" spans="1:12" ht="22.95" customHeight="1">
      <c r="A507" s="5">
        <v>3</v>
      </c>
      <c r="B507" s="7" t="s">
        <v>214</v>
      </c>
      <c r="C507" s="7" t="s">
        <v>303</v>
      </c>
      <c r="D507" s="5">
        <v>4</v>
      </c>
      <c r="E507" s="5">
        <v>16</v>
      </c>
      <c r="F507" s="5">
        <v>3</v>
      </c>
      <c r="G507" s="5">
        <v>10</v>
      </c>
      <c r="H507" s="6">
        <f t="shared" si="35"/>
        <v>1.6901263242667916E-6</v>
      </c>
      <c r="I507" s="6">
        <f t="shared" si="36"/>
        <v>0.75</v>
      </c>
      <c r="J507" s="6">
        <f t="shared" si="37"/>
        <v>0.625</v>
      </c>
      <c r="K507" s="6">
        <f t="shared" si="38"/>
        <v>1.2675947432000938E-6</v>
      </c>
      <c r="L507" s="6">
        <f t="shared" si="39"/>
        <v>1.0563289526667447E-6</v>
      </c>
    </row>
    <row r="508" spans="1:12" ht="22.95" customHeight="1">
      <c r="A508" s="5">
        <v>3</v>
      </c>
      <c r="B508" s="7" t="s">
        <v>138</v>
      </c>
      <c r="C508" s="7" t="s">
        <v>303</v>
      </c>
      <c r="D508" s="5">
        <v>212</v>
      </c>
      <c r="E508" s="5">
        <v>328</v>
      </c>
      <c r="F508" s="5">
        <v>102</v>
      </c>
      <c r="G508" s="5">
        <v>177</v>
      </c>
      <c r="H508" s="6">
        <f t="shared" si="35"/>
        <v>8.9576695186139948E-5</v>
      </c>
      <c r="I508" s="6">
        <f t="shared" si="36"/>
        <v>0.48113207547169812</v>
      </c>
      <c r="J508" s="6">
        <f t="shared" si="37"/>
        <v>0.53963414634146345</v>
      </c>
      <c r="K508" s="6">
        <f t="shared" si="38"/>
        <v>4.3098221268803186E-5</v>
      </c>
      <c r="L508" s="6">
        <f t="shared" si="39"/>
        <v>4.8338643438862111E-5</v>
      </c>
    </row>
    <row r="509" spans="1:12" ht="22.95" customHeight="1">
      <c r="A509" s="5">
        <v>3</v>
      </c>
      <c r="B509" s="7" t="s">
        <v>168</v>
      </c>
      <c r="C509" s="7" t="s">
        <v>303</v>
      </c>
      <c r="D509" s="5">
        <v>135</v>
      </c>
      <c r="E509" s="5">
        <v>137</v>
      </c>
      <c r="F509" s="5">
        <v>84</v>
      </c>
      <c r="G509" s="5">
        <v>101</v>
      </c>
      <c r="H509" s="6">
        <f t="shared" si="35"/>
        <v>5.7041763444004214E-5</v>
      </c>
      <c r="I509" s="6">
        <f t="shared" si="36"/>
        <v>0.62222222222222223</v>
      </c>
      <c r="J509" s="6">
        <f t="shared" si="37"/>
        <v>0.73722627737226276</v>
      </c>
      <c r="K509" s="6">
        <f t="shared" si="38"/>
        <v>3.5492652809602624E-5</v>
      </c>
      <c r="L509" s="6">
        <f t="shared" si="39"/>
        <v>4.2052686918572449E-5</v>
      </c>
    </row>
    <row r="510" spans="1:12" ht="22.95" customHeight="1">
      <c r="A510" s="5">
        <v>3</v>
      </c>
      <c r="B510" s="7" t="s">
        <v>165</v>
      </c>
      <c r="C510" s="7" t="s">
        <v>293</v>
      </c>
      <c r="D510" s="5">
        <v>21</v>
      </c>
      <c r="E510" s="5">
        <v>37</v>
      </c>
      <c r="F510" s="5">
        <v>17</v>
      </c>
      <c r="G510" s="5">
        <v>14</v>
      </c>
      <c r="H510" s="6">
        <f t="shared" si="35"/>
        <v>8.8731632024006561E-6</v>
      </c>
      <c r="I510" s="6">
        <f t="shared" si="36"/>
        <v>0.80952380952380953</v>
      </c>
      <c r="J510" s="6">
        <f t="shared" si="37"/>
        <v>0.3783783783783784</v>
      </c>
      <c r="K510" s="6">
        <f t="shared" si="38"/>
        <v>7.1830368781338649E-6</v>
      </c>
      <c r="L510" s="6">
        <f t="shared" si="39"/>
        <v>3.3574131036110593E-6</v>
      </c>
    </row>
    <row r="511" spans="1:12" ht="22.95" customHeight="1">
      <c r="A511" s="5">
        <v>3</v>
      </c>
      <c r="B511" s="7" t="s">
        <v>149</v>
      </c>
      <c r="C511" s="7" t="s">
        <v>295</v>
      </c>
      <c r="D511" s="5">
        <v>75</v>
      </c>
      <c r="E511" s="5">
        <v>121</v>
      </c>
      <c r="F511" s="5">
        <v>50</v>
      </c>
      <c r="G511" s="5">
        <v>88</v>
      </c>
      <c r="H511" s="6">
        <f t="shared" si="35"/>
        <v>3.1689868580002343E-5</v>
      </c>
      <c r="I511" s="6">
        <f t="shared" si="36"/>
        <v>0.66666666666666663</v>
      </c>
      <c r="J511" s="6">
        <f t="shared" si="37"/>
        <v>0.72727272727272729</v>
      </c>
      <c r="K511" s="6">
        <f t="shared" si="38"/>
        <v>2.1126579053334894E-5</v>
      </c>
      <c r="L511" s="6">
        <f t="shared" si="39"/>
        <v>2.3047177149092614E-5</v>
      </c>
    </row>
    <row r="512" spans="1:12" ht="22.95" customHeight="1">
      <c r="A512" s="5">
        <v>3</v>
      </c>
      <c r="B512" s="7" t="s">
        <v>278</v>
      </c>
      <c r="C512" s="7" t="s">
        <v>292</v>
      </c>
      <c r="D512" s="5">
        <v>1933</v>
      </c>
      <c r="E512" s="5">
        <v>1901</v>
      </c>
      <c r="F512" s="5">
        <v>1526</v>
      </c>
      <c r="G512" s="5">
        <v>1543</v>
      </c>
      <c r="H512" s="6">
        <f t="shared" si="35"/>
        <v>8.1675354620192704E-4</v>
      </c>
      <c r="I512" s="6">
        <f t="shared" si="36"/>
        <v>0.78944645628556642</v>
      </c>
      <c r="J512" s="6">
        <f t="shared" si="37"/>
        <v>0.81167806417674904</v>
      </c>
      <c r="K512" s="6">
        <f t="shared" si="38"/>
        <v>6.4478319270778095E-4</v>
      </c>
      <c r="L512" s="6">
        <f t="shared" si="39"/>
        <v>6.6294093729067508E-4</v>
      </c>
    </row>
    <row r="513" spans="1:12" ht="22.95" customHeight="1">
      <c r="A513" s="5">
        <v>3</v>
      </c>
      <c r="B513" s="7" t="s">
        <v>127</v>
      </c>
      <c r="C513" s="7" t="s">
        <v>293</v>
      </c>
      <c r="D513" s="5">
        <v>231</v>
      </c>
      <c r="E513" s="5">
        <v>257</v>
      </c>
      <c r="F513" s="5">
        <v>127</v>
      </c>
      <c r="G513" s="5">
        <v>132</v>
      </c>
      <c r="H513" s="6">
        <f t="shared" si="35"/>
        <v>9.7604795226407208E-5</v>
      </c>
      <c r="I513" s="6">
        <f t="shared" si="36"/>
        <v>0.54978354978354982</v>
      </c>
      <c r="J513" s="6">
        <f t="shared" si="37"/>
        <v>0.51361867704280151</v>
      </c>
      <c r="K513" s="6">
        <f t="shared" si="38"/>
        <v>5.3661510795470632E-5</v>
      </c>
      <c r="L513" s="6">
        <f t="shared" si="39"/>
        <v>5.0131645797220819E-5</v>
      </c>
    </row>
    <row r="514" spans="1:12" ht="22.95" customHeight="1">
      <c r="A514" s="5">
        <v>3</v>
      </c>
      <c r="B514" s="7" t="s">
        <v>96</v>
      </c>
      <c r="C514" s="7" t="s">
        <v>290</v>
      </c>
      <c r="D514" s="5">
        <v>3060</v>
      </c>
      <c r="E514" s="5">
        <v>3985</v>
      </c>
      <c r="F514" s="5">
        <v>1255</v>
      </c>
      <c r="G514" s="5">
        <v>1619</v>
      </c>
      <c r="H514" s="6">
        <f t="shared" si="35"/>
        <v>1.2929466380640956E-3</v>
      </c>
      <c r="I514" s="6">
        <f t="shared" si="36"/>
        <v>0.41013071895424835</v>
      </c>
      <c r="J514" s="6">
        <f t="shared" si="37"/>
        <v>0.40627352572145548</v>
      </c>
      <c r="K514" s="6">
        <f t="shared" si="38"/>
        <v>5.3027713423870588E-4</v>
      </c>
      <c r="L514" s="6">
        <f t="shared" si="39"/>
        <v>5.252899892160027E-4</v>
      </c>
    </row>
    <row r="515" spans="1:12" ht="22.95" customHeight="1">
      <c r="A515" s="5">
        <v>3</v>
      </c>
      <c r="B515" s="7" t="s">
        <v>115</v>
      </c>
      <c r="C515" s="7" t="s">
        <v>294</v>
      </c>
      <c r="D515" s="5">
        <v>277</v>
      </c>
      <c r="E515" s="5">
        <v>631</v>
      </c>
      <c r="F515" s="5">
        <v>106</v>
      </c>
      <c r="G515" s="5">
        <v>176</v>
      </c>
      <c r="H515" s="6">
        <f t="shared" si="35"/>
        <v>1.1704124795547532E-4</v>
      </c>
      <c r="I515" s="6">
        <f t="shared" si="36"/>
        <v>0.38267148014440433</v>
      </c>
      <c r="J515" s="6">
        <f t="shared" si="37"/>
        <v>0.27892234548335976</v>
      </c>
      <c r="K515" s="6">
        <f t="shared" si="38"/>
        <v>4.4788347593069974E-5</v>
      </c>
      <c r="L515" s="6">
        <f t="shared" si="39"/>
        <v>3.264541939804066E-5</v>
      </c>
    </row>
    <row r="516" spans="1:12" ht="22.95" customHeight="1">
      <c r="A516" s="5">
        <v>3</v>
      </c>
      <c r="B516" s="7" t="s">
        <v>256</v>
      </c>
      <c r="C516" s="7" t="s">
        <v>294</v>
      </c>
      <c r="D516" s="5">
        <v>141</v>
      </c>
      <c r="E516" s="5">
        <v>84</v>
      </c>
      <c r="F516" s="5">
        <v>68</v>
      </c>
      <c r="G516" s="5">
        <v>39</v>
      </c>
      <c r="H516" s="6">
        <f t="shared" si="35"/>
        <v>5.9576952930404399E-5</v>
      </c>
      <c r="I516" s="6">
        <f t="shared" si="36"/>
        <v>0.48226950354609927</v>
      </c>
      <c r="J516" s="6">
        <f t="shared" si="37"/>
        <v>0.4642857142857143</v>
      </c>
      <c r="K516" s="6">
        <f t="shared" si="38"/>
        <v>2.8732147512535453E-5</v>
      </c>
      <c r="L516" s="6">
        <f t="shared" si="39"/>
        <v>2.7660728146259186E-5</v>
      </c>
    </row>
    <row r="517" spans="1:12" ht="22.95" customHeight="1">
      <c r="A517" s="5">
        <v>3</v>
      </c>
      <c r="B517" s="7" t="s">
        <v>277</v>
      </c>
      <c r="C517" s="7" t="s">
        <v>294</v>
      </c>
      <c r="D517" s="5">
        <v>3979</v>
      </c>
      <c r="E517" s="5">
        <v>5473</v>
      </c>
      <c r="F517" s="5">
        <v>1427</v>
      </c>
      <c r="G517" s="5">
        <v>1645</v>
      </c>
      <c r="H517" s="6">
        <f t="shared" si="35"/>
        <v>1.6812531610643909E-3</v>
      </c>
      <c r="I517" s="6">
        <f t="shared" si="36"/>
        <v>0.35863282231716509</v>
      </c>
      <c r="J517" s="6">
        <f t="shared" si="37"/>
        <v>0.30056641695596564</v>
      </c>
      <c r="K517" s="6">
        <f t="shared" si="38"/>
        <v>6.0295256618217788E-4</v>
      </c>
      <c r="L517" s="6">
        <f t="shared" si="39"/>
        <v>5.0532823861701502E-4</v>
      </c>
    </row>
    <row r="518" spans="1:12" ht="22.95" customHeight="1">
      <c r="A518" s="5">
        <v>3</v>
      </c>
      <c r="B518" s="7" t="s">
        <v>225</v>
      </c>
      <c r="C518" s="7" t="s">
        <v>291</v>
      </c>
      <c r="D518" s="5">
        <v>4</v>
      </c>
      <c r="E518" s="5">
        <v>2</v>
      </c>
      <c r="F518" s="5">
        <v>4</v>
      </c>
      <c r="G518" s="5">
        <v>2</v>
      </c>
      <c r="H518" s="6">
        <f t="shared" si="35"/>
        <v>1.6901263242667916E-6</v>
      </c>
      <c r="I518" s="6">
        <f t="shared" si="36"/>
        <v>1</v>
      </c>
      <c r="J518" s="6">
        <f t="shared" si="37"/>
        <v>1</v>
      </c>
      <c r="K518" s="6">
        <f t="shared" si="38"/>
        <v>1.6901263242667916E-6</v>
      </c>
      <c r="L518" s="6">
        <f t="shared" si="39"/>
        <v>1.6901263242667916E-6</v>
      </c>
    </row>
    <row r="519" spans="1:12" ht="22.95" customHeight="1">
      <c r="A519" s="5">
        <v>3</v>
      </c>
      <c r="B519" s="7" t="s">
        <v>128</v>
      </c>
      <c r="C519" s="7" t="s">
        <v>293</v>
      </c>
      <c r="D519" s="5">
        <v>30</v>
      </c>
      <c r="E519" s="5">
        <v>104</v>
      </c>
      <c r="F519" s="5">
        <v>15</v>
      </c>
      <c r="G519" s="5">
        <v>33</v>
      </c>
      <c r="H519" s="6">
        <f t="shared" si="35"/>
        <v>1.2675947432000937E-5</v>
      </c>
      <c r="I519" s="6">
        <f t="shared" si="36"/>
        <v>0.5</v>
      </c>
      <c r="J519" s="6">
        <f t="shared" si="37"/>
        <v>0.31730769230769229</v>
      </c>
      <c r="K519" s="6">
        <f t="shared" si="38"/>
        <v>6.3379737160004685E-6</v>
      </c>
      <c r="L519" s="6">
        <f t="shared" si="39"/>
        <v>4.0221756274618354E-6</v>
      </c>
    </row>
    <row r="520" spans="1:12" ht="22.95" customHeight="1">
      <c r="A520" s="5">
        <v>4</v>
      </c>
      <c r="B520" s="7" t="s">
        <v>172</v>
      </c>
      <c r="C520" s="7" t="s">
        <v>296</v>
      </c>
      <c r="D520" s="5">
        <v>1</v>
      </c>
      <c r="E520" s="5">
        <v>2</v>
      </c>
      <c r="F520" s="5">
        <v>0</v>
      </c>
      <c r="G520" s="5">
        <v>0</v>
      </c>
      <c r="H520" s="6">
        <f t="shared" si="35"/>
        <v>4.2253158106669789E-7</v>
      </c>
      <c r="I520" s="6">
        <f t="shared" si="36"/>
        <v>0</v>
      </c>
      <c r="J520" s="6">
        <f t="shared" si="37"/>
        <v>0</v>
      </c>
      <c r="K520" s="6">
        <f t="shared" si="38"/>
        <v>0</v>
      </c>
      <c r="L520" s="6">
        <f t="shared" si="39"/>
        <v>0</v>
      </c>
    </row>
    <row r="521" spans="1:12" ht="22.95" customHeight="1">
      <c r="A521" s="5">
        <v>4</v>
      </c>
      <c r="B521" s="7" t="s">
        <v>112</v>
      </c>
      <c r="C521" s="7" t="s">
        <v>290</v>
      </c>
      <c r="D521" s="5">
        <v>1588</v>
      </c>
      <c r="E521" s="5">
        <v>1922</v>
      </c>
      <c r="F521" s="5">
        <v>491</v>
      </c>
      <c r="G521" s="5">
        <v>701</v>
      </c>
      <c r="H521" s="6">
        <f t="shared" si="35"/>
        <v>6.7098015073391618E-4</v>
      </c>
      <c r="I521" s="6">
        <f t="shared" si="36"/>
        <v>0.30919395465994964</v>
      </c>
      <c r="J521" s="6">
        <f t="shared" si="37"/>
        <v>0.36472424557752342</v>
      </c>
      <c r="K521" s="6">
        <f t="shared" si="38"/>
        <v>2.0746300630374866E-4</v>
      </c>
      <c r="L521" s="6">
        <f t="shared" si="39"/>
        <v>2.447227292739205E-4</v>
      </c>
    </row>
    <row r="522" spans="1:12" ht="22.95" customHeight="1">
      <c r="A522" s="5">
        <v>4</v>
      </c>
      <c r="B522" s="7" t="s">
        <v>179</v>
      </c>
      <c r="C522" s="7" t="s">
        <v>292</v>
      </c>
      <c r="D522" s="5">
        <v>221</v>
      </c>
      <c r="E522" s="5">
        <v>255</v>
      </c>
      <c r="F522" s="5">
        <v>157</v>
      </c>
      <c r="G522" s="5">
        <v>162</v>
      </c>
      <c r="H522" s="6">
        <f t="shared" si="35"/>
        <v>9.3379479415740235E-5</v>
      </c>
      <c r="I522" s="6">
        <f t="shared" si="36"/>
        <v>0.71040723981900455</v>
      </c>
      <c r="J522" s="6">
        <f t="shared" si="37"/>
        <v>0.63529411764705879</v>
      </c>
      <c r="K522" s="6">
        <f t="shared" si="38"/>
        <v>6.6337458227471577E-5</v>
      </c>
      <c r="L522" s="6">
        <f t="shared" si="39"/>
        <v>5.9323433981764378E-5</v>
      </c>
    </row>
    <row r="523" spans="1:12" ht="22.95" customHeight="1">
      <c r="A523" s="5">
        <v>4</v>
      </c>
      <c r="B523" s="7" t="s">
        <v>113</v>
      </c>
      <c r="C523" s="7" t="s">
        <v>295</v>
      </c>
      <c r="D523" s="5">
        <v>5645</v>
      </c>
      <c r="E523" s="5">
        <v>6950</v>
      </c>
      <c r="F523" s="5">
        <v>2215</v>
      </c>
      <c r="G523" s="5">
        <v>3997</v>
      </c>
      <c r="H523" s="6">
        <f t="shared" si="35"/>
        <v>2.3851907751215097E-3</v>
      </c>
      <c r="I523" s="6">
        <f t="shared" si="36"/>
        <v>0.39238263950398583</v>
      </c>
      <c r="J523" s="6">
        <f t="shared" si="37"/>
        <v>0.57510791366906477</v>
      </c>
      <c r="K523" s="6">
        <f t="shared" si="38"/>
        <v>9.3590745206273581E-4</v>
      </c>
      <c r="L523" s="6">
        <f t="shared" si="39"/>
        <v>1.3717420903828308E-3</v>
      </c>
    </row>
    <row r="524" spans="1:12" ht="22.95" customHeight="1">
      <c r="A524" s="5">
        <v>4</v>
      </c>
      <c r="B524" s="7" t="s">
        <v>262</v>
      </c>
      <c r="C524" s="7" t="s">
        <v>294</v>
      </c>
      <c r="D524" s="5">
        <v>808</v>
      </c>
      <c r="E524" s="5">
        <v>759</v>
      </c>
      <c r="F524" s="5">
        <v>600</v>
      </c>
      <c r="G524" s="5">
        <v>524</v>
      </c>
      <c r="H524" s="6">
        <f t="shared" si="35"/>
        <v>3.414055175018919E-4</v>
      </c>
      <c r="I524" s="6">
        <f t="shared" si="36"/>
        <v>0.74257425742574257</v>
      </c>
      <c r="J524" s="6">
        <f t="shared" si="37"/>
        <v>0.69038208168642956</v>
      </c>
      <c r="K524" s="6">
        <f t="shared" si="38"/>
        <v>2.5351894864001875E-4</v>
      </c>
      <c r="L524" s="6">
        <f t="shared" si="39"/>
        <v>2.3570025187218889E-4</v>
      </c>
    </row>
    <row r="525" spans="1:12" ht="22.95" customHeight="1">
      <c r="A525" s="5">
        <v>4</v>
      </c>
      <c r="B525" s="7" t="s">
        <v>237</v>
      </c>
      <c r="C525" s="7" t="s">
        <v>303</v>
      </c>
      <c r="D525" s="5">
        <v>13</v>
      </c>
      <c r="E525" s="5">
        <v>7</v>
      </c>
      <c r="F525" s="5">
        <v>12</v>
      </c>
      <c r="G525" s="5">
        <v>6</v>
      </c>
      <c r="H525" s="6">
        <f t="shared" si="35"/>
        <v>5.4929105538670721E-6</v>
      </c>
      <c r="I525" s="6">
        <f t="shared" si="36"/>
        <v>0.92307692307692313</v>
      </c>
      <c r="J525" s="6">
        <f t="shared" si="37"/>
        <v>0.8571428571428571</v>
      </c>
      <c r="K525" s="6">
        <f t="shared" si="38"/>
        <v>5.0703789728003743E-6</v>
      </c>
      <c r="L525" s="6">
        <f t="shared" si="39"/>
        <v>4.7082090461717758E-6</v>
      </c>
    </row>
    <row r="526" spans="1:12" ht="22.95" customHeight="1">
      <c r="A526" s="5">
        <v>4</v>
      </c>
      <c r="B526" s="7" t="s">
        <v>148</v>
      </c>
      <c r="C526" s="7" t="s">
        <v>293</v>
      </c>
      <c r="D526" s="5">
        <v>617</v>
      </c>
      <c r="E526" s="5">
        <v>688</v>
      </c>
      <c r="F526" s="5">
        <v>372</v>
      </c>
      <c r="G526" s="5">
        <v>367</v>
      </c>
      <c r="H526" s="6">
        <f t="shared" si="35"/>
        <v>2.6070198551815261E-4</v>
      </c>
      <c r="I526" s="6">
        <f t="shared" si="36"/>
        <v>0.60291734197730962</v>
      </c>
      <c r="J526" s="6">
        <f t="shared" si="37"/>
        <v>0.53343023255813948</v>
      </c>
      <c r="K526" s="6">
        <f t="shared" si="38"/>
        <v>1.5718174815681165E-4</v>
      </c>
      <c r="L526" s="6">
        <f t="shared" si="39"/>
        <v>1.3906632076331687E-4</v>
      </c>
    </row>
    <row r="527" spans="1:12" ht="22.95" customHeight="1">
      <c r="A527" s="5">
        <v>4</v>
      </c>
      <c r="B527" s="7" t="s">
        <v>132</v>
      </c>
      <c r="C527" s="7" t="s">
        <v>295</v>
      </c>
      <c r="D527" s="5">
        <v>805</v>
      </c>
      <c r="E527" s="5">
        <v>923</v>
      </c>
      <c r="F527" s="5">
        <v>526</v>
      </c>
      <c r="G527" s="5">
        <v>619</v>
      </c>
      <c r="H527" s="6">
        <f t="shared" si="35"/>
        <v>3.4013792275869179E-4</v>
      </c>
      <c r="I527" s="6">
        <f t="shared" si="36"/>
        <v>0.65341614906832302</v>
      </c>
      <c r="J527" s="6">
        <f t="shared" si="37"/>
        <v>0.67063921993499453</v>
      </c>
      <c r="K527" s="6">
        <f t="shared" si="38"/>
        <v>2.222516116410831E-4</v>
      </c>
      <c r="L527" s="6">
        <f t="shared" si="39"/>
        <v>2.2810983118919849E-4</v>
      </c>
    </row>
    <row r="528" spans="1:12" ht="22.95" customHeight="1">
      <c r="A528" s="5">
        <v>4</v>
      </c>
      <c r="B528" s="7" t="s">
        <v>164</v>
      </c>
      <c r="C528" s="7" t="s">
        <v>294</v>
      </c>
      <c r="D528" s="5">
        <v>86</v>
      </c>
      <c r="E528" s="5">
        <v>100</v>
      </c>
      <c r="F528" s="5">
        <v>47</v>
      </c>
      <c r="G528" s="5">
        <v>48</v>
      </c>
      <c r="H528" s="6">
        <f t="shared" si="35"/>
        <v>3.6337715971736015E-5</v>
      </c>
      <c r="I528" s="6">
        <f t="shared" si="36"/>
        <v>0.54651162790697672</v>
      </c>
      <c r="J528" s="6">
        <f t="shared" si="37"/>
        <v>0.48</v>
      </c>
      <c r="K528" s="6">
        <f t="shared" si="38"/>
        <v>1.9858984310134799E-5</v>
      </c>
      <c r="L528" s="6">
        <f t="shared" si="39"/>
        <v>1.7442103666433287E-5</v>
      </c>
    </row>
    <row r="529" spans="1:12" ht="22.95" customHeight="1">
      <c r="A529" s="5">
        <v>4</v>
      </c>
      <c r="B529" s="7" t="s">
        <v>164</v>
      </c>
      <c r="C529" s="7" t="s">
        <v>303</v>
      </c>
      <c r="D529" s="5">
        <v>40</v>
      </c>
      <c r="E529" s="5">
        <v>64</v>
      </c>
      <c r="F529" s="5">
        <v>11</v>
      </c>
      <c r="G529" s="5">
        <v>27</v>
      </c>
      <c r="H529" s="6">
        <f t="shared" si="35"/>
        <v>1.6901263242667915E-5</v>
      </c>
      <c r="I529" s="6">
        <f t="shared" si="36"/>
        <v>0.27500000000000002</v>
      </c>
      <c r="J529" s="6">
        <f t="shared" si="37"/>
        <v>0.421875</v>
      </c>
      <c r="K529" s="6">
        <f t="shared" si="38"/>
        <v>4.6478473917336773E-6</v>
      </c>
      <c r="L529" s="6">
        <f t="shared" si="39"/>
        <v>7.1302204305005267E-6</v>
      </c>
    </row>
    <row r="530" spans="1:12" ht="22.95" customHeight="1">
      <c r="A530" s="5">
        <v>4</v>
      </c>
      <c r="B530" s="7" t="s">
        <v>199</v>
      </c>
      <c r="C530" s="7" t="s">
        <v>296</v>
      </c>
      <c r="D530" s="5">
        <v>43</v>
      </c>
      <c r="E530" s="5">
        <v>52</v>
      </c>
      <c r="F530" s="5">
        <v>0</v>
      </c>
      <c r="G530" s="5">
        <v>0</v>
      </c>
      <c r="H530" s="6">
        <f t="shared" si="35"/>
        <v>1.8168857985868007E-5</v>
      </c>
      <c r="I530" s="6">
        <f t="shared" si="36"/>
        <v>0</v>
      </c>
      <c r="J530" s="6">
        <f t="shared" si="37"/>
        <v>0</v>
      </c>
      <c r="K530" s="6">
        <f t="shared" si="38"/>
        <v>0</v>
      </c>
      <c r="L530" s="6">
        <f t="shared" si="39"/>
        <v>0</v>
      </c>
    </row>
    <row r="531" spans="1:12" ht="22.95" customHeight="1">
      <c r="A531" s="5">
        <v>4</v>
      </c>
      <c r="B531" s="7" t="s">
        <v>196</v>
      </c>
      <c r="C531" s="7" t="s">
        <v>303</v>
      </c>
      <c r="D531" s="5">
        <v>7</v>
      </c>
      <c r="E531" s="5">
        <v>12</v>
      </c>
      <c r="F531" s="5">
        <v>5</v>
      </c>
      <c r="G531" s="5">
        <v>8</v>
      </c>
      <c r="H531" s="6">
        <f t="shared" si="35"/>
        <v>2.9577210674668854E-6</v>
      </c>
      <c r="I531" s="6">
        <f t="shared" si="36"/>
        <v>0.7142857142857143</v>
      </c>
      <c r="J531" s="6">
        <f t="shared" si="37"/>
        <v>0.66666666666666663</v>
      </c>
      <c r="K531" s="6">
        <f t="shared" si="38"/>
        <v>2.1126579053334898E-6</v>
      </c>
      <c r="L531" s="6">
        <f t="shared" si="39"/>
        <v>1.9718140449779233E-6</v>
      </c>
    </row>
    <row r="532" spans="1:12" ht="22.95" customHeight="1">
      <c r="A532" s="5">
        <v>4</v>
      </c>
      <c r="B532" s="7" t="s">
        <v>187</v>
      </c>
      <c r="C532" s="7" t="s">
        <v>291</v>
      </c>
      <c r="D532" s="5">
        <v>10</v>
      </c>
      <c r="E532" s="5">
        <v>12</v>
      </c>
      <c r="F532" s="5">
        <v>2</v>
      </c>
      <c r="G532" s="5">
        <v>7</v>
      </c>
      <c r="H532" s="6">
        <f t="shared" si="35"/>
        <v>4.2253158106669787E-6</v>
      </c>
      <c r="I532" s="6">
        <f t="shared" si="36"/>
        <v>0.2</v>
      </c>
      <c r="J532" s="6">
        <f t="shared" si="37"/>
        <v>0.58333333333333337</v>
      </c>
      <c r="K532" s="6">
        <f t="shared" si="38"/>
        <v>8.4506316213339578E-7</v>
      </c>
      <c r="L532" s="6">
        <f t="shared" si="39"/>
        <v>2.4647675562224043E-6</v>
      </c>
    </row>
    <row r="533" spans="1:12" ht="22.95" customHeight="1">
      <c r="A533" s="5">
        <v>4</v>
      </c>
      <c r="B533" s="7" t="s">
        <v>167</v>
      </c>
      <c r="C533" s="7" t="s">
        <v>291</v>
      </c>
      <c r="D533" s="5">
        <v>48</v>
      </c>
      <c r="E533" s="5">
        <v>61</v>
      </c>
      <c r="F533" s="5">
        <v>34</v>
      </c>
      <c r="G533" s="5">
        <v>43</v>
      </c>
      <c r="H533" s="6">
        <f t="shared" si="35"/>
        <v>2.0281515891201497E-5</v>
      </c>
      <c r="I533" s="6">
        <f t="shared" si="36"/>
        <v>0.70833333333333337</v>
      </c>
      <c r="J533" s="6">
        <f t="shared" si="37"/>
        <v>0.70491803278688525</v>
      </c>
      <c r="K533" s="6">
        <f t="shared" si="38"/>
        <v>1.4366073756267728E-5</v>
      </c>
      <c r="L533" s="6">
        <f t="shared" si="39"/>
        <v>1.4296806283961712E-5</v>
      </c>
    </row>
    <row r="534" spans="1:12" ht="22.95" customHeight="1">
      <c r="A534" s="5">
        <v>4</v>
      </c>
      <c r="B534" s="7" t="s">
        <v>89</v>
      </c>
      <c r="C534" s="7" t="s">
        <v>295</v>
      </c>
      <c r="D534" s="5">
        <v>12960</v>
      </c>
      <c r="E534" s="5">
        <v>14436</v>
      </c>
      <c r="F534" s="5">
        <v>4350</v>
      </c>
      <c r="G534" s="5">
        <v>8802</v>
      </c>
      <c r="H534" s="6">
        <f t="shared" si="35"/>
        <v>5.4760092906244043E-3</v>
      </c>
      <c r="I534" s="6">
        <f t="shared" si="36"/>
        <v>0.33564814814814814</v>
      </c>
      <c r="J534" s="6">
        <f t="shared" si="37"/>
        <v>0.60972568578553621</v>
      </c>
      <c r="K534" s="6">
        <f t="shared" si="38"/>
        <v>1.8380123776401357E-3</v>
      </c>
      <c r="L534" s="6">
        <f t="shared" si="39"/>
        <v>3.3388635200939324E-3</v>
      </c>
    </row>
    <row r="535" spans="1:12" ht="22.95" customHeight="1">
      <c r="A535" s="5">
        <v>4</v>
      </c>
      <c r="B535" s="7" t="s">
        <v>158</v>
      </c>
      <c r="C535" s="7" t="s">
        <v>296</v>
      </c>
      <c r="D535" s="5">
        <v>261</v>
      </c>
      <c r="E535" s="5">
        <v>255</v>
      </c>
      <c r="F535" s="5">
        <v>0</v>
      </c>
      <c r="G535" s="5">
        <v>0</v>
      </c>
      <c r="H535" s="6">
        <f t="shared" si="35"/>
        <v>1.1028074265840814E-4</v>
      </c>
      <c r="I535" s="6">
        <f t="shared" si="36"/>
        <v>0</v>
      </c>
      <c r="J535" s="6">
        <f t="shared" si="37"/>
        <v>0</v>
      </c>
      <c r="K535" s="6">
        <f t="shared" si="38"/>
        <v>0</v>
      </c>
      <c r="L535" s="6">
        <f t="shared" si="39"/>
        <v>0</v>
      </c>
    </row>
    <row r="536" spans="1:12" ht="22.95" customHeight="1">
      <c r="A536" s="5">
        <v>4</v>
      </c>
      <c r="B536" s="7" t="s">
        <v>238</v>
      </c>
      <c r="C536" s="7" t="s">
        <v>296</v>
      </c>
      <c r="D536" s="5">
        <v>2</v>
      </c>
      <c r="E536" s="5">
        <v>4</v>
      </c>
      <c r="F536" s="5">
        <v>0</v>
      </c>
      <c r="G536" s="5">
        <v>0</v>
      </c>
      <c r="H536" s="6">
        <f t="shared" si="35"/>
        <v>8.4506316213339578E-7</v>
      </c>
      <c r="I536" s="6">
        <f t="shared" si="36"/>
        <v>0</v>
      </c>
      <c r="J536" s="6">
        <f t="shared" si="37"/>
        <v>0</v>
      </c>
      <c r="K536" s="6">
        <f t="shared" si="38"/>
        <v>0</v>
      </c>
      <c r="L536" s="6">
        <f t="shared" si="39"/>
        <v>0</v>
      </c>
    </row>
    <row r="537" spans="1:12" ht="22.95" customHeight="1">
      <c r="A537" s="5">
        <v>4</v>
      </c>
      <c r="B537" s="7" t="s">
        <v>150</v>
      </c>
      <c r="C537" s="7" t="s">
        <v>291</v>
      </c>
      <c r="D537" s="5">
        <v>10</v>
      </c>
      <c r="E537" s="5">
        <v>32</v>
      </c>
      <c r="F537" s="5">
        <v>3</v>
      </c>
      <c r="G537" s="5">
        <v>10</v>
      </c>
      <c r="H537" s="6">
        <f t="shared" si="35"/>
        <v>4.2253158106669787E-6</v>
      </c>
      <c r="I537" s="6">
        <f t="shared" si="36"/>
        <v>0.3</v>
      </c>
      <c r="J537" s="6">
        <f t="shared" si="37"/>
        <v>0.3125</v>
      </c>
      <c r="K537" s="6">
        <f t="shared" si="38"/>
        <v>1.2675947432000936E-6</v>
      </c>
      <c r="L537" s="6">
        <f t="shared" si="39"/>
        <v>1.3204111908334309E-6</v>
      </c>
    </row>
    <row r="538" spans="1:12" ht="22.95" customHeight="1">
      <c r="A538" s="5">
        <v>4</v>
      </c>
      <c r="B538" s="7" t="s">
        <v>259</v>
      </c>
      <c r="C538" s="7" t="s">
        <v>291</v>
      </c>
      <c r="D538" s="5">
        <v>295</v>
      </c>
      <c r="E538" s="5">
        <v>256</v>
      </c>
      <c r="F538" s="5">
        <v>39</v>
      </c>
      <c r="G538" s="5">
        <v>48</v>
      </c>
      <c r="H538" s="6">
        <f t="shared" si="35"/>
        <v>1.2464681641467587E-4</v>
      </c>
      <c r="I538" s="6">
        <f t="shared" si="36"/>
        <v>0.13220338983050847</v>
      </c>
      <c r="J538" s="6">
        <f t="shared" si="37"/>
        <v>0.1875</v>
      </c>
      <c r="K538" s="6">
        <f t="shared" si="38"/>
        <v>1.6478731661601216E-5</v>
      </c>
      <c r="L538" s="6">
        <f t="shared" si="39"/>
        <v>2.3371278077751727E-5</v>
      </c>
    </row>
    <row r="539" spans="1:12" ht="22.95" customHeight="1">
      <c r="A539" s="5">
        <v>4</v>
      </c>
      <c r="B539" s="7" t="s">
        <v>229</v>
      </c>
      <c r="C539" s="7" t="s">
        <v>291</v>
      </c>
      <c r="D539" s="5">
        <v>3</v>
      </c>
      <c r="E539" s="5">
        <v>1</v>
      </c>
      <c r="F539" s="5">
        <v>3</v>
      </c>
      <c r="G539" s="5">
        <v>1</v>
      </c>
      <c r="H539" s="6">
        <f t="shared" si="35"/>
        <v>1.2675947432000936E-6</v>
      </c>
      <c r="I539" s="6">
        <f t="shared" si="36"/>
        <v>1</v>
      </c>
      <c r="J539" s="6">
        <f t="shared" si="37"/>
        <v>1</v>
      </c>
      <c r="K539" s="6">
        <f t="shared" si="38"/>
        <v>1.2675947432000936E-6</v>
      </c>
      <c r="L539" s="6">
        <f t="shared" si="39"/>
        <v>1.2675947432000936E-6</v>
      </c>
    </row>
    <row r="540" spans="1:12" ht="22.95" customHeight="1">
      <c r="A540" s="5">
        <v>4</v>
      </c>
      <c r="B540" s="7" t="s">
        <v>198</v>
      </c>
      <c r="C540" s="7" t="s">
        <v>303</v>
      </c>
      <c r="D540" s="5">
        <v>5</v>
      </c>
      <c r="E540" s="5">
        <v>3</v>
      </c>
      <c r="F540" s="5">
        <v>2</v>
      </c>
      <c r="G540" s="5">
        <v>1</v>
      </c>
      <c r="H540" s="6">
        <f t="shared" si="35"/>
        <v>2.1126579053334894E-6</v>
      </c>
      <c r="I540" s="6">
        <f t="shared" si="36"/>
        <v>0.4</v>
      </c>
      <c r="J540" s="6">
        <f t="shared" si="37"/>
        <v>0.33333333333333331</v>
      </c>
      <c r="K540" s="6">
        <f t="shared" si="38"/>
        <v>8.4506316213339578E-7</v>
      </c>
      <c r="L540" s="6">
        <f t="shared" si="39"/>
        <v>7.0421930177782971E-7</v>
      </c>
    </row>
    <row r="541" spans="1:12" ht="22.95" customHeight="1">
      <c r="A541" s="5">
        <v>4</v>
      </c>
      <c r="B541" s="7" t="s">
        <v>102</v>
      </c>
      <c r="C541" s="7" t="s">
        <v>296</v>
      </c>
      <c r="D541" s="5">
        <v>1717</v>
      </c>
      <c r="E541" s="5">
        <v>2146</v>
      </c>
      <c r="F541" s="5">
        <v>0</v>
      </c>
      <c r="G541" s="5">
        <v>0</v>
      </c>
      <c r="H541" s="6">
        <f t="shared" si="35"/>
        <v>7.2548672469152024E-4</v>
      </c>
      <c r="I541" s="6">
        <f t="shared" si="36"/>
        <v>0</v>
      </c>
      <c r="J541" s="6">
        <f t="shared" si="37"/>
        <v>0</v>
      </c>
      <c r="K541" s="6">
        <f t="shared" si="38"/>
        <v>0</v>
      </c>
      <c r="L541" s="6">
        <f t="shared" si="39"/>
        <v>0</v>
      </c>
    </row>
    <row r="542" spans="1:12" ht="22.95" customHeight="1">
      <c r="A542" s="5">
        <v>4</v>
      </c>
      <c r="B542" s="7" t="s">
        <v>131</v>
      </c>
      <c r="C542" s="7" t="s">
        <v>291</v>
      </c>
      <c r="D542" s="5">
        <v>99</v>
      </c>
      <c r="E542" s="5">
        <v>91</v>
      </c>
      <c r="F542" s="5">
        <v>64</v>
      </c>
      <c r="G542" s="5">
        <v>50</v>
      </c>
      <c r="H542" s="6">
        <f t="shared" ref="H542:H605" si="40">D542/$B$16</f>
        <v>4.183062652560309E-5</v>
      </c>
      <c r="I542" s="6">
        <f t="shared" ref="I542:I605" si="41">F542/D542</f>
        <v>0.64646464646464652</v>
      </c>
      <c r="J542" s="6">
        <f t="shared" ref="J542:J605" si="42">G542/E542</f>
        <v>0.5494505494505495</v>
      </c>
      <c r="K542" s="6">
        <f t="shared" ref="K542:K605" si="43">H542*I542</f>
        <v>2.7042021188268665E-5</v>
      </c>
      <c r="L542" s="6">
        <f t="shared" ref="L542:L605" si="44">H542*J542</f>
        <v>2.2983860728353348E-5</v>
      </c>
    </row>
    <row r="543" spans="1:12" ht="22.95" customHeight="1">
      <c r="A543" s="5">
        <v>4</v>
      </c>
      <c r="B543" s="7" t="s">
        <v>177</v>
      </c>
      <c r="C543" s="7" t="s">
        <v>291</v>
      </c>
      <c r="D543" s="5">
        <v>21</v>
      </c>
      <c r="E543" s="5">
        <v>23</v>
      </c>
      <c r="F543" s="5">
        <v>17</v>
      </c>
      <c r="G543" s="5">
        <v>15</v>
      </c>
      <c r="H543" s="6">
        <f t="shared" si="40"/>
        <v>8.8731632024006561E-6</v>
      </c>
      <c r="I543" s="6">
        <f t="shared" si="41"/>
        <v>0.80952380952380953</v>
      </c>
      <c r="J543" s="6">
        <f t="shared" si="42"/>
        <v>0.65217391304347827</v>
      </c>
      <c r="K543" s="6">
        <f t="shared" si="43"/>
        <v>7.1830368781338649E-6</v>
      </c>
      <c r="L543" s="6">
        <f t="shared" si="44"/>
        <v>5.7868455667830368E-6</v>
      </c>
    </row>
    <row r="544" spans="1:12" ht="22.95" customHeight="1">
      <c r="A544" s="5">
        <v>4</v>
      </c>
      <c r="B544" s="7" t="s">
        <v>258</v>
      </c>
      <c r="C544" s="7" t="s">
        <v>292</v>
      </c>
      <c r="D544" s="5">
        <v>151</v>
      </c>
      <c r="E544" s="5">
        <v>113</v>
      </c>
      <c r="F544" s="5">
        <v>94</v>
      </c>
      <c r="G544" s="5">
        <v>54</v>
      </c>
      <c r="H544" s="6">
        <f t="shared" si="40"/>
        <v>6.3802268741071385E-5</v>
      </c>
      <c r="I544" s="6">
        <f t="shared" si="41"/>
        <v>0.62251655629139069</v>
      </c>
      <c r="J544" s="6">
        <f t="shared" si="42"/>
        <v>0.47787610619469029</v>
      </c>
      <c r="K544" s="6">
        <f t="shared" si="43"/>
        <v>3.9717968620269604E-5</v>
      </c>
      <c r="L544" s="6">
        <f t="shared" si="44"/>
        <v>3.0489579752370398E-5</v>
      </c>
    </row>
    <row r="545" spans="1:12" ht="22.95" customHeight="1">
      <c r="A545" s="5">
        <v>4</v>
      </c>
      <c r="B545" s="7" t="s">
        <v>183</v>
      </c>
      <c r="C545" s="7" t="s">
        <v>303</v>
      </c>
      <c r="D545" s="5">
        <v>138</v>
      </c>
      <c r="E545" s="5">
        <v>109</v>
      </c>
      <c r="F545" s="5">
        <v>94</v>
      </c>
      <c r="G545" s="5">
        <v>68</v>
      </c>
      <c r="H545" s="6">
        <f t="shared" si="40"/>
        <v>5.830935818720431E-5</v>
      </c>
      <c r="I545" s="6">
        <f t="shared" si="41"/>
        <v>0.6811594202898551</v>
      </c>
      <c r="J545" s="6">
        <f t="shared" si="42"/>
        <v>0.62385321100917435</v>
      </c>
      <c r="K545" s="6">
        <f t="shared" si="43"/>
        <v>3.9717968620269604E-5</v>
      </c>
      <c r="L545" s="6">
        <f t="shared" si="44"/>
        <v>3.6376480336971497E-5</v>
      </c>
    </row>
    <row r="546" spans="1:12" ht="22.95" customHeight="1">
      <c r="A546" s="5">
        <v>4</v>
      </c>
      <c r="B546" s="7" t="s">
        <v>118</v>
      </c>
      <c r="C546" s="7" t="s">
        <v>299</v>
      </c>
      <c r="D546" s="5">
        <v>1413</v>
      </c>
      <c r="E546" s="5">
        <v>1744</v>
      </c>
      <c r="F546" s="5">
        <v>616</v>
      </c>
      <c r="G546" s="5">
        <v>864</v>
      </c>
      <c r="H546" s="6">
        <f t="shared" si="40"/>
        <v>5.9703712404724407E-4</v>
      </c>
      <c r="I546" s="6">
        <f t="shared" si="41"/>
        <v>0.43595187544232128</v>
      </c>
      <c r="J546" s="6">
        <f t="shared" si="42"/>
        <v>0.49541284403669728</v>
      </c>
      <c r="K546" s="6">
        <f t="shared" si="43"/>
        <v>2.6027945393708587E-4</v>
      </c>
      <c r="L546" s="6">
        <f t="shared" si="44"/>
        <v>2.9577985961973561E-4</v>
      </c>
    </row>
    <row r="547" spans="1:12" ht="22.95" customHeight="1">
      <c r="A547" s="5">
        <v>4</v>
      </c>
      <c r="B547" s="7" t="s">
        <v>178</v>
      </c>
      <c r="C547" s="7" t="s">
        <v>303</v>
      </c>
      <c r="D547" s="5">
        <v>3</v>
      </c>
      <c r="E547" s="5">
        <v>7</v>
      </c>
      <c r="F547" s="5">
        <v>3</v>
      </c>
      <c r="G547" s="5">
        <v>6</v>
      </c>
      <c r="H547" s="6">
        <f t="shared" si="40"/>
        <v>1.2675947432000936E-6</v>
      </c>
      <c r="I547" s="6">
        <f t="shared" si="41"/>
        <v>1</v>
      </c>
      <c r="J547" s="6">
        <f t="shared" si="42"/>
        <v>0.8571428571428571</v>
      </c>
      <c r="K547" s="6">
        <f t="shared" si="43"/>
        <v>1.2675947432000936E-6</v>
      </c>
      <c r="L547" s="6">
        <f t="shared" si="44"/>
        <v>1.0865097798857943E-6</v>
      </c>
    </row>
    <row r="548" spans="1:12" ht="22.95" customHeight="1">
      <c r="A548" s="5">
        <v>4</v>
      </c>
      <c r="B548" s="7" t="s">
        <v>223</v>
      </c>
      <c r="C548" s="7" t="s">
        <v>296</v>
      </c>
      <c r="D548" s="5">
        <v>3</v>
      </c>
      <c r="E548" s="5">
        <v>4</v>
      </c>
      <c r="F548" s="5">
        <v>0</v>
      </c>
      <c r="G548" s="5">
        <v>0</v>
      </c>
      <c r="H548" s="6">
        <f t="shared" si="40"/>
        <v>1.2675947432000936E-6</v>
      </c>
      <c r="I548" s="6">
        <f t="shared" si="41"/>
        <v>0</v>
      </c>
      <c r="J548" s="6">
        <f t="shared" si="42"/>
        <v>0</v>
      </c>
      <c r="K548" s="6">
        <f t="shared" si="43"/>
        <v>0</v>
      </c>
      <c r="L548" s="6">
        <f t="shared" si="44"/>
        <v>0</v>
      </c>
    </row>
    <row r="549" spans="1:12" ht="22.95" customHeight="1">
      <c r="A549" s="5">
        <v>4</v>
      </c>
      <c r="B549" s="7" t="s">
        <v>129</v>
      </c>
      <c r="C549" s="7" t="s">
        <v>291</v>
      </c>
      <c r="D549" s="5">
        <v>791</v>
      </c>
      <c r="E549" s="5">
        <v>907</v>
      </c>
      <c r="F549" s="5">
        <v>490</v>
      </c>
      <c r="G549" s="5">
        <v>587</v>
      </c>
      <c r="H549" s="6">
        <f t="shared" si="40"/>
        <v>3.3422248062375804E-4</v>
      </c>
      <c r="I549" s="6">
        <f t="shared" si="41"/>
        <v>0.61946902654867253</v>
      </c>
      <c r="J549" s="6">
        <f t="shared" si="42"/>
        <v>0.64718853362734285</v>
      </c>
      <c r="K549" s="6">
        <f t="shared" si="43"/>
        <v>2.0704047472268195E-4</v>
      </c>
      <c r="L549" s="6">
        <f t="shared" si="44"/>
        <v>2.1630495714018298E-4</v>
      </c>
    </row>
    <row r="550" spans="1:12" ht="22.95" customHeight="1">
      <c r="A550" s="5">
        <v>4</v>
      </c>
      <c r="B550" s="7" t="s">
        <v>100</v>
      </c>
      <c r="C550" s="7" t="s">
        <v>290</v>
      </c>
      <c r="D550" s="5">
        <v>3365</v>
      </c>
      <c r="E550" s="5">
        <v>4181</v>
      </c>
      <c r="F550" s="5">
        <v>1116</v>
      </c>
      <c r="G550" s="5">
        <v>1476</v>
      </c>
      <c r="H550" s="6">
        <f t="shared" si="40"/>
        <v>1.4218187702894384E-3</v>
      </c>
      <c r="I550" s="6">
        <f t="shared" si="41"/>
        <v>0.33164933135215452</v>
      </c>
      <c r="J550" s="6">
        <f t="shared" si="42"/>
        <v>0.35302559196364508</v>
      </c>
      <c r="K550" s="6">
        <f t="shared" si="43"/>
        <v>4.7154524447043481E-4</v>
      </c>
      <c r="L550" s="6">
        <f t="shared" si="44"/>
        <v>5.0193841304645094E-4</v>
      </c>
    </row>
    <row r="551" spans="1:12" ht="22.95" customHeight="1">
      <c r="A551" s="5">
        <v>4</v>
      </c>
      <c r="B551" s="7" t="s">
        <v>92</v>
      </c>
      <c r="C551" s="7" t="s">
        <v>293</v>
      </c>
      <c r="D551" s="5">
        <v>1761</v>
      </c>
      <c r="E551" s="5">
        <v>1529</v>
      </c>
      <c r="F551" s="5">
        <v>419</v>
      </c>
      <c r="G551" s="5">
        <v>188</v>
      </c>
      <c r="H551" s="6">
        <f t="shared" si="40"/>
        <v>7.4407811425845492E-4</v>
      </c>
      <c r="I551" s="6">
        <f t="shared" si="41"/>
        <v>0.23793299261783077</v>
      </c>
      <c r="J551" s="6">
        <f t="shared" si="42"/>
        <v>0.12295618051013735</v>
      </c>
      <c r="K551" s="6">
        <f t="shared" si="43"/>
        <v>1.7704073246694639E-4</v>
      </c>
      <c r="L551" s="6">
        <f t="shared" si="44"/>
        <v>9.1489002930405191E-5</v>
      </c>
    </row>
    <row r="552" spans="1:12" ht="22.95" customHeight="1">
      <c r="A552" s="5">
        <v>4</v>
      </c>
      <c r="B552" s="7" t="s">
        <v>173</v>
      </c>
      <c r="C552" s="7" t="s">
        <v>303</v>
      </c>
      <c r="D552" s="5">
        <v>119</v>
      </c>
      <c r="E552" s="5">
        <v>146</v>
      </c>
      <c r="F552" s="5">
        <v>62</v>
      </c>
      <c r="G552" s="5">
        <v>75</v>
      </c>
      <c r="H552" s="6">
        <f t="shared" si="40"/>
        <v>5.0281258146937049E-5</v>
      </c>
      <c r="I552" s="6">
        <f t="shared" si="41"/>
        <v>0.52100840336134457</v>
      </c>
      <c r="J552" s="6">
        <f t="shared" si="42"/>
        <v>0.51369863013698636</v>
      </c>
      <c r="K552" s="6">
        <f t="shared" si="43"/>
        <v>2.6196958026135271E-5</v>
      </c>
      <c r="L552" s="6">
        <f t="shared" si="44"/>
        <v>2.5829413431645746E-5</v>
      </c>
    </row>
    <row r="553" spans="1:12" ht="22.95" customHeight="1">
      <c r="A553" s="5">
        <v>4</v>
      </c>
      <c r="B553" s="7" t="s">
        <v>233</v>
      </c>
      <c r="C553" s="7" t="s">
        <v>292</v>
      </c>
      <c r="D553" s="5">
        <v>842</v>
      </c>
      <c r="E553" s="5">
        <v>825</v>
      </c>
      <c r="F553" s="5">
        <v>298</v>
      </c>
      <c r="G553" s="5">
        <v>248</v>
      </c>
      <c r="H553" s="6">
        <f t="shared" si="40"/>
        <v>3.5577159125815963E-4</v>
      </c>
      <c r="I553" s="6">
        <f t="shared" si="41"/>
        <v>0.35391923990498814</v>
      </c>
      <c r="J553" s="6">
        <f t="shared" si="42"/>
        <v>0.3006060606060606</v>
      </c>
      <c r="K553" s="6">
        <f t="shared" si="43"/>
        <v>1.2591441115787598E-4</v>
      </c>
      <c r="L553" s="6">
        <f t="shared" si="44"/>
        <v>1.0694709652366495E-4</v>
      </c>
    </row>
    <row r="554" spans="1:12" ht="22.95" customHeight="1">
      <c r="A554" s="5">
        <v>4</v>
      </c>
      <c r="B554" s="7" t="s">
        <v>133</v>
      </c>
      <c r="C554" s="7" t="s">
        <v>293</v>
      </c>
      <c r="D554" s="5">
        <v>931</v>
      </c>
      <c r="E554" s="5">
        <v>973</v>
      </c>
      <c r="F554" s="5">
        <v>344</v>
      </c>
      <c r="G554" s="5">
        <v>307</v>
      </c>
      <c r="H554" s="6">
        <f t="shared" si="40"/>
        <v>3.9337690197309574E-4</v>
      </c>
      <c r="I554" s="6">
        <f t="shared" si="41"/>
        <v>0.36949516648764769</v>
      </c>
      <c r="J554" s="6">
        <f t="shared" si="42"/>
        <v>0.31551901336073995</v>
      </c>
      <c r="K554" s="6">
        <f t="shared" si="43"/>
        <v>1.4535086388694409E-4</v>
      </c>
      <c r="L554" s="6">
        <f t="shared" si="44"/>
        <v>1.2411789198945569E-4</v>
      </c>
    </row>
    <row r="555" spans="1:12" ht="22.95" customHeight="1">
      <c r="A555" s="5">
        <v>4</v>
      </c>
      <c r="B555" s="7" t="s">
        <v>280</v>
      </c>
      <c r="C555" s="7" t="s">
        <v>292</v>
      </c>
      <c r="D555" s="5">
        <v>3935</v>
      </c>
      <c r="E555" s="5">
        <v>3500</v>
      </c>
      <c r="F555" s="5">
        <v>0</v>
      </c>
      <c r="G555" s="5">
        <v>0</v>
      </c>
      <c r="H555" s="6">
        <f t="shared" si="40"/>
        <v>1.6626617714974562E-3</v>
      </c>
      <c r="I555" s="6">
        <f t="shared" si="41"/>
        <v>0</v>
      </c>
      <c r="J555" s="6">
        <f t="shared" si="42"/>
        <v>0</v>
      </c>
      <c r="K555" s="6">
        <f t="shared" si="43"/>
        <v>0</v>
      </c>
      <c r="L555" s="6">
        <f t="shared" si="44"/>
        <v>0</v>
      </c>
    </row>
    <row r="556" spans="1:12" ht="22.95" customHeight="1">
      <c r="A556" s="5">
        <v>4</v>
      </c>
      <c r="B556" s="7" t="s">
        <v>98</v>
      </c>
      <c r="C556" s="7" t="s">
        <v>292</v>
      </c>
      <c r="D556" s="5">
        <v>4544</v>
      </c>
      <c r="E556" s="5">
        <v>5469</v>
      </c>
      <c r="F556" s="5">
        <v>1623</v>
      </c>
      <c r="G556" s="5">
        <v>2023</v>
      </c>
      <c r="H556" s="6">
        <f t="shared" si="40"/>
        <v>1.9199835043670751E-3</v>
      </c>
      <c r="I556" s="6">
        <f t="shared" si="41"/>
        <v>0.35717429577464788</v>
      </c>
      <c r="J556" s="6">
        <f t="shared" si="42"/>
        <v>0.36990309014445055</v>
      </c>
      <c r="K556" s="6">
        <f t="shared" si="43"/>
        <v>6.8576875607125065E-4</v>
      </c>
      <c r="L556" s="6">
        <f t="shared" si="44"/>
        <v>7.1020783129175226E-4</v>
      </c>
    </row>
    <row r="557" spans="1:12" ht="22.95" customHeight="1">
      <c r="A557" s="5">
        <v>4</v>
      </c>
      <c r="B557" s="7" t="s">
        <v>231</v>
      </c>
      <c r="C557" s="7" t="s">
        <v>295</v>
      </c>
      <c r="D557" s="5">
        <v>21</v>
      </c>
      <c r="E557" s="5">
        <v>19</v>
      </c>
      <c r="F557" s="5">
        <v>13</v>
      </c>
      <c r="G557" s="5">
        <v>12</v>
      </c>
      <c r="H557" s="6">
        <f t="shared" si="40"/>
        <v>8.8731632024006561E-6</v>
      </c>
      <c r="I557" s="6">
        <f t="shared" si="41"/>
        <v>0.61904761904761907</v>
      </c>
      <c r="J557" s="6">
        <f t="shared" si="42"/>
        <v>0.63157894736842102</v>
      </c>
      <c r="K557" s="6">
        <f t="shared" si="43"/>
        <v>5.4929105538670729E-6</v>
      </c>
      <c r="L557" s="6">
        <f t="shared" si="44"/>
        <v>5.6041030752004144E-6</v>
      </c>
    </row>
    <row r="558" spans="1:12" ht="22.95" customHeight="1">
      <c r="A558" s="5">
        <v>4</v>
      </c>
      <c r="B558" s="7" t="s">
        <v>263</v>
      </c>
      <c r="C558" s="7" t="s">
        <v>295</v>
      </c>
      <c r="D558" s="5">
        <v>396</v>
      </c>
      <c r="E558" s="5">
        <v>304</v>
      </c>
      <c r="F558" s="5">
        <v>315</v>
      </c>
      <c r="G558" s="5">
        <v>247</v>
      </c>
      <c r="H558" s="6">
        <f t="shared" si="40"/>
        <v>1.6732250610241236E-4</v>
      </c>
      <c r="I558" s="6">
        <f t="shared" si="41"/>
        <v>0.79545454545454541</v>
      </c>
      <c r="J558" s="6">
        <f t="shared" si="42"/>
        <v>0.8125</v>
      </c>
      <c r="K558" s="6">
        <f t="shared" si="43"/>
        <v>1.3309744803600984E-4</v>
      </c>
      <c r="L558" s="6">
        <f t="shared" si="44"/>
        <v>1.3594953620821003E-4</v>
      </c>
    </row>
    <row r="559" spans="1:12" ht="22.95" customHeight="1">
      <c r="A559" s="5">
        <v>4</v>
      </c>
      <c r="B559" s="7" t="s">
        <v>242</v>
      </c>
      <c r="C559" s="7" t="s">
        <v>303</v>
      </c>
      <c r="D559" s="5">
        <v>23</v>
      </c>
      <c r="E559" s="5">
        <v>19</v>
      </c>
      <c r="F559" s="5">
        <v>6</v>
      </c>
      <c r="G559" s="5">
        <v>2</v>
      </c>
      <c r="H559" s="6">
        <f t="shared" si="40"/>
        <v>9.7182263645340516E-6</v>
      </c>
      <c r="I559" s="6">
        <f t="shared" si="41"/>
        <v>0.2608695652173913</v>
      </c>
      <c r="J559" s="6">
        <f t="shared" si="42"/>
        <v>0.10526315789473684</v>
      </c>
      <c r="K559" s="6">
        <f t="shared" si="43"/>
        <v>2.5351894864001871E-6</v>
      </c>
      <c r="L559" s="6">
        <f t="shared" si="44"/>
        <v>1.0229711962667422E-6</v>
      </c>
    </row>
    <row r="560" spans="1:12" ht="22.95" customHeight="1">
      <c r="A560" s="5">
        <v>4</v>
      </c>
      <c r="B560" s="7" t="s">
        <v>283</v>
      </c>
      <c r="C560" s="7" t="s">
        <v>295</v>
      </c>
      <c r="D560" s="5">
        <v>1487</v>
      </c>
      <c r="E560" s="5">
        <v>548</v>
      </c>
      <c r="F560" s="5">
        <v>1424</v>
      </c>
      <c r="G560" s="5">
        <v>475</v>
      </c>
      <c r="H560" s="6">
        <f t="shared" si="40"/>
        <v>6.2830446104617974E-4</v>
      </c>
      <c r="I560" s="6">
        <f t="shared" si="41"/>
        <v>0.95763281775386688</v>
      </c>
      <c r="J560" s="6">
        <f t="shared" si="42"/>
        <v>0.86678832116788318</v>
      </c>
      <c r="K560" s="6">
        <f t="shared" si="43"/>
        <v>6.0168497143897777E-4</v>
      </c>
      <c r="L560" s="6">
        <f t="shared" si="44"/>
        <v>5.4460696897250976E-4</v>
      </c>
    </row>
    <row r="561" spans="1:12" ht="22.95" customHeight="1">
      <c r="A561" s="5">
        <v>4</v>
      </c>
      <c r="B561" s="7" t="s">
        <v>147</v>
      </c>
      <c r="C561" s="7" t="s">
        <v>292</v>
      </c>
      <c r="D561" s="5">
        <v>158</v>
      </c>
      <c r="E561" s="5">
        <v>164</v>
      </c>
      <c r="F561" s="5">
        <v>92</v>
      </c>
      <c r="G561" s="5">
        <v>102</v>
      </c>
      <c r="H561" s="6">
        <f t="shared" si="40"/>
        <v>6.6759989808538262E-5</v>
      </c>
      <c r="I561" s="6">
        <f t="shared" si="41"/>
        <v>0.58227848101265822</v>
      </c>
      <c r="J561" s="6">
        <f t="shared" si="42"/>
        <v>0.62195121951219512</v>
      </c>
      <c r="K561" s="6">
        <f t="shared" si="43"/>
        <v>3.88729054581362E-5</v>
      </c>
      <c r="L561" s="6">
        <f t="shared" si="44"/>
        <v>4.1521457076042093E-5</v>
      </c>
    </row>
    <row r="562" spans="1:12" ht="22.95" customHeight="1">
      <c r="A562" s="5">
        <v>4</v>
      </c>
      <c r="B562" s="7" t="s">
        <v>252</v>
      </c>
      <c r="C562" s="7" t="s">
        <v>291</v>
      </c>
      <c r="D562" s="5">
        <v>53</v>
      </c>
      <c r="E562" s="5">
        <v>46</v>
      </c>
      <c r="F562" s="5">
        <v>18</v>
      </c>
      <c r="G562" s="5">
        <v>19</v>
      </c>
      <c r="H562" s="6">
        <f t="shared" si="40"/>
        <v>2.2394173796534987E-5</v>
      </c>
      <c r="I562" s="6">
        <f t="shared" si="41"/>
        <v>0.33962264150943394</v>
      </c>
      <c r="J562" s="6">
        <f t="shared" si="42"/>
        <v>0.41304347826086957</v>
      </c>
      <c r="K562" s="6">
        <f t="shared" si="43"/>
        <v>7.605568459200561E-6</v>
      </c>
      <c r="L562" s="6">
        <f t="shared" si="44"/>
        <v>9.2497674376992345E-6</v>
      </c>
    </row>
    <row r="563" spans="1:12" ht="22.95" customHeight="1">
      <c r="A563" s="5">
        <v>4</v>
      </c>
      <c r="B563" s="7" t="s">
        <v>103</v>
      </c>
      <c r="C563" s="7" t="s">
        <v>290</v>
      </c>
      <c r="D563" s="5">
        <v>2286</v>
      </c>
      <c r="E563" s="5">
        <v>2558</v>
      </c>
      <c r="F563" s="5">
        <v>828</v>
      </c>
      <c r="G563" s="5">
        <v>989</v>
      </c>
      <c r="H563" s="6">
        <f t="shared" si="40"/>
        <v>9.6590719431847137E-4</v>
      </c>
      <c r="I563" s="6">
        <f t="shared" si="41"/>
        <v>0.36220472440944884</v>
      </c>
      <c r="J563" s="6">
        <f t="shared" si="42"/>
        <v>0.38663017982799064</v>
      </c>
      <c r="K563" s="6">
        <f t="shared" si="43"/>
        <v>3.4985614912322587E-4</v>
      </c>
      <c r="L563" s="6">
        <f t="shared" si="44"/>
        <v>3.7344887223650049E-4</v>
      </c>
    </row>
    <row r="564" spans="1:12" ht="22.95" customHeight="1">
      <c r="A564" s="5">
        <v>4</v>
      </c>
      <c r="B564" s="7" t="s">
        <v>140</v>
      </c>
      <c r="C564" s="7" t="s">
        <v>290</v>
      </c>
      <c r="D564" s="5">
        <v>125</v>
      </c>
      <c r="E564" s="5">
        <v>152</v>
      </c>
      <c r="F564" s="5">
        <v>91</v>
      </c>
      <c r="G564" s="5">
        <v>111</v>
      </c>
      <c r="H564" s="6">
        <f t="shared" si="40"/>
        <v>5.2816447633337234E-5</v>
      </c>
      <c r="I564" s="6">
        <f t="shared" si="41"/>
        <v>0.72799999999999998</v>
      </c>
      <c r="J564" s="6">
        <f t="shared" si="42"/>
        <v>0.73026315789473684</v>
      </c>
      <c r="K564" s="6">
        <f t="shared" si="43"/>
        <v>3.8450373877069508E-5</v>
      </c>
      <c r="L564" s="6">
        <f t="shared" si="44"/>
        <v>3.8569905837502849E-5</v>
      </c>
    </row>
    <row r="565" spans="1:12" ht="22.95" customHeight="1">
      <c r="A565" s="5">
        <v>4</v>
      </c>
      <c r="B565" s="7" t="s">
        <v>144</v>
      </c>
      <c r="C565" s="7" t="s">
        <v>296</v>
      </c>
      <c r="D565" s="5">
        <v>144</v>
      </c>
      <c r="E565" s="5">
        <v>207</v>
      </c>
      <c r="F565" s="5">
        <v>0</v>
      </c>
      <c r="G565" s="5">
        <v>0</v>
      </c>
      <c r="H565" s="6">
        <f t="shared" si="40"/>
        <v>6.0844547673604495E-5</v>
      </c>
      <c r="I565" s="6">
        <f t="shared" si="41"/>
        <v>0</v>
      </c>
      <c r="J565" s="6">
        <f t="shared" si="42"/>
        <v>0</v>
      </c>
      <c r="K565" s="6">
        <f t="shared" si="43"/>
        <v>0</v>
      </c>
      <c r="L565" s="6">
        <f t="shared" si="44"/>
        <v>0</v>
      </c>
    </row>
    <row r="566" spans="1:12" ht="22.95" customHeight="1">
      <c r="A566" s="5">
        <v>4</v>
      </c>
      <c r="B566" s="7" t="s">
        <v>107</v>
      </c>
      <c r="C566" s="7" t="s">
        <v>296</v>
      </c>
      <c r="D566" s="5">
        <v>1458</v>
      </c>
      <c r="E566" s="5">
        <v>2084</v>
      </c>
      <c r="F566" s="5">
        <v>0</v>
      </c>
      <c r="G566" s="5">
        <v>0</v>
      </c>
      <c r="H566" s="6">
        <f t="shared" si="40"/>
        <v>6.160510451952455E-4</v>
      </c>
      <c r="I566" s="6">
        <f t="shared" si="41"/>
        <v>0</v>
      </c>
      <c r="J566" s="6">
        <f t="shared" si="42"/>
        <v>0</v>
      </c>
      <c r="K566" s="6">
        <f t="shared" si="43"/>
        <v>0</v>
      </c>
      <c r="L566" s="6">
        <f t="shared" si="44"/>
        <v>0</v>
      </c>
    </row>
    <row r="567" spans="1:12" ht="22.95" customHeight="1">
      <c r="A567" s="5">
        <v>4</v>
      </c>
      <c r="B567" s="7" t="s">
        <v>146</v>
      </c>
      <c r="C567" s="7" t="s">
        <v>296</v>
      </c>
      <c r="D567" s="5">
        <v>239</v>
      </c>
      <c r="E567" s="5">
        <v>289</v>
      </c>
      <c r="F567" s="5">
        <v>0</v>
      </c>
      <c r="G567" s="5">
        <v>0</v>
      </c>
      <c r="H567" s="6">
        <f t="shared" si="40"/>
        <v>1.009850478749408E-4</v>
      </c>
      <c r="I567" s="6">
        <f t="shared" si="41"/>
        <v>0</v>
      </c>
      <c r="J567" s="6">
        <f t="shared" si="42"/>
        <v>0</v>
      </c>
      <c r="K567" s="6">
        <f t="shared" si="43"/>
        <v>0</v>
      </c>
      <c r="L567" s="6">
        <f t="shared" si="44"/>
        <v>0</v>
      </c>
    </row>
    <row r="568" spans="1:12" ht="22.95" customHeight="1">
      <c r="A568" s="5">
        <v>4</v>
      </c>
      <c r="B568" s="7" t="s">
        <v>143</v>
      </c>
      <c r="C568" s="7" t="s">
        <v>304</v>
      </c>
      <c r="D568" s="5">
        <v>1113</v>
      </c>
      <c r="E568" s="5">
        <v>1233</v>
      </c>
      <c r="F568" s="5">
        <v>406</v>
      </c>
      <c r="G568" s="5">
        <v>438</v>
      </c>
      <c r="H568" s="6">
        <f t="shared" si="40"/>
        <v>4.7027764972723475E-4</v>
      </c>
      <c r="I568" s="6">
        <f t="shared" si="41"/>
        <v>0.36477987421383645</v>
      </c>
      <c r="J568" s="6">
        <f t="shared" si="42"/>
        <v>0.35523114355231145</v>
      </c>
      <c r="K568" s="6">
        <f t="shared" si="43"/>
        <v>1.7154782191307932E-4</v>
      </c>
      <c r="L568" s="6">
        <f t="shared" si="44"/>
        <v>1.6705726729969897E-4</v>
      </c>
    </row>
    <row r="569" spans="1:12" ht="22.95" customHeight="1">
      <c r="A569" s="5">
        <v>4</v>
      </c>
      <c r="B569" s="7" t="s">
        <v>143</v>
      </c>
      <c r="C569" s="7" t="s">
        <v>295</v>
      </c>
      <c r="D569" s="5">
        <v>2512</v>
      </c>
      <c r="E569" s="5">
        <v>2782</v>
      </c>
      <c r="F569" s="5">
        <v>959</v>
      </c>
      <c r="G569" s="5">
        <v>1002</v>
      </c>
      <c r="H569" s="6">
        <f t="shared" si="40"/>
        <v>1.061399331639545E-3</v>
      </c>
      <c r="I569" s="6">
        <f t="shared" si="41"/>
        <v>0.38176751592356689</v>
      </c>
      <c r="J569" s="6">
        <f t="shared" si="42"/>
        <v>0.36017253774263119</v>
      </c>
      <c r="K569" s="6">
        <f t="shared" si="43"/>
        <v>4.0520778624296324E-4</v>
      </c>
      <c r="L569" s="6">
        <f t="shared" si="44"/>
        <v>3.8228689083494755E-4</v>
      </c>
    </row>
    <row r="570" spans="1:12" ht="22.95" customHeight="1">
      <c r="A570" s="5">
        <v>4</v>
      </c>
      <c r="B570" s="7" t="s">
        <v>106</v>
      </c>
      <c r="C570" s="7" t="s">
        <v>290</v>
      </c>
      <c r="D570" s="5">
        <v>2204</v>
      </c>
      <c r="E570" s="5">
        <v>2564</v>
      </c>
      <c r="F570" s="5">
        <v>696</v>
      </c>
      <c r="G570" s="5">
        <v>893</v>
      </c>
      <c r="H570" s="6">
        <f t="shared" si="40"/>
        <v>9.3125960467100211E-4</v>
      </c>
      <c r="I570" s="6">
        <f t="shared" si="41"/>
        <v>0.31578947368421051</v>
      </c>
      <c r="J570" s="6">
        <f t="shared" si="42"/>
        <v>0.34828393135725427</v>
      </c>
      <c r="K570" s="6">
        <f t="shared" si="43"/>
        <v>2.9408198042242171E-4</v>
      </c>
      <c r="L570" s="6">
        <f t="shared" si="44"/>
        <v>3.2434275622901905E-4</v>
      </c>
    </row>
    <row r="571" spans="1:12" ht="22.95" customHeight="1">
      <c r="A571" s="5">
        <v>4</v>
      </c>
      <c r="B571" s="7" t="s">
        <v>186</v>
      </c>
      <c r="C571" s="7" t="s">
        <v>291</v>
      </c>
      <c r="D571" s="5">
        <v>14</v>
      </c>
      <c r="E571" s="5">
        <v>13</v>
      </c>
      <c r="F571" s="5">
        <v>6</v>
      </c>
      <c r="G571" s="5">
        <v>11</v>
      </c>
      <c r="H571" s="6">
        <f t="shared" si="40"/>
        <v>5.9154421349337707E-6</v>
      </c>
      <c r="I571" s="6">
        <f t="shared" si="41"/>
        <v>0.42857142857142855</v>
      </c>
      <c r="J571" s="6">
        <f t="shared" si="42"/>
        <v>0.84615384615384615</v>
      </c>
      <c r="K571" s="6">
        <f t="shared" si="43"/>
        <v>2.5351894864001871E-6</v>
      </c>
      <c r="L571" s="6">
        <f t="shared" si="44"/>
        <v>5.0053741141747288E-6</v>
      </c>
    </row>
    <row r="572" spans="1:12" ht="22.95" customHeight="1">
      <c r="A572" s="5">
        <v>4</v>
      </c>
      <c r="B572" s="7" t="s">
        <v>190</v>
      </c>
      <c r="C572" s="7" t="s">
        <v>291</v>
      </c>
      <c r="D572" s="5">
        <v>36</v>
      </c>
      <c r="E572" s="5">
        <v>26</v>
      </c>
      <c r="F572" s="5">
        <v>24</v>
      </c>
      <c r="G572" s="5">
        <v>18</v>
      </c>
      <c r="H572" s="6">
        <f t="shared" si="40"/>
        <v>1.5211136918401124E-5</v>
      </c>
      <c r="I572" s="6">
        <f t="shared" si="41"/>
        <v>0.66666666666666663</v>
      </c>
      <c r="J572" s="6">
        <f t="shared" si="42"/>
        <v>0.69230769230769229</v>
      </c>
      <c r="K572" s="6">
        <f t="shared" si="43"/>
        <v>1.0140757945600749E-5</v>
      </c>
      <c r="L572" s="6">
        <f t="shared" si="44"/>
        <v>1.0530787097354623E-5</v>
      </c>
    </row>
    <row r="573" spans="1:12" ht="22.95" customHeight="1">
      <c r="A573" s="5">
        <v>4</v>
      </c>
      <c r="B573" s="7" t="s">
        <v>124</v>
      </c>
      <c r="C573" s="7" t="s">
        <v>303</v>
      </c>
      <c r="D573" s="5">
        <v>1062</v>
      </c>
      <c r="E573" s="5">
        <v>1204</v>
      </c>
      <c r="F573" s="5">
        <v>530</v>
      </c>
      <c r="G573" s="5">
        <v>562</v>
      </c>
      <c r="H573" s="6">
        <f t="shared" si="40"/>
        <v>4.4872853909283316E-4</v>
      </c>
      <c r="I573" s="6">
        <f t="shared" si="41"/>
        <v>0.49905838041431261</v>
      </c>
      <c r="J573" s="6">
        <f t="shared" si="42"/>
        <v>0.46677740863787376</v>
      </c>
      <c r="K573" s="6">
        <f t="shared" si="43"/>
        <v>2.2394173796534987E-4</v>
      </c>
      <c r="L573" s="6">
        <f t="shared" si="44"/>
        <v>2.0945634465961149E-4</v>
      </c>
    </row>
    <row r="574" spans="1:12" ht="22.95" customHeight="1">
      <c r="A574" s="5">
        <v>4</v>
      </c>
      <c r="B574" s="7" t="s">
        <v>170</v>
      </c>
      <c r="C574" s="7" t="s">
        <v>303</v>
      </c>
      <c r="D574" s="5">
        <v>284</v>
      </c>
      <c r="E574" s="5">
        <v>277</v>
      </c>
      <c r="F574" s="5">
        <v>198</v>
      </c>
      <c r="G574" s="5">
        <v>172</v>
      </c>
      <c r="H574" s="6">
        <f t="shared" si="40"/>
        <v>1.199989690229422E-4</v>
      </c>
      <c r="I574" s="6">
        <f t="shared" si="41"/>
        <v>0.69718309859154926</v>
      </c>
      <c r="J574" s="6">
        <f t="shared" si="42"/>
        <v>0.62093862815884482</v>
      </c>
      <c r="K574" s="6">
        <f t="shared" si="43"/>
        <v>8.3661253051206167E-5</v>
      </c>
      <c r="L574" s="6">
        <f t="shared" si="44"/>
        <v>7.4511995205581443E-5</v>
      </c>
    </row>
    <row r="575" spans="1:12" ht="22.95" customHeight="1">
      <c r="A575" s="5">
        <v>4</v>
      </c>
      <c r="B575" s="7" t="s">
        <v>125</v>
      </c>
      <c r="C575" s="7" t="s">
        <v>298</v>
      </c>
      <c r="D575" s="5">
        <v>1368</v>
      </c>
      <c r="E575" s="5">
        <v>1751</v>
      </c>
      <c r="F575" s="5">
        <v>982</v>
      </c>
      <c r="G575" s="5">
        <v>331</v>
      </c>
      <c r="H575" s="6">
        <f t="shared" si="40"/>
        <v>5.7802320289924265E-4</v>
      </c>
      <c r="I575" s="6">
        <f t="shared" si="41"/>
        <v>0.71783625730994149</v>
      </c>
      <c r="J575" s="6">
        <f t="shared" si="42"/>
        <v>0.18903483723586523</v>
      </c>
      <c r="K575" s="6">
        <f t="shared" si="43"/>
        <v>4.1492601260749727E-4</v>
      </c>
      <c r="L575" s="6">
        <f t="shared" si="44"/>
        <v>1.0926652207861184E-4</v>
      </c>
    </row>
    <row r="576" spans="1:12" ht="22.95" customHeight="1">
      <c r="A576" s="5">
        <v>4</v>
      </c>
      <c r="B576" s="7" t="s">
        <v>154</v>
      </c>
      <c r="C576" s="7" t="s">
        <v>298</v>
      </c>
      <c r="D576" s="5">
        <v>36</v>
      </c>
      <c r="E576" s="5">
        <v>48</v>
      </c>
      <c r="F576" s="5">
        <v>8</v>
      </c>
      <c r="G576" s="5">
        <v>17</v>
      </c>
      <c r="H576" s="6">
        <f t="shared" si="40"/>
        <v>1.5211136918401124E-5</v>
      </c>
      <c r="I576" s="6">
        <f t="shared" si="41"/>
        <v>0.22222222222222221</v>
      </c>
      <c r="J576" s="6">
        <f t="shared" si="42"/>
        <v>0.35416666666666669</v>
      </c>
      <c r="K576" s="6">
        <f t="shared" si="43"/>
        <v>3.3802526485335827E-6</v>
      </c>
      <c r="L576" s="6">
        <f t="shared" si="44"/>
        <v>5.3872776586003983E-6</v>
      </c>
    </row>
    <row r="577" spans="1:12" ht="22.95" customHeight="1">
      <c r="A577" s="5">
        <v>4</v>
      </c>
      <c r="B577" s="7" t="s">
        <v>246</v>
      </c>
      <c r="C577" s="7" t="s">
        <v>298</v>
      </c>
      <c r="D577" s="5">
        <v>7</v>
      </c>
      <c r="E577" s="5">
        <v>5</v>
      </c>
      <c r="F577" s="5">
        <v>2</v>
      </c>
      <c r="G577" s="5">
        <v>1</v>
      </c>
      <c r="H577" s="6">
        <f t="shared" si="40"/>
        <v>2.9577210674668854E-6</v>
      </c>
      <c r="I577" s="6">
        <f t="shared" si="41"/>
        <v>0.2857142857142857</v>
      </c>
      <c r="J577" s="6">
        <f t="shared" si="42"/>
        <v>0.2</v>
      </c>
      <c r="K577" s="6">
        <f t="shared" si="43"/>
        <v>8.4506316213339578E-7</v>
      </c>
      <c r="L577" s="6">
        <f t="shared" si="44"/>
        <v>5.9154421349337716E-7</v>
      </c>
    </row>
    <row r="578" spans="1:12" ht="22.95" customHeight="1">
      <c r="A578" s="5">
        <v>4</v>
      </c>
      <c r="B578" s="7" t="s">
        <v>95</v>
      </c>
      <c r="C578" s="7" t="s">
        <v>290</v>
      </c>
      <c r="D578" s="5">
        <v>2379</v>
      </c>
      <c r="E578" s="5">
        <v>3212</v>
      </c>
      <c r="F578" s="5">
        <v>1040</v>
      </c>
      <c r="G578" s="5">
        <v>1541</v>
      </c>
      <c r="H578" s="6">
        <f t="shared" si="40"/>
        <v>1.0052026313576742E-3</v>
      </c>
      <c r="I578" s="6">
        <f t="shared" si="41"/>
        <v>0.43715846994535518</v>
      </c>
      <c r="J578" s="6">
        <f t="shared" si="42"/>
        <v>0.47976338729763385</v>
      </c>
      <c r="K578" s="6">
        <f t="shared" si="43"/>
        <v>4.3943284430936577E-4</v>
      </c>
      <c r="L578" s="6">
        <f t="shared" si="44"/>
        <v>4.822594193406525E-4</v>
      </c>
    </row>
    <row r="579" spans="1:12" ht="22.95" customHeight="1">
      <c r="A579" s="5">
        <v>4</v>
      </c>
      <c r="B579" s="7" t="s">
        <v>105</v>
      </c>
      <c r="C579" s="7" t="s">
        <v>296</v>
      </c>
      <c r="D579" s="5">
        <v>3003</v>
      </c>
      <c r="E579" s="5">
        <v>3711</v>
      </c>
      <c r="F579" s="5">
        <v>0</v>
      </c>
      <c r="G579" s="5">
        <v>0</v>
      </c>
      <c r="H579" s="6">
        <f t="shared" si="40"/>
        <v>1.2688623379432937E-3</v>
      </c>
      <c r="I579" s="6">
        <f t="shared" si="41"/>
        <v>0</v>
      </c>
      <c r="J579" s="6">
        <f t="shared" si="42"/>
        <v>0</v>
      </c>
      <c r="K579" s="6">
        <f t="shared" si="43"/>
        <v>0</v>
      </c>
      <c r="L579" s="6">
        <f t="shared" si="44"/>
        <v>0</v>
      </c>
    </row>
    <row r="580" spans="1:12" ht="22.95" customHeight="1">
      <c r="A580" s="5">
        <v>4</v>
      </c>
      <c r="B580" s="7" t="s">
        <v>268</v>
      </c>
      <c r="C580" s="7" t="s">
        <v>292</v>
      </c>
      <c r="D580" s="5">
        <v>1818</v>
      </c>
      <c r="E580" s="5">
        <v>1250</v>
      </c>
      <c r="F580" s="5">
        <v>0</v>
      </c>
      <c r="G580" s="5">
        <v>0</v>
      </c>
      <c r="H580" s="6">
        <f t="shared" si="40"/>
        <v>7.6816241437925679E-4</v>
      </c>
      <c r="I580" s="6">
        <f t="shared" si="41"/>
        <v>0</v>
      </c>
      <c r="J580" s="6">
        <f t="shared" si="42"/>
        <v>0</v>
      </c>
      <c r="K580" s="6">
        <f t="shared" si="43"/>
        <v>0</v>
      </c>
      <c r="L580" s="6">
        <f t="shared" si="44"/>
        <v>0</v>
      </c>
    </row>
    <row r="581" spans="1:12" ht="22.95" customHeight="1">
      <c r="A581" s="5">
        <v>4</v>
      </c>
      <c r="B581" s="7" t="s">
        <v>268</v>
      </c>
      <c r="C581" s="7" t="s">
        <v>295</v>
      </c>
      <c r="D581" s="5">
        <v>82</v>
      </c>
      <c r="E581" s="5">
        <v>73</v>
      </c>
      <c r="F581" s="5">
        <v>72</v>
      </c>
      <c r="G581" s="5">
        <v>64</v>
      </c>
      <c r="H581" s="6">
        <f t="shared" si="40"/>
        <v>3.4647589647469227E-5</v>
      </c>
      <c r="I581" s="6">
        <f t="shared" si="41"/>
        <v>0.87804878048780488</v>
      </c>
      <c r="J581" s="6">
        <f t="shared" si="42"/>
        <v>0.87671232876712324</v>
      </c>
      <c r="K581" s="6">
        <f t="shared" si="43"/>
        <v>3.0422273836802247E-5</v>
      </c>
      <c r="L581" s="6">
        <f t="shared" si="44"/>
        <v>3.0375969006000416E-5</v>
      </c>
    </row>
    <row r="582" spans="1:12" ht="22.95" customHeight="1">
      <c r="A582" s="5">
        <v>4</v>
      </c>
      <c r="B582" s="7" t="s">
        <v>203</v>
      </c>
      <c r="C582" s="7" t="s">
        <v>298</v>
      </c>
      <c r="D582" s="5">
        <v>30</v>
      </c>
      <c r="E582" s="5">
        <v>40</v>
      </c>
      <c r="F582" s="5">
        <v>12</v>
      </c>
      <c r="G582" s="5">
        <v>15</v>
      </c>
      <c r="H582" s="6">
        <f t="shared" si="40"/>
        <v>1.2675947432000937E-5</v>
      </c>
      <c r="I582" s="6">
        <f t="shared" si="41"/>
        <v>0.4</v>
      </c>
      <c r="J582" s="6">
        <f t="shared" si="42"/>
        <v>0.375</v>
      </c>
      <c r="K582" s="6">
        <f t="shared" si="43"/>
        <v>5.0703789728003751E-6</v>
      </c>
      <c r="L582" s="6">
        <f t="shared" si="44"/>
        <v>4.7534802870003512E-6</v>
      </c>
    </row>
    <row r="583" spans="1:12" ht="22.95" customHeight="1">
      <c r="A583" s="5">
        <v>4</v>
      </c>
      <c r="B583" s="7" t="s">
        <v>244</v>
      </c>
      <c r="C583" s="7" t="s">
        <v>298</v>
      </c>
      <c r="D583" s="5">
        <v>3</v>
      </c>
      <c r="E583" s="5">
        <v>2</v>
      </c>
      <c r="F583" s="5">
        <v>2</v>
      </c>
      <c r="G583" s="5">
        <v>1</v>
      </c>
      <c r="H583" s="6">
        <f t="shared" si="40"/>
        <v>1.2675947432000936E-6</v>
      </c>
      <c r="I583" s="6">
        <f t="shared" si="41"/>
        <v>0.66666666666666663</v>
      </c>
      <c r="J583" s="6">
        <f t="shared" si="42"/>
        <v>0.5</v>
      </c>
      <c r="K583" s="6">
        <f t="shared" si="43"/>
        <v>8.4506316213339568E-7</v>
      </c>
      <c r="L583" s="6">
        <f t="shared" si="44"/>
        <v>6.3379737160004679E-7</v>
      </c>
    </row>
    <row r="584" spans="1:12" ht="22.95" customHeight="1">
      <c r="A584" s="5">
        <v>4</v>
      </c>
      <c r="B584" s="7" t="s">
        <v>87</v>
      </c>
      <c r="C584" s="7" t="s">
        <v>290</v>
      </c>
      <c r="D584" s="5">
        <v>16824</v>
      </c>
      <c r="E584" s="5">
        <v>19553</v>
      </c>
      <c r="F584" s="5">
        <v>8453</v>
      </c>
      <c r="G584" s="5">
        <v>13303</v>
      </c>
      <c r="H584" s="6">
        <f t="shared" si="40"/>
        <v>7.1086713198661253E-3</v>
      </c>
      <c r="I584" s="6">
        <f t="shared" si="41"/>
        <v>0.50243699476937709</v>
      </c>
      <c r="J584" s="6">
        <f t="shared" si="42"/>
        <v>0.68035595560783513</v>
      </c>
      <c r="K584" s="6">
        <f t="shared" si="43"/>
        <v>3.5716594547567974E-3</v>
      </c>
      <c r="L584" s="6">
        <f t="shared" si="44"/>
        <v>4.8364268689295286E-3</v>
      </c>
    </row>
    <row r="585" spans="1:12" ht="22.95" customHeight="1">
      <c r="A585" s="5">
        <v>4</v>
      </c>
      <c r="B585" s="7" t="s">
        <v>255</v>
      </c>
      <c r="C585" s="7" t="s">
        <v>303</v>
      </c>
      <c r="D585" s="5">
        <v>42</v>
      </c>
      <c r="E585" s="5">
        <v>29</v>
      </c>
      <c r="F585" s="5">
        <v>21</v>
      </c>
      <c r="G585" s="5">
        <v>13</v>
      </c>
      <c r="H585" s="6">
        <f t="shared" si="40"/>
        <v>1.7746326404801312E-5</v>
      </c>
      <c r="I585" s="6">
        <f t="shared" si="41"/>
        <v>0.5</v>
      </c>
      <c r="J585" s="6">
        <f t="shared" si="42"/>
        <v>0.44827586206896552</v>
      </c>
      <c r="K585" s="6">
        <f t="shared" si="43"/>
        <v>8.8731632024006561E-6</v>
      </c>
      <c r="L585" s="6">
        <f t="shared" si="44"/>
        <v>7.9552497676695536E-6</v>
      </c>
    </row>
    <row r="586" spans="1:12" ht="22.95" customHeight="1">
      <c r="A586" s="5">
        <v>4</v>
      </c>
      <c r="B586" s="7" t="s">
        <v>260</v>
      </c>
      <c r="C586" s="7" t="s">
        <v>294</v>
      </c>
      <c r="D586" s="5">
        <v>146</v>
      </c>
      <c r="E586" s="5">
        <v>179</v>
      </c>
      <c r="F586" s="5">
        <v>66</v>
      </c>
      <c r="G586" s="5">
        <v>85</v>
      </c>
      <c r="H586" s="6">
        <f t="shared" si="40"/>
        <v>6.1689610835737892E-5</v>
      </c>
      <c r="I586" s="6">
        <f t="shared" si="41"/>
        <v>0.45205479452054792</v>
      </c>
      <c r="J586" s="6">
        <f t="shared" si="42"/>
        <v>0.47486033519553073</v>
      </c>
      <c r="K586" s="6">
        <f t="shared" si="43"/>
        <v>2.7887084350402059E-5</v>
      </c>
      <c r="L586" s="6">
        <f t="shared" si="44"/>
        <v>2.9293949279540339E-5</v>
      </c>
    </row>
    <row r="587" spans="1:12" ht="22.95" customHeight="1">
      <c r="A587" s="5">
        <v>4</v>
      </c>
      <c r="B587" s="7" t="s">
        <v>114</v>
      </c>
      <c r="C587" s="7" t="s">
        <v>291</v>
      </c>
      <c r="D587" s="5">
        <v>285</v>
      </c>
      <c r="E587" s="5">
        <v>385</v>
      </c>
      <c r="F587" s="5">
        <v>132</v>
      </c>
      <c r="G587" s="5">
        <v>184</v>
      </c>
      <c r="H587" s="6">
        <f t="shared" si="40"/>
        <v>1.2042150060400889E-4</v>
      </c>
      <c r="I587" s="6">
        <f t="shared" si="41"/>
        <v>0.4631578947368421</v>
      </c>
      <c r="J587" s="6">
        <f t="shared" si="42"/>
        <v>0.47792207792207791</v>
      </c>
      <c r="K587" s="6">
        <f t="shared" si="43"/>
        <v>5.5774168700804118E-5</v>
      </c>
      <c r="L587" s="6">
        <f t="shared" si="44"/>
        <v>5.7552093795162691E-5</v>
      </c>
    </row>
    <row r="588" spans="1:12" ht="22.95" customHeight="1">
      <c r="A588" s="5">
        <v>4</v>
      </c>
      <c r="B588" s="7" t="s">
        <v>114</v>
      </c>
      <c r="C588" s="7" t="s">
        <v>292</v>
      </c>
      <c r="D588" s="5">
        <v>135</v>
      </c>
      <c r="E588" s="5">
        <v>104</v>
      </c>
      <c r="F588" s="5">
        <v>79</v>
      </c>
      <c r="G588" s="5">
        <v>59</v>
      </c>
      <c r="H588" s="6">
        <f t="shared" si="40"/>
        <v>5.7041763444004214E-5</v>
      </c>
      <c r="I588" s="6">
        <f t="shared" si="41"/>
        <v>0.58518518518518514</v>
      </c>
      <c r="J588" s="6">
        <f t="shared" si="42"/>
        <v>0.56730769230769229</v>
      </c>
      <c r="K588" s="6">
        <f t="shared" si="43"/>
        <v>3.3379994904269131E-5</v>
      </c>
      <c r="L588" s="6">
        <f t="shared" si="44"/>
        <v>3.2360231184579315E-5</v>
      </c>
    </row>
    <row r="589" spans="1:12" ht="22.95" customHeight="1">
      <c r="A589" s="5">
        <v>4</v>
      </c>
      <c r="B589" s="7" t="s">
        <v>249</v>
      </c>
      <c r="C589" s="7" t="s">
        <v>291</v>
      </c>
      <c r="D589" s="5">
        <v>8</v>
      </c>
      <c r="E589" s="5">
        <v>2</v>
      </c>
      <c r="F589" s="5">
        <v>3</v>
      </c>
      <c r="G589" s="5">
        <v>2</v>
      </c>
      <c r="H589" s="6">
        <f t="shared" si="40"/>
        <v>3.3802526485335831E-6</v>
      </c>
      <c r="I589" s="6">
        <f t="shared" si="41"/>
        <v>0.375</v>
      </c>
      <c r="J589" s="6">
        <f t="shared" si="42"/>
        <v>1</v>
      </c>
      <c r="K589" s="6">
        <f t="shared" si="43"/>
        <v>1.2675947432000938E-6</v>
      </c>
      <c r="L589" s="6">
        <f t="shared" si="44"/>
        <v>3.3802526485335831E-6</v>
      </c>
    </row>
    <row r="590" spans="1:12" ht="22.95" customHeight="1">
      <c r="A590" s="5">
        <v>4</v>
      </c>
      <c r="B590" s="7" t="s">
        <v>224</v>
      </c>
      <c r="C590" s="7" t="s">
        <v>291</v>
      </c>
      <c r="D590" s="5">
        <v>1</v>
      </c>
      <c r="E590" s="5">
        <v>2</v>
      </c>
      <c r="F590" s="5">
        <v>0</v>
      </c>
      <c r="G590" s="5">
        <v>1</v>
      </c>
      <c r="H590" s="6">
        <f t="shared" si="40"/>
        <v>4.2253158106669789E-7</v>
      </c>
      <c r="I590" s="6">
        <f t="shared" si="41"/>
        <v>0</v>
      </c>
      <c r="J590" s="6">
        <f t="shared" si="42"/>
        <v>0.5</v>
      </c>
      <c r="K590" s="6">
        <f t="shared" si="43"/>
        <v>0</v>
      </c>
      <c r="L590" s="6">
        <f t="shared" si="44"/>
        <v>2.1126579053334895E-7</v>
      </c>
    </row>
    <row r="591" spans="1:12" ht="22.95" customHeight="1">
      <c r="A591" s="5">
        <v>4</v>
      </c>
      <c r="B591" s="7" t="s">
        <v>209</v>
      </c>
      <c r="C591" s="7" t="s">
        <v>291</v>
      </c>
      <c r="D591" s="5">
        <v>3</v>
      </c>
      <c r="E591" s="5">
        <v>3</v>
      </c>
      <c r="F591" s="5">
        <v>2</v>
      </c>
      <c r="G591" s="5">
        <v>1</v>
      </c>
      <c r="H591" s="6">
        <f t="shared" si="40"/>
        <v>1.2675947432000936E-6</v>
      </c>
      <c r="I591" s="6">
        <f t="shared" si="41"/>
        <v>0.66666666666666663</v>
      </c>
      <c r="J591" s="6">
        <f t="shared" si="42"/>
        <v>0.33333333333333331</v>
      </c>
      <c r="K591" s="6">
        <f t="shared" si="43"/>
        <v>8.4506316213339568E-7</v>
      </c>
      <c r="L591" s="6">
        <f t="shared" si="44"/>
        <v>4.2253158106669784E-7</v>
      </c>
    </row>
    <row r="592" spans="1:12" ht="22.95" customHeight="1">
      <c r="A592" s="5">
        <v>4</v>
      </c>
      <c r="B592" s="7" t="s">
        <v>272</v>
      </c>
      <c r="C592" s="7" t="s">
        <v>304</v>
      </c>
      <c r="D592" s="5">
        <v>2700</v>
      </c>
      <c r="E592" s="5">
        <v>3381</v>
      </c>
      <c r="F592" s="5">
        <v>826</v>
      </c>
      <c r="G592" s="5">
        <v>1192</v>
      </c>
      <c r="H592" s="6">
        <f t="shared" si="40"/>
        <v>1.1408352688800842E-3</v>
      </c>
      <c r="I592" s="6">
        <f t="shared" si="41"/>
        <v>0.30592592592592593</v>
      </c>
      <c r="J592" s="6">
        <f t="shared" si="42"/>
        <v>0.35255841467021592</v>
      </c>
      <c r="K592" s="6">
        <f t="shared" si="43"/>
        <v>3.4901108596109245E-4</v>
      </c>
      <c r="L592" s="6">
        <f t="shared" si="44"/>
        <v>4.0221107379623201E-4</v>
      </c>
    </row>
    <row r="593" spans="1:12" ht="22.95" customHeight="1">
      <c r="A593" s="5">
        <v>4</v>
      </c>
      <c r="B593" s="7" t="s">
        <v>253</v>
      </c>
      <c r="C593" s="7" t="s">
        <v>303</v>
      </c>
      <c r="D593" s="5">
        <v>89</v>
      </c>
      <c r="E593" s="5">
        <v>57</v>
      </c>
      <c r="F593" s="5">
        <v>52</v>
      </c>
      <c r="G593" s="5">
        <v>35</v>
      </c>
      <c r="H593" s="6">
        <f t="shared" si="40"/>
        <v>3.7605310714936111E-5</v>
      </c>
      <c r="I593" s="6">
        <f t="shared" si="41"/>
        <v>0.5842696629213483</v>
      </c>
      <c r="J593" s="6">
        <f t="shared" si="42"/>
        <v>0.61403508771929827</v>
      </c>
      <c r="K593" s="6">
        <f t="shared" si="43"/>
        <v>2.1971642215468288E-5</v>
      </c>
      <c r="L593" s="6">
        <f t="shared" si="44"/>
        <v>2.3090980263557261E-5</v>
      </c>
    </row>
    <row r="594" spans="1:12" ht="22.95" customHeight="1">
      <c r="A594" s="5">
        <v>4</v>
      </c>
      <c r="B594" s="7" t="s">
        <v>241</v>
      </c>
      <c r="C594" s="7" t="s">
        <v>303</v>
      </c>
      <c r="D594" s="5">
        <v>8</v>
      </c>
      <c r="E594" s="5">
        <v>16</v>
      </c>
      <c r="F594" s="5">
        <v>3</v>
      </c>
      <c r="G594" s="5">
        <v>6</v>
      </c>
      <c r="H594" s="6">
        <f t="shared" si="40"/>
        <v>3.3802526485335831E-6</v>
      </c>
      <c r="I594" s="6">
        <f t="shared" si="41"/>
        <v>0.375</v>
      </c>
      <c r="J594" s="6">
        <f t="shared" si="42"/>
        <v>0.375</v>
      </c>
      <c r="K594" s="6">
        <f t="shared" si="43"/>
        <v>1.2675947432000938E-6</v>
      </c>
      <c r="L594" s="6">
        <f t="shared" si="44"/>
        <v>1.2675947432000938E-6</v>
      </c>
    </row>
    <row r="595" spans="1:12" ht="22.95" customHeight="1">
      <c r="A595" s="5">
        <v>4</v>
      </c>
      <c r="B595" s="7" t="s">
        <v>271</v>
      </c>
      <c r="C595" s="7" t="s">
        <v>292</v>
      </c>
      <c r="D595" s="5">
        <v>3552</v>
      </c>
      <c r="E595" s="5">
        <v>3235</v>
      </c>
      <c r="F595" s="5">
        <v>939</v>
      </c>
      <c r="G595" s="5">
        <v>703</v>
      </c>
      <c r="H595" s="6">
        <f t="shared" si="40"/>
        <v>1.5008321759489109E-3</v>
      </c>
      <c r="I595" s="6">
        <f t="shared" si="41"/>
        <v>0.26435810810810811</v>
      </c>
      <c r="J595" s="6">
        <f t="shared" si="42"/>
        <v>0.21731066460587325</v>
      </c>
      <c r="K595" s="6">
        <f t="shared" si="43"/>
        <v>3.9675715462162933E-4</v>
      </c>
      <c r="L595" s="6">
        <f t="shared" si="44"/>
        <v>3.2614683761733674E-4</v>
      </c>
    </row>
    <row r="596" spans="1:12" ht="22.95" customHeight="1">
      <c r="A596" s="5">
        <v>4</v>
      </c>
      <c r="B596" s="7" t="s">
        <v>261</v>
      </c>
      <c r="C596" s="7" t="s">
        <v>295</v>
      </c>
      <c r="D596" s="5">
        <v>143</v>
      </c>
      <c r="E596" s="5">
        <v>81</v>
      </c>
      <c r="F596" s="5">
        <v>116</v>
      </c>
      <c r="G596" s="5">
        <v>57</v>
      </c>
      <c r="H596" s="6">
        <f t="shared" si="40"/>
        <v>6.0422016092537796E-5</v>
      </c>
      <c r="I596" s="6">
        <f t="shared" si="41"/>
        <v>0.81118881118881114</v>
      </c>
      <c r="J596" s="6">
        <f t="shared" si="42"/>
        <v>0.70370370370370372</v>
      </c>
      <c r="K596" s="6">
        <f t="shared" si="43"/>
        <v>4.9013663403736953E-5</v>
      </c>
      <c r="L596" s="6">
        <f t="shared" si="44"/>
        <v>4.2519196509563637E-5</v>
      </c>
    </row>
    <row r="597" spans="1:12" ht="22.95" customHeight="1">
      <c r="A597" s="5">
        <v>4</v>
      </c>
      <c r="B597" s="7" t="s">
        <v>88</v>
      </c>
      <c r="C597" s="7" t="s">
        <v>295</v>
      </c>
      <c r="D597" s="5">
        <v>47358</v>
      </c>
      <c r="E597" s="5">
        <v>51438</v>
      </c>
      <c r="F597" s="5">
        <v>18867</v>
      </c>
      <c r="G597" s="5">
        <v>23010</v>
      </c>
      <c r="H597" s="6">
        <f t="shared" si="40"/>
        <v>2.0010250616156678E-2</v>
      </c>
      <c r="I597" s="6">
        <f t="shared" si="41"/>
        <v>0.39839097934879009</v>
      </c>
      <c r="J597" s="6">
        <f t="shared" si="42"/>
        <v>0.44733465531319261</v>
      </c>
      <c r="K597" s="6">
        <f t="shared" si="43"/>
        <v>7.9719033399853895E-3</v>
      </c>
      <c r="L597" s="6">
        <f t="shared" si="44"/>
        <v>8.9512785621090468E-3</v>
      </c>
    </row>
    <row r="598" spans="1:12" ht="22.95" customHeight="1">
      <c r="A598" s="5">
        <v>4</v>
      </c>
      <c r="B598" s="7" t="s">
        <v>153</v>
      </c>
      <c r="C598" s="7" t="s">
        <v>292</v>
      </c>
      <c r="D598" s="5">
        <v>504</v>
      </c>
      <c r="E598" s="5">
        <v>558</v>
      </c>
      <c r="F598" s="5">
        <v>483</v>
      </c>
      <c r="G598" s="5">
        <v>534</v>
      </c>
      <c r="H598" s="6">
        <f t="shared" si="40"/>
        <v>2.1295591685761573E-4</v>
      </c>
      <c r="I598" s="6">
        <f t="shared" si="41"/>
        <v>0.95833333333333337</v>
      </c>
      <c r="J598" s="6">
        <f t="shared" si="42"/>
        <v>0.956989247311828</v>
      </c>
      <c r="K598" s="6">
        <f t="shared" si="43"/>
        <v>2.0408275365521507E-4</v>
      </c>
      <c r="L598" s="6">
        <f t="shared" si="44"/>
        <v>2.0379652258416991E-4</v>
      </c>
    </row>
    <row r="599" spans="1:12" ht="22.95" customHeight="1">
      <c r="A599" s="5">
        <v>4</v>
      </c>
      <c r="B599" s="7" t="s">
        <v>137</v>
      </c>
      <c r="C599" s="7" t="s">
        <v>293</v>
      </c>
      <c r="D599" s="5">
        <v>495</v>
      </c>
      <c r="E599" s="5">
        <v>568</v>
      </c>
      <c r="F599" s="5">
        <v>143</v>
      </c>
      <c r="G599" s="5">
        <v>144</v>
      </c>
      <c r="H599" s="6">
        <f t="shared" si="40"/>
        <v>2.0915313262801546E-4</v>
      </c>
      <c r="I599" s="6">
        <f t="shared" si="41"/>
        <v>0.28888888888888886</v>
      </c>
      <c r="J599" s="6">
        <f t="shared" si="42"/>
        <v>0.25352112676056338</v>
      </c>
      <c r="K599" s="6">
        <f t="shared" si="43"/>
        <v>6.0422016092537796E-5</v>
      </c>
      <c r="L599" s="6">
        <f t="shared" si="44"/>
        <v>5.3024737849356029E-5</v>
      </c>
    </row>
    <row r="600" spans="1:12" ht="22.95" customHeight="1">
      <c r="A600" s="5">
        <v>4</v>
      </c>
      <c r="B600" s="7" t="s">
        <v>247</v>
      </c>
      <c r="C600" s="7" t="s">
        <v>292</v>
      </c>
      <c r="D600" s="5">
        <v>8</v>
      </c>
      <c r="E600" s="5">
        <v>2</v>
      </c>
      <c r="F600" s="5">
        <v>0</v>
      </c>
      <c r="G600" s="5">
        <v>0</v>
      </c>
      <c r="H600" s="6">
        <f t="shared" si="40"/>
        <v>3.3802526485335831E-6</v>
      </c>
      <c r="I600" s="6">
        <f t="shared" si="41"/>
        <v>0</v>
      </c>
      <c r="J600" s="6">
        <f t="shared" si="42"/>
        <v>0</v>
      </c>
      <c r="K600" s="6">
        <f t="shared" si="43"/>
        <v>0</v>
      </c>
      <c r="L600" s="6">
        <f t="shared" si="44"/>
        <v>0</v>
      </c>
    </row>
    <row r="601" spans="1:12" ht="22.95" customHeight="1">
      <c r="A601" s="5">
        <v>4</v>
      </c>
      <c r="B601" s="7" t="s">
        <v>119</v>
      </c>
      <c r="C601" s="7" t="s">
        <v>303</v>
      </c>
      <c r="D601" s="5">
        <v>700</v>
      </c>
      <c r="E601" s="5">
        <v>952</v>
      </c>
      <c r="F601" s="5">
        <v>317</v>
      </c>
      <c r="G601" s="5">
        <v>388</v>
      </c>
      <c r="H601" s="6">
        <f t="shared" si="40"/>
        <v>2.957721067466885E-4</v>
      </c>
      <c r="I601" s="6">
        <f t="shared" si="41"/>
        <v>0.45285714285714285</v>
      </c>
      <c r="J601" s="6">
        <f t="shared" si="42"/>
        <v>0.40756302521008403</v>
      </c>
      <c r="K601" s="6">
        <f t="shared" si="43"/>
        <v>1.3394251119814321E-4</v>
      </c>
      <c r="L601" s="6">
        <f t="shared" si="44"/>
        <v>1.2054577459844027E-4</v>
      </c>
    </row>
    <row r="602" spans="1:12" ht="22.95" customHeight="1">
      <c r="A602" s="5">
        <v>4</v>
      </c>
      <c r="B602" s="7" t="s">
        <v>159</v>
      </c>
      <c r="C602" s="7" t="s">
        <v>303</v>
      </c>
      <c r="D602" s="5">
        <v>49</v>
      </c>
      <c r="E602" s="5">
        <v>42</v>
      </c>
      <c r="F602" s="5">
        <v>17</v>
      </c>
      <c r="G602" s="5">
        <v>17</v>
      </c>
      <c r="H602" s="6">
        <f t="shared" si="40"/>
        <v>2.0704047472268196E-5</v>
      </c>
      <c r="I602" s="6">
        <f t="shared" si="41"/>
        <v>0.34693877551020408</v>
      </c>
      <c r="J602" s="6">
        <f t="shared" si="42"/>
        <v>0.40476190476190477</v>
      </c>
      <c r="K602" s="6">
        <f t="shared" si="43"/>
        <v>7.1830368781338641E-6</v>
      </c>
      <c r="L602" s="6">
        <f t="shared" si="44"/>
        <v>8.3802096911561738E-6</v>
      </c>
    </row>
    <row r="603" spans="1:12" ht="22.95" customHeight="1">
      <c r="A603" s="5">
        <v>4</v>
      </c>
      <c r="B603" s="7" t="s">
        <v>145</v>
      </c>
      <c r="C603" s="7" t="s">
        <v>294</v>
      </c>
      <c r="D603" s="5">
        <v>77</v>
      </c>
      <c r="E603" s="5">
        <v>100</v>
      </c>
      <c r="F603" s="5">
        <v>31</v>
      </c>
      <c r="G603" s="5">
        <v>51</v>
      </c>
      <c r="H603" s="6">
        <f t="shared" si="40"/>
        <v>3.2534931742135734E-5</v>
      </c>
      <c r="I603" s="6">
        <f t="shared" si="41"/>
        <v>0.40259740259740262</v>
      </c>
      <c r="J603" s="6">
        <f t="shared" si="42"/>
        <v>0.51</v>
      </c>
      <c r="K603" s="6">
        <f t="shared" si="43"/>
        <v>1.3098479013067634E-5</v>
      </c>
      <c r="L603" s="6">
        <f t="shared" si="44"/>
        <v>1.6592815188489224E-5</v>
      </c>
    </row>
    <row r="604" spans="1:12" ht="22.95" customHeight="1">
      <c r="A604" s="5">
        <v>4</v>
      </c>
      <c r="B604" s="7" t="s">
        <v>232</v>
      </c>
      <c r="C604" s="7" t="s">
        <v>292</v>
      </c>
      <c r="D604" s="5">
        <v>4</v>
      </c>
      <c r="E604" s="5">
        <v>6</v>
      </c>
      <c r="F604" s="5">
        <v>2</v>
      </c>
      <c r="G604" s="5">
        <v>3</v>
      </c>
      <c r="H604" s="6">
        <f t="shared" si="40"/>
        <v>1.6901263242667916E-6</v>
      </c>
      <c r="I604" s="6">
        <f t="shared" si="41"/>
        <v>0.5</v>
      </c>
      <c r="J604" s="6">
        <f t="shared" si="42"/>
        <v>0.5</v>
      </c>
      <c r="K604" s="6">
        <f t="shared" si="43"/>
        <v>8.4506316213339578E-7</v>
      </c>
      <c r="L604" s="6">
        <f t="shared" si="44"/>
        <v>8.4506316213339578E-7</v>
      </c>
    </row>
    <row r="605" spans="1:12" ht="22.95" customHeight="1">
      <c r="A605" s="5">
        <v>4</v>
      </c>
      <c r="B605" s="7" t="s">
        <v>174</v>
      </c>
      <c r="C605" s="7" t="s">
        <v>296</v>
      </c>
      <c r="D605" s="5">
        <v>52</v>
      </c>
      <c r="E605" s="5">
        <v>63</v>
      </c>
      <c r="F605" s="5">
        <v>0</v>
      </c>
      <c r="G605" s="5">
        <v>0</v>
      </c>
      <c r="H605" s="6">
        <f t="shared" si="40"/>
        <v>2.1971642215468288E-5</v>
      </c>
      <c r="I605" s="6">
        <f t="shared" si="41"/>
        <v>0</v>
      </c>
      <c r="J605" s="6">
        <f t="shared" si="42"/>
        <v>0</v>
      </c>
      <c r="K605" s="6">
        <f t="shared" si="43"/>
        <v>0</v>
      </c>
      <c r="L605" s="6">
        <f t="shared" si="44"/>
        <v>0</v>
      </c>
    </row>
    <row r="606" spans="1:12" ht="22.95" customHeight="1">
      <c r="A606" s="5">
        <v>4</v>
      </c>
      <c r="B606" s="7" t="s">
        <v>273</v>
      </c>
      <c r="C606" s="7" t="s">
        <v>294</v>
      </c>
      <c r="D606" s="5">
        <v>875</v>
      </c>
      <c r="E606" s="5">
        <v>755</v>
      </c>
      <c r="F606" s="5">
        <v>758</v>
      </c>
      <c r="G606" s="5">
        <v>665</v>
      </c>
      <c r="H606" s="6">
        <f t="shared" ref="H606:H669" si="45">D606/$B$16</f>
        <v>3.6971513343336067E-4</v>
      </c>
      <c r="I606" s="6">
        <f t="shared" ref="I606:I669" si="46">F606/D606</f>
        <v>0.86628571428571433</v>
      </c>
      <c r="J606" s="6">
        <f t="shared" ref="J606:J669" si="47">G606/E606</f>
        <v>0.88079470198675491</v>
      </c>
      <c r="K606" s="6">
        <f t="shared" ref="K606:K669" si="48">H606*I606</f>
        <v>3.2027893844855705E-4</v>
      </c>
      <c r="L606" s="6">
        <f t="shared" ref="L606:L669" si="49">H606*J606</f>
        <v>3.2564313077243024E-4</v>
      </c>
    </row>
    <row r="607" spans="1:12" ht="22.95" customHeight="1">
      <c r="A607" s="5">
        <v>4</v>
      </c>
      <c r="B607" s="7" t="s">
        <v>236</v>
      </c>
      <c r="C607" s="7" t="s">
        <v>303</v>
      </c>
      <c r="D607" s="5">
        <v>1</v>
      </c>
      <c r="E607" s="5">
        <v>4</v>
      </c>
      <c r="F607" s="5">
        <v>1</v>
      </c>
      <c r="G607" s="5">
        <v>4</v>
      </c>
      <c r="H607" s="6">
        <f t="shared" si="45"/>
        <v>4.2253158106669789E-7</v>
      </c>
      <c r="I607" s="6">
        <f t="shared" si="46"/>
        <v>1</v>
      </c>
      <c r="J607" s="6">
        <f t="shared" si="47"/>
        <v>1</v>
      </c>
      <c r="K607" s="6">
        <f t="shared" si="48"/>
        <v>4.2253158106669789E-7</v>
      </c>
      <c r="L607" s="6">
        <f t="shared" si="49"/>
        <v>4.2253158106669789E-7</v>
      </c>
    </row>
    <row r="608" spans="1:12" ht="22.95" customHeight="1">
      <c r="A608" s="5">
        <v>4</v>
      </c>
      <c r="B608" s="7" t="s">
        <v>176</v>
      </c>
      <c r="C608" s="7" t="s">
        <v>301</v>
      </c>
      <c r="D608" s="5">
        <v>20</v>
      </c>
      <c r="E608" s="5">
        <v>29</v>
      </c>
      <c r="F608" s="5">
        <v>9</v>
      </c>
      <c r="G608" s="5">
        <v>13</v>
      </c>
      <c r="H608" s="6">
        <f t="shared" si="45"/>
        <v>8.4506316213339574E-6</v>
      </c>
      <c r="I608" s="6">
        <f t="shared" si="46"/>
        <v>0.45</v>
      </c>
      <c r="J608" s="6">
        <f t="shared" si="47"/>
        <v>0.44827586206896552</v>
      </c>
      <c r="K608" s="6">
        <f t="shared" si="48"/>
        <v>3.8027842296002809E-6</v>
      </c>
      <c r="L608" s="6">
        <f t="shared" si="49"/>
        <v>3.7882141750807395E-6</v>
      </c>
    </row>
    <row r="609" spans="1:12" ht="22.95" customHeight="1">
      <c r="A609" s="5">
        <v>4</v>
      </c>
      <c r="B609" s="7" t="s">
        <v>169</v>
      </c>
      <c r="C609" s="7" t="s">
        <v>292</v>
      </c>
      <c r="D609" s="5">
        <v>117</v>
      </c>
      <c r="E609" s="5">
        <v>131</v>
      </c>
      <c r="F609" s="5">
        <v>77</v>
      </c>
      <c r="G609" s="5">
        <v>77</v>
      </c>
      <c r="H609" s="6">
        <f t="shared" si="45"/>
        <v>4.9436194984803652E-5</v>
      </c>
      <c r="I609" s="6">
        <f t="shared" si="46"/>
        <v>0.65811965811965811</v>
      </c>
      <c r="J609" s="6">
        <f t="shared" si="47"/>
        <v>0.58778625954198471</v>
      </c>
      <c r="K609" s="6">
        <f t="shared" si="48"/>
        <v>3.2534931742135734E-5</v>
      </c>
      <c r="L609" s="6">
        <f t="shared" si="49"/>
        <v>2.9057916136105962E-5</v>
      </c>
    </row>
    <row r="610" spans="1:12" ht="22.95" customHeight="1">
      <c r="A610" s="5">
        <v>4</v>
      </c>
      <c r="B610" s="7" t="s">
        <v>234</v>
      </c>
      <c r="C610" s="7" t="s">
        <v>292</v>
      </c>
      <c r="D610" s="5">
        <v>292</v>
      </c>
      <c r="E610" s="5">
        <v>327</v>
      </c>
      <c r="F610" s="5">
        <v>178</v>
      </c>
      <c r="G610" s="5">
        <v>189</v>
      </c>
      <c r="H610" s="6">
        <f t="shared" si="45"/>
        <v>1.2337922167147578E-4</v>
      </c>
      <c r="I610" s="6">
        <f t="shared" si="46"/>
        <v>0.6095890410958904</v>
      </c>
      <c r="J610" s="6">
        <f t="shared" si="47"/>
        <v>0.57798165137614677</v>
      </c>
      <c r="K610" s="6">
        <f t="shared" si="48"/>
        <v>7.5210621429872221E-5</v>
      </c>
      <c r="L610" s="6">
        <f t="shared" si="49"/>
        <v>7.1310926287183248E-5</v>
      </c>
    </row>
    <row r="611" spans="1:12" ht="22.95" customHeight="1">
      <c r="A611" s="5">
        <v>4</v>
      </c>
      <c r="B611" s="7" t="s">
        <v>141</v>
      </c>
      <c r="C611" s="7" t="s">
        <v>298</v>
      </c>
      <c r="D611" s="5">
        <v>524</v>
      </c>
      <c r="E611" s="5">
        <v>557</v>
      </c>
      <c r="F611" s="5">
        <v>89</v>
      </c>
      <c r="G611" s="5">
        <v>104</v>
      </c>
      <c r="H611" s="6">
        <f t="shared" si="45"/>
        <v>2.2140654847894968E-4</v>
      </c>
      <c r="I611" s="6">
        <f t="shared" si="46"/>
        <v>0.16984732824427481</v>
      </c>
      <c r="J611" s="6">
        <f t="shared" si="47"/>
        <v>0.1867145421903052</v>
      </c>
      <c r="K611" s="6">
        <f t="shared" si="48"/>
        <v>3.7605310714936111E-5</v>
      </c>
      <c r="L611" s="6">
        <f t="shared" si="49"/>
        <v>4.1339822337182702E-5</v>
      </c>
    </row>
    <row r="612" spans="1:12" ht="22.95" customHeight="1">
      <c r="A612" s="5">
        <v>4</v>
      </c>
      <c r="B612" s="7" t="s">
        <v>166</v>
      </c>
      <c r="C612" s="7" t="s">
        <v>292</v>
      </c>
      <c r="D612" s="5">
        <v>101</v>
      </c>
      <c r="E612" s="5">
        <v>145</v>
      </c>
      <c r="F612" s="5">
        <v>41</v>
      </c>
      <c r="G612" s="5">
        <v>63</v>
      </c>
      <c r="H612" s="6">
        <f t="shared" si="45"/>
        <v>4.2675689687736487E-5</v>
      </c>
      <c r="I612" s="6">
        <f t="shared" si="46"/>
        <v>0.40594059405940597</v>
      </c>
      <c r="J612" s="6">
        <f t="shared" si="47"/>
        <v>0.43448275862068964</v>
      </c>
      <c r="K612" s="6">
        <f t="shared" si="48"/>
        <v>1.7323794823734613E-5</v>
      </c>
      <c r="L612" s="6">
        <f t="shared" si="49"/>
        <v>1.8541851381568267E-5</v>
      </c>
    </row>
    <row r="613" spans="1:12" ht="22.95" customHeight="1">
      <c r="A613" s="5">
        <v>4</v>
      </c>
      <c r="B613" s="7" t="s">
        <v>104</v>
      </c>
      <c r="C613" s="7" t="s">
        <v>293</v>
      </c>
      <c r="D613" s="5">
        <v>1737</v>
      </c>
      <c r="E613" s="5">
        <v>2137</v>
      </c>
      <c r="F613" s="5">
        <v>530</v>
      </c>
      <c r="G613" s="5">
        <v>1280</v>
      </c>
      <c r="H613" s="6">
        <f t="shared" si="45"/>
        <v>7.3393735631285427E-4</v>
      </c>
      <c r="I613" s="6">
        <f t="shared" si="46"/>
        <v>0.3051237766263673</v>
      </c>
      <c r="J613" s="6">
        <f t="shared" si="47"/>
        <v>0.59897051941974733</v>
      </c>
      <c r="K613" s="6">
        <f t="shared" si="48"/>
        <v>2.239417379653499E-4</v>
      </c>
      <c r="L613" s="6">
        <f t="shared" si="49"/>
        <v>4.3960683953226651E-4</v>
      </c>
    </row>
    <row r="614" spans="1:12" ht="22.95" customHeight="1">
      <c r="A614" s="5">
        <v>4</v>
      </c>
      <c r="B614" s="7" t="s">
        <v>282</v>
      </c>
      <c r="C614" s="7" t="s">
        <v>292</v>
      </c>
      <c r="D614" s="5">
        <v>5244</v>
      </c>
      <c r="E614" s="5">
        <v>3218</v>
      </c>
      <c r="F614" s="5">
        <v>4134</v>
      </c>
      <c r="G614" s="5">
        <v>1177</v>
      </c>
      <c r="H614" s="6">
        <f t="shared" si="45"/>
        <v>2.2157556111137636E-3</v>
      </c>
      <c r="I614" s="6">
        <f t="shared" si="46"/>
        <v>0.78832951945080088</v>
      </c>
      <c r="J614" s="6">
        <f t="shared" si="47"/>
        <v>0.36575512740832816</v>
      </c>
      <c r="K614" s="6">
        <f t="shared" si="48"/>
        <v>1.7467455561297289E-3</v>
      </c>
      <c r="L614" s="6">
        <f t="shared" si="49"/>
        <v>8.1042397584863259E-4</v>
      </c>
    </row>
    <row r="615" spans="1:12" ht="22.95" customHeight="1">
      <c r="A615" s="5">
        <v>4</v>
      </c>
      <c r="B615" s="7" t="s">
        <v>270</v>
      </c>
      <c r="C615" s="7" t="s">
        <v>303</v>
      </c>
      <c r="D615" s="5">
        <v>552</v>
      </c>
      <c r="E615" s="5">
        <v>269</v>
      </c>
      <c r="F615" s="5">
        <v>111</v>
      </c>
      <c r="G615" s="5">
        <v>57</v>
      </c>
      <c r="H615" s="6">
        <f t="shared" si="45"/>
        <v>2.3323743274881724E-4</v>
      </c>
      <c r="I615" s="6">
        <f t="shared" si="46"/>
        <v>0.20108695652173914</v>
      </c>
      <c r="J615" s="6">
        <f t="shared" si="47"/>
        <v>0.21189591078066913</v>
      </c>
      <c r="K615" s="6">
        <f t="shared" si="48"/>
        <v>4.6901005498403467E-5</v>
      </c>
      <c r="L615" s="6">
        <f t="shared" si="49"/>
        <v>4.9422058240455694E-5</v>
      </c>
    </row>
    <row r="616" spans="1:12" ht="22.95" customHeight="1">
      <c r="A616" s="5">
        <v>4</v>
      </c>
      <c r="B616" s="7" t="s">
        <v>250</v>
      </c>
      <c r="C616" s="7" t="s">
        <v>303</v>
      </c>
      <c r="D616" s="5">
        <v>26</v>
      </c>
      <c r="E616" s="5">
        <v>29</v>
      </c>
      <c r="F616" s="5">
        <v>20</v>
      </c>
      <c r="G616" s="5">
        <v>18</v>
      </c>
      <c r="H616" s="6">
        <f t="shared" si="45"/>
        <v>1.0985821107734144E-5</v>
      </c>
      <c r="I616" s="6">
        <f t="shared" si="46"/>
        <v>0.76923076923076927</v>
      </c>
      <c r="J616" s="6">
        <f t="shared" si="47"/>
        <v>0.62068965517241381</v>
      </c>
      <c r="K616" s="6">
        <f t="shared" si="48"/>
        <v>8.4506316213339574E-6</v>
      </c>
      <c r="L616" s="6">
        <f t="shared" si="49"/>
        <v>6.8187855151453313E-6</v>
      </c>
    </row>
    <row r="617" spans="1:12" ht="22.95" customHeight="1">
      <c r="A617" s="5">
        <v>4</v>
      </c>
      <c r="B617" s="7" t="s">
        <v>156</v>
      </c>
      <c r="C617" s="7" t="s">
        <v>303</v>
      </c>
      <c r="D617" s="5">
        <v>4</v>
      </c>
      <c r="E617" s="5">
        <v>8</v>
      </c>
      <c r="F617" s="5">
        <v>3</v>
      </c>
      <c r="G617" s="5">
        <v>4</v>
      </c>
      <c r="H617" s="6">
        <f t="shared" si="45"/>
        <v>1.6901263242667916E-6</v>
      </c>
      <c r="I617" s="6">
        <f t="shared" si="46"/>
        <v>0.75</v>
      </c>
      <c r="J617" s="6">
        <f t="shared" si="47"/>
        <v>0.5</v>
      </c>
      <c r="K617" s="6">
        <f t="shared" si="48"/>
        <v>1.2675947432000938E-6</v>
      </c>
      <c r="L617" s="6">
        <f t="shared" si="49"/>
        <v>8.4506316213339578E-7</v>
      </c>
    </row>
    <row r="618" spans="1:12" ht="22.95" customHeight="1">
      <c r="A618" s="5">
        <v>4</v>
      </c>
      <c r="B618" s="7" t="s">
        <v>182</v>
      </c>
      <c r="C618" s="7" t="s">
        <v>291</v>
      </c>
      <c r="D618" s="5">
        <v>2</v>
      </c>
      <c r="E618" s="5">
        <v>6</v>
      </c>
      <c r="F618" s="5">
        <v>1</v>
      </c>
      <c r="G618" s="5">
        <v>3</v>
      </c>
      <c r="H618" s="6">
        <f t="shared" si="45"/>
        <v>8.4506316213339578E-7</v>
      </c>
      <c r="I618" s="6">
        <f t="shared" si="46"/>
        <v>0.5</v>
      </c>
      <c r="J618" s="6">
        <f t="shared" si="47"/>
        <v>0.5</v>
      </c>
      <c r="K618" s="6">
        <f t="shared" si="48"/>
        <v>4.2253158106669789E-7</v>
      </c>
      <c r="L618" s="6">
        <f t="shared" si="49"/>
        <v>4.2253158106669789E-7</v>
      </c>
    </row>
    <row r="619" spans="1:12" ht="22.95" customHeight="1">
      <c r="A619" s="5">
        <v>4</v>
      </c>
      <c r="B619" s="7" t="s">
        <v>245</v>
      </c>
      <c r="C619" s="7" t="s">
        <v>293</v>
      </c>
      <c r="D619" s="5">
        <v>99</v>
      </c>
      <c r="E619" s="5">
        <v>101</v>
      </c>
      <c r="F619" s="5">
        <v>36</v>
      </c>
      <c r="G619" s="5">
        <v>24</v>
      </c>
      <c r="H619" s="6">
        <f t="shared" si="45"/>
        <v>4.183062652560309E-5</v>
      </c>
      <c r="I619" s="6">
        <f t="shared" si="46"/>
        <v>0.36363636363636365</v>
      </c>
      <c r="J619" s="6">
        <f t="shared" si="47"/>
        <v>0.23762376237623761</v>
      </c>
      <c r="K619" s="6">
        <f t="shared" si="48"/>
        <v>1.5211136918401124E-5</v>
      </c>
      <c r="L619" s="6">
        <f t="shared" si="49"/>
        <v>9.9399508575690508E-6</v>
      </c>
    </row>
    <row r="620" spans="1:12" ht="22.95" customHeight="1">
      <c r="A620" s="5">
        <v>4</v>
      </c>
      <c r="B620" s="7" t="s">
        <v>108</v>
      </c>
      <c r="C620" s="7" t="s">
        <v>294</v>
      </c>
      <c r="D620" s="5">
        <v>5115</v>
      </c>
      <c r="E620" s="5">
        <v>5835</v>
      </c>
      <c r="F620" s="5">
        <v>3997</v>
      </c>
      <c r="G620" s="5">
        <v>4897</v>
      </c>
      <c r="H620" s="6">
        <f t="shared" si="45"/>
        <v>2.1612490371561597E-3</v>
      </c>
      <c r="I620" s="6">
        <f t="shared" si="46"/>
        <v>0.78142717497556202</v>
      </c>
      <c r="J620" s="6">
        <f t="shared" si="47"/>
        <v>0.83924592973436163</v>
      </c>
      <c r="K620" s="6">
        <f t="shared" si="48"/>
        <v>1.6888587295235914E-3</v>
      </c>
      <c r="L620" s="6">
        <f t="shared" si="49"/>
        <v>1.8138194575756151E-3</v>
      </c>
    </row>
    <row r="621" spans="1:12" ht="22.95" customHeight="1">
      <c r="A621" s="5">
        <v>4</v>
      </c>
      <c r="B621" s="7" t="s">
        <v>276</v>
      </c>
      <c r="C621" s="7" t="s">
        <v>295</v>
      </c>
      <c r="D621" s="5">
        <v>5924</v>
      </c>
      <c r="E621" s="5">
        <v>5108</v>
      </c>
      <c r="F621" s="5">
        <v>2845</v>
      </c>
      <c r="G621" s="5">
        <v>2252</v>
      </c>
      <c r="H621" s="6">
        <f t="shared" si="45"/>
        <v>2.5030770862391181E-3</v>
      </c>
      <c r="I621" s="6">
        <f t="shared" si="46"/>
        <v>0.48024983119513842</v>
      </c>
      <c r="J621" s="6">
        <f t="shared" si="47"/>
        <v>0.44087705559906032</v>
      </c>
      <c r="K621" s="6">
        <f t="shared" si="48"/>
        <v>1.2021023481347554E-3</v>
      </c>
      <c r="L621" s="6">
        <f t="shared" si="49"/>
        <v>1.1035492557185775E-3</v>
      </c>
    </row>
    <row r="622" spans="1:12" ht="22.95" customHeight="1">
      <c r="A622" s="5">
        <v>4</v>
      </c>
      <c r="B622" s="7" t="s">
        <v>281</v>
      </c>
      <c r="C622" s="7" t="s">
        <v>305</v>
      </c>
      <c r="D622" s="5">
        <v>1708</v>
      </c>
      <c r="E622" s="5">
        <v>1335</v>
      </c>
      <c r="F622" s="5">
        <v>1679</v>
      </c>
      <c r="G622" s="5">
        <v>1329</v>
      </c>
      <c r="H622" s="6">
        <f t="shared" si="45"/>
        <v>7.2168394046192002E-4</v>
      </c>
      <c r="I622" s="6">
        <f t="shared" si="46"/>
        <v>0.9830210772833724</v>
      </c>
      <c r="J622" s="6">
        <f t="shared" si="47"/>
        <v>0.99550561797752812</v>
      </c>
      <c r="K622" s="6">
        <f t="shared" si="48"/>
        <v>7.0943052461098577E-4</v>
      </c>
      <c r="L622" s="6">
        <f t="shared" si="49"/>
        <v>7.1844041713400126E-4</v>
      </c>
    </row>
    <row r="623" spans="1:12" ht="22.95" customHeight="1">
      <c r="A623" s="5">
        <v>4</v>
      </c>
      <c r="B623" s="7" t="s">
        <v>207</v>
      </c>
      <c r="C623" s="7" t="s">
        <v>295</v>
      </c>
      <c r="D623" s="5">
        <v>150</v>
      </c>
      <c r="E623" s="5">
        <v>158</v>
      </c>
      <c r="F623" s="5">
        <v>141</v>
      </c>
      <c r="G623" s="5">
        <v>147</v>
      </c>
      <c r="H623" s="6">
        <f t="shared" si="45"/>
        <v>6.3379737160004687E-5</v>
      </c>
      <c r="I623" s="6">
        <f t="shared" si="46"/>
        <v>0.94</v>
      </c>
      <c r="J623" s="6">
        <f t="shared" si="47"/>
        <v>0.930379746835443</v>
      </c>
      <c r="K623" s="6">
        <f t="shared" si="48"/>
        <v>5.9576952930404399E-5</v>
      </c>
      <c r="L623" s="6">
        <f t="shared" si="49"/>
        <v>5.896722381342208E-5</v>
      </c>
    </row>
    <row r="624" spans="1:12" ht="22.95" customHeight="1">
      <c r="A624" s="5">
        <v>4</v>
      </c>
      <c r="B624" s="7" t="s">
        <v>269</v>
      </c>
      <c r="C624" s="7" t="s">
        <v>295</v>
      </c>
      <c r="D624" s="5">
        <v>825</v>
      </c>
      <c r="E624" s="5">
        <v>648</v>
      </c>
      <c r="F624" s="5">
        <v>715</v>
      </c>
      <c r="G624" s="5">
        <v>583</v>
      </c>
      <c r="H624" s="6">
        <f t="shared" si="45"/>
        <v>3.4858855438002576E-4</v>
      </c>
      <c r="I624" s="6">
        <f t="shared" si="46"/>
        <v>0.8666666666666667</v>
      </c>
      <c r="J624" s="6">
        <f t="shared" si="47"/>
        <v>0.89969135802469136</v>
      </c>
      <c r="K624" s="6">
        <f t="shared" si="48"/>
        <v>3.0211008046268899E-4</v>
      </c>
      <c r="L624" s="6">
        <f t="shared" si="49"/>
        <v>3.1362210988202937E-4</v>
      </c>
    </row>
    <row r="625" spans="1:12" ht="22.95" customHeight="1">
      <c r="A625" s="5">
        <v>4</v>
      </c>
      <c r="B625" s="7" t="s">
        <v>284</v>
      </c>
      <c r="C625" s="7" t="s">
        <v>295</v>
      </c>
      <c r="D625" s="5">
        <v>28019</v>
      </c>
      <c r="E625" s="5">
        <v>30922</v>
      </c>
      <c r="F625" s="5">
        <v>15701</v>
      </c>
      <c r="G625" s="5">
        <v>19195</v>
      </c>
      <c r="H625" s="6">
        <f t="shared" si="45"/>
        <v>1.1838912369907808E-2</v>
      </c>
      <c r="I625" s="6">
        <f t="shared" si="46"/>
        <v>0.56036974909882575</v>
      </c>
      <c r="J625" s="6">
        <f t="shared" si="47"/>
        <v>0.62075544919474812</v>
      </c>
      <c r="K625" s="6">
        <f t="shared" si="48"/>
        <v>6.6341683543282223E-3</v>
      </c>
      <c r="L625" s="6">
        <f t="shared" si="49"/>
        <v>7.3490693661593812E-3</v>
      </c>
    </row>
    <row r="626" spans="1:12" ht="22.95" customHeight="1">
      <c r="A626" s="5">
        <v>4</v>
      </c>
      <c r="B626" s="7" t="s">
        <v>117</v>
      </c>
      <c r="C626" s="7" t="s">
        <v>295</v>
      </c>
      <c r="D626" s="5">
        <v>13519</v>
      </c>
      <c r="E626" s="5">
        <v>12689</v>
      </c>
      <c r="F626" s="5">
        <v>6453</v>
      </c>
      <c r="G626" s="5">
        <v>6453</v>
      </c>
      <c r="H626" s="6">
        <f t="shared" si="45"/>
        <v>5.7122044444406885E-3</v>
      </c>
      <c r="I626" s="6">
        <f t="shared" si="46"/>
        <v>0.47732820474887194</v>
      </c>
      <c r="J626" s="6">
        <f t="shared" si="47"/>
        <v>0.50855071321617151</v>
      </c>
      <c r="K626" s="6">
        <f t="shared" si="48"/>
        <v>2.7265962926234012E-3</v>
      </c>
      <c r="L626" s="6">
        <f t="shared" si="49"/>
        <v>2.9049456442568969E-3</v>
      </c>
    </row>
    <row r="627" spans="1:12" ht="22.95" customHeight="1">
      <c r="A627" s="5">
        <v>4</v>
      </c>
      <c r="B627" s="7" t="s">
        <v>99</v>
      </c>
      <c r="C627" s="7" t="s">
        <v>295</v>
      </c>
      <c r="D627" s="5">
        <v>3863</v>
      </c>
      <c r="E627" s="5">
        <v>4285</v>
      </c>
      <c r="F627" s="5">
        <v>1694</v>
      </c>
      <c r="G627" s="5">
        <v>2191</v>
      </c>
      <c r="H627" s="6">
        <f t="shared" si="45"/>
        <v>1.632239497660654E-3</v>
      </c>
      <c r="I627" s="6">
        <f t="shared" si="46"/>
        <v>0.4385192855293813</v>
      </c>
      <c r="J627" s="6">
        <f t="shared" si="47"/>
        <v>0.51131855309218199</v>
      </c>
      <c r="K627" s="6">
        <f t="shared" si="48"/>
        <v>7.1576849832698621E-4</v>
      </c>
      <c r="L627" s="6">
        <f t="shared" si="49"/>
        <v>8.3459433824375551E-4</v>
      </c>
    </row>
    <row r="628" spans="1:12" ht="22.95" customHeight="1">
      <c r="A628" s="5">
        <v>4</v>
      </c>
      <c r="B628" s="7" t="s">
        <v>181</v>
      </c>
      <c r="C628" s="7" t="s">
        <v>295</v>
      </c>
      <c r="D628" s="5">
        <v>2028</v>
      </c>
      <c r="E628" s="5">
        <v>2021</v>
      </c>
      <c r="F628" s="5">
        <v>1613</v>
      </c>
      <c r="G628" s="5">
        <v>1634</v>
      </c>
      <c r="H628" s="6">
        <f t="shared" si="45"/>
        <v>8.5689404640326326E-4</v>
      </c>
      <c r="I628" s="6">
        <f t="shared" si="46"/>
        <v>0.79536489151873768</v>
      </c>
      <c r="J628" s="6">
        <f t="shared" si="47"/>
        <v>0.80851063829787229</v>
      </c>
      <c r="K628" s="6">
        <f t="shared" si="48"/>
        <v>6.8154344026058369E-4</v>
      </c>
      <c r="L628" s="6">
        <f t="shared" si="49"/>
        <v>6.9280795241114901E-4</v>
      </c>
    </row>
    <row r="629" spans="1:12" ht="22.95" customHeight="1">
      <c r="A629" s="5">
        <v>4</v>
      </c>
      <c r="B629" s="7" t="s">
        <v>139</v>
      </c>
      <c r="C629" s="7" t="s">
        <v>303</v>
      </c>
      <c r="D629" s="5">
        <v>26</v>
      </c>
      <c r="E629" s="5">
        <v>34</v>
      </c>
      <c r="F629" s="5">
        <v>16</v>
      </c>
      <c r="G629" s="5">
        <v>29</v>
      </c>
      <c r="H629" s="6">
        <f t="shared" si="45"/>
        <v>1.0985821107734144E-5</v>
      </c>
      <c r="I629" s="6">
        <f t="shared" si="46"/>
        <v>0.61538461538461542</v>
      </c>
      <c r="J629" s="6">
        <f t="shared" si="47"/>
        <v>0.8529411764705882</v>
      </c>
      <c r="K629" s="6">
        <f t="shared" si="48"/>
        <v>6.7605052970671663E-6</v>
      </c>
      <c r="L629" s="6">
        <f t="shared" si="49"/>
        <v>9.3702591801261813E-6</v>
      </c>
    </row>
    <row r="630" spans="1:12" ht="22.95" customHeight="1">
      <c r="A630" s="5">
        <v>4</v>
      </c>
      <c r="B630" s="7" t="s">
        <v>152</v>
      </c>
      <c r="C630" s="7" t="s">
        <v>290</v>
      </c>
      <c r="D630" s="5">
        <v>81</v>
      </c>
      <c r="E630" s="5">
        <v>88</v>
      </c>
      <c r="F630" s="5">
        <v>32</v>
      </c>
      <c r="G630" s="5">
        <v>36</v>
      </c>
      <c r="H630" s="6">
        <f t="shared" si="45"/>
        <v>3.4225058066402528E-5</v>
      </c>
      <c r="I630" s="6">
        <f t="shared" si="46"/>
        <v>0.39506172839506171</v>
      </c>
      <c r="J630" s="6">
        <f t="shared" si="47"/>
        <v>0.40909090909090912</v>
      </c>
      <c r="K630" s="6">
        <f t="shared" si="48"/>
        <v>1.3521010594134331E-5</v>
      </c>
      <c r="L630" s="6">
        <f t="shared" si="49"/>
        <v>1.4001160118073763E-5</v>
      </c>
    </row>
    <row r="631" spans="1:12" ht="22.95" customHeight="1">
      <c r="A631" s="5">
        <v>4</v>
      </c>
      <c r="B631" s="7" t="s">
        <v>122</v>
      </c>
      <c r="C631" s="7" t="s">
        <v>292</v>
      </c>
      <c r="D631" s="5">
        <v>1428</v>
      </c>
      <c r="E631" s="5">
        <v>1684</v>
      </c>
      <c r="F631" s="5">
        <v>911</v>
      </c>
      <c r="G631" s="5">
        <v>1183</v>
      </c>
      <c r="H631" s="6">
        <f t="shared" si="45"/>
        <v>6.0337509776324462E-4</v>
      </c>
      <c r="I631" s="6">
        <f t="shared" si="46"/>
        <v>0.63795518207282909</v>
      </c>
      <c r="J631" s="6">
        <f t="shared" si="47"/>
        <v>0.70249406175771967</v>
      </c>
      <c r="K631" s="6">
        <f t="shared" si="48"/>
        <v>3.8492627035176176E-4</v>
      </c>
      <c r="L631" s="6">
        <f t="shared" si="49"/>
        <v>4.2386742319116291E-4</v>
      </c>
    </row>
    <row r="632" spans="1:12" ht="22.95" customHeight="1">
      <c r="A632" s="5">
        <v>4</v>
      </c>
      <c r="B632" s="7" t="s">
        <v>265</v>
      </c>
      <c r="C632" s="7" t="s">
        <v>291</v>
      </c>
      <c r="D632" s="5">
        <v>459</v>
      </c>
      <c r="E632" s="5">
        <v>360</v>
      </c>
      <c r="F632" s="5">
        <v>353</v>
      </c>
      <c r="G632" s="5">
        <v>287</v>
      </c>
      <c r="H632" s="6">
        <f t="shared" si="45"/>
        <v>1.9394199570961433E-4</v>
      </c>
      <c r="I632" s="6">
        <f t="shared" si="46"/>
        <v>0.76906318082788672</v>
      </c>
      <c r="J632" s="6">
        <f t="shared" si="47"/>
        <v>0.79722222222222228</v>
      </c>
      <c r="K632" s="6">
        <f t="shared" si="48"/>
        <v>1.4915364811654436E-4</v>
      </c>
      <c r="L632" s="6">
        <f t="shared" si="49"/>
        <v>1.5461486880183144E-4</v>
      </c>
    </row>
    <row r="633" spans="1:12" ht="22.95" customHeight="1">
      <c r="A633" s="5">
        <v>4</v>
      </c>
      <c r="B633" s="7" t="s">
        <v>109</v>
      </c>
      <c r="C633" s="7" t="s">
        <v>293</v>
      </c>
      <c r="D633" s="5">
        <v>1141</v>
      </c>
      <c r="E633" s="5">
        <v>1227</v>
      </c>
      <c r="F633" s="5">
        <v>413</v>
      </c>
      <c r="G633" s="5">
        <v>264</v>
      </c>
      <c r="H633" s="6">
        <f t="shared" si="45"/>
        <v>4.8210853399710226E-4</v>
      </c>
      <c r="I633" s="6">
        <f t="shared" si="46"/>
        <v>0.3619631901840491</v>
      </c>
      <c r="J633" s="6">
        <f t="shared" si="47"/>
        <v>0.21515892420537897</v>
      </c>
      <c r="K633" s="6">
        <f t="shared" si="48"/>
        <v>1.7450554298054622E-4</v>
      </c>
      <c r="L633" s="6">
        <f t="shared" si="49"/>
        <v>1.037299535250489E-4</v>
      </c>
    </row>
    <row r="634" spans="1:12" ht="22.95" customHeight="1">
      <c r="A634" s="5">
        <v>4</v>
      </c>
      <c r="B634" s="7" t="s">
        <v>97</v>
      </c>
      <c r="C634" s="7" t="s">
        <v>290</v>
      </c>
      <c r="D634" s="5">
        <v>4745</v>
      </c>
      <c r="E634" s="5">
        <v>5291</v>
      </c>
      <c r="F634" s="5">
        <v>1598</v>
      </c>
      <c r="G634" s="5">
        <v>1772</v>
      </c>
      <c r="H634" s="6">
        <f t="shared" si="45"/>
        <v>2.0049123521614816E-3</v>
      </c>
      <c r="I634" s="6">
        <f t="shared" si="46"/>
        <v>0.3367755532139094</v>
      </c>
      <c r="J634" s="6">
        <f t="shared" si="47"/>
        <v>0.33490833490833488</v>
      </c>
      <c r="K634" s="6">
        <f t="shared" si="48"/>
        <v>6.7520546654458325E-4</v>
      </c>
      <c r="L634" s="6">
        <f t="shared" si="49"/>
        <v>6.7146185749955491E-4</v>
      </c>
    </row>
    <row r="635" spans="1:12" ht="22.95" customHeight="1">
      <c r="A635" s="5">
        <v>4</v>
      </c>
      <c r="B635" s="7" t="s">
        <v>91</v>
      </c>
      <c r="C635" s="7" t="s">
        <v>290</v>
      </c>
      <c r="D635" s="5">
        <v>5316</v>
      </c>
      <c r="E635" s="5">
        <v>6267</v>
      </c>
      <c r="F635" s="5">
        <v>2217</v>
      </c>
      <c r="G635" s="5">
        <v>2862</v>
      </c>
      <c r="H635" s="6">
        <f t="shared" si="45"/>
        <v>2.2461778849505658E-3</v>
      </c>
      <c r="I635" s="6">
        <f t="shared" si="46"/>
        <v>0.4170428893905192</v>
      </c>
      <c r="J635" s="6">
        <f t="shared" si="47"/>
        <v>0.45667783628530395</v>
      </c>
      <c r="K635" s="6">
        <f t="shared" si="48"/>
        <v>9.3675251522486918E-4</v>
      </c>
      <c r="L635" s="6">
        <f t="shared" si="49"/>
        <v>1.0257796564111248E-3</v>
      </c>
    </row>
    <row r="636" spans="1:12" ht="22.95" customHeight="1">
      <c r="A636" s="5">
        <v>4</v>
      </c>
      <c r="B636" s="7" t="s">
        <v>266</v>
      </c>
      <c r="C636" s="7" t="s">
        <v>295</v>
      </c>
      <c r="D636" s="5">
        <v>793</v>
      </c>
      <c r="E636" s="5">
        <v>867</v>
      </c>
      <c r="F636" s="5">
        <v>68</v>
      </c>
      <c r="G636" s="5">
        <v>57</v>
      </c>
      <c r="H636" s="6">
        <f t="shared" si="45"/>
        <v>3.3506754378589141E-4</v>
      </c>
      <c r="I636" s="6">
        <f t="shared" si="46"/>
        <v>8.5750315258511983E-2</v>
      </c>
      <c r="J636" s="6">
        <f t="shared" si="47"/>
        <v>6.5743944636678195E-2</v>
      </c>
      <c r="K636" s="6">
        <f t="shared" si="48"/>
        <v>2.8732147512535456E-5</v>
      </c>
      <c r="L636" s="6">
        <f t="shared" si="49"/>
        <v>2.202866204820739E-5</v>
      </c>
    </row>
    <row r="637" spans="1:12" ht="22.95" customHeight="1">
      <c r="A637" s="5">
        <v>4</v>
      </c>
      <c r="B637" s="7" t="s">
        <v>180</v>
      </c>
      <c r="C637" s="7" t="s">
        <v>294</v>
      </c>
      <c r="D637" s="5">
        <v>6</v>
      </c>
      <c r="E637" s="5">
        <v>23</v>
      </c>
      <c r="F637" s="5">
        <v>6</v>
      </c>
      <c r="G637" s="5">
        <v>18</v>
      </c>
      <c r="H637" s="6">
        <f t="shared" si="45"/>
        <v>2.5351894864001871E-6</v>
      </c>
      <c r="I637" s="6">
        <f t="shared" si="46"/>
        <v>1</v>
      </c>
      <c r="J637" s="6">
        <f t="shared" si="47"/>
        <v>0.78260869565217395</v>
      </c>
      <c r="K637" s="6">
        <f t="shared" si="48"/>
        <v>2.5351894864001871E-6</v>
      </c>
      <c r="L637" s="6">
        <f t="shared" si="49"/>
        <v>1.9840613371827554E-6</v>
      </c>
    </row>
    <row r="638" spans="1:12" ht="22.95" customHeight="1">
      <c r="A638" s="5">
        <v>4</v>
      </c>
      <c r="B638" s="7" t="s">
        <v>134</v>
      </c>
      <c r="C638" s="7" t="s">
        <v>296</v>
      </c>
      <c r="D638" s="5">
        <v>251</v>
      </c>
      <c r="E638" s="5">
        <v>244</v>
      </c>
      <c r="F638" s="5">
        <v>0</v>
      </c>
      <c r="G638" s="5">
        <v>0</v>
      </c>
      <c r="H638" s="6">
        <f t="shared" si="45"/>
        <v>1.0605542684774117E-4</v>
      </c>
      <c r="I638" s="6">
        <f t="shared" si="46"/>
        <v>0</v>
      </c>
      <c r="J638" s="6">
        <f t="shared" si="47"/>
        <v>0</v>
      </c>
      <c r="K638" s="6">
        <f t="shared" si="48"/>
        <v>0</v>
      </c>
      <c r="L638" s="6">
        <f t="shared" si="49"/>
        <v>0</v>
      </c>
    </row>
    <row r="639" spans="1:12" ht="22.95" customHeight="1">
      <c r="A639" s="5">
        <v>4</v>
      </c>
      <c r="B639" s="7" t="s">
        <v>184</v>
      </c>
      <c r="C639" s="7" t="s">
        <v>303</v>
      </c>
      <c r="D639" s="5">
        <v>9</v>
      </c>
      <c r="E639" s="5">
        <v>10</v>
      </c>
      <c r="F639" s="5">
        <v>8</v>
      </c>
      <c r="G639" s="5">
        <v>9</v>
      </c>
      <c r="H639" s="6">
        <f t="shared" si="45"/>
        <v>3.8027842296002809E-6</v>
      </c>
      <c r="I639" s="6">
        <f t="shared" si="46"/>
        <v>0.88888888888888884</v>
      </c>
      <c r="J639" s="6">
        <f t="shared" si="47"/>
        <v>0.9</v>
      </c>
      <c r="K639" s="6">
        <f t="shared" si="48"/>
        <v>3.3802526485335827E-6</v>
      </c>
      <c r="L639" s="6">
        <f t="shared" si="49"/>
        <v>3.4225058066402531E-6</v>
      </c>
    </row>
    <row r="640" spans="1:12" ht="22.95" customHeight="1">
      <c r="A640" s="5">
        <v>4</v>
      </c>
      <c r="B640" s="7" t="s">
        <v>248</v>
      </c>
      <c r="C640" s="7" t="s">
        <v>295</v>
      </c>
      <c r="D640" s="5">
        <v>14</v>
      </c>
      <c r="E640" s="5">
        <v>12</v>
      </c>
      <c r="F640" s="5">
        <v>11</v>
      </c>
      <c r="G640" s="5">
        <v>8</v>
      </c>
      <c r="H640" s="6">
        <f t="shared" si="45"/>
        <v>5.9154421349337707E-6</v>
      </c>
      <c r="I640" s="6">
        <f t="shared" si="46"/>
        <v>0.7857142857142857</v>
      </c>
      <c r="J640" s="6">
        <f t="shared" si="47"/>
        <v>0.66666666666666663</v>
      </c>
      <c r="K640" s="6">
        <f t="shared" si="48"/>
        <v>4.6478473917336765E-6</v>
      </c>
      <c r="L640" s="6">
        <f t="shared" si="49"/>
        <v>3.9436280899558466E-6</v>
      </c>
    </row>
    <row r="641" spans="1:12" ht="22.95" customHeight="1">
      <c r="A641" s="5">
        <v>4</v>
      </c>
      <c r="B641" s="7" t="s">
        <v>228</v>
      </c>
      <c r="C641" s="7" t="s">
        <v>301</v>
      </c>
      <c r="D641" s="5">
        <v>1</v>
      </c>
      <c r="E641" s="5">
        <v>1</v>
      </c>
      <c r="F641" s="5">
        <v>0</v>
      </c>
      <c r="G641" s="5">
        <v>1</v>
      </c>
      <c r="H641" s="6">
        <f t="shared" si="45"/>
        <v>4.2253158106669789E-7</v>
      </c>
      <c r="I641" s="6">
        <f t="shared" si="46"/>
        <v>0</v>
      </c>
      <c r="J641" s="6">
        <f t="shared" si="47"/>
        <v>1</v>
      </c>
      <c r="K641" s="6">
        <f t="shared" si="48"/>
        <v>0</v>
      </c>
      <c r="L641" s="6">
        <f t="shared" si="49"/>
        <v>4.2253158106669789E-7</v>
      </c>
    </row>
    <row r="642" spans="1:12" ht="22.95" customHeight="1">
      <c r="A642" s="5">
        <v>4</v>
      </c>
      <c r="B642" s="7" t="s">
        <v>195</v>
      </c>
      <c r="C642" s="7" t="s">
        <v>291</v>
      </c>
      <c r="D642" s="5">
        <v>2</v>
      </c>
      <c r="E642" s="5">
        <v>3</v>
      </c>
      <c r="F642" s="5">
        <v>1</v>
      </c>
      <c r="G642" s="5">
        <v>2</v>
      </c>
      <c r="H642" s="6">
        <f t="shared" si="45"/>
        <v>8.4506316213339578E-7</v>
      </c>
      <c r="I642" s="6">
        <f t="shared" si="46"/>
        <v>0.5</v>
      </c>
      <c r="J642" s="6">
        <f t="shared" si="47"/>
        <v>0.66666666666666663</v>
      </c>
      <c r="K642" s="6">
        <f t="shared" si="48"/>
        <v>4.2253158106669789E-7</v>
      </c>
      <c r="L642" s="6">
        <f t="shared" si="49"/>
        <v>5.6337544142226386E-7</v>
      </c>
    </row>
    <row r="643" spans="1:12" ht="22.95" customHeight="1">
      <c r="A643" s="5">
        <v>4</v>
      </c>
      <c r="B643" s="7" t="s">
        <v>235</v>
      </c>
      <c r="C643" s="7" t="s">
        <v>303</v>
      </c>
      <c r="D643" s="5">
        <v>2</v>
      </c>
      <c r="E643" s="5">
        <v>1</v>
      </c>
      <c r="F643" s="5">
        <v>2</v>
      </c>
      <c r="G643" s="5">
        <v>1</v>
      </c>
      <c r="H643" s="6">
        <f t="shared" si="45"/>
        <v>8.4506316213339578E-7</v>
      </c>
      <c r="I643" s="6">
        <f t="shared" si="46"/>
        <v>1</v>
      </c>
      <c r="J643" s="6">
        <f t="shared" si="47"/>
        <v>1</v>
      </c>
      <c r="K643" s="6">
        <f t="shared" si="48"/>
        <v>8.4506316213339578E-7</v>
      </c>
      <c r="L643" s="6">
        <f t="shared" si="49"/>
        <v>8.4506316213339578E-7</v>
      </c>
    </row>
    <row r="644" spans="1:12" ht="22.95" customHeight="1">
      <c r="A644" s="5">
        <v>4</v>
      </c>
      <c r="B644" s="7" t="s">
        <v>136</v>
      </c>
      <c r="C644" s="7" t="s">
        <v>296</v>
      </c>
      <c r="D644" s="5">
        <v>497</v>
      </c>
      <c r="E644" s="5">
        <v>537</v>
      </c>
      <c r="F644" s="5">
        <v>0</v>
      </c>
      <c r="G644" s="5">
        <v>0</v>
      </c>
      <c r="H644" s="6">
        <f t="shared" si="45"/>
        <v>2.0999819579014885E-4</v>
      </c>
      <c r="I644" s="6">
        <f t="shared" si="46"/>
        <v>0</v>
      </c>
      <c r="J644" s="6">
        <f t="shared" si="47"/>
        <v>0</v>
      </c>
      <c r="K644" s="6">
        <f t="shared" si="48"/>
        <v>0</v>
      </c>
      <c r="L644" s="6">
        <f t="shared" si="49"/>
        <v>0</v>
      </c>
    </row>
    <row r="645" spans="1:12" ht="22.95" customHeight="1">
      <c r="A645" s="5">
        <v>4</v>
      </c>
      <c r="B645" s="7" t="s">
        <v>243</v>
      </c>
      <c r="C645" s="7" t="s">
        <v>292</v>
      </c>
      <c r="D645" s="5">
        <v>10</v>
      </c>
      <c r="E645" s="5">
        <v>6</v>
      </c>
      <c r="F645" s="5">
        <v>7</v>
      </c>
      <c r="G645" s="5">
        <v>6</v>
      </c>
      <c r="H645" s="6">
        <f t="shared" si="45"/>
        <v>4.2253158106669787E-6</v>
      </c>
      <c r="I645" s="6">
        <f t="shared" si="46"/>
        <v>0.7</v>
      </c>
      <c r="J645" s="6">
        <f t="shared" si="47"/>
        <v>1</v>
      </c>
      <c r="K645" s="6">
        <f t="shared" si="48"/>
        <v>2.9577210674668849E-6</v>
      </c>
      <c r="L645" s="6">
        <f t="shared" si="49"/>
        <v>4.2253158106669787E-6</v>
      </c>
    </row>
    <row r="646" spans="1:12" ht="22.95" customHeight="1">
      <c r="A646" s="5">
        <v>4</v>
      </c>
      <c r="B646" s="7" t="s">
        <v>274</v>
      </c>
      <c r="C646" s="7" t="s">
        <v>292</v>
      </c>
      <c r="D646" s="5">
        <v>2827</v>
      </c>
      <c r="E646" s="5">
        <v>1264</v>
      </c>
      <c r="F646" s="5">
        <v>1878</v>
      </c>
      <c r="G646" s="5">
        <v>747</v>
      </c>
      <c r="H646" s="6">
        <f t="shared" si="45"/>
        <v>1.194496779675555E-3</v>
      </c>
      <c r="I646" s="6">
        <f t="shared" si="46"/>
        <v>0.66430845419172269</v>
      </c>
      <c r="J646" s="6">
        <f t="shared" si="47"/>
        <v>0.59098101265822789</v>
      </c>
      <c r="K646" s="6">
        <f t="shared" si="48"/>
        <v>7.9351430924325865E-4</v>
      </c>
      <c r="L646" s="6">
        <f t="shared" si="49"/>
        <v>7.0592491646965161E-4</v>
      </c>
    </row>
    <row r="647" spans="1:12" ht="22.95" customHeight="1">
      <c r="A647" s="5">
        <v>4</v>
      </c>
      <c r="B647" s="7" t="s">
        <v>279</v>
      </c>
      <c r="C647" s="7" t="s">
        <v>303</v>
      </c>
      <c r="D647" s="5">
        <v>2903</v>
      </c>
      <c r="E647" s="5">
        <v>2100</v>
      </c>
      <c r="F647" s="5">
        <v>811</v>
      </c>
      <c r="G647" s="5">
        <v>1092</v>
      </c>
      <c r="H647" s="6">
        <f t="shared" si="45"/>
        <v>1.2266091798366239E-3</v>
      </c>
      <c r="I647" s="6">
        <f t="shared" si="46"/>
        <v>0.27936617292456078</v>
      </c>
      <c r="J647" s="6">
        <f t="shared" si="47"/>
        <v>0.52</v>
      </c>
      <c r="K647" s="6">
        <f t="shared" si="48"/>
        <v>3.4267311224509195E-4</v>
      </c>
      <c r="L647" s="6">
        <f t="shared" si="49"/>
        <v>6.3783677351504447E-4</v>
      </c>
    </row>
    <row r="648" spans="1:12" ht="22.95" customHeight="1">
      <c r="A648" s="5">
        <v>4</v>
      </c>
      <c r="B648" s="7" t="s">
        <v>257</v>
      </c>
      <c r="C648" s="7" t="s">
        <v>293</v>
      </c>
      <c r="D648" s="5">
        <v>965</v>
      </c>
      <c r="E648" s="5">
        <v>893</v>
      </c>
      <c r="F648" s="5">
        <v>297</v>
      </c>
      <c r="G648" s="5">
        <v>233</v>
      </c>
      <c r="H648" s="6">
        <f t="shared" si="45"/>
        <v>4.0774297572936346E-4</v>
      </c>
      <c r="I648" s="6">
        <f t="shared" si="46"/>
        <v>0.30777202072538862</v>
      </c>
      <c r="J648" s="6">
        <f t="shared" si="47"/>
        <v>0.26091825307950728</v>
      </c>
      <c r="K648" s="6">
        <f t="shared" si="48"/>
        <v>1.2549187957680929E-4</v>
      </c>
      <c r="L648" s="6">
        <f t="shared" si="49"/>
        <v>1.0638758493274545E-4</v>
      </c>
    </row>
    <row r="649" spans="1:12" ht="22.95" customHeight="1">
      <c r="A649" s="5">
        <v>4</v>
      </c>
      <c r="B649" s="7" t="s">
        <v>121</v>
      </c>
      <c r="C649" s="7" t="s">
        <v>290</v>
      </c>
      <c r="D649" s="5">
        <v>1025</v>
      </c>
      <c r="E649" s="5">
        <v>1174</v>
      </c>
      <c r="F649" s="5">
        <v>595</v>
      </c>
      <c r="G649" s="5">
        <v>677</v>
      </c>
      <c r="H649" s="6">
        <f t="shared" si="45"/>
        <v>4.3309487059336533E-4</v>
      </c>
      <c r="I649" s="6">
        <f t="shared" si="46"/>
        <v>0.58048780487804874</v>
      </c>
      <c r="J649" s="6">
        <f t="shared" si="47"/>
        <v>0.57666098807495736</v>
      </c>
      <c r="K649" s="6">
        <f t="shared" si="48"/>
        <v>2.5140629073468521E-4</v>
      </c>
      <c r="L649" s="6">
        <f t="shared" si="49"/>
        <v>2.4974891600656584E-4</v>
      </c>
    </row>
    <row r="650" spans="1:12" ht="22.95" customHeight="1">
      <c r="A650" s="5">
        <v>4</v>
      </c>
      <c r="B650" s="7" t="s">
        <v>160</v>
      </c>
      <c r="C650" s="7" t="s">
        <v>292</v>
      </c>
      <c r="D650" s="5">
        <v>230</v>
      </c>
      <c r="E650" s="5">
        <v>273</v>
      </c>
      <c r="F650" s="5">
        <v>59</v>
      </c>
      <c r="G650" s="5">
        <v>52</v>
      </c>
      <c r="H650" s="6">
        <f t="shared" si="45"/>
        <v>9.718226364534051E-5</v>
      </c>
      <c r="I650" s="6">
        <f t="shared" si="46"/>
        <v>0.2565217391304348</v>
      </c>
      <c r="J650" s="6">
        <f t="shared" si="47"/>
        <v>0.19047619047619047</v>
      </c>
      <c r="K650" s="6">
        <f t="shared" si="48"/>
        <v>2.4929363282935175E-5</v>
      </c>
      <c r="L650" s="6">
        <f t="shared" si="49"/>
        <v>1.8510907361017238E-5</v>
      </c>
    </row>
    <row r="651" spans="1:12" ht="22.95" customHeight="1">
      <c r="A651" s="5">
        <v>4</v>
      </c>
      <c r="B651" s="7" t="s">
        <v>240</v>
      </c>
      <c r="C651" s="7" t="s">
        <v>296</v>
      </c>
      <c r="D651" s="5">
        <v>12</v>
      </c>
      <c r="E651" s="5">
        <v>20</v>
      </c>
      <c r="F651" s="5">
        <v>0</v>
      </c>
      <c r="G651" s="5">
        <v>0</v>
      </c>
      <c r="H651" s="6">
        <f t="shared" si="45"/>
        <v>5.0703789728003743E-6</v>
      </c>
      <c r="I651" s="6">
        <f t="shared" si="46"/>
        <v>0</v>
      </c>
      <c r="J651" s="6">
        <f t="shared" si="47"/>
        <v>0</v>
      </c>
      <c r="K651" s="6">
        <f t="shared" si="48"/>
        <v>0</v>
      </c>
      <c r="L651" s="6">
        <f t="shared" si="49"/>
        <v>0</v>
      </c>
    </row>
    <row r="652" spans="1:12" ht="22.95" customHeight="1">
      <c r="A652" s="5">
        <v>4</v>
      </c>
      <c r="B652" s="7" t="s">
        <v>116</v>
      </c>
      <c r="C652" s="7" t="s">
        <v>294</v>
      </c>
      <c r="D652" s="5">
        <v>1741</v>
      </c>
      <c r="E652" s="5">
        <v>2019</v>
      </c>
      <c r="F652" s="5">
        <v>576</v>
      </c>
      <c r="G652" s="5">
        <v>718</v>
      </c>
      <c r="H652" s="6">
        <f t="shared" si="45"/>
        <v>7.3562748263712101E-4</v>
      </c>
      <c r="I652" s="6">
        <f t="shared" si="46"/>
        <v>0.33084434233199311</v>
      </c>
      <c r="J652" s="6">
        <f t="shared" si="47"/>
        <v>0.35562159484893513</v>
      </c>
      <c r="K652" s="6">
        <f t="shared" si="48"/>
        <v>2.4337819069441798E-4</v>
      </c>
      <c r="L652" s="6">
        <f t="shared" si="49"/>
        <v>2.6160501859012031E-4</v>
      </c>
    </row>
    <row r="653" spans="1:12" ht="22.95" customHeight="1">
      <c r="A653" s="5">
        <v>4</v>
      </c>
      <c r="B653" s="7" t="s">
        <v>135</v>
      </c>
      <c r="C653" s="7" t="s">
        <v>291</v>
      </c>
      <c r="D653" s="5">
        <v>2324</v>
      </c>
      <c r="E653" s="5">
        <v>2347</v>
      </c>
      <c r="F653" s="5">
        <v>797</v>
      </c>
      <c r="G653" s="5">
        <v>902</v>
      </c>
      <c r="H653" s="6">
        <f t="shared" si="45"/>
        <v>9.8196339439900584E-4</v>
      </c>
      <c r="I653" s="6">
        <f t="shared" si="46"/>
        <v>0.34294320137693629</v>
      </c>
      <c r="J653" s="6">
        <f t="shared" si="47"/>
        <v>0.38432040903280784</v>
      </c>
      <c r="K653" s="6">
        <f t="shared" si="48"/>
        <v>3.3675767011015815E-4</v>
      </c>
      <c r="L653" s="6">
        <f t="shared" si="49"/>
        <v>3.7738857339067032E-4</v>
      </c>
    </row>
    <row r="654" spans="1:12" ht="22.95" customHeight="1">
      <c r="A654" s="5">
        <v>4</v>
      </c>
      <c r="B654" s="7" t="s">
        <v>120</v>
      </c>
      <c r="C654" s="7" t="s">
        <v>303</v>
      </c>
      <c r="D654" s="5">
        <v>564</v>
      </c>
      <c r="E654" s="5">
        <v>691</v>
      </c>
      <c r="F654" s="5">
        <v>367</v>
      </c>
      <c r="G654" s="5">
        <v>473</v>
      </c>
      <c r="H654" s="6">
        <f t="shared" si="45"/>
        <v>2.383078117216176E-4</v>
      </c>
      <c r="I654" s="6">
        <f t="shared" si="46"/>
        <v>0.650709219858156</v>
      </c>
      <c r="J654" s="6">
        <f t="shared" si="47"/>
        <v>0.68451519536903038</v>
      </c>
      <c r="K654" s="6">
        <f t="shared" si="48"/>
        <v>1.5506909025147811E-4</v>
      </c>
      <c r="L654" s="6">
        <f t="shared" si="49"/>
        <v>1.6312531829858917E-4</v>
      </c>
    </row>
    <row r="655" spans="1:12" ht="22.95" customHeight="1">
      <c r="A655" s="5">
        <v>4</v>
      </c>
      <c r="B655" s="7" t="s">
        <v>239</v>
      </c>
      <c r="C655" s="7" t="s">
        <v>296</v>
      </c>
      <c r="D655" s="5">
        <v>6</v>
      </c>
      <c r="E655" s="5">
        <v>5</v>
      </c>
      <c r="F655" s="5">
        <v>0</v>
      </c>
      <c r="G655" s="5">
        <v>0</v>
      </c>
      <c r="H655" s="6">
        <f t="shared" si="45"/>
        <v>2.5351894864001871E-6</v>
      </c>
      <c r="I655" s="6">
        <f t="shared" si="46"/>
        <v>0</v>
      </c>
      <c r="J655" s="6">
        <f t="shared" si="47"/>
        <v>0</v>
      </c>
      <c r="K655" s="6">
        <f t="shared" si="48"/>
        <v>0</v>
      </c>
      <c r="L655" s="6">
        <f t="shared" si="49"/>
        <v>0</v>
      </c>
    </row>
    <row r="656" spans="1:12" ht="22.95" customHeight="1">
      <c r="A656" s="5">
        <v>4</v>
      </c>
      <c r="B656" s="7" t="s">
        <v>175</v>
      </c>
      <c r="C656" s="7" t="s">
        <v>296</v>
      </c>
      <c r="D656" s="5">
        <v>352</v>
      </c>
      <c r="E656" s="5">
        <v>344</v>
      </c>
      <c r="F656" s="5">
        <v>0</v>
      </c>
      <c r="G656" s="5">
        <v>0</v>
      </c>
      <c r="H656" s="6">
        <f t="shared" si="45"/>
        <v>1.4873111653547765E-4</v>
      </c>
      <c r="I656" s="6">
        <f t="shared" si="46"/>
        <v>0</v>
      </c>
      <c r="J656" s="6">
        <f t="shared" si="47"/>
        <v>0</v>
      </c>
      <c r="K656" s="6">
        <f t="shared" si="48"/>
        <v>0</v>
      </c>
      <c r="L656" s="6">
        <f t="shared" si="49"/>
        <v>0</v>
      </c>
    </row>
    <row r="657" spans="1:12" ht="22.95" customHeight="1">
      <c r="A657" s="5">
        <v>4</v>
      </c>
      <c r="B657" s="7" t="s">
        <v>155</v>
      </c>
      <c r="C657" s="7" t="s">
        <v>303</v>
      </c>
      <c r="D657" s="5">
        <v>112</v>
      </c>
      <c r="E657" s="5">
        <v>103</v>
      </c>
      <c r="F657" s="5">
        <v>70</v>
      </c>
      <c r="G657" s="5">
        <v>69</v>
      </c>
      <c r="H657" s="6">
        <f t="shared" si="45"/>
        <v>4.7323537079470166E-5</v>
      </c>
      <c r="I657" s="6">
        <f t="shared" si="46"/>
        <v>0.625</v>
      </c>
      <c r="J657" s="6">
        <f t="shared" si="47"/>
        <v>0.66990291262135926</v>
      </c>
      <c r="K657" s="6">
        <f t="shared" si="48"/>
        <v>2.9577210674668854E-5</v>
      </c>
      <c r="L657" s="6">
        <f t="shared" si="49"/>
        <v>3.1702175325081956E-5</v>
      </c>
    </row>
    <row r="658" spans="1:12" ht="22.95" customHeight="1">
      <c r="A658" s="5">
        <v>4</v>
      </c>
      <c r="B658" s="7" t="s">
        <v>85</v>
      </c>
      <c r="C658" s="7" t="s">
        <v>291</v>
      </c>
      <c r="D658" s="5">
        <v>6659</v>
      </c>
      <c r="E658" s="5">
        <v>15604</v>
      </c>
      <c r="F658" s="5">
        <v>1410</v>
      </c>
      <c r="G658" s="5">
        <v>2112</v>
      </c>
      <c r="H658" s="6">
        <f t="shared" si="45"/>
        <v>2.813637798323141E-3</v>
      </c>
      <c r="I658" s="6">
        <f t="shared" si="46"/>
        <v>0.2117435050307854</v>
      </c>
      <c r="J658" s="6">
        <f t="shared" si="47"/>
        <v>0.13534991027941554</v>
      </c>
      <c r="K658" s="6">
        <f t="shared" si="48"/>
        <v>5.9576952930404396E-4</v>
      </c>
      <c r="L658" s="6">
        <f t="shared" si="49"/>
        <v>3.8082562356180939E-4</v>
      </c>
    </row>
    <row r="659" spans="1:12" ht="22.95" customHeight="1">
      <c r="A659" s="5">
        <v>4</v>
      </c>
      <c r="B659" s="7" t="s">
        <v>110</v>
      </c>
      <c r="C659" s="7" t="s">
        <v>291</v>
      </c>
      <c r="D659" s="5">
        <v>2472</v>
      </c>
      <c r="E659" s="5">
        <v>2956</v>
      </c>
      <c r="F659" s="5">
        <v>0</v>
      </c>
      <c r="G659" s="5">
        <v>0</v>
      </c>
      <c r="H659" s="6">
        <f t="shared" si="45"/>
        <v>1.0444980683968772E-3</v>
      </c>
      <c r="I659" s="6">
        <f t="shared" si="46"/>
        <v>0</v>
      </c>
      <c r="J659" s="6">
        <f t="shared" si="47"/>
        <v>0</v>
      </c>
      <c r="K659" s="6">
        <f t="shared" si="48"/>
        <v>0</v>
      </c>
      <c r="L659" s="6">
        <f t="shared" si="49"/>
        <v>0</v>
      </c>
    </row>
    <row r="660" spans="1:12" ht="22.95" customHeight="1">
      <c r="A660" s="5">
        <v>4</v>
      </c>
      <c r="B660" s="7" t="s">
        <v>151</v>
      </c>
      <c r="C660" s="7" t="s">
        <v>291</v>
      </c>
      <c r="D660" s="5">
        <v>444</v>
      </c>
      <c r="E660" s="5">
        <v>593</v>
      </c>
      <c r="F660" s="5">
        <v>113</v>
      </c>
      <c r="G660" s="5">
        <v>159</v>
      </c>
      <c r="H660" s="6">
        <f t="shared" si="45"/>
        <v>1.8760402199361387E-4</v>
      </c>
      <c r="I660" s="6">
        <f t="shared" si="46"/>
        <v>0.25450450450450451</v>
      </c>
      <c r="J660" s="6">
        <f t="shared" si="47"/>
        <v>0.26812816188870153</v>
      </c>
      <c r="K660" s="6">
        <f t="shared" si="48"/>
        <v>4.7746068660536864E-5</v>
      </c>
      <c r="L660" s="6">
        <f t="shared" si="49"/>
        <v>5.0301921580075224E-5</v>
      </c>
    </row>
    <row r="661" spans="1:12" ht="22.95" customHeight="1">
      <c r="A661" s="5">
        <v>4</v>
      </c>
      <c r="B661" s="7" t="s">
        <v>161</v>
      </c>
      <c r="C661" s="7" t="s">
        <v>291</v>
      </c>
      <c r="D661" s="5">
        <v>357</v>
      </c>
      <c r="E661" s="5">
        <v>414</v>
      </c>
      <c r="F661" s="5">
        <v>105</v>
      </c>
      <c r="G661" s="5">
        <v>137</v>
      </c>
      <c r="H661" s="6">
        <f t="shared" si="45"/>
        <v>1.5084377444081115E-4</v>
      </c>
      <c r="I661" s="6">
        <f t="shared" si="46"/>
        <v>0.29411764705882354</v>
      </c>
      <c r="J661" s="6">
        <f t="shared" si="47"/>
        <v>0.33091787439613529</v>
      </c>
      <c r="K661" s="6">
        <f t="shared" si="48"/>
        <v>4.4365816012003282E-5</v>
      </c>
      <c r="L661" s="6">
        <f t="shared" si="49"/>
        <v>4.9916901203843309E-5</v>
      </c>
    </row>
    <row r="662" spans="1:12" ht="22.95" customHeight="1">
      <c r="A662" s="5">
        <v>4</v>
      </c>
      <c r="B662" s="7" t="s">
        <v>162</v>
      </c>
      <c r="C662" s="7" t="s">
        <v>291</v>
      </c>
      <c r="D662" s="5">
        <v>271</v>
      </c>
      <c r="E662" s="5">
        <v>385</v>
      </c>
      <c r="F662" s="5">
        <v>70</v>
      </c>
      <c r="G662" s="5">
        <v>113</v>
      </c>
      <c r="H662" s="6">
        <f t="shared" si="45"/>
        <v>1.1450605846907513E-4</v>
      </c>
      <c r="I662" s="6">
        <f t="shared" si="46"/>
        <v>0.25830258302583026</v>
      </c>
      <c r="J662" s="6">
        <f t="shared" si="47"/>
        <v>0.29350649350649349</v>
      </c>
      <c r="K662" s="6">
        <f t="shared" si="48"/>
        <v>2.957721067466885E-5</v>
      </c>
      <c r="L662" s="6">
        <f t="shared" si="49"/>
        <v>3.3608271706507764E-5</v>
      </c>
    </row>
    <row r="663" spans="1:12" ht="22.95" customHeight="1">
      <c r="A663" s="5">
        <v>4</v>
      </c>
      <c r="B663" s="7" t="s">
        <v>130</v>
      </c>
      <c r="C663" s="7" t="s">
        <v>292</v>
      </c>
      <c r="D663" s="5">
        <v>470</v>
      </c>
      <c r="E663" s="5">
        <v>628</v>
      </c>
      <c r="F663" s="5">
        <v>253</v>
      </c>
      <c r="G663" s="5">
        <v>394</v>
      </c>
      <c r="H663" s="6">
        <f t="shared" si="45"/>
        <v>1.9858984310134801E-4</v>
      </c>
      <c r="I663" s="6">
        <f t="shared" si="46"/>
        <v>0.53829787234042559</v>
      </c>
      <c r="J663" s="6">
        <f t="shared" si="47"/>
        <v>0.62738853503184711</v>
      </c>
      <c r="K663" s="6">
        <f t="shared" si="48"/>
        <v>1.0690049000987458E-4</v>
      </c>
      <c r="L663" s="6">
        <f t="shared" si="49"/>
        <v>1.2459299073555911E-4</v>
      </c>
    </row>
    <row r="664" spans="1:12" ht="22.95" customHeight="1">
      <c r="A664" s="5">
        <v>4</v>
      </c>
      <c r="B664" s="7" t="s">
        <v>192</v>
      </c>
      <c r="C664" s="7" t="s">
        <v>303</v>
      </c>
      <c r="D664" s="5">
        <v>16</v>
      </c>
      <c r="E664" s="5">
        <v>20</v>
      </c>
      <c r="F664" s="5">
        <v>11</v>
      </c>
      <c r="G664" s="5">
        <v>15</v>
      </c>
      <c r="H664" s="6">
        <f t="shared" si="45"/>
        <v>6.7605052970671663E-6</v>
      </c>
      <c r="I664" s="6">
        <f t="shared" si="46"/>
        <v>0.6875</v>
      </c>
      <c r="J664" s="6">
        <f t="shared" si="47"/>
        <v>0.75</v>
      </c>
      <c r="K664" s="6">
        <f t="shared" si="48"/>
        <v>4.6478473917336765E-6</v>
      </c>
      <c r="L664" s="6">
        <f t="shared" si="49"/>
        <v>5.0703789728003751E-6</v>
      </c>
    </row>
    <row r="665" spans="1:12" ht="22.95" customHeight="1">
      <c r="A665" s="5">
        <v>4</v>
      </c>
      <c r="B665" s="7" t="s">
        <v>126</v>
      </c>
      <c r="C665" s="7" t="s">
        <v>298</v>
      </c>
      <c r="D665" s="5">
        <v>693</v>
      </c>
      <c r="E665" s="5">
        <v>897</v>
      </c>
      <c r="F665" s="5">
        <v>381</v>
      </c>
      <c r="G665" s="5">
        <v>473</v>
      </c>
      <c r="H665" s="6">
        <f t="shared" si="45"/>
        <v>2.9281438567922165E-4</v>
      </c>
      <c r="I665" s="6">
        <f t="shared" si="46"/>
        <v>0.54978354978354982</v>
      </c>
      <c r="J665" s="6">
        <f t="shared" si="47"/>
        <v>0.52731326644370125</v>
      </c>
      <c r="K665" s="6">
        <f t="shared" si="48"/>
        <v>1.6098453238641192E-4</v>
      </c>
      <c r="L665" s="6">
        <f t="shared" si="49"/>
        <v>1.544049101742161E-4</v>
      </c>
    </row>
    <row r="666" spans="1:12" ht="22.95" customHeight="1">
      <c r="A666" s="5">
        <v>4</v>
      </c>
      <c r="B666" s="7" t="s">
        <v>197</v>
      </c>
      <c r="C666" s="7" t="s">
        <v>298</v>
      </c>
      <c r="D666" s="5">
        <v>9</v>
      </c>
      <c r="E666" s="5">
        <v>6</v>
      </c>
      <c r="F666" s="5">
        <v>8</v>
      </c>
      <c r="G666" s="5">
        <v>4</v>
      </c>
      <c r="H666" s="6">
        <f t="shared" si="45"/>
        <v>3.8027842296002809E-6</v>
      </c>
      <c r="I666" s="6">
        <f t="shared" si="46"/>
        <v>0.88888888888888884</v>
      </c>
      <c r="J666" s="6">
        <f t="shared" si="47"/>
        <v>0.66666666666666663</v>
      </c>
      <c r="K666" s="6">
        <f t="shared" si="48"/>
        <v>3.3802526485335827E-6</v>
      </c>
      <c r="L666" s="6">
        <f t="shared" si="49"/>
        <v>2.5351894864001871E-6</v>
      </c>
    </row>
    <row r="667" spans="1:12" ht="22.95" customHeight="1">
      <c r="A667" s="5">
        <v>4</v>
      </c>
      <c r="B667" s="7" t="s">
        <v>189</v>
      </c>
      <c r="C667" s="7" t="s">
        <v>298</v>
      </c>
      <c r="D667" s="5">
        <v>52</v>
      </c>
      <c r="E667" s="5">
        <v>61</v>
      </c>
      <c r="F667" s="5">
        <v>20</v>
      </c>
      <c r="G667" s="5">
        <v>16</v>
      </c>
      <c r="H667" s="6">
        <f t="shared" si="45"/>
        <v>2.1971642215468288E-5</v>
      </c>
      <c r="I667" s="6">
        <f t="shared" si="46"/>
        <v>0.38461538461538464</v>
      </c>
      <c r="J667" s="6">
        <f t="shared" si="47"/>
        <v>0.26229508196721313</v>
      </c>
      <c r="K667" s="6">
        <f t="shared" si="48"/>
        <v>8.4506316213339574E-6</v>
      </c>
      <c r="L667" s="6">
        <f t="shared" si="49"/>
        <v>5.7630536958605349E-6</v>
      </c>
    </row>
    <row r="668" spans="1:12" ht="22.95" customHeight="1">
      <c r="A668" s="5">
        <v>4</v>
      </c>
      <c r="B668" s="7" t="s">
        <v>194</v>
      </c>
      <c r="C668" s="7" t="s">
        <v>303</v>
      </c>
      <c r="D668" s="5">
        <v>8</v>
      </c>
      <c r="E668" s="5">
        <v>17</v>
      </c>
      <c r="F668" s="5">
        <v>4</v>
      </c>
      <c r="G668" s="5">
        <v>7</v>
      </c>
      <c r="H668" s="6">
        <f t="shared" si="45"/>
        <v>3.3802526485335831E-6</v>
      </c>
      <c r="I668" s="6">
        <f t="shared" si="46"/>
        <v>0.5</v>
      </c>
      <c r="J668" s="6">
        <f t="shared" si="47"/>
        <v>0.41176470588235292</v>
      </c>
      <c r="K668" s="6">
        <f t="shared" si="48"/>
        <v>1.6901263242667916E-6</v>
      </c>
      <c r="L668" s="6">
        <f t="shared" si="49"/>
        <v>1.3918687376314753E-6</v>
      </c>
    </row>
    <row r="669" spans="1:12" ht="22.95" customHeight="1">
      <c r="A669" s="5">
        <v>4</v>
      </c>
      <c r="B669" s="7" t="s">
        <v>275</v>
      </c>
      <c r="C669" s="7" t="s">
        <v>295</v>
      </c>
      <c r="D669" s="5">
        <v>930</v>
      </c>
      <c r="E669" s="5">
        <v>537</v>
      </c>
      <c r="F669" s="5">
        <v>637</v>
      </c>
      <c r="G669" s="5">
        <v>355</v>
      </c>
      <c r="H669" s="6">
        <f t="shared" si="45"/>
        <v>3.9295437039202905E-4</v>
      </c>
      <c r="I669" s="6">
        <f t="shared" si="46"/>
        <v>0.68494623655913978</v>
      </c>
      <c r="J669" s="6">
        <f t="shared" si="47"/>
        <v>0.66108007448789574</v>
      </c>
      <c r="K669" s="6">
        <f t="shared" si="48"/>
        <v>2.6915261713948658E-4</v>
      </c>
      <c r="L669" s="6">
        <f t="shared" si="49"/>
        <v>2.5977430444910676E-4</v>
      </c>
    </row>
    <row r="670" spans="1:12" ht="22.95" customHeight="1">
      <c r="A670" s="5">
        <v>4</v>
      </c>
      <c r="B670" s="7" t="s">
        <v>94</v>
      </c>
      <c r="C670" s="7" t="s">
        <v>291</v>
      </c>
      <c r="D670" s="5">
        <v>3498</v>
      </c>
      <c r="E670" s="5">
        <v>3463</v>
      </c>
      <c r="F670" s="5">
        <v>0</v>
      </c>
      <c r="G670" s="5">
        <v>0</v>
      </c>
      <c r="H670" s="6">
        <f t="shared" ref="H670:H733" si="50">D670/$B$16</f>
        <v>1.4780154705713092E-3</v>
      </c>
      <c r="I670" s="6">
        <f t="shared" ref="I670:I733" si="51">F670/D670</f>
        <v>0</v>
      </c>
      <c r="J670" s="6">
        <f t="shared" ref="J670:J733" si="52">G670/E670</f>
        <v>0</v>
      </c>
      <c r="K670" s="6">
        <f t="shared" ref="K670:K733" si="53">H670*I670</f>
        <v>0</v>
      </c>
      <c r="L670" s="6">
        <f t="shared" ref="L670:L733" si="54">H670*J670</f>
        <v>0</v>
      </c>
    </row>
    <row r="671" spans="1:12" ht="22.95" customHeight="1">
      <c r="A671" s="5">
        <v>4</v>
      </c>
      <c r="B671" s="7" t="s">
        <v>90</v>
      </c>
      <c r="C671" s="7" t="s">
        <v>290</v>
      </c>
      <c r="D671" s="5">
        <v>8394</v>
      </c>
      <c r="E671" s="5">
        <v>10126</v>
      </c>
      <c r="F671" s="5">
        <v>3494</v>
      </c>
      <c r="G671" s="5">
        <v>4206</v>
      </c>
      <c r="H671" s="6">
        <f t="shared" si="50"/>
        <v>3.546730091473862E-3</v>
      </c>
      <c r="I671" s="6">
        <f t="shared" si="51"/>
        <v>0.41624970216821539</v>
      </c>
      <c r="J671" s="6">
        <f t="shared" si="52"/>
        <v>0.41536638356705513</v>
      </c>
      <c r="K671" s="6">
        <f t="shared" si="53"/>
        <v>1.4763253442470425E-3</v>
      </c>
      <c r="L671" s="6">
        <f t="shared" si="54"/>
        <v>1.4731924515839487E-3</v>
      </c>
    </row>
    <row r="672" spans="1:12" ht="22.95" customHeight="1">
      <c r="A672" s="5">
        <v>4</v>
      </c>
      <c r="B672" s="7" t="s">
        <v>163</v>
      </c>
      <c r="C672" s="7" t="s">
        <v>303</v>
      </c>
      <c r="D672" s="5">
        <v>163</v>
      </c>
      <c r="E672" s="5">
        <v>190</v>
      </c>
      <c r="F672" s="5">
        <v>90</v>
      </c>
      <c r="G672" s="5">
        <v>121</v>
      </c>
      <c r="H672" s="6">
        <f t="shared" si="50"/>
        <v>6.8872647713871755E-5</v>
      </c>
      <c r="I672" s="6">
        <f t="shared" si="51"/>
        <v>0.55214723926380371</v>
      </c>
      <c r="J672" s="6">
        <f t="shared" si="52"/>
        <v>0.63684210526315788</v>
      </c>
      <c r="K672" s="6">
        <f t="shared" si="53"/>
        <v>3.8027842296002809E-5</v>
      </c>
      <c r="L672" s="6">
        <f t="shared" si="54"/>
        <v>4.3861001965149905E-5</v>
      </c>
    </row>
    <row r="673" spans="1:12" ht="22.95" customHeight="1">
      <c r="A673" s="5">
        <v>4</v>
      </c>
      <c r="B673" s="7" t="s">
        <v>214</v>
      </c>
      <c r="C673" s="7" t="s">
        <v>303</v>
      </c>
      <c r="D673" s="5">
        <v>2</v>
      </c>
      <c r="E673" s="5">
        <v>4</v>
      </c>
      <c r="F673" s="5">
        <v>2</v>
      </c>
      <c r="G673" s="5">
        <v>3</v>
      </c>
      <c r="H673" s="6">
        <f t="shared" si="50"/>
        <v>8.4506316213339578E-7</v>
      </c>
      <c r="I673" s="6">
        <f t="shared" si="51"/>
        <v>1</v>
      </c>
      <c r="J673" s="6">
        <f t="shared" si="52"/>
        <v>0.75</v>
      </c>
      <c r="K673" s="6">
        <f t="shared" si="53"/>
        <v>8.4506316213339578E-7</v>
      </c>
      <c r="L673" s="6">
        <f t="shared" si="54"/>
        <v>6.3379737160004689E-7</v>
      </c>
    </row>
    <row r="674" spans="1:12" ht="22.95" customHeight="1">
      <c r="A674" s="5">
        <v>4</v>
      </c>
      <c r="B674" s="7" t="s">
        <v>138</v>
      </c>
      <c r="C674" s="7" t="s">
        <v>303</v>
      </c>
      <c r="D674" s="5">
        <v>209</v>
      </c>
      <c r="E674" s="5">
        <v>306</v>
      </c>
      <c r="F674" s="5">
        <v>102</v>
      </c>
      <c r="G674" s="5">
        <v>149</v>
      </c>
      <c r="H674" s="6">
        <f t="shared" si="50"/>
        <v>8.8309100442939852E-5</v>
      </c>
      <c r="I674" s="6">
        <f t="shared" si="51"/>
        <v>0.48803827751196172</v>
      </c>
      <c r="J674" s="6">
        <f t="shared" si="52"/>
        <v>0.48692810457516339</v>
      </c>
      <c r="K674" s="6">
        <f t="shared" si="53"/>
        <v>4.3098221268803179E-5</v>
      </c>
      <c r="L674" s="6">
        <f t="shared" si="54"/>
        <v>4.3000182895418423E-5</v>
      </c>
    </row>
    <row r="675" spans="1:12" ht="22.95" customHeight="1">
      <c r="A675" s="5">
        <v>4</v>
      </c>
      <c r="B675" s="7" t="s">
        <v>168</v>
      </c>
      <c r="C675" s="7" t="s">
        <v>303</v>
      </c>
      <c r="D675" s="5">
        <v>140</v>
      </c>
      <c r="E675" s="5">
        <v>170</v>
      </c>
      <c r="F675" s="5">
        <v>93</v>
      </c>
      <c r="G675" s="5">
        <v>110</v>
      </c>
      <c r="H675" s="6">
        <f t="shared" si="50"/>
        <v>5.91544213493377E-5</v>
      </c>
      <c r="I675" s="6">
        <f t="shared" si="51"/>
        <v>0.66428571428571426</v>
      </c>
      <c r="J675" s="6">
        <f t="shared" si="52"/>
        <v>0.6470588235294118</v>
      </c>
      <c r="K675" s="6">
        <f t="shared" si="53"/>
        <v>3.9295437039202898E-5</v>
      </c>
      <c r="L675" s="6">
        <f t="shared" si="54"/>
        <v>3.8276390284865574E-5</v>
      </c>
    </row>
    <row r="676" spans="1:12" ht="22.95" customHeight="1">
      <c r="A676" s="5">
        <v>4</v>
      </c>
      <c r="B676" s="7" t="s">
        <v>165</v>
      </c>
      <c r="C676" s="7" t="s">
        <v>293</v>
      </c>
      <c r="D676" s="5">
        <v>30</v>
      </c>
      <c r="E676" s="5">
        <v>32</v>
      </c>
      <c r="F676" s="5">
        <v>18</v>
      </c>
      <c r="G676" s="5">
        <v>15</v>
      </c>
      <c r="H676" s="6">
        <f t="shared" si="50"/>
        <v>1.2675947432000937E-5</v>
      </c>
      <c r="I676" s="6">
        <f t="shared" si="51"/>
        <v>0.6</v>
      </c>
      <c r="J676" s="6">
        <f t="shared" si="52"/>
        <v>0.46875</v>
      </c>
      <c r="K676" s="6">
        <f t="shared" si="53"/>
        <v>7.6055684592005618E-6</v>
      </c>
      <c r="L676" s="6">
        <f t="shared" si="54"/>
        <v>5.9418503587504394E-6</v>
      </c>
    </row>
    <row r="677" spans="1:12" ht="22.95" customHeight="1">
      <c r="A677" s="5">
        <v>4</v>
      </c>
      <c r="B677" s="7" t="s">
        <v>149</v>
      </c>
      <c r="C677" s="7" t="s">
        <v>295</v>
      </c>
      <c r="D677" s="5">
        <v>106</v>
      </c>
      <c r="E677" s="5">
        <v>121</v>
      </c>
      <c r="F677" s="5">
        <v>71</v>
      </c>
      <c r="G677" s="5">
        <v>81</v>
      </c>
      <c r="H677" s="6">
        <f t="shared" si="50"/>
        <v>4.4788347593069974E-5</v>
      </c>
      <c r="I677" s="6">
        <f t="shared" si="51"/>
        <v>0.66981132075471694</v>
      </c>
      <c r="J677" s="6">
        <f t="shared" si="52"/>
        <v>0.66942148760330578</v>
      </c>
      <c r="K677" s="6">
        <f t="shared" si="53"/>
        <v>2.9999742255735545E-5</v>
      </c>
      <c r="L677" s="6">
        <f t="shared" si="54"/>
        <v>2.9982282273046841E-5</v>
      </c>
    </row>
    <row r="678" spans="1:12" ht="22.95" customHeight="1">
      <c r="A678" s="5">
        <v>4</v>
      </c>
      <c r="B678" s="7" t="s">
        <v>278</v>
      </c>
      <c r="C678" s="7" t="s">
        <v>292</v>
      </c>
      <c r="D678" s="5">
        <v>2885</v>
      </c>
      <c r="E678" s="5">
        <v>2402</v>
      </c>
      <c r="F678" s="5">
        <v>2218</v>
      </c>
      <c r="G678" s="5">
        <v>1891</v>
      </c>
      <c r="H678" s="6">
        <f t="shared" si="50"/>
        <v>1.2190036113774235E-3</v>
      </c>
      <c r="I678" s="6">
        <f t="shared" si="51"/>
        <v>0.76880415944540725</v>
      </c>
      <c r="J678" s="6">
        <f t="shared" si="52"/>
        <v>0.78726061615320564</v>
      </c>
      <c r="K678" s="6">
        <f t="shared" si="53"/>
        <v>9.3717504680593592E-4</v>
      </c>
      <c r="L678" s="6">
        <f t="shared" si="54"/>
        <v>9.596735341859732E-4</v>
      </c>
    </row>
    <row r="679" spans="1:12" ht="22.95" customHeight="1">
      <c r="A679" s="5">
        <v>4</v>
      </c>
      <c r="B679" s="7" t="s">
        <v>127</v>
      </c>
      <c r="C679" s="7" t="s">
        <v>293</v>
      </c>
      <c r="D679" s="5">
        <v>369</v>
      </c>
      <c r="E679" s="5">
        <v>461</v>
      </c>
      <c r="F679" s="5">
        <v>193</v>
      </c>
      <c r="G679" s="5">
        <v>226</v>
      </c>
      <c r="H679" s="6">
        <f t="shared" si="50"/>
        <v>1.5591415341361151E-4</v>
      </c>
      <c r="I679" s="6">
        <f t="shared" si="51"/>
        <v>0.52303523035230348</v>
      </c>
      <c r="J679" s="6">
        <f t="shared" si="52"/>
        <v>0.49023861171366595</v>
      </c>
      <c r="K679" s="6">
        <f t="shared" si="53"/>
        <v>8.1548595145872687E-5</v>
      </c>
      <c r="L679" s="6">
        <f t="shared" si="54"/>
        <v>7.6435138116000444E-5</v>
      </c>
    </row>
    <row r="680" spans="1:12" ht="22.95" customHeight="1">
      <c r="A680" s="5">
        <v>4</v>
      </c>
      <c r="B680" s="7" t="s">
        <v>96</v>
      </c>
      <c r="C680" s="7" t="s">
        <v>290</v>
      </c>
      <c r="D680" s="5">
        <v>2802</v>
      </c>
      <c r="E680" s="5">
        <v>3005</v>
      </c>
      <c r="F680" s="5">
        <v>1041</v>
      </c>
      <c r="G680" s="5">
        <v>1170</v>
      </c>
      <c r="H680" s="6">
        <f t="shared" si="50"/>
        <v>1.1839334901488875E-3</v>
      </c>
      <c r="I680" s="6">
        <f t="shared" si="51"/>
        <v>0.37152034261241967</v>
      </c>
      <c r="J680" s="6">
        <f t="shared" si="52"/>
        <v>0.38935108153078202</v>
      </c>
      <c r="K680" s="6">
        <f t="shared" si="53"/>
        <v>4.3985537589043245E-4</v>
      </c>
      <c r="L680" s="6">
        <f t="shared" si="54"/>
        <v>4.6096578484998278E-4</v>
      </c>
    </row>
    <row r="681" spans="1:12" ht="22.95" customHeight="1">
      <c r="A681" s="5">
        <v>4</v>
      </c>
      <c r="B681" s="7" t="s">
        <v>115</v>
      </c>
      <c r="C681" s="7" t="s">
        <v>294</v>
      </c>
      <c r="D681" s="5">
        <v>272</v>
      </c>
      <c r="E681" s="5">
        <v>487</v>
      </c>
      <c r="F681" s="5">
        <v>89</v>
      </c>
      <c r="G681" s="5">
        <v>163</v>
      </c>
      <c r="H681" s="6">
        <f t="shared" si="50"/>
        <v>1.1492859005014183E-4</v>
      </c>
      <c r="I681" s="6">
        <f t="shared" si="51"/>
        <v>0.32720588235294118</v>
      </c>
      <c r="J681" s="6">
        <f t="shared" si="52"/>
        <v>0.3347022587268994</v>
      </c>
      <c r="K681" s="6">
        <f t="shared" si="53"/>
        <v>3.7605310714936111E-5</v>
      </c>
      <c r="L681" s="6">
        <f t="shared" si="54"/>
        <v>3.8466858682080322E-5</v>
      </c>
    </row>
    <row r="682" spans="1:12" ht="22.95" customHeight="1">
      <c r="A682" s="5">
        <v>4</v>
      </c>
      <c r="B682" s="7" t="s">
        <v>256</v>
      </c>
      <c r="C682" s="7" t="s">
        <v>294</v>
      </c>
      <c r="D682" s="5">
        <v>96</v>
      </c>
      <c r="E682" s="5">
        <v>107</v>
      </c>
      <c r="F682" s="5">
        <v>34</v>
      </c>
      <c r="G682" s="5">
        <v>55</v>
      </c>
      <c r="H682" s="6">
        <f t="shared" si="50"/>
        <v>4.0563031782402994E-5</v>
      </c>
      <c r="I682" s="6">
        <f t="shared" si="51"/>
        <v>0.35416666666666669</v>
      </c>
      <c r="J682" s="6">
        <f t="shared" si="52"/>
        <v>0.51401869158878499</v>
      </c>
      <c r="K682" s="6">
        <f t="shared" si="53"/>
        <v>1.4366073756267728E-5</v>
      </c>
      <c r="L682" s="6">
        <f t="shared" si="54"/>
        <v>2.0850156523665088E-5</v>
      </c>
    </row>
    <row r="683" spans="1:12" ht="22.95" customHeight="1">
      <c r="A683" s="5">
        <v>4</v>
      </c>
      <c r="B683" s="7" t="s">
        <v>277</v>
      </c>
      <c r="C683" s="7" t="s">
        <v>294</v>
      </c>
      <c r="D683" s="5">
        <v>3507</v>
      </c>
      <c r="E683" s="5">
        <v>5679</v>
      </c>
      <c r="F683" s="5">
        <v>1241</v>
      </c>
      <c r="G683" s="5">
        <v>1719</v>
      </c>
      <c r="H683" s="6">
        <f t="shared" si="50"/>
        <v>1.4818182548009095E-3</v>
      </c>
      <c r="I683" s="6">
        <f t="shared" si="51"/>
        <v>0.35386370116909038</v>
      </c>
      <c r="J683" s="6">
        <f t="shared" si="52"/>
        <v>0.30269413629160064</v>
      </c>
      <c r="K683" s="6">
        <f t="shared" si="53"/>
        <v>5.2436169210377207E-4</v>
      </c>
      <c r="L683" s="6">
        <f t="shared" si="54"/>
        <v>4.4853769677808829E-4</v>
      </c>
    </row>
    <row r="684" spans="1:12" ht="22.95" customHeight="1">
      <c r="A684" s="5">
        <v>4</v>
      </c>
      <c r="B684" s="7" t="s">
        <v>225</v>
      </c>
      <c r="C684" s="7" t="s">
        <v>291</v>
      </c>
      <c r="D684" s="5">
        <v>2</v>
      </c>
      <c r="E684" s="5">
        <v>3</v>
      </c>
      <c r="F684" s="5">
        <v>2</v>
      </c>
      <c r="G684" s="5">
        <v>2</v>
      </c>
      <c r="H684" s="6">
        <f t="shared" si="50"/>
        <v>8.4506316213339578E-7</v>
      </c>
      <c r="I684" s="6">
        <f t="shared" si="51"/>
        <v>1</v>
      </c>
      <c r="J684" s="6">
        <f t="shared" si="52"/>
        <v>0.66666666666666663</v>
      </c>
      <c r="K684" s="6">
        <f t="shared" si="53"/>
        <v>8.4506316213339578E-7</v>
      </c>
      <c r="L684" s="6">
        <f t="shared" si="54"/>
        <v>5.6337544142226386E-7</v>
      </c>
    </row>
    <row r="685" spans="1:12" ht="22.95" customHeight="1">
      <c r="A685" s="5">
        <v>4</v>
      </c>
      <c r="B685" s="7" t="s">
        <v>201</v>
      </c>
      <c r="C685" s="7" t="s">
        <v>303</v>
      </c>
      <c r="D685" s="5">
        <v>1</v>
      </c>
      <c r="E685" s="5">
        <v>1</v>
      </c>
      <c r="F685" s="5">
        <v>1</v>
      </c>
      <c r="G685" s="5">
        <v>1</v>
      </c>
      <c r="H685" s="6">
        <f t="shared" si="50"/>
        <v>4.2253158106669789E-7</v>
      </c>
      <c r="I685" s="6">
        <f t="shared" si="51"/>
        <v>1</v>
      </c>
      <c r="J685" s="6">
        <f t="shared" si="52"/>
        <v>1</v>
      </c>
      <c r="K685" s="6">
        <f t="shared" si="53"/>
        <v>4.2253158106669789E-7</v>
      </c>
      <c r="L685" s="6">
        <f t="shared" si="54"/>
        <v>4.2253158106669789E-7</v>
      </c>
    </row>
    <row r="686" spans="1:12" ht="22.95" customHeight="1">
      <c r="A686" s="5">
        <v>4</v>
      </c>
      <c r="B686" s="7" t="s">
        <v>128</v>
      </c>
      <c r="C686" s="7" t="s">
        <v>293</v>
      </c>
      <c r="D686" s="5">
        <v>24</v>
      </c>
      <c r="E686" s="5">
        <v>29</v>
      </c>
      <c r="F686" s="5">
        <v>10</v>
      </c>
      <c r="G686" s="5">
        <v>11</v>
      </c>
      <c r="H686" s="6">
        <f t="shared" si="50"/>
        <v>1.0140757945600749E-5</v>
      </c>
      <c r="I686" s="6">
        <f t="shared" si="51"/>
        <v>0.41666666666666669</v>
      </c>
      <c r="J686" s="6">
        <f t="shared" si="52"/>
        <v>0.37931034482758619</v>
      </c>
      <c r="K686" s="6">
        <f t="shared" si="53"/>
        <v>4.2253158106669787E-6</v>
      </c>
      <c r="L686" s="6">
        <f t="shared" si="54"/>
        <v>3.846494393158904E-6</v>
      </c>
    </row>
    <row r="687" spans="1:12" ht="22.95" customHeight="1">
      <c r="A687" s="5">
        <v>5</v>
      </c>
      <c r="B687" s="7" t="s">
        <v>172</v>
      </c>
      <c r="C687" s="7" t="s">
        <v>296</v>
      </c>
      <c r="D687" s="5">
        <v>2</v>
      </c>
      <c r="E687" s="5">
        <v>4</v>
      </c>
      <c r="F687" s="5">
        <v>0</v>
      </c>
      <c r="G687" s="5">
        <v>0</v>
      </c>
      <c r="H687" s="6">
        <f t="shared" si="50"/>
        <v>8.4506316213339578E-7</v>
      </c>
      <c r="I687" s="6">
        <f t="shared" si="51"/>
        <v>0</v>
      </c>
      <c r="J687" s="6">
        <f t="shared" si="52"/>
        <v>0</v>
      </c>
      <c r="K687" s="6">
        <f t="shared" si="53"/>
        <v>0</v>
      </c>
      <c r="L687" s="6">
        <f t="shared" si="54"/>
        <v>0</v>
      </c>
    </row>
    <row r="688" spans="1:12" ht="22.95" customHeight="1">
      <c r="A688" s="5">
        <v>5</v>
      </c>
      <c r="B688" s="7" t="s">
        <v>112</v>
      </c>
      <c r="C688" s="7" t="s">
        <v>290</v>
      </c>
      <c r="D688" s="5">
        <v>1636</v>
      </c>
      <c r="E688" s="5">
        <v>1849</v>
      </c>
      <c r="F688" s="5">
        <v>485</v>
      </c>
      <c r="G688" s="5">
        <v>672</v>
      </c>
      <c r="H688" s="6">
        <f t="shared" si="50"/>
        <v>6.9126166662511772E-4</v>
      </c>
      <c r="I688" s="6">
        <f t="shared" si="51"/>
        <v>0.29645476772616136</v>
      </c>
      <c r="J688" s="6">
        <f t="shared" si="52"/>
        <v>0.3634396971335857</v>
      </c>
      <c r="K688" s="6">
        <f t="shared" si="53"/>
        <v>2.0492781681734847E-4</v>
      </c>
      <c r="L688" s="6">
        <f t="shared" si="54"/>
        <v>2.5123193075829046E-4</v>
      </c>
    </row>
    <row r="689" spans="1:12" ht="22.95" customHeight="1">
      <c r="A689" s="5">
        <v>5</v>
      </c>
      <c r="B689" s="7" t="s">
        <v>179</v>
      </c>
      <c r="C689" s="7" t="s">
        <v>292</v>
      </c>
      <c r="D689" s="5">
        <v>183</v>
      </c>
      <c r="E689" s="5">
        <v>278</v>
      </c>
      <c r="F689" s="5">
        <v>131</v>
      </c>
      <c r="G689" s="5">
        <v>191</v>
      </c>
      <c r="H689" s="6">
        <f t="shared" si="50"/>
        <v>7.7323279335205714E-5</v>
      </c>
      <c r="I689" s="6">
        <f t="shared" si="51"/>
        <v>0.71584699453551914</v>
      </c>
      <c r="J689" s="6">
        <f t="shared" si="52"/>
        <v>0.68705035971223016</v>
      </c>
      <c r="K689" s="6">
        <f t="shared" si="53"/>
        <v>5.5351637119737426E-5</v>
      </c>
      <c r="L689" s="6">
        <f t="shared" si="54"/>
        <v>5.3124986881382341E-5</v>
      </c>
    </row>
    <row r="690" spans="1:12" ht="22.95" customHeight="1">
      <c r="A690" s="5">
        <v>5</v>
      </c>
      <c r="B690" s="7" t="s">
        <v>113</v>
      </c>
      <c r="C690" s="7" t="s">
        <v>295</v>
      </c>
      <c r="D690" s="5">
        <v>6257</v>
      </c>
      <c r="E690" s="5">
        <v>6817</v>
      </c>
      <c r="F690" s="5">
        <v>2604</v>
      </c>
      <c r="G690" s="5">
        <v>3871</v>
      </c>
      <c r="H690" s="6">
        <f t="shared" si="50"/>
        <v>2.6437801027343285E-3</v>
      </c>
      <c r="I690" s="6">
        <f t="shared" si="51"/>
        <v>0.41617388524852167</v>
      </c>
      <c r="J690" s="6">
        <f t="shared" si="52"/>
        <v>0.56784509314947929</v>
      </c>
      <c r="K690" s="6">
        <f t="shared" si="53"/>
        <v>1.1002722370976813E-3</v>
      </c>
      <c r="L690" s="6">
        <f t="shared" si="54"/>
        <v>1.5012575587039147E-3</v>
      </c>
    </row>
    <row r="691" spans="1:12" ht="22.95" customHeight="1">
      <c r="A691" s="5">
        <v>5</v>
      </c>
      <c r="B691" s="7" t="s">
        <v>262</v>
      </c>
      <c r="C691" s="7" t="s">
        <v>294</v>
      </c>
      <c r="D691" s="5">
        <v>716</v>
      </c>
      <c r="E691" s="5">
        <v>843</v>
      </c>
      <c r="F691" s="5">
        <v>468</v>
      </c>
      <c r="G691" s="5">
        <v>575</v>
      </c>
      <c r="H691" s="6">
        <f t="shared" si="50"/>
        <v>3.0253261204375568E-4</v>
      </c>
      <c r="I691" s="6">
        <f t="shared" si="51"/>
        <v>0.65363128491620115</v>
      </c>
      <c r="J691" s="6">
        <f t="shared" si="52"/>
        <v>0.68208778173190987</v>
      </c>
      <c r="K691" s="6">
        <f t="shared" si="53"/>
        <v>1.9774477993921461E-4</v>
      </c>
      <c r="L691" s="6">
        <f t="shared" si="54"/>
        <v>2.0635379825048578E-4</v>
      </c>
    </row>
    <row r="692" spans="1:12" ht="22.95" customHeight="1">
      <c r="A692" s="5">
        <v>5</v>
      </c>
      <c r="B692" s="7" t="s">
        <v>237</v>
      </c>
      <c r="C692" s="7" t="s">
        <v>303</v>
      </c>
      <c r="D692" s="5">
        <v>14</v>
      </c>
      <c r="E692" s="5">
        <v>6</v>
      </c>
      <c r="F692" s="5">
        <v>8</v>
      </c>
      <c r="G692" s="5">
        <v>4</v>
      </c>
      <c r="H692" s="6">
        <f t="shared" si="50"/>
        <v>5.9154421349337707E-6</v>
      </c>
      <c r="I692" s="6">
        <f t="shared" si="51"/>
        <v>0.5714285714285714</v>
      </c>
      <c r="J692" s="6">
        <f t="shared" si="52"/>
        <v>0.66666666666666663</v>
      </c>
      <c r="K692" s="6">
        <f t="shared" si="53"/>
        <v>3.3802526485335831E-6</v>
      </c>
      <c r="L692" s="6">
        <f t="shared" si="54"/>
        <v>3.9436280899558466E-6</v>
      </c>
    </row>
    <row r="693" spans="1:12" ht="22.95" customHeight="1">
      <c r="A693" s="5">
        <v>5</v>
      </c>
      <c r="B693" s="7" t="s">
        <v>148</v>
      </c>
      <c r="C693" s="7" t="s">
        <v>293</v>
      </c>
      <c r="D693" s="5">
        <v>648</v>
      </c>
      <c r="E693" s="5">
        <v>718</v>
      </c>
      <c r="F693" s="5">
        <v>380</v>
      </c>
      <c r="G693" s="5">
        <v>370</v>
      </c>
      <c r="H693" s="6">
        <f t="shared" si="50"/>
        <v>2.7380046453122023E-4</v>
      </c>
      <c r="I693" s="6">
        <f t="shared" si="51"/>
        <v>0.5864197530864198</v>
      </c>
      <c r="J693" s="6">
        <f t="shared" si="52"/>
        <v>0.51532033426183843</v>
      </c>
      <c r="K693" s="6">
        <f t="shared" si="53"/>
        <v>1.6056200080534521E-4</v>
      </c>
      <c r="L693" s="6">
        <f t="shared" si="54"/>
        <v>1.4109494690327506E-4</v>
      </c>
    </row>
    <row r="694" spans="1:12" ht="22.95" customHeight="1">
      <c r="A694" s="5">
        <v>5</v>
      </c>
      <c r="B694" s="7" t="s">
        <v>132</v>
      </c>
      <c r="C694" s="7" t="s">
        <v>295</v>
      </c>
      <c r="D694" s="5">
        <v>872</v>
      </c>
      <c r="E694" s="5">
        <v>1046</v>
      </c>
      <c r="F694" s="5">
        <v>565</v>
      </c>
      <c r="G694" s="5">
        <v>726</v>
      </c>
      <c r="H694" s="6">
        <f t="shared" si="50"/>
        <v>3.6844753869016056E-4</v>
      </c>
      <c r="I694" s="6">
        <f t="shared" si="51"/>
        <v>0.64793577981651373</v>
      </c>
      <c r="J694" s="6">
        <f t="shared" si="52"/>
        <v>0.6940726577437859</v>
      </c>
      <c r="K694" s="6">
        <f t="shared" si="53"/>
        <v>2.3873034330268431E-4</v>
      </c>
      <c r="L694" s="6">
        <f t="shared" si="54"/>
        <v>2.5572936241783614E-4</v>
      </c>
    </row>
    <row r="695" spans="1:12" ht="22.95" customHeight="1">
      <c r="A695" s="5">
        <v>5</v>
      </c>
      <c r="B695" s="7" t="s">
        <v>164</v>
      </c>
      <c r="C695" s="7" t="s">
        <v>294</v>
      </c>
      <c r="D695" s="5">
        <v>74</v>
      </c>
      <c r="E695" s="5">
        <v>124</v>
      </c>
      <c r="F695" s="5">
        <v>40</v>
      </c>
      <c r="G695" s="5">
        <v>63</v>
      </c>
      <c r="H695" s="6">
        <f t="shared" si="50"/>
        <v>3.1267336998935645E-5</v>
      </c>
      <c r="I695" s="6">
        <f t="shared" si="51"/>
        <v>0.54054054054054057</v>
      </c>
      <c r="J695" s="6">
        <f t="shared" si="52"/>
        <v>0.50806451612903225</v>
      </c>
      <c r="K695" s="6">
        <f t="shared" si="53"/>
        <v>1.6901263242667918E-5</v>
      </c>
      <c r="L695" s="6">
        <f t="shared" si="54"/>
        <v>1.5885824443007625E-5</v>
      </c>
    </row>
    <row r="696" spans="1:12" ht="22.95" customHeight="1">
      <c r="A696" s="5">
        <v>5</v>
      </c>
      <c r="B696" s="7" t="s">
        <v>164</v>
      </c>
      <c r="C696" s="7" t="s">
        <v>303</v>
      </c>
      <c r="D696" s="5">
        <v>42</v>
      </c>
      <c r="E696" s="5">
        <v>56</v>
      </c>
      <c r="F696" s="5">
        <v>9</v>
      </c>
      <c r="G696" s="5">
        <v>19</v>
      </c>
      <c r="H696" s="6">
        <f t="shared" si="50"/>
        <v>1.7746326404801312E-5</v>
      </c>
      <c r="I696" s="6">
        <f t="shared" si="51"/>
        <v>0.21428571428571427</v>
      </c>
      <c r="J696" s="6">
        <f t="shared" si="52"/>
        <v>0.3392857142857143</v>
      </c>
      <c r="K696" s="6">
        <f t="shared" si="53"/>
        <v>3.8027842296002809E-6</v>
      </c>
      <c r="L696" s="6">
        <f t="shared" si="54"/>
        <v>6.0210750302004454E-6</v>
      </c>
    </row>
    <row r="697" spans="1:12" ht="22.95" customHeight="1">
      <c r="A697" s="5">
        <v>5</v>
      </c>
      <c r="B697" s="7" t="s">
        <v>199</v>
      </c>
      <c r="C697" s="7" t="s">
        <v>296</v>
      </c>
      <c r="D697" s="5">
        <v>36</v>
      </c>
      <c r="E697" s="5">
        <v>42</v>
      </c>
      <c r="F697" s="5">
        <v>0</v>
      </c>
      <c r="G697" s="5">
        <v>0</v>
      </c>
      <c r="H697" s="6">
        <f t="shared" si="50"/>
        <v>1.5211136918401124E-5</v>
      </c>
      <c r="I697" s="6">
        <f t="shared" si="51"/>
        <v>0</v>
      </c>
      <c r="J697" s="6">
        <f t="shared" si="52"/>
        <v>0</v>
      </c>
      <c r="K697" s="6">
        <f t="shared" si="53"/>
        <v>0</v>
      </c>
      <c r="L697" s="6">
        <f t="shared" si="54"/>
        <v>0</v>
      </c>
    </row>
    <row r="698" spans="1:12" ht="22.95" customHeight="1">
      <c r="A698" s="5">
        <v>5</v>
      </c>
      <c r="B698" s="7" t="s">
        <v>196</v>
      </c>
      <c r="C698" s="7" t="s">
        <v>303</v>
      </c>
      <c r="D698" s="5">
        <v>35</v>
      </c>
      <c r="E698" s="5">
        <v>16</v>
      </c>
      <c r="F698" s="5">
        <v>21</v>
      </c>
      <c r="G698" s="5">
        <v>7</v>
      </c>
      <c r="H698" s="6">
        <f t="shared" si="50"/>
        <v>1.4788605337334425E-5</v>
      </c>
      <c r="I698" s="6">
        <f t="shared" si="51"/>
        <v>0.6</v>
      </c>
      <c r="J698" s="6">
        <f t="shared" si="52"/>
        <v>0.4375</v>
      </c>
      <c r="K698" s="6">
        <f t="shared" si="53"/>
        <v>8.8731632024006544E-6</v>
      </c>
      <c r="L698" s="6">
        <f t="shared" si="54"/>
        <v>6.470014835083811E-6</v>
      </c>
    </row>
    <row r="699" spans="1:12" ht="22.95" customHeight="1">
      <c r="A699" s="5">
        <v>5</v>
      </c>
      <c r="B699" s="7" t="s">
        <v>187</v>
      </c>
      <c r="C699" s="7" t="s">
        <v>291</v>
      </c>
      <c r="D699" s="5">
        <v>11</v>
      </c>
      <c r="E699" s="5">
        <v>18</v>
      </c>
      <c r="F699" s="5">
        <v>6</v>
      </c>
      <c r="G699" s="5">
        <v>11</v>
      </c>
      <c r="H699" s="6">
        <f t="shared" si="50"/>
        <v>4.6478473917336765E-6</v>
      </c>
      <c r="I699" s="6">
        <f t="shared" si="51"/>
        <v>0.54545454545454541</v>
      </c>
      <c r="J699" s="6">
        <f t="shared" si="52"/>
        <v>0.61111111111111116</v>
      </c>
      <c r="K699" s="6">
        <f t="shared" si="53"/>
        <v>2.5351894864001871E-6</v>
      </c>
      <c r="L699" s="6">
        <f t="shared" si="54"/>
        <v>2.8403511838372472E-6</v>
      </c>
    </row>
    <row r="700" spans="1:12" ht="22.95" customHeight="1">
      <c r="A700" s="5">
        <v>5</v>
      </c>
      <c r="B700" s="7" t="s">
        <v>167</v>
      </c>
      <c r="C700" s="7" t="s">
        <v>291</v>
      </c>
      <c r="D700" s="5">
        <v>51</v>
      </c>
      <c r="E700" s="5">
        <v>77</v>
      </c>
      <c r="F700" s="5">
        <v>33</v>
      </c>
      <c r="G700" s="5">
        <v>55</v>
      </c>
      <c r="H700" s="6">
        <f t="shared" si="50"/>
        <v>2.1549110634401593E-5</v>
      </c>
      <c r="I700" s="6">
        <f t="shared" si="51"/>
        <v>0.6470588235294118</v>
      </c>
      <c r="J700" s="6">
        <f t="shared" si="52"/>
        <v>0.7142857142857143</v>
      </c>
      <c r="K700" s="6">
        <f t="shared" si="53"/>
        <v>1.3943542175201031E-5</v>
      </c>
      <c r="L700" s="6">
        <f t="shared" si="54"/>
        <v>1.5392221881715425E-5</v>
      </c>
    </row>
    <row r="701" spans="1:12" ht="22.95" customHeight="1">
      <c r="A701" s="5">
        <v>5</v>
      </c>
      <c r="B701" s="7" t="s">
        <v>89</v>
      </c>
      <c r="C701" s="7" t="s">
        <v>295</v>
      </c>
      <c r="D701" s="5">
        <v>14256</v>
      </c>
      <c r="E701" s="5">
        <v>16311</v>
      </c>
      <c r="F701" s="5">
        <v>4941</v>
      </c>
      <c r="G701" s="5">
        <v>9793</v>
      </c>
      <c r="H701" s="6">
        <f t="shared" si="50"/>
        <v>6.0236102196868447E-3</v>
      </c>
      <c r="I701" s="6">
        <f t="shared" si="51"/>
        <v>0.34659090909090912</v>
      </c>
      <c r="J701" s="6">
        <f t="shared" si="52"/>
        <v>0.60039237324504935</v>
      </c>
      <c r="K701" s="6">
        <f t="shared" si="53"/>
        <v>2.0877285420505542E-3</v>
      </c>
      <c r="L701" s="6">
        <f t="shared" si="54"/>
        <v>3.6165296353009176E-3</v>
      </c>
    </row>
    <row r="702" spans="1:12" ht="22.95" customHeight="1">
      <c r="A702" s="5">
        <v>5</v>
      </c>
      <c r="B702" s="7" t="s">
        <v>158</v>
      </c>
      <c r="C702" s="7" t="s">
        <v>296</v>
      </c>
      <c r="D702" s="5">
        <v>220</v>
      </c>
      <c r="E702" s="5">
        <v>220</v>
      </c>
      <c r="F702" s="5">
        <v>0</v>
      </c>
      <c r="G702" s="5">
        <v>0</v>
      </c>
      <c r="H702" s="6">
        <f t="shared" si="50"/>
        <v>9.2956947834673537E-5</v>
      </c>
      <c r="I702" s="6">
        <f t="shared" si="51"/>
        <v>0</v>
      </c>
      <c r="J702" s="6">
        <f t="shared" si="52"/>
        <v>0</v>
      </c>
      <c r="K702" s="6">
        <f t="shared" si="53"/>
        <v>0</v>
      </c>
      <c r="L702" s="6">
        <f t="shared" si="54"/>
        <v>0</v>
      </c>
    </row>
    <row r="703" spans="1:12" ht="22.95" customHeight="1">
      <c r="A703" s="5">
        <v>5</v>
      </c>
      <c r="B703" s="7" t="s">
        <v>238</v>
      </c>
      <c r="C703" s="7" t="s">
        <v>296</v>
      </c>
      <c r="D703" s="5">
        <v>6</v>
      </c>
      <c r="E703" s="5">
        <v>2</v>
      </c>
      <c r="F703" s="5">
        <v>0</v>
      </c>
      <c r="G703" s="5">
        <v>0</v>
      </c>
      <c r="H703" s="6">
        <f t="shared" si="50"/>
        <v>2.5351894864001871E-6</v>
      </c>
      <c r="I703" s="6">
        <f t="shared" si="51"/>
        <v>0</v>
      </c>
      <c r="J703" s="6">
        <f t="shared" si="52"/>
        <v>0</v>
      </c>
      <c r="K703" s="6">
        <f t="shared" si="53"/>
        <v>0</v>
      </c>
      <c r="L703" s="6">
        <f t="shared" si="54"/>
        <v>0</v>
      </c>
    </row>
    <row r="704" spans="1:12" ht="22.95" customHeight="1">
      <c r="A704" s="5">
        <v>5</v>
      </c>
      <c r="B704" s="7" t="s">
        <v>150</v>
      </c>
      <c r="C704" s="7" t="s">
        <v>291</v>
      </c>
      <c r="D704" s="5">
        <v>18</v>
      </c>
      <c r="E704" s="5">
        <v>33</v>
      </c>
      <c r="F704" s="5">
        <v>6</v>
      </c>
      <c r="G704" s="5">
        <v>13</v>
      </c>
      <c r="H704" s="6">
        <f t="shared" si="50"/>
        <v>7.6055684592005618E-6</v>
      </c>
      <c r="I704" s="6">
        <f t="shared" si="51"/>
        <v>0.33333333333333331</v>
      </c>
      <c r="J704" s="6">
        <f t="shared" si="52"/>
        <v>0.39393939393939392</v>
      </c>
      <c r="K704" s="6">
        <f t="shared" si="53"/>
        <v>2.5351894864001871E-6</v>
      </c>
      <c r="L704" s="6">
        <f t="shared" si="54"/>
        <v>2.9961330293820392E-6</v>
      </c>
    </row>
    <row r="705" spans="1:12" ht="22.95" customHeight="1">
      <c r="A705" s="5">
        <v>5</v>
      </c>
      <c r="B705" s="7" t="s">
        <v>259</v>
      </c>
      <c r="C705" s="7" t="s">
        <v>291</v>
      </c>
      <c r="D705" s="5">
        <v>317</v>
      </c>
      <c r="E705" s="5">
        <v>215</v>
      </c>
      <c r="F705" s="5">
        <v>38</v>
      </c>
      <c r="G705" s="5">
        <v>42</v>
      </c>
      <c r="H705" s="6">
        <f t="shared" si="50"/>
        <v>1.3394251119814324E-4</v>
      </c>
      <c r="I705" s="6">
        <f t="shared" si="51"/>
        <v>0.11987381703470032</v>
      </c>
      <c r="J705" s="6">
        <f t="shared" si="52"/>
        <v>0.19534883720930232</v>
      </c>
      <c r="K705" s="6">
        <f t="shared" si="53"/>
        <v>1.6056200080534521E-5</v>
      </c>
      <c r="L705" s="6">
        <f t="shared" si="54"/>
        <v>2.6165513815451237E-5</v>
      </c>
    </row>
    <row r="706" spans="1:12" ht="22.95" customHeight="1">
      <c r="A706" s="5">
        <v>5</v>
      </c>
      <c r="B706" s="7" t="s">
        <v>198</v>
      </c>
      <c r="C706" s="7" t="s">
        <v>303</v>
      </c>
      <c r="D706" s="5">
        <v>5</v>
      </c>
      <c r="E706" s="5">
        <v>6</v>
      </c>
      <c r="F706" s="5">
        <v>3</v>
      </c>
      <c r="G706" s="5">
        <v>5</v>
      </c>
      <c r="H706" s="6">
        <f t="shared" si="50"/>
        <v>2.1126579053334894E-6</v>
      </c>
      <c r="I706" s="6">
        <f t="shared" si="51"/>
        <v>0.6</v>
      </c>
      <c r="J706" s="6">
        <f t="shared" si="52"/>
        <v>0.83333333333333337</v>
      </c>
      <c r="K706" s="6">
        <f t="shared" si="53"/>
        <v>1.2675947432000936E-6</v>
      </c>
      <c r="L706" s="6">
        <f t="shared" si="54"/>
        <v>1.7605482544445746E-6</v>
      </c>
    </row>
    <row r="707" spans="1:12" ht="22.95" customHeight="1">
      <c r="A707" s="5">
        <v>5</v>
      </c>
      <c r="B707" s="7" t="s">
        <v>102</v>
      </c>
      <c r="C707" s="7" t="s">
        <v>296</v>
      </c>
      <c r="D707" s="5">
        <v>1753</v>
      </c>
      <c r="E707" s="5">
        <v>2149</v>
      </c>
      <c r="F707" s="5">
        <v>0</v>
      </c>
      <c r="G707" s="5">
        <v>0</v>
      </c>
      <c r="H707" s="6">
        <f t="shared" si="50"/>
        <v>7.4069786160992134E-4</v>
      </c>
      <c r="I707" s="6">
        <f t="shared" si="51"/>
        <v>0</v>
      </c>
      <c r="J707" s="6">
        <f t="shared" si="52"/>
        <v>0</v>
      </c>
      <c r="K707" s="6">
        <f t="shared" si="53"/>
        <v>0</v>
      </c>
      <c r="L707" s="6">
        <f t="shared" si="54"/>
        <v>0</v>
      </c>
    </row>
    <row r="708" spans="1:12" ht="22.95" customHeight="1">
      <c r="A708" s="5">
        <v>5</v>
      </c>
      <c r="B708" s="7" t="s">
        <v>131</v>
      </c>
      <c r="C708" s="7" t="s">
        <v>291</v>
      </c>
      <c r="D708" s="5">
        <v>99</v>
      </c>
      <c r="E708" s="5">
        <v>134</v>
      </c>
      <c r="F708" s="5">
        <v>68</v>
      </c>
      <c r="G708" s="5">
        <v>72</v>
      </c>
      <c r="H708" s="6">
        <f t="shared" si="50"/>
        <v>4.183062652560309E-5</v>
      </c>
      <c r="I708" s="6">
        <f t="shared" si="51"/>
        <v>0.68686868686868685</v>
      </c>
      <c r="J708" s="6">
        <f t="shared" si="52"/>
        <v>0.53731343283582089</v>
      </c>
      <c r="K708" s="6">
        <f t="shared" si="53"/>
        <v>2.8732147512535456E-5</v>
      </c>
      <c r="L708" s="6">
        <f t="shared" si="54"/>
        <v>2.2476157536144943E-5</v>
      </c>
    </row>
    <row r="709" spans="1:12" ht="22.95" customHeight="1">
      <c r="A709" s="5">
        <v>5</v>
      </c>
      <c r="B709" s="7" t="s">
        <v>177</v>
      </c>
      <c r="C709" s="7" t="s">
        <v>291</v>
      </c>
      <c r="D709" s="5">
        <v>20</v>
      </c>
      <c r="E709" s="5">
        <v>16</v>
      </c>
      <c r="F709" s="5">
        <v>14</v>
      </c>
      <c r="G709" s="5">
        <v>9</v>
      </c>
      <c r="H709" s="6">
        <f t="shared" si="50"/>
        <v>8.4506316213339574E-6</v>
      </c>
      <c r="I709" s="6">
        <f t="shared" si="51"/>
        <v>0.7</v>
      </c>
      <c r="J709" s="6">
        <f t="shared" si="52"/>
        <v>0.5625</v>
      </c>
      <c r="K709" s="6">
        <f t="shared" si="53"/>
        <v>5.9154421349337699E-6</v>
      </c>
      <c r="L709" s="6">
        <f t="shared" si="54"/>
        <v>4.7534802870003512E-6</v>
      </c>
    </row>
    <row r="710" spans="1:12" ht="22.95" customHeight="1">
      <c r="A710" s="5">
        <v>5</v>
      </c>
      <c r="B710" s="7" t="s">
        <v>258</v>
      </c>
      <c r="C710" s="7" t="s">
        <v>292</v>
      </c>
      <c r="D710" s="5">
        <v>157</v>
      </c>
      <c r="E710" s="5">
        <v>141</v>
      </c>
      <c r="F710" s="5">
        <v>98</v>
      </c>
      <c r="G710" s="5">
        <v>72</v>
      </c>
      <c r="H710" s="6">
        <f t="shared" si="50"/>
        <v>6.6337458227471563E-5</v>
      </c>
      <c r="I710" s="6">
        <f t="shared" si="51"/>
        <v>0.62420382165605093</v>
      </c>
      <c r="J710" s="6">
        <f t="shared" si="52"/>
        <v>0.51063829787234039</v>
      </c>
      <c r="K710" s="6">
        <f t="shared" si="53"/>
        <v>4.1408094944536385E-5</v>
      </c>
      <c r="L710" s="6">
        <f t="shared" si="54"/>
        <v>3.3874446754453562E-5</v>
      </c>
    </row>
    <row r="711" spans="1:12" ht="22.95" customHeight="1">
      <c r="A711" s="5">
        <v>5</v>
      </c>
      <c r="B711" s="7" t="s">
        <v>183</v>
      </c>
      <c r="C711" s="7" t="s">
        <v>303</v>
      </c>
      <c r="D711" s="5">
        <v>117</v>
      </c>
      <c r="E711" s="5">
        <v>114</v>
      </c>
      <c r="F711" s="5">
        <v>78</v>
      </c>
      <c r="G711" s="5">
        <v>77</v>
      </c>
      <c r="H711" s="6">
        <f t="shared" si="50"/>
        <v>4.9436194984803652E-5</v>
      </c>
      <c r="I711" s="6">
        <f t="shared" si="51"/>
        <v>0.66666666666666663</v>
      </c>
      <c r="J711" s="6">
        <f t="shared" si="52"/>
        <v>0.67543859649122806</v>
      </c>
      <c r="K711" s="6">
        <f t="shared" si="53"/>
        <v>3.2957463323202432E-5</v>
      </c>
      <c r="L711" s="6">
        <f t="shared" si="54"/>
        <v>3.3391114156402463E-5</v>
      </c>
    </row>
    <row r="712" spans="1:12" ht="22.95" customHeight="1">
      <c r="A712" s="5">
        <v>5</v>
      </c>
      <c r="B712" s="7" t="s">
        <v>118</v>
      </c>
      <c r="C712" s="7" t="s">
        <v>299</v>
      </c>
      <c r="D712" s="5">
        <v>1624</v>
      </c>
      <c r="E712" s="5">
        <v>1927</v>
      </c>
      <c r="F712" s="5">
        <v>780</v>
      </c>
      <c r="G712" s="5">
        <v>1046</v>
      </c>
      <c r="H712" s="6">
        <f t="shared" si="50"/>
        <v>6.8619128765231739E-4</v>
      </c>
      <c r="I712" s="6">
        <f t="shared" si="51"/>
        <v>0.48029556650246308</v>
      </c>
      <c r="J712" s="6">
        <f t="shared" si="52"/>
        <v>0.5428126621691749</v>
      </c>
      <c r="K712" s="6">
        <f t="shared" si="53"/>
        <v>3.2957463323202439E-4</v>
      </c>
      <c r="L712" s="6">
        <f t="shared" si="54"/>
        <v>3.724733196078485E-4</v>
      </c>
    </row>
    <row r="713" spans="1:12" ht="22.95" customHeight="1">
      <c r="A713" s="5">
        <v>5</v>
      </c>
      <c r="B713" s="7" t="s">
        <v>223</v>
      </c>
      <c r="C713" s="7" t="s">
        <v>296</v>
      </c>
      <c r="D713" s="5">
        <v>4</v>
      </c>
      <c r="E713" s="5">
        <v>10</v>
      </c>
      <c r="F713" s="5">
        <v>0</v>
      </c>
      <c r="G713" s="5">
        <v>0</v>
      </c>
      <c r="H713" s="6">
        <f t="shared" si="50"/>
        <v>1.6901263242667916E-6</v>
      </c>
      <c r="I713" s="6">
        <f t="shared" si="51"/>
        <v>0</v>
      </c>
      <c r="J713" s="6">
        <f t="shared" si="52"/>
        <v>0</v>
      </c>
      <c r="K713" s="6">
        <f t="shared" si="53"/>
        <v>0</v>
      </c>
      <c r="L713" s="6">
        <f t="shared" si="54"/>
        <v>0</v>
      </c>
    </row>
    <row r="714" spans="1:12" ht="22.95" customHeight="1">
      <c r="A714" s="5">
        <v>5</v>
      </c>
      <c r="B714" s="7" t="s">
        <v>129</v>
      </c>
      <c r="C714" s="7" t="s">
        <v>291</v>
      </c>
      <c r="D714" s="5">
        <v>706</v>
      </c>
      <c r="E714" s="5">
        <v>753</v>
      </c>
      <c r="F714" s="5">
        <v>389</v>
      </c>
      <c r="G714" s="5">
        <v>436</v>
      </c>
      <c r="H714" s="6">
        <f t="shared" si="50"/>
        <v>2.9830729623308872E-4</v>
      </c>
      <c r="I714" s="6">
        <f t="shared" si="51"/>
        <v>0.55099150141643061</v>
      </c>
      <c r="J714" s="6">
        <f t="shared" si="52"/>
        <v>0.57901726427622846</v>
      </c>
      <c r="K714" s="6">
        <f t="shared" si="53"/>
        <v>1.6436478503494548E-4</v>
      </c>
      <c r="L714" s="6">
        <f t="shared" si="54"/>
        <v>1.7272507457852151E-4</v>
      </c>
    </row>
    <row r="715" spans="1:12" ht="22.95" customHeight="1">
      <c r="A715" s="5">
        <v>5</v>
      </c>
      <c r="B715" s="7" t="s">
        <v>205</v>
      </c>
      <c r="C715" s="7" t="s">
        <v>291</v>
      </c>
      <c r="D715" s="5">
        <v>2</v>
      </c>
      <c r="E715" s="5">
        <v>2</v>
      </c>
      <c r="F715" s="5">
        <v>0</v>
      </c>
      <c r="G715" s="5">
        <v>0</v>
      </c>
      <c r="H715" s="6">
        <f t="shared" si="50"/>
        <v>8.4506316213339578E-7</v>
      </c>
      <c r="I715" s="6">
        <f t="shared" si="51"/>
        <v>0</v>
      </c>
      <c r="J715" s="6">
        <f t="shared" si="52"/>
        <v>0</v>
      </c>
      <c r="K715" s="6">
        <f t="shared" si="53"/>
        <v>0</v>
      </c>
      <c r="L715" s="6">
        <f t="shared" si="54"/>
        <v>0</v>
      </c>
    </row>
    <row r="716" spans="1:12" ht="22.95" customHeight="1">
      <c r="A716" s="5">
        <v>5</v>
      </c>
      <c r="B716" s="7" t="s">
        <v>100</v>
      </c>
      <c r="C716" s="7" t="s">
        <v>290</v>
      </c>
      <c r="D716" s="5">
        <v>3330</v>
      </c>
      <c r="E716" s="5">
        <v>4149</v>
      </c>
      <c r="F716" s="5">
        <v>1098</v>
      </c>
      <c r="G716" s="5">
        <v>1461</v>
      </c>
      <c r="H716" s="6">
        <f t="shared" si="50"/>
        <v>1.4070301649521039E-3</v>
      </c>
      <c r="I716" s="6">
        <f t="shared" si="51"/>
        <v>0.32972972972972975</v>
      </c>
      <c r="J716" s="6">
        <f t="shared" si="52"/>
        <v>0.35213304410701374</v>
      </c>
      <c r="K716" s="6">
        <f t="shared" si="53"/>
        <v>4.6393967601123431E-4</v>
      </c>
      <c r="L716" s="6">
        <f t="shared" si="54"/>
        <v>4.9546181513497806E-4</v>
      </c>
    </row>
    <row r="717" spans="1:12" ht="22.95" customHeight="1">
      <c r="A717" s="5">
        <v>5</v>
      </c>
      <c r="B717" s="7" t="s">
        <v>92</v>
      </c>
      <c r="C717" s="7" t="s">
        <v>293</v>
      </c>
      <c r="D717" s="5">
        <v>2893</v>
      </c>
      <c r="E717" s="5">
        <v>4433</v>
      </c>
      <c r="F717" s="5">
        <v>868</v>
      </c>
      <c r="G717" s="5">
        <v>519</v>
      </c>
      <c r="H717" s="6">
        <f t="shared" si="50"/>
        <v>1.222383864025957E-3</v>
      </c>
      <c r="I717" s="6">
        <f t="shared" si="51"/>
        <v>0.300034566194262</v>
      </c>
      <c r="J717" s="6">
        <f t="shared" si="52"/>
        <v>0.1170764719151816</v>
      </c>
      <c r="K717" s="6">
        <f t="shared" si="53"/>
        <v>3.6675741236589376E-4</v>
      </c>
      <c r="L717" s="6">
        <f t="shared" si="54"/>
        <v>1.4311239012620611E-4</v>
      </c>
    </row>
    <row r="718" spans="1:12" ht="22.95" customHeight="1">
      <c r="A718" s="5">
        <v>5</v>
      </c>
      <c r="B718" s="7" t="s">
        <v>173</v>
      </c>
      <c r="C718" s="7" t="s">
        <v>303</v>
      </c>
      <c r="D718" s="5">
        <v>131</v>
      </c>
      <c r="E718" s="5">
        <v>131</v>
      </c>
      <c r="F718" s="5">
        <v>64</v>
      </c>
      <c r="G718" s="5">
        <v>76</v>
      </c>
      <c r="H718" s="6">
        <f t="shared" si="50"/>
        <v>5.5351637119737419E-5</v>
      </c>
      <c r="I718" s="6">
        <f t="shared" si="51"/>
        <v>0.48854961832061067</v>
      </c>
      <c r="J718" s="6">
        <f t="shared" si="52"/>
        <v>0.58015267175572516</v>
      </c>
      <c r="K718" s="6">
        <f t="shared" si="53"/>
        <v>2.7042021188268662E-5</v>
      </c>
      <c r="L718" s="6">
        <f t="shared" si="54"/>
        <v>3.2112400161069035E-5</v>
      </c>
    </row>
    <row r="719" spans="1:12" ht="22.95" customHeight="1">
      <c r="A719" s="5">
        <v>5</v>
      </c>
      <c r="B719" s="7" t="s">
        <v>233</v>
      </c>
      <c r="C719" s="7" t="s">
        <v>292</v>
      </c>
      <c r="D719" s="5">
        <v>1013</v>
      </c>
      <c r="E719" s="5">
        <v>1165</v>
      </c>
      <c r="F719" s="5">
        <v>336</v>
      </c>
      <c r="G719" s="5">
        <v>376</v>
      </c>
      <c r="H719" s="6">
        <f t="shared" si="50"/>
        <v>4.2802449162056494E-4</v>
      </c>
      <c r="I719" s="6">
        <f t="shared" si="51"/>
        <v>0.33168805528134254</v>
      </c>
      <c r="J719" s="6">
        <f t="shared" si="52"/>
        <v>0.32274678111587984</v>
      </c>
      <c r="K719" s="6">
        <f t="shared" si="53"/>
        <v>1.4197061123841047E-4</v>
      </c>
      <c r="L719" s="6">
        <f t="shared" si="54"/>
        <v>1.3814352690929822E-4</v>
      </c>
    </row>
    <row r="720" spans="1:12" ht="22.95" customHeight="1">
      <c r="A720" s="5">
        <v>5</v>
      </c>
      <c r="B720" s="7" t="s">
        <v>133</v>
      </c>
      <c r="C720" s="7" t="s">
        <v>293</v>
      </c>
      <c r="D720" s="5">
        <v>1378</v>
      </c>
      <c r="E720" s="5">
        <v>1564</v>
      </c>
      <c r="F720" s="5">
        <v>674</v>
      </c>
      <c r="G720" s="5">
        <v>520</v>
      </c>
      <c r="H720" s="6">
        <f t="shared" si="50"/>
        <v>5.8224851870990971E-4</v>
      </c>
      <c r="I720" s="6">
        <f t="shared" si="51"/>
        <v>0.48911465892597966</v>
      </c>
      <c r="J720" s="6">
        <f t="shared" si="52"/>
        <v>0.33248081841432225</v>
      </c>
      <c r="K720" s="6">
        <f t="shared" si="53"/>
        <v>2.8478628563895436E-4</v>
      </c>
      <c r="L720" s="6">
        <f t="shared" si="54"/>
        <v>1.9358646402119762E-4</v>
      </c>
    </row>
    <row r="721" spans="1:12" ht="22.95" customHeight="1">
      <c r="A721" s="5">
        <v>5</v>
      </c>
      <c r="B721" s="7" t="s">
        <v>280</v>
      </c>
      <c r="C721" s="7" t="s">
        <v>292</v>
      </c>
      <c r="D721" s="5">
        <v>4028</v>
      </c>
      <c r="E721" s="5">
        <v>3252</v>
      </c>
      <c r="F721" s="5">
        <v>0</v>
      </c>
      <c r="G721" s="5">
        <v>0</v>
      </c>
      <c r="H721" s="6">
        <f t="shared" si="50"/>
        <v>1.7019572085366591E-3</v>
      </c>
      <c r="I721" s="6">
        <f t="shared" si="51"/>
        <v>0</v>
      </c>
      <c r="J721" s="6">
        <f t="shared" si="52"/>
        <v>0</v>
      </c>
      <c r="K721" s="6">
        <f t="shared" si="53"/>
        <v>0</v>
      </c>
      <c r="L721" s="6">
        <f t="shared" si="54"/>
        <v>0</v>
      </c>
    </row>
    <row r="722" spans="1:12" ht="22.95" customHeight="1">
      <c r="A722" s="5">
        <v>5</v>
      </c>
      <c r="B722" s="7" t="s">
        <v>98</v>
      </c>
      <c r="C722" s="7" t="s">
        <v>292</v>
      </c>
      <c r="D722" s="5">
        <v>4993</v>
      </c>
      <c r="E722" s="5">
        <v>5750</v>
      </c>
      <c r="F722" s="5">
        <v>1841</v>
      </c>
      <c r="G722" s="5">
        <v>1922</v>
      </c>
      <c r="H722" s="6">
        <f t="shared" si="50"/>
        <v>2.1097001842660225E-3</v>
      </c>
      <c r="I722" s="6">
        <f t="shared" si="51"/>
        <v>0.36871620268375727</v>
      </c>
      <c r="J722" s="6">
        <f t="shared" si="52"/>
        <v>0.33426086956521739</v>
      </c>
      <c r="K722" s="6">
        <f t="shared" si="53"/>
        <v>7.7788064074379082E-4</v>
      </c>
      <c r="L722" s="6">
        <f t="shared" si="54"/>
        <v>7.0519021811466008E-4</v>
      </c>
    </row>
    <row r="723" spans="1:12" ht="22.95" customHeight="1">
      <c r="A723" s="5">
        <v>5</v>
      </c>
      <c r="B723" s="7" t="s">
        <v>231</v>
      </c>
      <c r="C723" s="7" t="s">
        <v>295</v>
      </c>
      <c r="D723" s="5">
        <v>31</v>
      </c>
      <c r="E723" s="5">
        <v>27</v>
      </c>
      <c r="F723" s="5">
        <v>27</v>
      </c>
      <c r="G723" s="5">
        <v>19</v>
      </c>
      <c r="H723" s="6">
        <f t="shared" si="50"/>
        <v>1.3098479013067634E-5</v>
      </c>
      <c r="I723" s="6">
        <f t="shared" si="51"/>
        <v>0.87096774193548387</v>
      </c>
      <c r="J723" s="6">
        <f t="shared" si="52"/>
        <v>0.70370370370370372</v>
      </c>
      <c r="K723" s="6">
        <f t="shared" si="53"/>
        <v>1.1408352688800843E-5</v>
      </c>
      <c r="L723" s="6">
        <f t="shared" si="54"/>
        <v>9.2174481943809278E-6</v>
      </c>
    </row>
    <row r="724" spans="1:12" ht="22.95" customHeight="1">
      <c r="A724" s="5">
        <v>5</v>
      </c>
      <c r="B724" s="7" t="s">
        <v>263</v>
      </c>
      <c r="C724" s="7" t="s">
        <v>295</v>
      </c>
      <c r="D724" s="5">
        <v>628</v>
      </c>
      <c r="E724" s="5">
        <v>527</v>
      </c>
      <c r="F724" s="5">
        <v>491</v>
      </c>
      <c r="G724" s="5">
        <v>420</v>
      </c>
      <c r="H724" s="6">
        <f t="shared" si="50"/>
        <v>2.6534983290988625E-4</v>
      </c>
      <c r="I724" s="6">
        <f t="shared" si="51"/>
        <v>0.78184713375796178</v>
      </c>
      <c r="J724" s="6">
        <f t="shared" si="52"/>
        <v>0.79696394686907024</v>
      </c>
      <c r="K724" s="6">
        <f t="shared" si="53"/>
        <v>2.0746300630374864E-4</v>
      </c>
      <c r="L724" s="6">
        <f t="shared" si="54"/>
        <v>2.1147425013691125E-4</v>
      </c>
    </row>
    <row r="725" spans="1:12" ht="22.95" customHeight="1">
      <c r="A725" s="5">
        <v>5</v>
      </c>
      <c r="B725" s="7" t="s">
        <v>242</v>
      </c>
      <c r="C725" s="7" t="s">
        <v>303</v>
      </c>
      <c r="D725" s="5">
        <v>25</v>
      </c>
      <c r="E725" s="5">
        <v>31</v>
      </c>
      <c r="F725" s="5">
        <v>8</v>
      </c>
      <c r="G725" s="5">
        <v>14</v>
      </c>
      <c r="H725" s="6">
        <f t="shared" si="50"/>
        <v>1.0563289526667447E-5</v>
      </c>
      <c r="I725" s="6">
        <f t="shared" si="51"/>
        <v>0.32</v>
      </c>
      <c r="J725" s="6">
        <f t="shared" si="52"/>
        <v>0.45161290322580644</v>
      </c>
      <c r="K725" s="6">
        <f t="shared" si="53"/>
        <v>3.3802526485335831E-6</v>
      </c>
      <c r="L725" s="6">
        <f t="shared" si="54"/>
        <v>4.7705178507530407E-6</v>
      </c>
    </row>
    <row r="726" spans="1:12" ht="22.95" customHeight="1">
      <c r="A726" s="5">
        <v>5</v>
      </c>
      <c r="B726" s="7" t="s">
        <v>283</v>
      </c>
      <c r="C726" s="7" t="s">
        <v>295</v>
      </c>
      <c r="D726" s="5">
        <v>1802</v>
      </c>
      <c r="E726" s="5">
        <v>932</v>
      </c>
      <c r="F726" s="5">
        <v>1701</v>
      </c>
      <c r="G726" s="5">
        <v>858</v>
      </c>
      <c r="H726" s="6">
        <f t="shared" si="50"/>
        <v>7.6140190908218961E-4</v>
      </c>
      <c r="I726" s="6">
        <f t="shared" si="51"/>
        <v>0.94395116537180912</v>
      </c>
      <c r="J726" s="6">
        <f t="shared" si="52"/>
        <v>0.92060085836909866</v>
      </c>
      <c r="K726" s="6">
        <f t="shared" si="53"/>
        <v>7.1872621939445317E-4</v>
      </c>
      <c r="L726" s="6">
        <f t="shared" si="54"/>
        <v>7.0094725106493419E-4</v>
      </c>
    </row>
    <row r="727" spans="1:12" ht="22.95" customHeight="1">
      <c r="A727" s="5">
        <v>5</v>
      </c>
      <c r="B727" s="7" t="s">
        <v>147</v>
      </c>
      <c r="C727" s="7" t="s">
        <v>292</v>
      </c>
      <c r="D727" s="5">
        <v>178</v>
      </c>
      <c r="E727" s="5">
        <v>162</v>
      </c>
      <c r="F727" s="5">
        <v>123</v>
      </c>
      <c r="G727" s="5">
        <v>96</v>
      </c>
      <c r="H727" s="6">
        <f t="shared" si="50"/>
        <v>7.5210621429872221E-5</v>
      </c>
      <c r="I727" s="6">
        <f t="shared" si="51"/>
        <v>0.6910112359550562</v>
      </c>
      <c r="J727" s="6">
        <f t="shared" si="52"/>
        <v>0.59259259259259256</v>
      </c>
      <c r="K727" s="6">
        <f t="shared" si="53"/>
        <v>5.1971384471203837E-5</v>
      </c>
      <c r="L727" s="6">
        <f t="shared" si="54"/>
        <v>4.4569257143627978E-5</v>
      </c>
    </row>
    <row r="728" spans="1:12" ht="22.95" customHeight="1">
      <c r="A728" s="5">
        <v>5</v>
      </c>
      <c r="B728" s="7" t="s">
        <v>252</v>
      </c>
      <c r="C728" s="7" t="s">
        <v>291</v>
      </c>
      <c r="D728" s="5">
        <v>55</v>
      </c>
      <c r="E728" s="5">
        <v>54</v>
      </c>
      <c r="F728" s="5">
        <v>23</v>
      </c>
      <c r="G728" s="5">
        <v>17</v>
      </c>
      <c r="H728" s="6">
        <f t="shared" si="50"/>
        <v>2.3239236958668384E-5</v>
      </c>
      <c r="I728" s="6">
        <f t="shared" si="51"/>
        <v>0.41818181818181815</v>
      </c>
      <c r="J728" s="6">
        <f t="shared" si="52"/>
        <v>0.31481481481481483</v>
      </c>
      <c r="K728" s="6">
        <f t="shared" si="53"/>
        <v>9.7182263645340516E-6</v>
      </c>
      <c r="L728" s="6">
        <f t="shared" si="54"/>
        <v>7.3160560795807882E-6</v>
      </c>
    </row>
    <row r="729" spans="1:12" ht="22.95" customHeight="1">
      <c r="A729" s="5">
        <v>5</v>
      </c>
      <c r="B729" s="7" t="s">
        <v>103</v>
      </c>
      <c r="C729" s="7" t="s">
        <v>290</v>
      </c>
      <c r="D729" s="5">
        <v>2234</v>
      </c>
      <c r="E729" s="5">
        <v>2756</v>
      </c>
      <c r="F729" s="5">
        <v>716</v>
      </c>
      <c r="G729" s="5">
        <v>1090</v>
      </c>
      <c r="H729" s="6">
        <f t="shared" si="50"/>
        <v>9.4393555210300309E-4</v>
      </c>
      <c r="I729" s="6">
        <f t="shared" si="51"/>
        <v>0.32050134288272158</v>
      </c>
      <c r="J729" s="6">
        <f t="shared" si="52"/>
        <v>0.39550072568940492</v>
      </c>
      <c r="K729" s="6">
        <f t="shared" si="53"/>
        <v>3.0253261204375568E-4</v>
      </c>
      <c r="L729" s="6">
        <f t="shared" si="54"/>
        <v>3.733271958607668E-4</v>
      </c>
    </row>
    <row r="730" spans="1:12" ht="22.95" customHeight="1">
      <c r="A730" s="5">
        <v>5</v>
      </c>
      <c r="B730" s="7" t="s">
        <v>140</v>
      </c>
      <c r="C730" s="7" t="s">
        <v>290</v>
      </c>
      <c r="D730" s="5">
        <v>125</v>
      </c>
      <c r="E730" s="5">
        <v>136</v>
      </c>
      <c r="F730" s="5">
        <v>85</v>
      </c>
      <c r="G730" s="5">
        <v>92</v>
      </c>
      <c r="H730" s="6">
        <f t="shared" si="50"/>
        <v>5.2816447633337234E-5</v>
      </c>
      <c r="I730" s="6">
        <f t="shared" si="51"/>
        <v>0.68</v>
      </c>
      <c r="J730" s="6">
        <f t="shared" si="52"/>
        <v>0.67647058823529416</v>
      </c>
      <c r="K730" s="6">
        <f t="shared" si="53"/>
        <v>3.5915184390669323E-5</v>
      </c>
      <c r="L730" s="6">
        <f t="shared" si="54"/>
        <v>3.5728773399022248E-5</v>
      </c>
    </row>
    <row r="731" spans="1:12" ht="22.95" customHeight="1">
      <c r="A731" s="5">
        <v>5</v>
      </c>
      <c r="B731" s="7" t="s">
        <v>144</v>
      </c>
      <c r="C731" s="7" t="s">
        <v>296</v>
      </c>
      <c r="D731" s="5">
        <v>169</v>
      </c>
      <c r="E731" s="5">
        <v>181</v>
      </c>
      <c r="F731" s="5">
        <v>0</v>
      </c>
      <c r="G731" s="5">
        <v>0</v>
      </c>
      <c r="H731" s="6">
        <f t="shared" si="50"/>
        <v>7.1407837200271947E-5</v>
      </c>
      <c r="I731" s="6">
        <f t="shared" si="51"/>
        <v>0</v>
      </c>
      <c r="J731" s="6">
        <f t="shared" si="52"/>
        <v>0</v>
      </c>
      <c r="K731" s="6">
        <f t="shared" si="53"/>
        <v>0</v>
      </c>
      <c r="L731" s="6">
        <f t="shared" si="54"/>
        <v>0</v>
      </c>
    </row>
    <row r="732" spans="1:12" ht="22.95" customHeight="1">
      <c r="A732" s="5">
        <v>5</v>
      </c>
      <c r="B732" s="7" t="s">
        <v>107</v>
      </c>
      <c r="C732" s="7" t="s">
        <v>296</v>
      </c>
      <c r="D732" s="5">
        <v>1518</v>
      </c>
      <c r="E732" s="5">
        <v>1917</v>
      </c>
      <c r="F732" s="5">
        <v>0</v>
      </c>
      <c r="G732" s="5">
        <v>0</v>
      </c>
      <c r="H732" s="6">
        <f t="shared" si="50"/>
        <v>6.4140294005924736E-4</v>
      </c>
      <c r="I732" s="6">
        <f t="shared" si="51"/>
        <v>0</v>
      </c>
      <c r="J732" s="6">
        <f t="shared" si="52"/>
        <v>0</v>
      </c>
      <c r="K732" s="6">
        <f t="shared" si="53"/>
        <v>0</v>
      </c>
      <c r="L732" s="6">
        <f t="shared" si="54"/>
        <v>0</v>
      </c>
    </row>
    <row r="733" spans="1:12" ht="22.95" customHeight="1">
      <c r="A733" s="5">
        <v>5</v>
      </c>
      <c r="B733" s="7" t="s">
        <v>146</v>
      </c>
      <c r="C733" s="7" t="s">
        <v>296</v>
      </c>
      <c r="D733" s="5">
        <v>241</v>
      </c>
      <c r="E733" s="5">
        <v>378</v>
      </c>
      <c r="F733" s="5">
        <v>0</v>
      </c>
      <c r="G733" s="5">
        <v>0</v>
      </c>
      <c r="H733" s="6">
        <f t="shared" si="50"/>
        <v>1.0183011103707419E-4</v>
      </c>
      <c r="I733" s="6">
        <f t="shared" si="51"/>
        <v>0</v>
      </c>
      <c r="J733" s="6">
        <f t="shared" si="52"/>
        <v>0</v>
      </c>
      <c r="K733" s="6">
        <f t="shared" si="53"/>
        <v>0</v>
      </c>
      <c r="L733" s="6">
        <f t="shared" si="54"/>
        <v>0</v>
      </c>
    </row>
    <row r="734" spans="1:12" ht="22.95" customHeight="1">
      <c r="A734" s="5">
        <v>5</v>
      </c>
      <c r="B734" s="7" t="s">
        <v>143</v>
      </c>
      <c r="C734" s="7" t="s">
        <v>304</v>
      </c>
      <c r="D734" s="5">
        <v>1453</v>
      </c>
      <c r="E734" s="5">
        <v>1528</v>
      </c>
      <c r="F734" s="5">
        <v>513</v>
      </c>
      <c r="G734" s="5">
        <v>553</v>
      </c>
      <c r="H734" s="6">
        <f t="shared" ref="H734:H797" si="55">D734/$B$16</f>
        <v>6.1393838728991202E-4</v>
      </c>
      <c r="I734" s="6">
        <f t="shared" ref="I734:I797" si="56">F734/D734</f>
        <v>0.35306262904335856</v>
      </c>
      <c r="J734" s="6">
        <f t="shared" ref="J734:J797" si="57">G734/E734</f>
        <v>0.36191099476439792</v>
      </c>
      <c r="K734" s="6">
        <f t="shared" ref="K734:K797" si="58">H734*I734</f>
        <v>2.1675870108721601E-4</v>
      </c>
      <c r="L734" s="6">
        <f t="shared" ref="L734:L797" si="59">H734*J734</f>
        <v>2.2219105246814225E-4</v>
      </c>
    </row>
    <row r="735" spans="1:12" ht="22.95" customHeight="1">
      <c r="A735" s="5">
        <v>5</v>
      </c>
      <c r="B735" s="7" t="s">
        <v>143</v>
      </c>
      <c r="C735" s="7" t="s">
        <v>295</v>
      </c>
      <c r="D735" s="5">
        <v>3144</v>
      </c>
      <c r="E735" s="5">
        <v>3301</v>
      </c>
      <c r="F735" s="5">
        <v>1185</v>
      </c>
      <c r="G735" s="5">
        <v>1197</v>
      </c>
      <c r="H735" s="6">
        <f t="shared" si="55"/>
        <v>1.3284392908736982E-3</v>
      </c>
      <c r="I735" s="6">
        <f t="shared" si="56"/>
        <v>0.37690839694656486</v>
      </c>
      <c r="J735" s="6">
        <f t="shared" si="57"/>
        <v>0.36261738867009996</v>
      </c>
      <c r="K735" s="6">
        <f t="shared" si="58"/>
        <v>5.0069992356403695E-4</v>
      </c>
      <c r="L735" s="6">
        <f t="shared" si="59"/>
        <v>4.8171518666337981E-4</v>
      </c>
    </row>
    <row r="736" spans="1:12" ht="22.95" customHeight="1">
      <c r="A736" s="5">
        <v>5</v>
      </c>
      <c r="B736" s="7" t="s">
        <v>106</v>
      </c>
      <c r="C736" s="7" t="s">
        <v>290</v>
      </c>
      <c r="D736" s="5">
        <v>2084</v>
      </c>
      <c r="E736" s="5">
        <v>2437</v>
      </c>
      <c r="F736" s="5">
        <v>636</v>
      </c>
      <c r="G736" s="5">
        <v>880</v>
      </c>
      <c r="H736" s="6">
        <f t="shared" si="55"/>
        <v>8.8055581494299838E-4</v>
      </c>
      <c r="I736" s="6">
        <f t="shared" si="56"/>
        <v>0.30518234165067176</v>
      </c>
      <c r="J736" s="6">
        <f t="shared" si="57"/>
        <v>0.36109971276159214</v>
      </c>
      <c r="K736" s="6">
        <f t="shared" si="58"/>
        <v>2.6873008555841984E-4</v>
      </c>
      <c r="L736" s="6">
        <f t="shared" si="59"/>
        <v>3.179684518464664E-4</v>
      </c>
    </row>
    <row r="737" spans="1:12" ht="22.95" customHeight="1">
      <c r="A737" s="5">
        <v>5</v>
      </c>
      <c r="B737" s="7" t="s">
        <v>186</v>
      </c>
      <c r="C737" s="7" t="s">
        <v>291</v>
      </c>
      <c r="D737" s="5">
        <v>23</v>
      </c>
      <c r="E737" s="5">
        <v>20</v>
      </c>
      <c r="F737" s="5">
        <v>11</v>
      </c>
      <c r="G737" s="5">
        <v>16</v>
      </c>
      <c r="H737" s="6">
        <f t="shared" si="55"/>
        <v>9.7182263645340516E-6</v>
      </c>
      <c r="I737" s="6">
        <f t="shared" si="56"/>
        <v>0.47826086956521741</v>
      </c>
      <c r="J737" s="6">
        <f t="shared" si="57"/>
        <v>0.8</v>
      </c>
      <c r="K737" s="6">
        <f t="shared" si="58"/>
        <v>4.6478473917336773E-6</v>
      </c>
      <c r="L737" s="6">
        <f t="shared" si="59"/>
        <v>7.7745810916272416E-6</v>
      </c>
    </row>
    <row r="738" spans="1:12" ht="22.95" customHeight="1">
      <c r="A738" s="5">
        <v>5</v>
      </c>
      <c r="B738" s="7" t="s">
        <v>190</v>
      </c>
      <c r="C738" s="7" t="s">
        <v>291</v>
      </c>
      <c r="D738" s="5">
        <v>36</v>
      </c>
      <c r="E738" s="5">
        <v>43</v>
      </c>
      <c r="F738" s="5">
        <v>22</v>
      </c>
      <c r="G738" s="5">
        <v>23</v>
      </c>
      <c r="H738" s="6">
        <f t="shared" si="55"/>
        <v>1.5211136918401124E-5</v>
      </c>
      <c r="I738" s="6">
        <f t="shared" si="56"/>
        <v>0.61111111111111116</v>
      </c>
      <c r="J738" s="6">
        <f t="shared" si="57"/>
        <v>0.53488372093023251</v>
      </c>
      <c r="K738" s="6">
        <f t="shared" si="58"/>
        <v>9.2956947834673547E-6</v>
      </c>
      <c r="L738" s="6">
        <f t="shared" si="59"/>
        <v>8.1361895144936228E-6</v>
      </c>
    </row>
    <row r="739" spans="1:12" ht="22.95" customHeight="1">
      <c r="A739" s="5">
        <v>5</v>
      </c>
      <c r="B739" s="7" t="s">
        <v>124</v>
      </c>
      <c r="C739" s="7" t="s">
        <v>303</v>
      </c>
      <c r="D739" s="5">
        <v>1040</v>
      </c>
      <c r="E739" s="5">
        <v>1389</v>
      </c>
      <c r="F739" s="5">
        <v>497</v>
      </c>
      <c r="G739" s="5">
        <v>686</v>
      </c>
      <c r="H739" s="6">
        <f t="shared" si="55"/>
        <v>4.3943284430936582E-4</v>
      </c>
      <c r="I739" s="6">
        <f t="shared" si="56"/>
        <v>0.47788461538461541</v>
      </c>
      <c r="J739" s="6">
        <f t="shared" si="57"/>
        <v>0.49388048956083513</v>
      </c>
      <c r="K739" s="6">
        <f t="shared" si="58"/>
        <v>2.0999819579014885E-4</v>
      </c>
      <c r="L739" s="6">
        <f t="shared" si="59"/>
        <v>2.1702730827661984E-4</v>
      </c>
    </row>
    <row r="740" spans="1:12" ht="22.95" customHeight="1">
      <c r="A740" s="5">
        <v>5</v>
      </c>
      <c r="B740" s="7" t="s">
        <v>170</v>
      </c>
      <c r="C740" s="7" t="s">
        <v>303</v>
      </c>
      <c r="D740" s="5">
        <v>256</v>
      </c>
      <c r="E740" s="5">
        <v>253</v>
      </c>
      <c r="F740" s="5">
        <v>168</v>
      </c>
      <c r="G740" s="5">
        <v>156</v>
      </c>
      <c r="H740" s="6">
        <f t="shared" si="55"/>
        <v>1.0816808475307466E-4</v>
      </c>
      <c r="I740" s="6">
        <f t="shared" si="56"/>
        <v>0.65625</v>
      </c>
      <c r="J740" s="6">
        <f t="shared" si="57"/>
        <v>0.61660079051383399</v>
      </c>
      <c r="K740" s="6">
        <f t="shared" si="58"/>
        <v>7.0985305619205248E-5</v>
      </c>
      <c r="L740" s="6">
        <f t="shared" si="59"/>
        <v>6.6696526567113222E-5</v>
      </c>
    </row>
    <row r="741" spans="1:12" ht="22.95" customHeight="1">
      <c r="A741" s="5">
        <v>5</v>
      </c>
      <c r="B741" s="7" t="s">
        <v>125</v>
      </c>
      <c r="C741" s="7" t="s">
        <v>298</v>
      </c>
      <c r="D741" s="5">
        <v>1684</v>
      </c>
      <c r="E741" s="5">
        <v>1956</v>
      </c>
      <c r="F741" s="5">
        <v>1291</v>
      </c>
      <c r="G741" s="5">
        <v>381</v>
      </c>
      <c r="H741" s="6">
        <f t="shared" si="55"/>
        <v>7.1154318251631925E-4</v>
      </c>
      <c r="I741" s="6">
        <f t="shared" si="56"/>
        <v>0.76662707838479816</v>
      </c>
      <c r="J741" s="6">
        <f t="shared" si="57"/>
        <v>0.19478527607361965</v>
      </c>
      <c r="K741" s="6">
        <f t="shared" si="58"/>
        <v>5.4548827115710697E-4</v>
      </c>
      <c r="L741" s="6">
        <f t="shared" si="59"/>
        <v>1.3859813524474317E-4</v>
      </c>
    </row>
    <row r="742" spans="1:12" ht="22.95" customHeight="1">
      <c r="A742" s="5">
        <v>5</v>
      </c>
      <c r="B742" s="7" t="s">
        <v>154</v>
      </c>
      <c r="C742" s="7" t="s">
        <v>298</v>
      </c>
      <c r="D742" s="5">
        <v>42</v>
      </c>
      <c r="E742" s="5">
        <v>41</v>
      </c>
      <c r="F742" s="5">
        <v>15</v>
      </c>
      <c r="G742" s="5">
        <v>7</v>
      </c>
      <c r="H742" s="6">
        <f t="shared" si="55"/>
        <v>1.7746326404801312E-5</v>
      </c>
      <c r="I742" s="6">
        <f t="shared" si="56"/>
        <v>0.35714285714285715</v>
      </c>
      <c r="J742" s="6">
        <f t="shared" si="57"/>
        <v>0.17073170731707318</v>
      </c>
      <c r="K742" s="6">
        <f t="shared" si="58"/>
        <v>6.3379737160004685E-6</v>
      </c>
      <c r="L742" s="6">
        <f t="shared" si="59"/>
        <v>3.029860605697785E-6</v>
      </c>
    </row>
    <row r="743" spans="1:12" ht="22.95" customHeight="1">
      <c r="A743" s="5">
        <v>5</v>
      </c>
      <c r="B743" s="7" t="s">
        <v>246</v>
      </c>
      <c r="C743" s="7" t="s">
        <v>298</v>
      </c>
      <c r="D743" s="5">
        <v>6</v>
      </c>
      <c r="E743" s="5">
        <v>9</v>
      </c>
      <c r="F743" s="5">
        <v>4</v>
      </c>
      <c r="G743" s="5">
        <v>4</v>
      </c>
      <c r="H743" s="6">
        <f t="shared" si="55"/>
        <v>2.5351894864001871E-6</v>
      </c>
      <c r="I743" s="6">
        <f t="shared" si="56"/>
        <v>0.66666666666666663</v>
      </c>
      <c r="J743" s="6">
        <f t="shared" si="57"/>
        <v>0.44444444444444442</v>
      </c>
      <c r="K743" s="6">
        <f t="shared" si="58"/>
        <v>1.6901263242667914E-6</v>
      </c>
      <c r="L743" s="6">
        <f t="shared" si="59"/>
        <v>1.1267508828445275E-6</v>
      </c>
    </row>
    <row r="744" spans="1:12" ht="22.95" customHeight="1">
      <c r="A744" s="5">
        <v>5</v>
      </c>
      <c r="B744" s="7" t="s">
        <v>95</v>
      </c>
      <c r="C744" s="7" t="s">
        <v>290</v>
      </c>
      <c r="D744" s="5">
        <v>2596</v>
      </c>
      <c r="E744" s="5">
        <v>3517</v>
      </c>
      <c r="F744" s="5">
        <v>1100</v>
      </c>
      <c r="G744" s="5">
        <v>1854</v>
      </c>
      <c r="H744" s="6">
        <f t="shared" si="55"/>
        <v>1.0968919844491476E-3</v>
      </c>
      <c r="I744" s="6">
        <f t="shared" si="56"/>
        <v>0.42372881355932202</v>
      </c>
      <c r="J744" s="6">
        <f t="shared" si="57"/>
        <v>0.52715382428205859</v>
      </c>
      <c r="K744" s="6">
        <f t="shared" si="58"/>
        <v>4.6478473917336763E-4</v>
      </c>
      <c r="L744" s="6">
        <f t="shared" si="59"/>
        <v>5.782308044267045E-4</v>
      </c>
    </row>
    <row r="745" spans="1:12" ht="22.95" customHeight="1">
      <c r="A745" s="5">
        <v>5</v>
      </c>
      <c r="B745" s="7" t="s">
        <v>105</v>
      </c>
      <c r="C745" s="7" t="s">
        <v>296</v>
      </c>
      <c r="D745" s="5">
        <v>3123</v>
      </c>
      <c r="E745" s="5">
        <v>3997</v>
      </c>
      <c r="F745" s="5">
        <v>0</v>
      </c>
      <c r="G745" s="5">
        <v>0</v>
      </c>
      <c r="H745" s="6">
        <f t="shared" si="55"/>
        <v>1.3195661276712975E-3</v>
      </c>
      <c r="I745" s="6">
        <f t="shared" si="56"/>
        <v>0</v>
      </c>
      <c r="J745" s="6">
        <f t="shared" si="57"/>
        <v>0</v>
      </c>
      <c r="K745" s="6">
        <f t="shared" si="58"/>
        <v>0</v>
      </c>
      <c r="L745" s="6">
        <f t="shared" si="59"/>
        <v>0</v>
      </c>
    </row>
    <row r="746" spans="1:12" ht="22.95" customHeight="1">
      <c r="A746" s="5">
        <v>5</v>
      </c>
      <c r="B746" s="7" t="s">
        <v>268</v>
      </c>
      <c r="C746" s="7" t="s">
        <v>292</v>
      </c>
      <c r="D746" s="5">
        <v>1381</v>
      </c>
      <c r="E746" s="5">
        <v>1264</v>
      </c>
      <c r="F746" s="5">
        <v>0</v>
      </c>
      <c r="G746" s="5">
        <v>0</v>
      </c>
      <c r="H746" s="6">
        <f t="shared" si="55"/>
        <v>5.8351611345310972E-4</v>
      </c>
      <c r="I746" s="6">
        <f t="shared" si="56"/>
        <v>0</v>
      </c>
      <c r="J746" s="6">
        <f t="shared" si="57"/>
        <v>0</v>
      </c>
      <c r="K746" s="6">
        <f t="shared" si="58"/>
        <v>0</v>
      </c>
      <c r="L746" s="6">
        <f t="shared" si="59"/>
        <v>0</v>
      </c>
    </row>
    <row r="747" spans="1:12" ht="22.95" customHeight="1">
      <c r="A747" s="5">
        <v>5</v>
      </c>
      <c r="B747" s="7" t="s">
        <v>268</v>
      </c>
      <c r="C747" s="7" t="s">
        <v>295</v>
      </c>
      <c r="D747" s="5">
        <v>86</v>
      </c>
      <c r="E747" s="5">
        <v>57</v>
      </c>
      <c r="F747" s="5">
        <v>78</v>
      </c>
      <c r="G747" s="5">
        <v>50</v>
      </c>
      <c r="H747" s="6">
        <f t="shared" si="55"/>
        <v>3.6337715971736015E-5</v>
      </c>
      <c r="I747" s="6">
        <f t="shared" si="56"/>
        <v>0.90697674418604646</v>
      </c>
      <c r="J747" s="6">
        <f t="shared" si="57"/>
        <v>0.8771929824561403</v>
      </c>
      <c r="K747" s="6">
        <f t="shared" si="58"/>
        <v>3.2957463323202432E-5</v>
      </c>
      <c r="L747" s="6">
        <f t="shared" si="59"/>
        <v>3.1875189448891242E-5</v>
      </c>
    </row>
    <row r="748" spans="1:12" ht="22.95" customHeight="1">
      <c r="A748" s="5">
        <v>5</v>
      </c>
      <c r="B748" s="7" t="s">
        <v>203</v>
      </c>
      <c r="C748" s="7" t="s">
        <v>298</v>
      </c>
      <c r="D748" s="5">
        <v>33</v>
      </c>
      <c r="E748" s="5">
        <v>36</v>
      </c>
      <c r="F748" s="5">
        <v>15</v>
      </c>
      <c r="G748" s="5">
        <v>14</v>
      </c>
      <c r="H748" s="6">
        <f t="shared" si="55"/>
        <v>1.3943542175201029E-5</v>
      </c>
      <c r="I748" s="6">
        <f t="shared" si="56"/>
        <v>0.45454545454545453</v>
      </c>
      <c r="J748" s="6">
        <f t="shared" si="57"/>
        <v>0.3888888888888889</v>
      </c>
      <c r="K748" s="6">
        <f t="shared" si="58"/>
        <v>6.3379737160004676E-6</v>
      </c>
      <c r="L748" s="6">
        <f t="shared" si="59"/>
        <v>5.4224886236892892E-6</v>
      </c>
    </row>
    <row r="749" spans="1:12" ht="22.95" customHeight="1">
      <c r="A749" s="5">
        <v>5</v>
      </c>
      <c r="B749" s="7" t="s">
        <v>244</v>
      </c>
      <c r="C749" s="7" t="s">
        <v>298</v>
      </c>
      <c r="D749" s="5">
        <v>5</v>
      </c>
      <c r="E749" s="5">
        <v>4</v>
      </c>
      <c r="F749" s="5">
        <v>2</v>
      </c>
      <c r="G749" s="5">
        <v>1</v>
      </c>
      <c r="H749" s="6">
        <f t="shared" si="55"/>
        <v>2.1126579053334894E-6</v>
      </c>
      <c r="I749" s="6">
        <f t="shared" si="56"/>
        <v>0.4</v>
      </c>
      <c r="J749" s="6">
        <f t="shared" si="57"/>
        <v>0.25</v>
      </c>
      <c r="K749" s="6">
        <f t="shared" si="58"/>
        <v>8.4506316213339578E-7</v>
      </c>
      <c r="L749" s="6">
        <f t="shared" si="59"/>
        <v>5.2816447633337234E-7</v>
      </c>
    </row>
    <row r="750" spans="1:12" ht="22.95" customHeight="1">
      <c r="A750" s="5">
        <v>5</v>
      </c>
      <c r="B750" s="7" t="s">
        <v>87</v>
      </c>
      <c r="C750" s="7" t="s">
        <v>290</v>
      </c>
      <c r="D750" s="5">
        <v>7463</v>
      </c>
      <c r="E750" s="5">
        <v>9823</v>
      </c>
      <c r="F750" s="5">
        <v>3334</v>
      </c>
      <c r="G750" s="5">
        <v>6399</v>
      </c>
      <c r="H750" s="6">
        <f t="shared" si="55"/>
        <v>3.1533531895007664E-3</v>
      </c>
      <c r="I750" s="6">
        <f t="shared" si="56"/>
        <v>0.44673723703604451</v>
      </c>
      <c r="J750" s="6">
        <f t="shared" si="57"/>
        <v>0.65143031660388884</v>
      </c>
      <c r="K750" s="6">
        <f t="shared" si="58"/>
        <v>1.4087202912763709E-3</v>
      </c>
      <c r="L750" s="6">
        <f t="shared" si="59"/>
        <v>2.0541898666003671E-3</v>
      </c>
    </row>
    <row r="751" spans="1:12" ht="22.95" customHeight="1">
      <c r="A751" s="5">
        <v>5</v>
      </c>
      <c r="B751" s="7" t="s">
        <v>255</v>
      </c>
      <c r="C751" s="7" t="s">
        <v>303</v>
      </c>
      <c r="D751" s="5">
        <v>58</v>
      </c>
      <c r="E751" s="5">
        <v>44</v>
      </c>
      <c r="F751" s="5">
        <v>30</v>
      </c>
      <c r="G751" s="5">
        <v>20</v>
      </c>
      <c r="H751" s="6">
        <f t="shared" si="55"/>
        <v>2.4506831701868477E-5</v>
      </c>
      <c r="I751" s="6">
        <f t="shared" si="56"/>
        <v>0.51724137931034486</v>
      </c>
      <c r="J751" s="6">
        <f t="shared" si="57"/>
        <v>0.45454545454545453</v>
      </c>
      <c r="K751" s="6">
        <f t="shared" si="58"/>
        <v>1.2675947432000937E-5</v>
      </c>
      <c r="L751" s="6">
        <f t="shared" si="59"/>
        <v>1.1139468955394761E-5</v>
      </c>
    </row>
    <row r="752" spans="1:12" ht="22.95" customHeight="1">
      <c r="A752" s="5">
        <v>5</v>
      </c>
      <c r="B752" s="7" t="s">
        <v>260</v>
      </c>
      <c r="C752" s="7" t="s">
        <v>294</v>
      </c>
      <c r="D752" s="5">
        <v>198</v>
      </c>
      <c r="E752" s="5">
        <v>254</v>
      </c>
      <c r="F752" s="5">
        <v>100</v>
      </c>
      <c r="G752" s="5">
        <v>108</v>
      </c>
      <c r="H752" s="6">
        <f t="shared" si="55"/>
        <v>8.366125305120618E-5</v>
      </c>
      <c r="I752" s="6">
        <f t="shared" si="56"/>
        <v>0.50505050505050508</v>
      </c>
      <c r="J752" s="6">
        <f t="shared" si="57"/>
        <v>0.42519685039370081</v>
      </c>
      <c r="K752" s="6">
        <f t="shared" si="58"/>
        <v>4.2253158106669789E-5</v>
      </c>
      <c r="L752" s="6">
        <f t="shared" si="59"/>
        <v>3.5572501297363257E-5</v>
      </c>
    </row>
    <row r="753" spans="1:12" ht="22.95" customHeight="1">
      <c r="A753" s="5">
        <v>5</v>
      </c>
      <c r="B753" s="7" t="s">
        <v>114</v>
      </c>
      <c r="C753" s="7" t="s">
        <v>291</v>
      </c>
      <c r="D753" s="5">
        <v>250</v>
      </c>
      <c r="E753" s="5">
        <v>370</v>
      </c>
      <c r="F753" s="5">
        <v>137</v>
      </c>
      <c r="G753" s="5">
        <v>154</v>
      </c>
      <c r="H753" s="6">
        <f t="shared" si="55"/>
        <v>1.0563289526667447E-4</v>
      </c>
      <c r="I753" s="6">
        <f t="shared" si="56"/>
        <v>0.54800000000000004</v>
      </c>
      <c r="J753" s="6">
        <f t="shared" si="57"/>
        <v>0.41621621621621624</v>
      </c>
      <c r="K753" s="6">
        <f t="shared" si="58"/>
        <v>5.7886826606137611E-5</v>
      </c>
      <c r="L753" s="6">
        <f t="shared" si="59"/>
        <v>4.3966123975859105E-5</v>
      </c>
    </row>
    <row r="754" spans="1:12" ht="22.95" customHeight="1">
      <c r="A754" s="5">
        <v>5</v>
      </c>
      <c r="B754" s="7" t="s">
        <v>114</v>
      </c>
      <c r="C754" s="7" t="s">
        <v>292</v>
      </c>
      <c r="D754" s="5">
        <v>62</v>
      </c>
      <c r="E754" s="5">
        <v>84</v>
      </c>
      <c r="F754" s="5">
        <v>22</v>
      </c>
      <c r="G754" s="5">
        <v>41</v>
      </c>
      <c r="H754" s="6">
        <f t="shared" si="55"/>
        <v>2.6196958026135268E-5</v>
      </c>
      <c r="I754" s="6">
        <f t="shared" si="56"/>
        <v>0.35483870967741937</v>
      </c>
      <c r="J754" s="6">
        <f t="shared" si="57"/>
        <v>0.48809523809523808</v>
      </c>
      <c r="K754" s="6">
        <f t="shared" si="58"/>
        <v>9.295694783467353E-6</v>
      </c>
      <c r="L754" s="6">
        <f t="shared" si="59"/>
        <v>1.2786610465137451E-5</v>
      </c>
    </row>
    <row r="755" spans="1:12" ht="22.95" customHeight="1">
      <c r="A755" s="5">
        <v>5</v>
      </c>
      <c r="B755" s="7" t="s">
        <v>249</v>
      </c>
      <c r="C755" s="7" t="s">
        <v>291</v>
      </c>
      <c r="D755" s="5">
        <v>5</v>
      </c>
      <c r="E755" s="5">
        <v>8</v>
      </c>
      <c r="F755" s="5">
        <v>5</v>
      </c>
      <c r="G755" s="5">
        <v>6</v>
      </c>
      <c r="H755" s="6">
        <f t="shared" si="55"/>
        <v>2.1126579053334894E-6</v>
      </c>
      <c r="I755" s="6">
        <f t="shared" si="56"/>
        <v>1</v>
      </c>
      <c r="J755" s="6">
        <f t="shared" si="57"/>
        <v>0.75</v>
      </c>
      <c r="K755" s="6">
        <f t="shared" si="58"/>
        <v>2.1126579053334894E-6</v>
      </c>
      <c r="L755" s="6">
        <f t="shared" si="59"/>
        <v>1.5844934290001169E-6</v>
      </c>
    </row>
    <row r="756" spans="1:12" ht="22.95" customHeight="1">
      <c r="A756" s="5">
        <v>5</v>
      </c>
      <c r="B756" s="7" t="s">
        <v>209</v>
      </c>
      <c r="C756" s="7" t="s">
        <v>291</v>
      </c>
      <c r="D756" s="5">
        <v>1</v>
      </c>
      <c r="E756" s="5">
        <v>2</v>
      </c>
      <c r="F756" s="5">
        <v>1</v>
      </c>
      <c r="G756" s="5">
        <v>2</v>
      </c>
      <c r="H756" s="6">
        <f t="shared" si="55"/>
        <v>4.2253158106669789E-7</v>
      </c>
      <c r="I756" s="6">
        <f t="shared" si="56"/>
        <v>1</v>
      </c>
      <c r="J756" s="6">
        <f t="shared" si="57"/>
        <v>1</v>
      </c>
      <c r="K756" s="6">
        <f t="shared" si="58"/>
        <v>4.2253158106669789E-7</v>
      </c>
      <c r="L756" s="6">
        <f t="shared" si="59"/>
        <v>4.2253158106669789E-7</v>
      </c>
    </row>
    <row r="757" spans="1:12" ht="22.95" customHeight="1">
      <c r="A757" s="5">
        <v>5</v>
      </c>
      <c r="B757" s="7" t="s">
        <v>272</v>
      </c>
      <c r="C757" s="7" t="s">
        <v>304</v>
      </c>
      <c r="D757" s="5">
        <v>3574</v>
      </c>
      <c r="E757" s="5">
        <v>3779</v>
      </c>
      <c r="F757" s="5">
        <v>961</v>
      </c>
      <c r="G757" s="5">
        <v>1396</v>
      </c>
      <c r="H757" s="6">
        <f t="shared" si="55"/>
        <v>1.5101278707323781E-3</v>
      </c>
      <c r="I757" s="6">
        <f t="shared" si="56"/>
        <v>0.26888640179071066</v>
      </c>
      <c r="J757" s="6">
        <f t="shared" si="57"/>
        <v>0.36940989679809472</v>
      </c>
      <c r="K757" s="6">
        <f t="shared" si="58"/>
        <v>4.0605284940509661E-4</v>
      </c>
      <c r="L757" s="6">
        <f t="shared" si="59"/>
        <v>5.5785618087917429E-4</v>
      </c>
    </row>
    <row r="758" spans="1:12" ht="22.95" customHeight="1">
      <c r="A758" s="5">
        <v>5</v>
      </c>
      <c r="B758" s="7" t="s">
        <v>253</v>
      </c>
      <c r="C758" s="7" t="s">
        <v>303</v>
      </c>
      <c r="D758" s="5">
        <v>54</v>
      </c>
      <c r="E758" s="5">
        <v>49</v>
      </c>
      <c r="F758" s="5">
        <v>33</v>
      </c>
      <c r="G758" s="5">
        <v>33</v>
      </c>
      <c r="H758" s="6">
        <f t="shared" si="55"/>
        <v>2.2816705377601686E-5</v>
      </c>
      <c r="I758" s="6">
        <f t="shared" si="56"/>
        <v>0.61111111111111116</v>
      </c>
      <c r="J758" s="6">
        <f t="shared" si="57"/>
        <v>0.67346938775510201</v>
      </c>
      <c r="K758" s="6">
        <f t="shared" si="58"/>
        <v>1.3943542175201031E-5</v>
      </c>
      <c r="L758" s="6">
        <f t="shared" si="59"/>
        <v>1.5366352601241951E-5</v>
      </c>
    </row>
    <row r="759" spans="1:12" ht="22.95" customHeight="1">
      <c r="A759" s="5">
        <v>5</v>
      </c>
      <c r="B759" s="7" t="s">
        <v>241</v>
      </c>
      <c r="C759" s="7" t="s">
        <v>303</v>
      </c>
      <c r="D759" s="5">
        <v>7</v>
      </c>
      <c r="E759" s="5">
        <v>9</v>
      </c>
      <c r="F759" s="5">
        <v>6</v>
      </c>
      <c r="G759" s="5">
        <v>6</v>
      </c>
      <c r="H759" s="6">
        <f t="shared" si="55"/>
        <v>2.9577210674668854E-6</v>
      </c>
      <c r="I759" s="6">
        <f t="shared" si="56"/>
        <v>0.8571428571428571</v>
      </c>
      <c r="J759" s="6">
        <f t="shared" si="57"/>
        <v>0.66666666666666663</v>
      </c>
      <c r="K759" s="6">
        <f t="shared" si="58"/>
        <v>2.5351894864001871E-6</v>
      </c>
      <c r="L759" s="6">
        <f t="shared" si="59"/>
        <v>1.9718140449779233E-6</v>
      </c>
    </row>
    <row r="760" spans="1:12" ht="22.95" customHeight="1">
      <c r="A760" s="5">
        <v>5</v>
      </c>
      <c r="B760" s="7" t="s">
        <v>271</v>
      </c>
      <c r="C760" s="7" t="s">
        <v>292</v>
      </c>
      <c r="D760" s="5">
        <v>3453</v>
      </c>
      <c r="E760" s="5">
        <v>3194</v>
      </c>
      <c r="F760" s="5">
        <v>1028</v>
      </c>
      <c r="G760" s="5">
        <v>746</v>
      </c>
      <c r="H760" s="6">
        <f t="shared" si="55"/>
        <v>1.4590015494233078E-3</v>
      </c>
      <c r="I760" s="6">
        <f t="shared" si="56"/>
        <v>0.29771213437590499</v>
      </c>
      <c r="J760" s="6">
        <f t="shared" si="57"/>
        <v>0.23356293049467752</v>
      </c>
      <c r="K760" s="6">
        <f t="shared" si="58"/>
        <v>4.3436246533656538E-4</v>
      </c>
      <c r="L760" s="6">
        <f t="shared" si="59"/>
        <v>3.4076867747958282E-4</v>
      </c>
    </row>
    <row r="761" spans="1:12" ht="22.95" customHeight="1">
      <c r="A761" s="5">
        <v>5</v>
      </c>
      <c r="B761" s="7" t="s">
        <v>261</v>
      </c>
      <c r="C761" s="7" t="s">
        <v>295</v>
      </c>
      <c r="D761" s="5">
        <v>427</v>
      </c>
      <c r="E761" s="5">
        <v>378</v>
      </c>
      <c r="F761" s="5">
        <v>349</v>
      </c>
      <c r="G761" s="5">
        <v>319</v>
      </c>
      <c r="H761" s="6">
        <f t="shared" si="55"/>
        <v>1.8042098511548E-4</v>
      </c>
      <c r="I761" s="6">
        <f t="shared" si="56"/>
        <v>0.81733021077283374</v>
      </c>
      <c r="J761" s="6">
        <f t="shared" si="57"/>
        <v>0.84391534391534395</v>
      </c>
      <c r="K761" s="6">
        <f t="shared" si="58"/>
        <v>1.4746352179227757E-4</v>
      </c>
      <c r="L761" s="6">
        <f t="shared" si="59"/>
        <v>1.5226003770327546E-4</v>
      </c>
    </row>
    <row r="762" spans="1:12" ht="22.95" customHeight="1">
      <c r="A762" s="5">
        <v>5</v>
      </c>
      <c r="B762" s="7" t="s">
        <v>88</v>
      </c>
      <c r="C762" s="7" t="s">
        <v>295</v>
      </c>
      <c r="D762" s="5">
        <v>51557</v>
      </c>
      <c r="E762" s="5">
        <v>56372</v>
      </c>
      <c r="F762" s="5">
        <v>20882</v>
      </c>
      <c r="G762" s="5">
        <v>25180</v>
      </c>
      <c r="H762" s="6">
        <f t="shared" si="55"/>
        <v>2.1784460725055743E-2</v>
      </c>
      <c r="I762" s="6">
        <f t="shared" si="56"/>
        <v>0.40502744535174662</v>
      </c>
      <c r="J762" s="6">
        <f t="shared" si="57"/>
        <v>0.44667565458028807</v>
      </c>
      <c r="K762" s="6">
        <f t="shared" si="58"/>
        <v>8.8233044758347853E-3</v>
      </c>
      <c r="L762" s="6">
        <f t="shared" si="59"/>
        <v>9.7305882540428511E-3</v>
      </c>
    </row>
    <row r="763" spans="1:12" ht="22.95" customHeight="1">
      <c r="A763" s="5">
        <v>5</v>
      </c>
      <c r="B763" s="7" t="s">
        <v>153</v>
      </c>
      <c r="C763" s="7" t="s">
        <v>292</v>
      </c>
      <c r="D763" s="5">
        <v>524</v>
      </c>
      <c r="E763" s="5">
        <v>478</v>
      </c>
      <c r="F763" s="5">
        <v>501</v>
      </c>
      <c r="G763" s="5">
        <v>441</v>
      </c>
      <c r="H763" s="6">
        <f t="shared" si="55"/>
        <v>2.2140654847894968E-4</v>
      </c>
      <c r="I763" s="6">
        <f t="shared" si="56"/>
        <v>0.95610687022900764</v>
      </c>
      <c r="J763" s="6">
        <f t="shared" si="57"/>
        <v>0.92259414225941427</v>
      </c>
      <c r="K763" s="6">
        <f t="shared" si="58"/>
        <v>2.1168832211441562E-4</v>
      </c>
      <c r="L763" s="6">
        <f t="shared" si="59"/>
        <v>2.04268384684554E-4</v>
      </c>
    </row>
    <row r="764" spans="1:12" ht="22.95" customHeight="1">
      <c r="A764" s="5">
        <v>5</v>
      </c>
      <c r="B764" s="7" t="s">
        <v>137</v>
      </c>
      <c r="C764" s="7" t="s">
        <v>293</v>
      </c>
      <c r="D764" s="5">
        <v>618</v>
      </c>
      <c r="E764" s="5">
        <v>757</v>
      </c>
      <c r="F764" s="5">
        <v>152</v>
      </c>
      <c r="G764" s="5">
        <v>159</v>
      </c>
      <c r="H764" s="6">
        <f t="shared" si="55"/>
        <v>2.6112451709921929E-4</v>
      </c>
      <c r="I764" s="6">
        <f t="shared" si="56"/>
        <v>0.2459546925566343</v>
      </c>
      <c r="J764" s="6">
        <f t="shared" si="57"/>
        <v>0.21003963011889035</v>
      </c>
      <c r="K764" s="6">
        <f t="shared" si="58"/>
        <v>6.422480032213807E-5</v>
      </c>
      <c r="L764" s="6">
        <f t="shared" si="59"/>
        <v>5.4846496986493879E-5</v>
      </c>
    </row>
    <row r="765" spans="1:12" ht="22.95" customHeight="1">
      <c r="A765" s="5">
        <v>5</v>
      </c>
      <c r="B765" s="7" t="s">
        <v>247</v>
      </c>
      <c r="C765" s="7" t="s">
        <v>292</v>
      </c>
      <c r="D765" s="5">
        <v>9</v>
      </c>
      <c r="E765" s="5">
        <v>3</v>
      </c>
      <c r="F765" s="5">
        <v>0</v>
      </c>
      <c r="G765" s="5">
        <v>0</v>
      </c>
      <c r="H765" s="6">
        <f t="shared" si="55"/>
        <v>3.8027842296002809E-6</v>
      </c>
      <c r="I765" s="6">
        <f t="shared" si="56"/>
        <v>0</v>
      </c>
      <c r="J765" s="6">
        <f t="shared" si="57"/>
        <v>0</v>
      </c>
      <c r="K765" s="6">
        <f t="shared" si="58"/>
        <v>0</v>
      </c>
      <c r="L765" s="6">
        <f t="shared" si="59"/>
        <v>0</v>
      </c>
    </row>
    <row r="766" spans="1:12" ht="22.95" customHeight="1">
      <c r="A766" s="5">
        <v>5</v>
      </c>
      <c r="B766" s="7" t="s">
        <v>119</v>
      </c>
      <c r="C766" s="7" t="s">
        <v>303</v>
      </c>
      <c r="D766" s="5">
        <v>720</v>
      </c>
      <c r="E766" s="5">
        <v>1037</v>
      </c>
      <c r="F766" s="5">
        <v>293</v>
      </c>
      <c r="G766" s="5">
        <v>456</v>
      </c>
      <c r="H766" s="6">
        <f t="shared" si="55"/>
        <v>3.0422273836802247E-4</v>
      </c>
      <c r="I766" s="6">
        <f t="shared" si="56"/>
        <v>0.40694444444444444</v>
      </c>
      <c r="J766" s="6">
        <f t="shared" si="57"/>
        <v>0.43972999035679844</v>
      </c>
      <c r="K766" s="6">
        <f t="shared" si="58"/>
        <v>1.2380175325254247E-4</v>
      </c>
      <c r="L766" s="6">
        <f t="shared" si="59"/>
        <v>1.3377586180888935E-4</v>
      </c>
    </row>
    <row r="767" spans="1:12" ht="22.95" customHeight="1">
      <c r="A767" s="5">
        <v>5</v>
      </c>
      <c r="B767" s="7" t="s">
        <v>159</v>
      </c>
      <c r="C767" s="7" t="s">
        <v>303</v>
      </c>
      <c r="D767" s="5">
        <v>40</v>
      </c>
      <c r="E767" s="5">
        <v>75</v>
      </c>
      <c r="F767" s="5">
        <v>13</v>
      </c>
      <c r="G767" s="5">
        <v>27</v>
      </c>
      <c r="H767" s="6">
        <f t="shared" si="55"/>
        <v>1.6901263242667915E-5</v>
      </c>
      <c r="I767" s="6">
        <f t="shared" si="56"/>
        <v>0.32500000000000001</v>
      </c>
      <c r="J767" s="6">
        <f t="shared" si="57"/>
        <v>0.36</v>
      </c>
      <c r="K767" s="6">
        <f t="shared" si="58"/>
        <v>5.4929105538670729E-6</v>
      </c>
      <c r="L767" s="6">
        <f t="shared" si="59"/>
        <v>6.0844547673604488E-6</v>
      </c>
    </row>
    <row r="768" spans="1:12" ht="22.95" customHeight="1">
      <c r="A768" s="5">
        <v>5</v>
      </c>
      <c r="B768" s="7" t="s">
        <v>145</v>
      </c>
      <c r="C768" s="7" t="s">
        <v>294</v>
      </c>
      <c r="D768" s="5">
        <v>83</v>
      </c>
      <c r="E768" s="5">
        <v>136</v>
      </c>
      <c r="F768" s="5">
        <v>30</v>
      </c>
      <c r="G768" s="5">
        <v>81</v>
      </c>
      <c r="H768" s="6">
        <f t="shared" si="55"/>
        <v>3.5070121228535926E-5</v>
      </c>
      <c r="I768" s="6">
        <f t="shared" si="56"/>
        <v>0.36144578313253012</v>
      </c>
      <c r="J768" s="6">
        <f t="shared" si="57"/>
        <v>0.59558823529411764</v>
      </c>
      <c r="K768" s="6">
        <f t="shared" si="58"/>
        <v>1.2675947432000937E-5</v>
      </c>
      <c r="L768" s="6">
        <f t="shared" si="59"/>
        <v>2.0887351614054484E-5</v>
      </c>
    </row>
    <row r="769" spans="1:12" ht="22.95" customHeight="1">
      <c r="A769" s="5">
        <v>5</v>
      </c>
      <c r="B769" s="7" t="s">
        <v>174</v>
      </c>
      <c r="C769" s="7" t="s">
        <v>296</v>
      </c>
      <c r="D769" s="5">
        <v>49</v>
      </c>
      <c r="E769" s="5">
        <v>48</v>
      </c>
      <c r="F769" s="5">
        <v>0</v>
      </c>
      <c r="G769" s="5">
        <v>0</v>
      </c>
      <c r="H769" s="6">
        <f t="shared" si="55"/>
        <v>2.0704047472268196E-5</v>
      </c>
      <c r="I769" s="6">
        <f t="shared" si="56"/>
        <v>0</v>
      </c>
      <c r="J769" s="6">
        <f t="shared" si="57"/>
        <v>0</v>
      </c>
      <c r="K769" s="6">
        <f t="shared" si="58"/>
        <v>0</v>
      </c>
      <c r="L769" s="6">
        <f t="shared" si="59"/>
        <v>0</v>
      </c>
    </row>
    <row r="770" spans="1:12" ht="22.95" customHeight="1">
      <c r="A770" s="5">
        <v>5</v>
      </c>
      <c r="B770" s="7" t="s">
        <v>273</v>
      </c>
      <c r="C770" s="7" t="s">
        <v>294</v>
      </c>
      <c r="D770" s="5">
        <v>1185</v>
      </c>
      <c r="E770" s="5">
        <v>1028</v>
      </c>
      <c r="F770" s="5">
        <v>1092</v>
      </c>
      <c r="G770" s="5">
        <v>905</v>
      </c>
      <c r="H770" s="6">
        <f t="shared" si="55"/>
        <v>5.0069992356403695E-4</v>
      </c>
      <c r="I770" s="6">
        <f t="shared" si="56"/>
        <v>0.92151898734177218</v>
      </c>
      <c r="J770" s="6">
        <f t="shared" si="57"/>
        <v>0.88035019455252916</v>
      </c>
      <c r="K770" s="6">
        <f t="shared" si="58"/>
        <v>4.6140448652483404E-4</v>
      </c>
      <c r="L770" s="6">
        <f t="shared" si="59"/>
        <v>4.4079127512203643E-4</v>
      </c>
    </row>
    <row r="771" spans="1:12" ht="22.95" customHeight="1">
      <c r="A771" s="5">
        <v>5</v>
      </c>
      <c r="B771" s="7" t="s">
        <v>213</v>
      </c>
      <c r="C771" s="7" t="s">
        <v>291</v>
      </c>
      <c r="D771" s="5">
        <v>1</v>
      </c>
      <c r="E771" s="5">
        <v>1</v>
      </c>
      <c r="F771" s="5">
        <v>0</v>
      </c>
      <c r="G771" s="5">
        <v>1</v>
      </c>
      <c r="H771" s="6">
        <f t="shared" si="55"/>
        <v>4.2253158106669789E-7</v>
      </c>
      <c r="I771" s="6">
        <f t="shared" si="56"/>
        <v>0</v>
      </c>
      <c r="J771" s="6">
        <f t="shared" si="57"/>
        <v>1</v>
      </c>
      <c r="K771" s="6">
        <f t="shared" si="58"/>
        <v>0</v>
      </c>
      <c r="L771" s="6">
        <f t="shared" si="59"/>
        <v>4.2253158106669789E-7</v>
      </c>
    </row>
    <row r="772" spans="1:12" ht="22.95" customHeight="1">
      <c r="A772" s="5">
        <v>5</v>
      </c>
      <c r="B772" s="7" t="s">
        <v>236</v>
      </c>
      <c r="C772" s="7" t="s">
        <v>303</v>
      </c>
      <c r="D772" s="5">
        <v>4</v>
      </c>
      <c r="E772" s="5">
        <v>1</v>
      </c>
      <c r="F772" s="5">
        <v>1</v>
      </c>
      <c r="G772" s="5">
        <v>1</v>
      </c>
      <c r="H772" s="6">
        <f t="shared" si="55"/>
        <v>1.6901263242667916E-6</v>
      </c>
      <c r="I772" s="6">
        <f t="shared" si="56"/>
        <v>0.25</v>
      </c>
      <c r="J772" s="6">
        <f t="shared" si="57"/>
        <v>1</v>
      </c>
      <c r="K772" s="6">
        <f t="shared" si="58"/>
        <v>4.2253158106669789E-7</v>
      </c>
      <c r="L772" s="6">
        <f t="shared" si="59"/>
        <v>1.6901263242667916E-6</v>
      </c>
    </row>
    <row r="773" spans="1:12" ht="22.95" customHeight="1">
      <c r="A773" s="5">
        <v>5</v>
      </c>
      <c r="B773" s="7" t="s">
        <v>176</v>
      </c>
      <c r="C773" s="7" t="s">
        <v>301</v>
      </c>
      <c r="D773" s="5">
        <v>17</v>
      </c>
      <c r="E773" s="5">
        <v>37</v>
      </c>
      <c r="F773" s="5">
        <v>3</v>
      </c>
      <c r="G773" s="5">
        <v>18</v>
      </c>
      <c r="H773" s="6">
        <f t="shared" si="55"/>
        <v>7.1830368781338641E-6</v>
      </c>
      <c r="I773" s="6">
        <f t="shared" si="56"/>
        <v>0.17647058823529413</v>
      </c>
      <c r="J773" s="6">
        <f t="shared" si="57"/>
        <v>0.48648648648648651</v>
      </c>
      <c r="K773" s="6">
        <f t="shared" si="58"/>
        <v>1.2675947432000938E-6</v>
      </c>
      <c r="L773" s="6">
        <f t="shared" si="59"/>
        <v>3.4944503731462043E-6</v>
      </c>
    </row>
    <row r="774" spans="1:12" ht="22.95" customHeight="1">
      <c r="A774" s="5">
        <v>5</v>
      </c>
      <c r="B774" s="7" t="s">
        <v>169</v>
      </c>
      <c r="C774" s="7" t="s">
        <v>292</v>
      </c>
      <c r="D774" s="5">
        <v>152</v>
      </c>
      <c r="E774" s="5">
        <v>140</v>
      </c>
      <c r="F774" s="5">
        <v>101</v>
      </c>
      <c r="G774" s="5">
        <v>73</v>
      </c>
      <c r="H774" s="6">
        <f t="shared" si="55"/>
        <v>6.4224800322138084E-5</v>
      </c>
      <c r="I774" s="6">
        <f t="shared" si="56"/>
        <v>0.66447368421052633</v>
      </c>
      <c r="J774" s="6">
        <f t="shared" si="57"/>
        <v>0.52142857142857146</v>
      </c>
      <c r="K774" s="6">
        <f t="shared" si="58"/>
        <v>4.2675689687736487E-5</v>
      </c>
      <c r="L774" s="6">
        <f t="shared" si="59"/>
        <v>3.348864588225772E-5</v>
      </c>
    </row>
    <row r="775" spans="1:12" ht="22.95" customHeight="1">
      <c r="A775" s="5">
        <v>5</v>
      </c>
      <c r="B775" s="7" t="s">
        <v>234</v>
      </c>
      <c r="C775" s="7" t="s">
        <v>292</v>
      </c>
      <c r="D775" s="5">
        <v>384</v>
      </c>
      <c r="E775" s="5">
        <v>407</v>
      </c>
      <c r="F775" s="5">
        <v>227</v>
      </c>
      <c r="G775" s="5">
        <v>243</v>
      </c>
      <c r="H775" s="6">
        <f t="shared" si="55"/>
        <v>1.6225212712961198E-4</v>
      </c>
      <c r="I775" s="6">
        <f t="shared" si="56"/>
        <v>0.59114583333333337</v>
      </c>
      <c r="J775" s="6">
        <f t="shared" si="57"/>
        <v>0.59705159705159705</v>
      </c>
      <c r="K775" s="6">
        <f t="shared" si="58"/>
        <v>9.5914668902140414E-5</v>
      </c>
      <c r="L775" s="6">
        <f t="shared" si="59"/>
        <v>9.6872891627753594E-5</v>
      </c>
    </row>
    <row r="776" spans="1:12" ht="22.95" customHeight="1">
      <c r="A776" s="5">
        <v>5</v>
      </c>
      <c r="B776" s="7" t="s">
        <v>141</v>
      </c>
      <c r="C776" s="7" t="s">
        <v>298</v>
      </c>
      <c r="D776" s="5">
        <v>556</v>
      </c>
      <c r="E776" s="5">
        <v>644</v>
      </c>
      <c r="F776" s="5">
        <v>104</v>
      </c>
      <c r="G776" s="5">
        <v>150</v>
      </c>
      <c r="H776" s="6">
        <f t="shared" si="55"/>
        <v>2.3492755907308401E-4</v>
      </c>
      <c r="I776" s="6">
        <f t="shared" si="56"/>
        <v>0.18705035971223022</v>
      </c>
      <c r="J776" s="6">
        <f t="shared" si="57"/>
        <v>0.23291925465838509</v>
      </c>
      <c r="K776" s="6">
        <f t="shared" si="58"/>
        <v>4.3943284430936577E-5</v>
      </c>
      <c r="L776" s="6">
        <f t="shared" si="59"/>
        <v>5.4719151958016458E-5</v>
      </c>
    </row>
    <row r="777" spans="1:12" ht="22.95" customHeight="1">
      <c r="A777" s="5">
        <v>5</v>
      </c>
      <c r="B777" s="7" t="s">
        <v>166</v>
      </c>
      <c r="C777" s="7" t="s">
        <v>292</v>
      </c>
      <c r="D777" s="5">
        <v>151</v>
      </c>
      <c r="E777" s="5">
        <v>168</v>
      </c>
      <c r="F777" s="5">
        <v>64</v>
      </c>
      <c r="G777" s="5">
        <v>66</v>
      </c>
      <c r="H777" s="6">
        <f t="shared" si="55"/>
        <v>6.3802268741071385E-5</v>
      </c>
      <c r="I777" s="6">
        <f t="shared" si="56"/>
        <v>0.42384105960264901</v>
      </c>
      <c r="J777" s="6">
        <f t="shared" si="57"/>
        <v>0.39285714285714285</v>
      </c>
      <c r="K777" s="6">
        <f t="shared" si="58"/>
        <v>2.7042021188268665E-5</v>
      </c>
      <c r="L777" s="6">
        <f t="shared" si="59"/>
        <v>2.5065177005420901E-5</v>
      </c>
    </row>
    <row r="778" spans="1:12" ht="22.95" customHeight="1">
      <c r="A778" s="5">
        <v>5</v>
      </c>
      <c r="B778" s="7" t="s">
        <v>104</v>
      </c>
      <c r="C778" s="7" t="s">
        <v>293</v>
      </c>
      <c r="D778" s="5">
        <v>2296</v>
      </c>
      <c r="E778" s="5">
        <v>3343</v>
      </c>
      <c r="F778" s="5">
        <v>784</v>
      </c>
      <c r="G778" s="5">
        <v>1911</v>
      </c>
      <c r="H778" s="6">
        <f t="shared" si="55"/>
        <v>9.7013251012913833E-4</v>
      </c>
      <c r="I778" s="6">
        <f t="shared" si="56"/>
        <v>0.34146341463414637</v>
      </c>
      <c r="J778" s="6">
        <f t="shared" si="57"/>
        <v>0.57164223751121745</v>
      </c>
      <c r="K778" s="6">
        <f t="shared" si="58"/>
        <v>3.3126475955629119E-4</v>
      </c>
      <c r="L778" s="6">
        <f t="shared" si="59"/>
        <v>5.5456871877259447E-4</v>
      </c>
    </row>
    <row r="779" spans="1:12" ht="22.95" customHeight="1">
      <c r="A779" s="5">
        <v>5</v>
      </c>
      <c r="B779" s="7" t="s">
        <v>282</v>
      </c>
      <c r="C779" s="7" t="s">
        <v>292</v>
      </c>
      <c r="D779" s="5">
        <v>4503</v>
      </c>
      <c r="E779" s="5">
        <v>2979</v>
      </c>
      <c r="F779" s="5">
        <v>3636</v>
      </c>
      <c r="G779" s="5">
        <v>1091</v>
      </c>
      <c r="H779" s="6">
        <f t="shared" si="55"/>
        <v>1.9026597095433404E-3</v>
      </c>
      <c r="I779" s="6">
        <f t="shared" si="56"/>
        <v>0.80746169220519659</v>
      </c>
      <c r="J779" s="6">
        <f t="shared" si="57"/>
        <v>0.36623027861698554</v>
      </c>
      <c r="K779" s="6">
        <f t="shared" si="58"/>
        <v>1.5363248287585136E-3</v>
      </c>
      <c r="L779" s="6">
        <f t="shared" si="59"/>
        <v>6.9681159553937029E-4</v>
      </c>
    </row>
    <row r="780" spans="1:12" ht="22.95" customHeight="1">
      <c r="A780" s="5">
        <v>5</v>
      </c>
      <c r="B780" s="7" t="s">
        <v>270</v>
      </c>
      <c r="C780" s="7" t="s">
        <v>303</v>
      </c>
      <c r="D780" s="5">
        <v>502</v>
      </c>
      <c r="E780" s="5">
        <v>272</v>
      </c>
      <c r="F780" s="5">
        <v>103</v>
      </c>
      <c r="G780" s="5">
        <v>79</v>
      </c>
      <c r="H780" s="6">
        <f t="shared" si="55"/>
        <v>2.1211085369548233E-4</v>
      </c>
      <c r="I780" s="6">
        <f t="shared" si="56"/>
        <v>0.20517928286852591</v>
      </c>
      <c r="J780" s="6">
        <f t="shared" si="57"/>
        <v>0.29044117647058826</v>
      </c>
      <c r="K780" s="6">
        <f t="shared" si="58"/>
        <v>4.3520752849869885E-5</v>
      </c>
      <c r="L780" s="6">
        <f t="shared" si="59"/>
        <v>6.1605725889496708E-5</v>
      </c>
    </row>
    <row r="781" spans="1:12" ht="22.95" customHeight="1">
      <c r="A781" s="5">
        <v>5</v>
      </c>
      <c r="B781" s="7" t="s">
        <v>250</v>
      </c>
      <c r="C781" s="7" t="s">
        <v>303</v>
      </c>
      <c r="D781" s="5">
        <v>38</v>
      </c>
      <c r="E781" s="5">
        <v>41</v>
      </c>
      <c r="F781" s="5">
        <v>22</v>
      </c>
      <c r="G781" s="5">
        <v>26</v>
      </c>
      <c r="H781" s="6">
        <f t="shared" si="55"/>
        <v>1.6056200080534521E-5</v>
      </c>
      <c r="I781" s="6">
        <f t="shared" si="56"/>
        <v>0.57894736842105265</v>
      </c>
      <c r="J781" s="6">
        <f t="shared" si="57"/>
        <v>0.63414634146341464</v>
      </c>
      <c r="K781" s="6">
        <f t="shared" si="58"/>
        <v>9.2956947834673547E-6</v>
      </c>
      <c r="L781" s="6">
        <f t="shared" si="59"/>
        <v>1.018198053887555E-5</v>
      </c>
    </row>
    <row r="782" spans="1:12" ht="22.95" customHeight="1">
      <c r="A782" s="5">
        <v>5</v>
      </c>
      <c r="B782" s="7" t="s">
        <v>156</v>
      </c>
      <c r="C782" s="7" t="s">
        <v>303</v>
      </c>
      <c r="D782" s="5">
        <v>13</v>
      </c>
      <c r="E782" s="5">
        <v>13</v>
      </c>
      <c r="F782" s="5">
        <v>12</v>
      </c>
      <c r="G782" s="5">
        <v>9</v>
      </c>
      <c r="H782" s="6">
        <f t="shared" si="55"/>
        <v>5.4929105538670721E-6</v>
      </c>
      <c r="I782" s="6">
        <f t="shared" si="56"/>
        <v>0.92307692307692313</v>
      </c>
      <c r="J782" s="6">
        <f t="shared" si="57"/>
        <v>0.69230769230769229</v>
      </c>
      <c r="K782" s="6">
        <f t="shared" si="58"/>
        <v>5.0703789728003743E-6</v>
      </c>
      <c r="L782" s="6">
        <f t="shared" si="59"/>
        <v>3.8027842296002805E-6</v>
      </c>
    </row>
    <row r="783" spans="1:12" ht="22.95" customHeight="1">
      <c r="A783" s="5">
        <v>5</v>
      </c>
      <c r="B783" s="7" t="s">
        <v>182</v>
      </c>
      <c r="C783" s="7" t="s">
        <v>291</v>
      </c>
      <c r="D783" s="5">
        <v>4</v>
      </c>
      <c r="E783" s="5">
        <v>1</v>
      </c>
      <c r="F783" s="5">
        <v>2</v>
      </c>
      <c r="G783" s="5">
        <v>0</v>
      </c>
      <c r="H783" s="6">
        <f t="shared" si="55"/>
        <v>1.6901263242667916E-6</v>
      </c>
      <c r="I783" s="6">
        <f t="shared" si="56"/>
        <v>0.5</v>
      </c>
      <c r="J783" s="6">
        <f t="shared" si="57"/>
        <v>0</v>
      </c>
      <c r="K783" s="6">
        <f t="shared" si="58"/>
        <v>8.4506316213339578E-7</v>
      </c>
      <c r="L783" s="6">
        <f t="shared" si="59"/>
        <v>0</v>
      </c>
    </row>
    <row r="784" spans="1:12" ht="22.95" customHeight="1">
      <c r="A784" s="5">
        <v>5</v>
      </c>
      <c r="B784" s="7" t="s">
        <v>245</v>
      </c>
      <c r="C784" s="7" t="s">
        <v>293</v>
      </c>
      <c r="D784" s="5">
        <v>94</v>
      </c>
      <c r="E784" s="5">
        <v>129</v>
      </c>
      <c r="F784" s="5">
        <v>37</v>
      </c>
      <c r="G784" s="5">
        <v>43</v>
      </c>
      <c r="H784" s="6">
        <f t="shared" si="55"/>
        <v>3.9717968620269604E-5</v>
      </c>
      <c r="I784" s="6">
        <f t="shared" si="56"/>
        <v>0.39361702127659576</v>
      </c>
      <c r="J784" s="6">
        <f t="shared" si="57"/>
        <v>0.33333333333333331</v>
      </c>
      <c r="K784" s="6">
        <f t="shared" si="58"/>
        <v>1.5633668499467822E-5</v>
      </c>
      <c r="L784" s="6">
        <f t="shared" si="59"/>
        <v>1.3239322873423201E-5</v>
      </c>
    </row>
    <row r="785" spans="1:12" ht="22.95" customHeight="1">
      <c r="A785" s="5">
        <v>5</v>
      </c>
      <c r="B785" s="7" t="s">
        <v>108</v>
      </c>
      <c r="C785" s="7" t="s">
        <v>294</v>
      </c>
      <c r="D785" s="5">
        <v>5062</v>
      </c>
      <c r="E785" s="5">
        <v>5986</v>
      </c>
      <c r="F785" s="5">
        <v>4097</v>
      </c>
      <c r="G785" s="5">
        <v>5164</v>
      </c>
      <c r="H785" s="6">
        <f t="shared" si="55"/>
        <v>2.1388548633596246E-3</v>
      </c>
      <c r="I785" s="6">
        <f t="shared" si="56"/>
        <v>0.80936388779138679</v>
      </c>
      <c r="J785" s="6">
        <f t="shared" si="57"/>
        <v>0.86267958569996661</v>
      </c>
      <c r="K785" s="6">
        <f t="shared" si="58"/>
        <v>1.7311118876302612E-3</v>
      </c>
      <c r="L785" s="6">
        <f t="shared" si="59"/>
        <v>1.8451464273954396E-3</v>
      </c>
    </row>
    <row r="786" spans="1:12" ht="22.95" customHeight="1">
      <c r="A786" s="5">
        <v>5</v>
      </c>
      <c r="B786" s="7" t="s">
        <v>276</v>
      </c>
      <c r="C786" s="7" t="s">
        <v>295</v>
      </c>
      <c r="D786" s="5">
        <v>7345</v>
      </c>
      <c r="E786" s="5">
        <v>7065</v>
      </c>
      <c r="F786" s="5">
        <v>3538</v>
      </c>
      <c r="G786" s="5">
        <v>3341</v>
      </c>
      <c r="H786" s="6">
        <f t="shared" si="55"/>
        <v>3.1034944629348958E-3</v>
      </c>
      <c r="I786" s="6">
        <f t="shared" si="56"/>
        <v>0.48168822328114363</v>
      </c>
      <c r="J786" s="6">
        <f t="shared" si="57"/>
        <v>0.472894550601557</v>
      </c>
      <c r="K786" s="6">
        <f t="shared" si="58"/>
        <v>1.494916733813977E-3</v>
      </c>
      <c r="L786" s="6">
        <f t="shared" si="59"/>
        <v>1.4676256193440181E-3</v>
      </c>
    </row>
    <row r="787" spans="1:12" ht="22.95" customHeight="1">
      <c r="A787" s="5">
        <v>5</v>
      </c>
      <c r="B787" s="7" t="s">
        <v>281</v>
      </c>
      <c r="C787" s="7" t="s">
        <v>305</v>
      </c>
      <c r="D787" s="5">
        <v>1520</v>
      </c>
      <c r="E787" s="5">
        <v>1230</v>
      </c>
      <c r="F787" s="5">
        <v>1489</v>
      </c>
      <c r="G787" s="5">
        <v>1220</v>
      </c>
      <c r="H787" s="6">
        <f t="shared" si="55"/>
        <v>6.4224800322138073E-4</v>
      </c>
      <c r="I787" s="6">
        <f t="shared" si="56"/>
        <v>0.97960526315789476</v>
      </c>
      <c r="J787" s="6">
        <f t="shared" si="57"/>
        <v>0.99186991869918695</v>
      </c>
      <c r="K787" s="6">
        <f t="shared" si="58"/>
        <v>6.2914952420831311E-4</v>
      </c>
      <c r="L787" s="6">
        <f t="shared" si="59"/>
        <v>6.3702647473990609E-4</v>
      </c>
    </row>
    <row r="788" spans="1:12" ht="22.95" customHeight="1">
      <c r="A788" s="5">
        <v>5</v>
      </c>
      <c r="B788" s="7" t="s">
        <v>207</v>
      </c>
      <c r="C788" s="7" t="s">
        <v>295</v>
      </c>
      <c r="D788" s="5">
        <v>197</v>
      </c>
      <c r="E788" s="5">
        <v>411</v>
      </c>
      <c r="F788" s="5">
        <v>181</v>
      </c>
      <c r="G788" s="5">
        <v>385</v>
      </c>
      <c r="H788" s="6">
        <f t="shared" si="55"/>
        <v>8.3238721470139482E-5</v>
      </c>
      <c r="I788" s="6">
        <f t="shared" si="56"/>
        <v>0.91878172588832485</v>
      </c>
      <c r="J788" s="6">
        <f t="shared" si="57"/>
        <v>0.93673965936739656</v>
      </c>
      <c r="K788" s="6">
        <f t="shared" si="58"/>
        <v>7.6478216173072317E-5</v>
      </c>
      <c r="L788" s="6">
        <f t="shared" si="59"/>
        <v>7.7973011596116056E-5</v>
      </c>
    </row>
    <row r="789" spans="1:12" ht="22.95" customHeight="1">
      <c r="A789" s="5">
        <v>5</v>
      </c>
      <c r="B789" s="7" t="s">
        <v>269</v>
      </c>
      <c r="C789" s="7" t="s">
        <v>295</v>
      </c>
      <c r="D789" s="5">
        <v>1315</v>
      </c>
      <c r="E789" s="5">
        <v>1056</v>
      </c>
      <c r="F789" s="5">
        <v>1117</v>
      </c>
      <c r="G789" s="5">
        <v>947</v>
      </c>
      <c r="H789" s="6">
        <f t="shared" si="55"/>
        <v>5.5562902910270774E-4</v>
      </c>
      <c r="I789" s="6">
        <f t="shared" si="56"/>
        <v>0.84942965779467683</v>
      </c>
      <c r="J789" s="6">
        <f t="shared" si="57"/>
        <v>0.89678030303030298</v>
      </c>
      <c r="K789" s="6">
        <f t="shared" si="58"/>
        <v>4.7196777605150155E-4</v>
      </c>
      <c r="L789" s="6">
        <f t="shared" si="59"/>
        <v>4.9827716909115925E-4</v>
      </c>
    </row>
    <row r="790" spans="1:12" ht="22.95" customHeight="1">
      <c r="A790" s="5">
        <v>5</v>
      </c>
      <c r="B790" s="7" t="s">
        <v>284</v>
      </c>
      <c r="C790" s="7" t="s">
        <v>295</v>
      </c>
      <c r="D790" s="5">
        <v>32905</v>
      </c>
      <c r="E790" s="5">
        <v>37268</v>
      </c>
      <c r="F790" s="5">
        <v>19965</v>
      </c>
      <c r="G790" s="5">
        <v>24423</v>
      </c>
      <c r="H790" s="6">
        <f t="shared" si="55"/>
        <v>1.3903401674999694E-2</v>
      </c>
      <c r="I790" s="6">
        <f t="shared" si="56"/>
        <v>0.60674669503115031</v>
      </c>
      <c r="J790" s="6">
        <f t="shared" si="57"/>
        <v>0.65533433508640115</v>
      </c>
      <c r="K790" s="6">
        <f t="shared" si="58"/>
        <v>8.4358430159966243E-3</v>
      </c>
      <c r="L790" s="6">
        <f t="shared" si="59"/>
        <v>9.1113764921250812E-3</v>
      </c>
    </row>
    <row r="791" spans="1:12" ht="22.95" customHeight="1">
      <c r="A791" s="5">
        <v>5</v>
      </c>
      <c r="B791" s="7" t="s">
        <v>117</v>
      </c>
      <c r="C791" s="7" t="s">
        <v>295</v>
      </c>
      <c r="D791" s="5">
        <v>20870</v>
      </c>
      <c r="E791" s="5">
        <v>20021</v>
      </c>
      <c r="F791" s="5">
        <v>10376</v>
      </c>
      <c r="G791" s="5">
        <v>10308</v>
      </c>
      <c r="H791" s="6">
        <f t="shared" si="55"/>
        <v>8.8182340968619849E-3</v>
      </c>
      <c r="I791" s="6">
        <f t="shared" si="56"/>
        <v>0.4971729755630091</v>
      </c>
      <c r="J791" s="6">
        <f t="shared" si="57"/>
        <v>0.51485939763248589</v>
      </c>
      <c r="K791" s="6">
        <f t="shared" si="58"/>
        <v>4.3841876851480575E-3</v>
      </c>
      <c r="L791" s="6">
        <f t="shared" si="59"/>
        <v>4.5401506952926097E-3</v>
      </c>
    </row>
    <row r="792" spans="1:12" ht="22.95" customHeight="1">
      <c r="A792" s="5">
        <v>5</v>
      </c>
      <c r="B792" s="7" t="s">
        <v>99</v>
      </c>
      <c r="C792" s="7" t="s">
        <v>295</v>
      </c>
      <c r="D792" s="5">
        <v>5327</v>
      </c>
      <c r="E792" s="5">
        <v>5909</v>
      </c>
      <c r="F792" s="5">
        <v>2455</v>
      </c>
      <c r="G792" s="5">
        <v>3469</v>
      </c>
      <c r="H792" s="6">
        <f t="shared" si="55"/>
        <v>2.2508257323422998E-3</v>
      </c>
      <c r="I792" s="6">
        <f t="shared" si="56"/>
        <v>0.46085977097803643</v>
      </c>
      <c r="J792" s="6">
        <f t="shared" si="57"/>
        <v>0.58707057031646637</v>
      </c>
      <c r="K792" s="6">
        <f t="shared" si="58"/>
        <v>1.0373150315187434E-3</v>
      </c>
      <c r="L792" s="6">
        <f t="shared" si="59"/>
        <v>1.321393546369172E-3</v>
      </c>
    </row>
    <row r="793" spans="1:12" ht="22.95" customHeight="1">
      <c r="A793" s="5">
        <v>5</v>
      </c>
      <c r="B793" s="7" t="s">
        <v>181</v>
      </c>
      <c r="C793" s="7" t="s">
        <v>295</v>
      </c>
      <c r="D793" s="5">
        <v>2203</v>
      </c>
      <c r="E793" s="5">
        <v>2169</v>
      </c>
      <c r="F793" s="5">
        <v>1757</v>
      </c>
      <c r="G793" s="5">
        <v>1691</v>
      </c>
      <c r="H793" s="6">
        <f t="shared" si="55"/>
        <v>9.3083707308993548E-4</v>
      </c>
      <c r="I793" s="6">
        <f t="shared" si="56"/>
        <v>0.79754879709487059</v>
      </c>
      <c r="J793" s="6">
        <f t="shared" si="57"/>
        <v>0.77962194559704934</v>
      </c>
      <c r="K793" s="6">
        <f t="shared" si="58"/>
        <v>7.4238798793418818E-4</v>
      </c>
      <c r="L793" s="6">
        <f t="shared" si="59"/>
        <v>7.2570100995623834E-4</v>
      </c>
    </row>
    <row r="794" spans="1:12" ht="22.95" customHeight="1">
      <c r="A794" s="5">
        <v>5</v>
      </c>
      <c r="B794" s="7" t="s">
        <v>139</v>
      </c>
      <c r="C794" s="7" t="s">
        <v>303</v>
      </c>
      <c r="D794" s="5">
        <v>10</v>
      </c>
      <c r="E794" s="5">
        <v>20</v>
      </c>
      <c r="F794" s="5">
        <v>5</v>
      </c>
      <c r="G794" s="5">
        <v>17</v>
      </c>
      <c r="H794" s="6">
        <f t="shared" si="55"/>
        <v>4.2253158106669787E-6</v>
      </c>
      <c r="I794" s="6">
        <f t="shared" si="56"/>
        <v>0.5</v>
      </c>
      <c r="J794" s="6">
        <f t="shared" si="57"/>
        <v>0.85</v>
      </c>
      <c r="K794" s="6">
        <f t="shared" si="58"/>
        <v>2.1126579053334894E-6</v>
      </c>
      <c r="L794" s="6">
        <f t="shared" si="59"/>
        <v>3.5915184390669316E-6</v>
      </c>
    </row>
    <row r="795" spans="1:12" ht="22.95" customHeight="1">
      <c r="A795" s="5">
        <v>5</v>
      </c>
      <c r="B795" s="7" t="s">
        <v>152</v>
      </c>
      <c r="C795" s="7" t="s">
        <v>290</v>
      </c>
      <c r="D795" s="5">
        <v>73</v>
      </c>
      <c r="E795" s="5">
        <v>97</v>
      </c>
      <c r="F795" s="5">
        <v>22</v>
      </c>
      <c r="G795" s="5">
        <v>42</v>
      </c>
      <c r="H795" s="6">
        <f t="shared" si="55"/>
        <v>3.0844805417868946E-5</v>
      </c>
      <c r="I795" s="6">
        <f t="shared" si="56"/>
        <v>0.30136986301369861</v>
      </c>
      <c r="J795" s="6">
        <f t="shared" si="57"/>
        <v>0.4329896907216495</v>
      </c>
      <c r="K795" s="6">
        <f t="shared" si="58"/>
        <v>9.295694783467353E-6</v>
      </c>
      <c r="L795" s="6">
        <f t="shared" si="59"/>
        <v>1.3355482758252534E-5</v>
      </c>
    </row>
    <row r="796" spans="1:12" ht="22.95" customHeight="1">
      <c r="A796" s="5">
        <v>5</v>
      </c>
      <c r="B796" s="7" t="s">
        <v>122</v>
      </c>
      <c r="C796" s="7" t="s">
        <v>292</v>
      </c>
      <c r="D796" s="5">
        <v>1685</v>
      </c>
      <c r="E796" s="5">
        <v>1862</v>
      </c>
      <c r="F796" s="5">
        <v>1056</v>
      </c>
      <c r="G796" s="5">
        <v>1277</v>
      </c>
      <c r="H796" s="6">
        <f t="shared" si="55"/>
        <v>7.1196571409738588E-4</v>
      </c>
      <c r="I796" s="6">
        <f t="shared" si="56"/>
        <v>0.62670623145400595</v>
      </c>
      <c r="J796" s="6">
        <f t="shared" si="57"/>
        <v>0.6858216970998926</v>
      </c>
      <c r="K796" s="6">
        <f t="shared" si="58"/>
        <v>4.4619334960643294E-4</v>
      </c>
      <c r="L796" s="6">
        <f t="shared" si="59"/>
        <v>4.8828153431920609E-4</v>
      </c>
    </row>
    <row r="797" spans="1:12" ht="22.95" customHeight="1">
      <c r="A797" s="5">
        <v>5</v>
      </c>
      <c r="B797" s="7" t="s">
        <v>265</v>
      </c>
      <c r="C797" s="7" t="s">
        <v>291</v>
      </c>
      <c r="D797" s="5">
        <v>609</v>
      </c>
      <c r="E797" s="5">
        <v>489</v>
      </c>
      <c r="F797" s="5">
        <v>489</v>
      </c>
      <c r="G797" s="5">
        <v>410</v>
      </c>
      <c r="H797" s="6">
        <f t="shared" si="55"/>
        <v>2.5732173286961902E-4</v>
      </c>
      <c r="I797" s="6">
        <f t="shared" si="56"/>
        <v>0.80295566502463056</v>
      </c>
      <c r="J797" s="6">
        <f t="shared" si="57"/>
        <v>0.83844580777096112</v>
      </c>
      <c r="K797" s="6">
        <f t="shared" si="58"/>
        <v>2.0661794314161527E-4</v>
      </c>
      <c r="L797" s="6">
        <f t="shared" si="59"/>
        <v>2.1575032817289119E-4</v>
      </c>
    </row>
    <row r="798" spans="1:12" ht="22.95" customHeight="1">
      <c r="A798" s="5">
        <v>5</v>
      </c>
      <c r="B798" s="7" t="s">
        <v>109</v>
      </c>
      <c r="C798" s="7" t="s">
        <v>293</v>
      </c>
      <c r="D798" s="5">
        <v>2496</v>
      </c>
      <c r="E798" s="5">
        <v>3314</v>
      </c>
      <c r="F798" s="5">
        <v>1094</v>
      </c>
      <c r="G798" s="5">
        <v>733</v>
      </c>
      <c r="H798" s="6">
        <f t="shared" ref="H798:H861" si="60">D798/$B$16</f>
        <v>1.0546388263424778E-3</v>
      </c>
      <c r="I798" s="6">
        <f t="shared" ref="I798:I861" si="61">F798/D798</f>
        <v>0.43830128205128205</v>
      </c>
      <c r="J798" s="6">
        <f t="shared" ref="J798:J861" si="62">G798/E798</f>
        <v>0.2211828605914303</v>
      </c>
      <c r="K798" s="6">
        <f t="shared" ref="K798:K861" si="63">H798*I798</f>
        <v>4.6224954968696746E-4</v>
      </c>
      <c r="L798" s="6">
        <f t="shared" ref="L798:L861" si="64">H798*J798</f>
        <v>2.3326803250121796E-4</v>
      </c>
    </row>
    <row r="799" spans="1:12" ht="22.95" customHeight="1">
      <c r="A799" s="5">
        <v>5</v>
      </c>
      <c r="B799" s="7" t="s">
        <v>97</v>
      </c>
      <c r="C799" s="7" t="s">
        <v>290</v>
      </c>
      <c r="D799" s="5">
        <v>4638</v>
      </c>
      <c r="E799" s="5">
        <v>5415</v>
      </c>
      <c r="F799" s="5">
        <v>1389</v>
      </c>
      <c r="G799" s="5">
        <v>1785</v>
      </c>
      <c r="H799" s="6">
        <f t="shared" si="60"/>
        <v>1.9597014729873449E-3</v>
      </c>
      <c r="I799" s="6">
        <f t="shared" si="61"/>
        <v>0.29948253557567917</v>
      </c>
      <c r="J799" s="6">
        <f t="shared" si="62"/>
        <v>0.32963988919667592</v>
      </c>
      <c r="K799" s="6">
        <f t="shared" si="63"/>
        <v>5.8689636610164341E-4</v>
      </c>
      <c r="L799" s="6">
        <f t="shared" si="64"/>
        <v>6.4599577641411097E-4</v>
      </c>
    </row>
    <row r="800" spans="1:12" ht="22.95" customHeight="1">
      <c r="A800" s="5">
        <v>5</v>
      </c>
      <c r="B800" s="7" t="s">
        <v>91</v>
      </c>
      <c r="C800" s="7" t="s">
        <v>290</v>
      </c>
      <c r="D800" s="5">
        <v>4993</v>
      </c>
      <c r="E800" s="5">
        <v>6555</v>
      </c>
      <c r="F800" s="5">
        <v>1805</v>
      </c>
      <c r="G800" s="5">
        <v>3015</v>
      </c>
      <c r="H800" s="6">
        <f t="shared" si="60"/>
        <v>2.1097001842660225E-3</v>
      </c>
      <c r="I800" s="6">
        <f t="shared" si="61"/>
        <v>0.36150610855197274</v>
      </c>
      <c r="J800" s="6">
        <f t="shared" si="62"/>
        <v>0.459954233409611</v>
      </c>
      <c r="K800" s="6">
        <f t="shared" si="63"/>
        <v>7.6266950382538961E-4</v>
      </c>
      <c r="L800" s="6">
        <f t="shared" si="64"/>
        <v>9.7036553097819343E-4</v>
      </c>
    </row>
    <row r="801" spans="1:12" ht="22.95" customHeight="1">
      <c r="A801" s="5">
        <v>5</v>
      </c>
      <c r="B801" s="7" t="s">
        <v>266</v>
      </c>
      <c r="C801" s="7" t="s">
        <v>295</v>
      </c>
      <c r="D801" s="5">
        <v>952</v>
      </c>
      <c r="E801" s="5">
        <v>1045</v>
      </c>
      <c r="F801" s="5">
        <v>55</v>
      </c>
      <c r="G801" s="5">
        <v>78</v>
      </c>
      <c r="H801" s="6">
        <f t="shared" si="60"/>
        <v>4.0225006517549639E-4</v>
      </c>
      <c r="I801" s="6">
        <f t="shared" si="61"/>
        <v>5.7773109243697482E-2</v>
      </c>
      <c r="J801" s="6">
        <f t="shared" si="62"/>
        <v>7.4641148325358855E-2</v>
      </c>
      <c r="K801" s="6">
        <f t="shared" si="63"/>
        <v>2.3239236958668384E-5</v>
      </c>
      <c r="L801" s="6">
        <f t="shared" si="64"/>
        <v>3.0024406778649494E-5</v>
      </c>
    </row>
    <row r="802" spans="1:12" ht="22.95" customHeight="1">
      <c r="A802" s="5">
        <v>5</v>
      </c>
      <c r="B802" s="7" t="s">
        <v>180</v>
      </c>
      <c r="C802" s="7" t="s">
        <v>294</v>
      </c>
      <c r="D802" s="5">
        <v>19</v>
      </c>
      <c r="E802" s="5">
        <v>30</v>
      </c>
      <c r="F802" s="5">
        <v>17</v>
      </c>
      <c r="G802" s="5">
        <v>24</v>
      </c>
      <c r="H802" s="6">
        <f t="shared" si="60"/>
        <v>8.0281000402672605E-6</v>
      </c>
      <c r="I802" s="6">
        <f t="shared" si="61"/>
        <v>0.89473684210526316</v>
      </c>
      <c r="J802" s="6">
        <f t="shared" si="62"/>
        <v>0.8</v>
      </c>
      <c r="K802" s="6">
        <f t="shared" si="63"/>
        <v>7.1830368781338649E-6</v>
      </c>
      <c r="L802" s="6">
        <f t="shared" si="64"/>
        <v>6.4224800322138084E-6</v>
      </c>
    </row>
    <row r="803" spans="1:12" ht="22.95" customHeight="1">
      <c r="A803" s="5">
        <v>5</v>
      </c>
      <c r="B803" s="7" t="s">
        <v>134</v>
      </c>
      <c r="C803" s="7" t="s">
        <v>296</v>
      </c>
      <c r="D803" s="5">
        <v>311</v>
      </c>
      <c r="E803" s="5">
        <v>333</v>
      </c>
      <c r="F803" s="5">
        <v>0</v>
      </c>
      <c r="G803" s="5">
        <v>0</v>
      </c>
      <c r="H803" s="6">
        <f t="shared" si="60"/>
        <v>1.3140732171174304E-4</v>
      </c>
      <c r="I803" s="6">
        <f t="shared" si="61"/>
        <v>0</v>
      </c>
      <c r="J803" s="6">
        <f t="shared" si="62"/>
        <v>0</v>
      </c>
      <c r="K803" s="6">
        <f t="shared" si="63"/>
        <v>0</v>
      </c>
      <c r="L803" s="6">
        <f t="shared" si="64"/>
        <v>0</v>
      </c>
    </row>
    <row r="804" spans="1:12" ht="22.95" customHeight="1">
      <c r="A804" s="5">
        <v>5</v>
      </c>
      <c r="B804" s="7" t="s">
        <v>184</v>
      </c>
      <c r="C804" s="7" t="s">
        <v>303</v>
      </c>
      <c r="D804" s="5">
        <v>19</v>
      </c>
      <c r="E804" s="5">
        <v>40</v>
      </c>
      <c r="F804" s="5">
        <v>14</v>
      </c>
      <c r="G804" s="5">
        <v>26</v>
      </c>
      <c r="H804" s="6">
        <f t="shared" si="60"/>
        <v>8.0281000402672605E-6</v>
      </c>
      <c r="I804" s="6">
        <f t="shared" si="61"/>
        <v>0.73684210526315785</v>
      </c>
      <c r="J804" s="6">
        <f t="shared" si="62"/>
        <v>0.65</v>
      </c>
      <c r="K804" s="6">
        <f t="shared" si="63"/>
        <v>5.9154421349337707E-6</v>
      </c>
      <c r="L804" s="6">
        <f t="shared" si="64"/>
        <v>5.2182650261737193E-6</v>
      </c>
    </row>
    <row r="805" spans="1:12" ht="22.95" customHeight="1">
      <c r="A805" s="5">
        <v>5</v>
      </c>
      <c r="B805" s="7" t="s">
        <v>248</v>
      </c>
      <c r="C805" s="7" t="s">
        <v>295</v>
      </c>
      <c r="D805" s="5">
        <v>7</v>
      </c>
      <c r="E805" s="5">
        <v>13</v>
      </c>
      <c r="F805" s="5">
        <v>6</v>
      </c>
      <c r="G805" s="5">
        <v>5</v>
      </c>
      <c r="H805" s="6">
        <f t="shared" si="60"/>
        <v>2.9577210674668854E-6</v>
      </c>
      <c r="I805" s="6">
        <f t="shared" si="61"/>
        <v>0.8571428571428571</v>
      </c>
      <c r="J805" s="6">
        <f t="shared" si="62"/>
        <v>0.38461538461538464</v>
      </c>
      <c r="K805" s="6">
        <f t="shared" si="63"/>
        <v>2.5351894864001871E-6</v>
      </c>
      <c r="L805" s="6">
        <f t="shared" si="64"/>
        <v>1.1375850259488022E-6</v>
      </c>
    </row>
    <row r="806" spans="1:12" ht="22.95" customHeight="1">
      <c r="A806" s="5">
        <v>5</v>
      </c>
      <c r="B806" s="7" t="s">
        <v>195</v>
      </c>
      <c r="C806" s="7" t="s">
        <v>291</v>
      </c>
      <c r="D806" s="5">
        <v>3</v>
      </c>
      <c r="E806" s="5">
        <v>7</v>
      </c>
      <c r="F806" s="5">
        <v>1</v>
      </c>
      <c r="G806" s="5">
        <v>4</v>
      </c>
      <c r="H806" s="6">
        <f t="shared" si="60"/>
        <v>1.2675947432000936E-6</v>
      </c>
      <c r="I806" s="6">
        <f t="shared" si="61"/>
        <v>0.33333333333333331</v>
      </c>
      <c r="J806" s="6">
        <f t="shared" si="62"/>
        <v>0.5714285714285714</v>
      </c>
      <c r="K806" s="6">
        <f t="shared" si="63"/>
        <v>4.2253158106669784E-7</v>
      </c>
      <c r="L806" s="6">
        <f t="shared" si="64"/>
        <v>7.243398532571963E-7</v>
      </c>
    </row>
    <row r="807" spans="1:12" ht="22.95" customHeight="1">
      <c r="A807" s="5">
        <v>5</v>
      </c>
      <c r="B807" s="7" t="s">
        <v>235</v>
      </c>
      <c r="C807" s="7" t="s">
        <v>303</v>
      </c>
      <c r="D807" s="5">
        <v>1</v>
      </c>
      <c r="E807" s="5">
        <v>1</v>
      </c>
      <c r="F807" s="5">
        <v>1</v>
      </c>
      <c r="G807" s="5">
        <v>0</v>
      </c>
      <c r="H807" s="6">
        <f t="shared" si="60"/>
        <v>4.2253158106669789E-7</v>
      </c>
      <c r="I807" s="6">
        <f t="shared" si="61"/>
        <v>1</v>
      </c>
      <c r="J807" s="6">
        <f t="shared" si="62"/>
        <v>0</v>
      </c>
      <c r="K807" s="6">
        <f t="shared" si="63"/>
        <v>4.2253158106669789E-7</v>
      </c>
      <c r="L807" s="6">
        <f t="shared" si="64"/>
        <v>0</v>
      </c>
    </row>
    <row r="808" spans="1:12" ht="22.95" customHeight="1">
      <c r="A808" s="5">
        <v>5</v>
      </c>
      <c r="B808" s="7" t="s">
        <v>136</v>
      </c>
      <c r="C808" s="7" t="s">
        <v>296</v>
      </c>
      <c r="D808" s="5">
        <v>528</v>
      </c>
      <c r="E808" s="5">
        <v>578</v>
      </c>
      <c r="F808" s="5">
        <v>0</v>
      </c>
      <c r="G808" s="5">
        <v>0</v>
      </c>
      <c r="H808" s="6">
        <f t="shared" si="60"/>
        <v>2.2309667480321647E-4</v>
      </c>
      <c r="I808" s="6">
        <f t="shared" si="61"/>
        <v>0</v>
      </c>
      <c r="J808" s="6">
        <f t="shared" si="62"/>
        <v>0</v>
      </c>
      <c r="K808" s="6">
        <f t="shared" si="63"/>
        <v>0</v>
      </c>
      <c r="L808" s="6">
        <f t="shared" si="64"/>
        <v>0</v>
      </c>
    </row>
    <row r="809" spans="1:12" ht="22.95" customHeight="1">
      <c r="A809" s="5">
        <v>5</v>
      </c>
      <c r="B809" s="7" t="s">
        <v>243</v>
      </c>
      <c r="C809" s="7" t="s">
        <v>292</v>
      </c>
      <c r="D809" s="5">
        <v>7</v>
      </c>
      <c r="E809" s="5">
        <v>14</v>
      </c>
      <c r="F809" s="5">
        <v>7</v>
      </c>
      <c r="G809" s="5">
        <v>11</v>
      </c>
      <c r="H809" s="6">
        <f t="shared" si="60"/>
        <v>2.9577210674668854E-6</v>
      </c>
      <c r="I809" s="6">
        <f t="shared" si="61"/>
        <v>1</v>
      </c>
      <c r="J809" s="6">
        <f t="shared" si="62"/>
        <v>0.7857142857142857</v>
      </c>
      <c r="K809" s="6">
        <f t="shared" si="63"/>
        <v>2.9577210674668854E-6</v>
      </c>
      <c r="L809" s="6">
        <f t="shared" si="64"/>
        <v>2.3239236958668382E-6</v>
      </c>
    </row>
    <row r="810" spans="1:12" ht="22.95" customHeight="1">
      <c r="A810" s="5">
        <v>5</v>
      </c>
      <c r="B810" s="7" t="s">
        <v>274</v>
      </c>
      <c r="C810" s="7" t="s">
        <v>292</v>
      </c>
      <c r="D810" s="5">
        <v>1636</v>
      </c>
      <c r="E810" s="5">
        <v>1277</v>
      </c>
      <c r="F810" s="5">
        <v>1020</v>
      </c>
      <c r="G810" s="5">
        <v>713</v>
      </c>
      <c r="H810" s="6">
        <f t="shared" si="60"/>
        <v>6.9126166662511772E-4</v>
      </c>
      <c r="I810" s="6">
        <f t="shared" si="61"/>
        <v>0.62347188264058684</v>
      </c>
      <c r="J810" s="6">
        <f t="shared" si="62"/>
        <v>0.5583398590446359</v>
      </c>
      <c r="K810" s="6">
        <f t="shared" si="63"/>
        <v>4.3098221268803185E-4</v>
      </c>
      <c r="L810" s="6">
        <f t="shared" si="64"/>
        <v>3.8595894150642831E-4</v>
      </c>
    </row>
    <row r="811" spans="1:12" ht="22.95" customHeight="1">
      <c r="A811" s="5">
        <v>5</v>
      </c>
      <c r="B811" s="7" t="s">
        <v>279</v>
      </c>
      <c r="C811" s="7" t="s">
        <v>303</v>
      </c>
      <c r="D811" s="5">
        <v>3332</v>
      </c>
      <c r="E811" s="5">
        <v>2811</v>
      </c>
      <c r="F811" s="5">
        <v>981</v>
      </c>
      <c r="G811" s="5">
        <v>1443</v>
      </c>
      <c r="H811" s="6">
        <f t="shared" si="60"/>
        <v>1.4078752281142374E-3</v>
      </c>
      <c r="I811" s="6">
        <f t="shared" si="61"/>
        <v>0.29441776710684275</v>
      </c>
      <c r="J811" s="6">
        <f t="shared" si="62"/>
        <v>0.51334044823906089</v>
      </c>
      <c r="K811" s="6">
        <f t="shared" si="63"/>
        <v>4.1450348102643064E-4</v>
      </c>
      <c r="L811" s="6">
        <f t="shared" si="64"/>
        <v>7.2271930066483269E-4</v>
      </c>
    </row>
    <row r="812" spans="1:12" ht="22.95" customHeight="1">
      <c r="A812" s="5">
        <v>5</v>
      </c>
      <c r="B812" s="7" t="s">
        <v>257</v>
      </c>
      <c r="C812" s="7" t="s">
        <v>293</v>
      </c>
      <c r="D812" s="5">
        <v>984</v>
      </c>
      <c r="E812" s="5">
        <v>1036</v>
      </c>
      <c r="F812" s="5">
        <v>348</v>
      </c>
      <c r="G812" s="5">
        <v>252</v>
      </c>
      <c r="H812" s="6">
        <f t="shared" si="60"/>
        <v>4.157710757696307E-4</v>
      </c>
      <c r="I812" s="6">
        <f t="shared" si="61"/>
        <v>0.35365853658536583</v>
      </c>
      <c r="J812" s="6">
        <f t="shared" si="62"/>
        <v>0.24324324324324326</v>
      </c>
      <c r="K812" s="6">
        <f t="shared" si="63"/>
        <v>1.4704099021121085E-4</v>
      </c>
      <c r="L812" s="6">
        <f t="shared" si="64"/>
        <v>1.0113350491693721E-4</v>
      </c>
    </row>
    <row r="813" spans="1:12" ht="22.95" customHeight="1">
      <c r="A813" s="5">
        <v>5</v>
      </c>
      <c r="B813" s="7" t="s">
        <v>121</v>
      </c>
      <c r="C813" s="7" t="s">
        <v>290</v>
      </c>
      <c r="D813" s="5">
        <v>973</v>
      </c>
      <c r="E813" s="5">
        <v>1176</v>
      </c>
      <c r="F813" s="5">
        <v>558</v>
      </c>
      <c r="G813" s="5">
        <v>657</v>
      </c>
      <c r="H813" s="6">
        <f t="shared" si="60"/>
        <v>4.1112322837789705E-4</v>
      </c>
      <c r="I813" s="6">
        <f t="shared" si="61"/>
        <v>0.57348406988694756</v>
      </c>
      <c r="J813" s="6">
        <f t="shared" si="62"/>
        <v>0.55867346938775508</v>
      </c>
      <c r="K813" s="6">
        <f t="shared" si="63"/>
        <v>2.357726222352174E-4</v>
      </c>
      <c r="L813" s="6">
        <f t="shared" si="64"/>
        <v>2.296836403437741E-4</v>
      </c>
    </row>
    <row r="814" spans="1:12" ht="22.95" customHeight="1">
      <c r="A814" s="5">
        <v>5</v>
      </c>
      <c r="B814" s="7" t="s">
        <v>160</v>
      </c>
      <c r="C814" s="7" t="s">
        <v>292</v>
      </c>
      <c r="D814" s="5">
        <v>269</v>
      </c>
      <c r="E814" s="5">
        <v>255</v>
      </c>
      <c r="F814" s="5">
        <v>65</v>
      </c>
      <c r="G814" s="5">
        <v>43</v>
      </c>
      <c r="H814" s="6">
        <f t="shared" si="60"/>
        <v>1.1366099530694173E-4</v>
      </c>
      <c r="I814" s="6">
        <f t="shared" si="61"/>
        <v>0.24163568773234201</v>
      </c>
      <c r="J814" s="6">
        <f t="shared" si="62"/>
        <v>0.16862745098039217</v>
      </c>
      <c r="K814" s="6">
        <f t="shared" si="63"/>
        <v>2.7464552769335364E-5</v>
      </c>
      <c r="L814" s="6">
        <f t="shared" si="64"/>
        <v>1.9166363914503901E-5</v>
      </c>
    </row>
    <row r="815" spans="1:12" ht="22.95" customHeight="1">
      <c r="A815" s="5">
        <v>5</v>
      </c>
      <c r="B815" s="7" t="s">
        <v>240</v>
      </c>
      <c r="C815" s="7" t="s">
        <v>296</v>
      </c>
      <c r="D815" s="5">
        <v>12</v>
      </c>
      <c r="E815" s="5">
        <v>32</v>
      </c>
      <c r="F815" s="5">
        <v>0</v>
      </c>
      <c r="G815" s="5">
        <v>0</v>
      </c>
      <c r="H815" s="6">
        <f t="shared" si="60"/>
        <v>5.0703789728003743E-6</v>
      </c>
      <c r="I815" s="6">
        <f t="shared" si="61"/>
        <v>0</v>
      </c>
      <c r="J815" s="6">
        <f t="shared" si="62"/>
        <v>0</v>
      </c>
      <c r="K815" s="6">
        <f t="shared" si="63"/>
        <v>0</v>
      </c>
      <c r="L815" s="6">
        <f t="shared" si="64"/>
        <v>0</v>
      </c>
    </row>
    <row r="816" spans="1:12" ht="22.95" customHeight="1">
      <c r="A816" s="5">
        <v>5</v>
      </c>
      <c r="B816" s="7" t="s">
        <v>116</v>
      </c>
      <c r="C816" s="7" t="s">
        <v>294</v>
      </c>
      <c r="D816" s="5">
        <v>2502</v>
      </c>
      <c r="E816" s="5">
        <v>4422</v>
      </c>
      <c r="F816" s="5">
        <v>839</v>
      </c>
      <c r="G816" s="5">
        <v>1666</v>
      </c>
      <c r="H816" s="6">
        <f t="shared" si="60"/>
        <v>1.0571740158288781E-3</v>
      </c>
      <c r="I816" s="6">
        <f t="shared" si="61"/>
        <v>0.33533173461231014</v>
      </c>
      <c r="J816" s="6">
        <f t="shared" si="62"/>
        <v>0.37675260063319765</v>
      </c>
      <c r="K816" s="6">
        <f t="shared" si="63"/>
        <v>3.5450399651495952E-4</v>
      </c>
      <c r="L816" s="6">
        <f t="shared" si="64"/>
        <v>3.9829305978537107E-4</v>
      </c>
    </row>
    <row r="817" spans="1:12" ht="22.95" customHeight="1">
      <c r="A817" s="5">
        <v>5</v>
      </c>
      <c r="B817" s="7" t="s">
        <v>101</v>
      </c>
      <c r="C817" s="7" t="s">
        <v>294</v>
      </c>
      <c r="D817" s="5">
        <v>1</v>
      </c>
      <c r="E817" s="5">
        <v>62</v>
      </c>
      <c r="F817" s="5">
        <v>1</v>
      </c>
      <c r="G817" s="5">
        <v>26</v>
      </c>
      <c r="H817" s="6">
        <f t="shared" si="60"/>
        <v>4.2253158106669789E-7</v>
      </c>
      <c r="I817" s="6">
        <f t="shared" si="61"/>
        <v>1</v>
      </c>
      <c r="J817" s="6">
        <f t="shared" si="62"/>
        <v>0.41935483870967744</v>
      </c>
      <c r="K817" s="6">
        <f t="shared" si="63"/>
        <v>4.2253158106669789E-7</v>
      </c>
      <c r="L817" s="6">
        <f t="shared" si="64"/>
        <v>1.771906630279701E-7</v>
      </c>
    </row>
    <row r="818" spans="1:12" ht="22.95" customHeight="1">
      <c r="A818" s="5">
        <v>5</v>
      </c>
      <c r="B818" s="7" t="s">
        <v>135</v>
      </c>
      <c r="C818" s="7" t="s">
        <v>291</v>
      </c>
      <c r="D818" s="5">
        <v>2322</v>
      </c>
      <c r="E818" s="5">
        <v>2323</v>
      </c>
      <c r="F818" s="5">
        <v>836</v>
      </c>
      <c r="G818" s="5">
        <v>953</v>
      </c>
      <c r="H818" s="6">
        <f t="shared" si="60"/>
        <v>9.8111833123687257E-4</v>
      </c>
      <c r="I818" s="6">
        <f t="shared" si="61"/>
        <v>0.36003445305770887</v>
      </c>
      <c r="J818" s="6">
        <f t="shared" si="62"/>
        <v>0.41024537236332331</v>
      </c>
      <c r="K818" s="6">
        <f t="shared" si="63"/>
        <v>3.5323640177175946E-4</v>
      </c>
      <c r="L818" s="6">
        <f t="shared" si="64"/>
        <v>4.0249925513075318E-4</v>
      </c>
    </row>
    <row r="819" spans="1:12" ht="22.95" customHeight="1">
      <c r="A819" s="5">
        <v>5</v>
      </c>
      <c r="B819" s="7" t="s">
        <v>120</v>
      </c>
      <c r="C819" s="7" t="s">
        <v>303</v>
      </c>
      <c r="D819" s="5">
        <v>562</v>
      </c>
      <c r="E819" s="5">
        <v>792</v>
      </c>
      <c r="F819" s="5">
        <v>363</v>
      </c>
      <c r="G819" s="5">
        <v>565</v>
      </c>
      <c r="H819" s="6">
        <f t="shared" si="60"/>
        <v>2.374627485594842E-4</v>
      </c>
      <c r="I819" s="6">
        <f t="shared" si="61"/>
        <v>0.64590747330960852</v>
      </c>
      <c r="J819" s="6">
        <f t="shared" si="62"/>
        <v>0.71338383838383834</v>
      </c>
      <c r="K819" s="6">
        <f t="shared" si="63"/>
        <v>1.5337896392721132E-4</v>
      </c>
      <c r="L819" s="6">
        <f t="shared" si="64"/>
        <v>1.6940208704054112E-4</v>
      </c>
    </row>
    <row r="820" spans="1:12" ht="22.95" customHeight="1">
      <c r="A820" s="5">
        <v>5</v>
      </c>
      <c r="B820" s="7" t="s">
        <v>239</v>
      </c>
      <c r="C820" s="7" t="s">
        <v>296</v>
      </c>
      <c r="D820" s="5">
        <v>2</v>
      </c>
      <c r="E820" s="5">
        <v>5</v>
      </c>
      <c r="F820" s="5">
        <v>0</v>
      </c>
      <c r="G820" s="5">
        <v>0</v>
      </c>
      <c r="H820" s="6">
        <f t="shared" si="60"/>
        <v>8.4506316213339578E-7</v>
      </c>
      <c r="I820" s="6">
        <f t="shared" si="61"/>
        <v>0</v>
      </c>
      <c r="J820" s="6">
        <f t="shared" si="62"/>
        <v>0</v>
      </c>
      <c r="K820" s="6">
        <f t="shared" si="63"/>
        <v>0</v>
      </c>
      <c r="L820" s="6">
        <f t="shared" si="64"/>
        <v>0</v>
      </c>
    </row>
    <row r="821" spans="1:12" ht="22.95" customHeight="1">
      <c r="A821" s="5">
        <v>5</v>
      </c>
      <c r="B821" s="7" t="s">
        <v>175</v>
      </c>
      <c r="C821" s="7" t="s">
        <v>296</v>
      </c>
      <c r="D821" s="5">
        <v>330</v>
      </c>
      <c r="E821" s="5">
        <v>363</v>
      </c>
      <c r="F821" s="5">
        <v>0</v>
      </c>
      <c r="G821" s="5">
        <v>0</v>
      </c>
      <c r="H821" s="6">
        <f t="shared" si="60"/>
        <v>1.3943542175201031E-4</v>
      </c>
      <c r="I821" s="6">
        <f t="shared" si="61"/>
        <v>0</v>
      </c>
      <c r="J821" s="6">
        <f t="shared" si="62"/>
        <v>0</v>
      </c>
      <c r="K821" s="6">
        <f t="shared" si="63"/>
        <v>0</v>
      </c>
      <c r="L821" s="6">
        <f t="shared" si="64"/>
        <v>0</v>
      </c>
    </row>
    <row r="822" spans="1:12" ht="22.95" customHeight="1">
      <c r="A822" s="5">
        <v>5</v>
      </c>
      <c r="B822" s="7" t="s">
        <v>155</v>
      </c>
      <c r="C822" s="7" t="s">
        <v>303</v>
      </c>
      <c r="D822" s="5">
        <v>199</v>
      </c>
      <c r="E822" s="5">
        <v>202</v>
      </c>
      <c r="F822" s="5">
        <v>133</v>
      </c>
      <c r="G822" s="5">
        <v>128</v>
      </c>
      <c r="H822" s="6">
        <f t="shared" si="60"/>
        <v>8.4083784632272879E-5</v>
      </c>
      <c r="I822" s="6">
        <f t="shared" si="61"/>
        <v>0.66834170854271358</v>
      </c>
      <c r="J822" s="6">
        <f t="shared" si="62"/>
        <v>0.63366336633663367</v>
      </c>
      <c r="K822" s="6">
        <f t="shared" si="63"/>
        <v>5.6196700281870817E-5</v>
      </c>
      <c r="L822" s="6">
        <f t="shared" si="64"/>
        <v>5.3280814024410539E-5</v>
      </c>
    </row>
    <row r="823" spans="1:12" ht="22.95" customHeight="1">
      <c r="A823" s="5">
        <v>5</v>
      </c>
      <c r="B823" s="7" t="s">
        <v>85</v>
      </c>
      <c r="C823" s="7" t="s">
        <v>291</v>
      </c>
      <c r="D823" s="5">
        <v>7449</v>
      </c>
      <c r="E823" s="5">
        <v>11777</v>
      </c>
      <c r="F823" s="5">
        <v>1687</v>
      </c>
      <c r="G823" s="5">
        <v>2263</v>
      </c>
      <c r="H823" s="6">
        <f t="shared" si="60"/>
        <v>3.1474377473658323E-3</v>
      </c>
      <c r="I823" s="6">
        <f t="shared" si="61"/>
        <v>0.2264733521278024</v>
      </c>
      <c r="J823" s="6">
        <f t="shared" si="62"/>
        <v>0.19215419886218901</v>
      </c>
      <c r="K823" s="6">
        <f t="shared" si="63"/>
        <v>7.1281077725951925E-4</v>
      </c>
      <c r="L823" s="6">
        <f t="shared" si="64"/>
        <v>6.0479337881369434E-4</v>
      </c>
    </row>
    <row r="824" spans="1:12" ht="22.95" customHeight="1">
      <c r="A824" s="5">
        <v>5</v>
      </c>
      <c r="B824" s="7" t="s">
        <v>110</v>
      </c>
      <c r="C824" s="7" t="s">
        <v>291</v>
      </c>
      <c r="D824" s="5">
        <v>2379</v>
      </c>
      <c r="E824" s="5">
        <v>2744</v>
      </c>
      <c r="F824" s="5">
        <v>0</v>
      </c>
      <c r="G824" s="5">
        <v>0</v>
      </c>
      <c r="H824" s="6">
        <f t="shared" si="60"/>
        <v>1.0052026313576742E-3</v>
      </c>
      <c r="I824" s="6">
        <f t="shared" si="61"/>
        <v>0</v>
      </c>
      <c r="J824" s="6">
        <f t="shared" si="62"/>
        <v>0</v>
      </c>
      <c r="K824" s="6">
        <f t="shared" si="63"/>
        <v>0</v>
      </c>
      <c r="L824" s="6">
        <f t="shared" si="64"/>
        <v>0</v>
      </c>
    </row>
    <row r="825" spans="1:12" ht="22.95" customHeight="1">
      <c r="A825" s="5">
        <v>5</v>
      </c>
      <c r="B825" s="7" t="s">
        <v>151</v>
      </c>
      <c r="C825" s="7" t="s">
        <v>291</v>
      </c>
      <c r="D825" s="5">
        <v>480</v>
      </c>
      <c r="E825" s="5">
        <v>464</v>
      </c>
      <c r="F825" s="5">
        <v>117</v>
      </c>
      <c r="G825" s="5">
        <v>170</v>
      </c>
      <c r="H825" s="6">
        <f t="shared" si="60"/>
        <v>2.0281515891201499E-4</v>
      </c>
      <c r="I825" s="6">
        <f t="shared" si="61"/>
        <v>0.24374999999999999</v>
      </c>
      <c r="J825" s="6">
        <f t="shared" si="62"/>
        <v>0.36637931034482757</v>
      </c>
      <c r="K825" s="6">
        <f t="shared" si="63"/>
        <v>4.9436194984803652E-5</v>
      </c>
      <c r="L825" s="6">
        <f t="shared" si="64"/>
        <v>7.4307278049660667E-5</v>
      </c>
    </row>
    <row r="826" spans="1:12" ht="22.95" customHeight="1">
      <c r="A826" s="5">
        <v>5</v>
      </c>
      <c r="B826" s="7" t="s">
        <v>161</v>
      </c>
      <c r="C826" s="7" t="s">
        <v>291</v>
      </c>
      <c r="D826" s="5">
        <v>228</v>
      </c>
      <c r="E826" s="5">
        <v>312</v>
      </c>
      <c r="F826" s="5">
        <v>66</v>
      </c>
      <c r="G826" s="5">
        <v>113</v>
      </c>
      <c r="H826" s="6">
        <f t="shared" si="60"/>
        <v>9.6337200483207112E-5</v>
      </c>
      <c r="I826" s="6">
        <f t="shared" si="61"/>
        <v>0.28947368421052633</v>
      </c>
      <c r="J826" s="6">
        <f t="shared" si="62"/>
        <v>0.36217948717948717</v>
      </c>
      <c r="K826" s="6">
        <f t="shared" si="63"/>
        <v>2.7887084350402059E-5</v>
      </c>
      <c r="L826" s="6">
        <f t="shared" si="64"/>
        <v>3.4891357867315394E-5</v>
      </c>
    </row>
    <row r="827" spans="1:12" ht="22.95" customHeight="1">
      <c r="A827" s="5">
        <v>5</v>
      </c>
      <c r="B827" s="7" t="s">
        <v>162</v>
      </c>
      <c r="C827" s="7" t="s">
        <v>291</v>
      </c>
      <c r="D827" s="5">
        <v>340</v>
      </c>
      <c r="E827" s="5">
        <v>335</v>
      </c>
      <c r="F827" s="5">
        <v>77</v>
      </c>
      <c r="G827" s="5">
        <v>84</v>
      </c>
      <c r="H827" s="6">
        <f t="shared" si="60"/>
        <v>1.4366073756267729E-4</v>
      </c>
      <c r="I827" s="6">
        <f t="shared" si="61"/>
        <v>0.22647058823529412</v>
      </c>
      <c r="J827" s="6">
        <f t="shared" si="62"/>
        <v>0.2507462686567164</v>
      </c>
      <c r="K827" s="6">
        <f t="shared" si="63"/>
        <v>3.2534931742135741E-5</v>
      </c>
      <c r="L827" s="6">
        <f t="shared" si="64"/>
        <v>3.6022393896313111E-5</v>
      </c>
    </row>
    <row r="828" spans="1:12" ht="22.95" customHeight="1">
      <c r="A828" s="5">
        <v>5</v>
      </c>
      <c r="B828" s="7" t="s">
        <v>130</v>
      </c>
      <c r="C828" s="7" t="s">
        <v>292</v>
      </c>
      <c r="D828" s="5">
        <v>623</v>
      </c>
      <c r="E828" s="5">
        <v>657</v>
      </c>
      <c r="F828" s="5">
        <v>356</v>
      </c>
      <c r="G828" s="5">
        <v>397</v>
      </c>
      <c r="H828" s="6">
        <f t="shared" si="60"/>
        <v>2.6323717500455277E-4</v>
      </c>
      <c r="I828" s="6">
        <f t="shared" si="61"/>
        <v>0.5714285714285714</v>
      </c>
      <c r="J828" s="6">
        <f t="shared" si="62"/>
        <v>0.60426179604261798</v>
      </c>
      <c r="K828" s="6">
        <f t="shared" si="63"/>
        <v>1.5042124285974444E-4</v>
      </c>
      <c r="L828" s="6">
        <f t="shared" si="64"/>
        <v>1.5906416815343599E-4</v>
      </c>
    </row>
    <row r="829" spans="1:12" ht="22.95" customHeight="1">
      <c r="A829" s="5">
        <v>5</v>
      </c>
      <c r="B829" s="7" t="s">
        <v>192</v>
      </c>
      <c r="C829" s="7" t="s">
        <v>303</v>
      </c>
      <c r="D829" s="5">
        <v>13</v>
      </c>
      <c r="E829" s="5">
        <v>24</v>
      </c>
      <c r="F829" s="5">
        <v>11</v>
      </c>
      <c r="G829" s="5">
        <v>18</v>
      </c>
      <c r="H829" s="6">
        <f t="shared" si="60"/>
        <v>5.4929105538670721E-6</v>
      </c>
      <c r="I829" s="6">
        <f t="shared" si="61"/>
        <v>0.84615384615384615</v>
      </c>
      <c r="J829" s="6">
        <f t="shared" si="62"/>
        <v>0.75</v>
      </c>
      <c r="K829" s="6">
        <f t="shared" si="63"/>
        <v>4.6478473917336765E-6</v>
      </c>
      <c r="L829" s="6">
        <f t="shared" si="64"/>
        <v>4.1196829154003041E-6</v>
      </c>
    </row>
    <row r="830" spans="1:12" ht="22.95" customHeight="1">
      <c r="A830" s="5">
        <v>5</v>
      </c>
      <c r="B830" s="7" t="s">
        <v>126</v>
      </c>
      <c r="C830" s="7" t="s">
        <v>298</v>
      </c>
      <c r="D830" s="5">
        <v>867</v>
      </c>
      <c r="E830" s="5">
        <v>941</v>
      </c>
      <c r="F830" s="5">
        <v>489</v>
      </c>
      <c r="G830" s="5">
        <v>475</v>
      </c>
      <c r="H830" s="6">
        <f t="shared" si="60"/>
        <v>3.6633488078482708E-4</v>
      </c>
      <c r="I830" s="6">
        <f t="shared" si="61"/>
        <v>0.56401384083044981</v>
      </c>
      <c r="J830" s="6">
        <f t="shared" si="62"/>
        <v>0.50478214665249732</v>
      </c>
      <c r="K830" s="6">
        <f t="shared" si="63"/>
        <v>2.0661794314161527E-4</v>
      </c>
      <c r="L830" s="6">
        <f t="shared" si="64"/>
        <v>1.8491930751625172E-4</v>
      </c>
    </row>
    <row r="831" spans="1:12" ht="22.95" customHeight="1">
      <c r="A831" s="5">
        <v>5</v>
      </c>
      <c r="B831" s="7" t="s">
        <v>197</v>
      </c>
      <c r="C831" s="7" t="s">
        <v>298</v>
      </c>
      <c r="D831" s="5">
        <v>5</v>
      </c>
      <c r="E831" s="5">
        <v>11</v>
      </c>
      <c r="F831" s="5">
        <v>5</v>
      </c>
      <c r="G831" s="5">
        <v>7</v>
      </c>
      <c r="H831" s="6">
        <f t="shared" si="60"/>
        <v>2.1126579053334894E-6</v>
      </c>
      <c r="I831" s="6">
        <f t="shared" si="61"/>
        <v>1</v>
      </c>
      <c r="J831" s="6">
        <f t="shared" si="62"/>
        <v>0.63636363636363635</v>
      </c>
      <c r="K831" s="6">
        <f t="shared" si="63"/>
        <v>2.1126579053334894E-6</v>
      </c>
      <c r="L831" s="6">
        <f t="shared" si="64"/>
        <v>1.3444186670304024E-6</v>
      </c>
    </row>
    <row r="832" spans="1:12" ht="22.95" customHeight="1">
      <c r="A832" s="5">
        <v>5</v>
      </c>
      <c r="B832" s="7" t="s">
        <v>189</v>
      </c>
      <c r="C832" s="7" t="s">
        <v>298</v>
      </c>
      <c r="D832" s="5">
        <v>83</v>
      </c>
      <c r="E832" s="5">
        <v>79</v>
      </c>
      <c r="F832" s="5">
        <v>25</v>
      </c>
      <c r="G832" s="5">
        <v>30</v>
      </c>
      <c r="H832" s="6">
        <f t="shared" si="60"/>
        <v>3.5070121228535926E-5</v>
      </c>
      <c r="I832" s="6">
        <f t="shared" si="61"/>
        <v>0.30120481927710846</v>
      </c>
      <c r="J832" s="6">
        <f t="shared" si="62"/>
        <v>0.379746835443038</v>
      </c>
      <c r="K832" s="6">
        <f t="shared" si="63"/>
        <v>1.0563289526667449E-5</v>
      </c>
      <c r="L832" s="6">
        <f t="shared" si="64"/>
        <v>1.3317767555140226E-5</v>
      </c>
    </row>
    <row r="833" spans="1:12" ht="22.95" customHeight="1">
      <c r="A833" s="5">
        <v>5</v>
      </c>
      <c r="B833" s="7" t="s">
        <v>194</v>
      </c>
      <c r="C833" s="7" t="s">
        <v>303</v>
      </c>
      <c r="D833" s="5">
        <v>6</v>
      </c>
      <c r="E833" s="5">
        <v>8</v>
      </c>
      <c r="F833" s="5">
        <v>3</v>
      </c>
      <c r="G833" s="5">
        <v>4</v>
      </c>
      <c r="H833" s="6">
        <f t="shared" si="60"/>
        <v>2.5351894864001871E-6</v>
      </c>
      <c r="I833" s="6">
        <f t="shared" si="61"/>
        <v>0.5</v>
      </c>
      <c r="J833" s="6">
        <f t="shared" si="62"/>
        <v>0.5</v>
      </c>
      <c r="K833" s="6">
        <f t="shared" si="63"/>
        <v>1.2675947432000936E-6</v>
      </c>
      <c r="L833" s="6">
        <f t="shared" si="64"/>
        <v>1.2675947432000936E-6</v>
      </c>
    </row>
    <row r="834" spans="1:12" ht="22.95" customHeight="1">
      <c r="A834" s="5">
        <v>5</v>
      </c>
      <c r="B834" s="7" t="s">
        <v>275</v>
      </c>
      <c r="C834" s="7" t="s">
        <v>295</v>
      </c>
      <c r="D834" s="5">
        <v>1076</v>
      </c>
      <c r="E834" s="5">
        <v>858</v>
      </c>
      <c r="F834" s="5">
        <v>667</v>
      </c>
      <c r="G834" s="5">
        <v>598</v>
      </c>
      <c r="H834" s="6">
        <f t="shared" si="60"/>
        <v>4.5464398122776692E-4</v>
      </c>
      <c r="I834" s="6">
        <f t="shared" si="61"/>
        <v>0.61988847583643125</v>
      </c>
      <c r="J834" s="6">
        <f t="shared" si="62"/>
        <v>0.69696969696969702</v>
      </c>
      <c r="K834" s="6">
        <f t="shared" si="63"/>
        <v>2.8182856457148751E-4</v>
      </c>
      <c r="L834" s="6">
        <f t="shared" si="64"/>
        <v>3.1687307782541334E-4</v>
      </c>
    </row>
    <row r="835" spans="1:12" ht="22.95" customHeight="1">
      <c r="A835" s="5">
        <v>5</v>
      </c>
      <c r="B835" s="7" t="s">
        <v>94</v>
      </c>
      <c r="C835" s="7" t="s">
        <v>291</v>
      </c>
      <c r="D835" s="5">
        <v>3763</v>
      </c>
      <c r="E835" s="5">
        <v>3788</v>
      </c>
      <c r="F835" s="5">
        <v>0</v>
      </c>
      <c r="G835" s="5">
        <v>0</v>
      </c>
      <c r="H835" s="6">
        <f t="shared" si="60"/>
        <v>1.5899863395539842E-3</v>
      </c>
      <c r="I835" s="6">
        <f t="shared" si="61"/>
        <v>0</v>
      </c>
      <c r="J835" s="6">
        <f t="shared" si="62"/>
        <v>0</v>
      </c>
      <c r="K835" s="6">
        <f t="shared" si="63"/>
        <v>0</v>
      </c>
      <c r="L835" s="6">
        <f t="shared" si="64"/>
        <v>0</v>
      </c>
    </row>
    <row r="836" spans="1:12" ht="22.95" customHeight="1">
      <c r="A836" s="5">
        <v>5</v>
      </c>
      <c r="B836" s="7" t="s">
        <v>226</v>
      </c>
      <c r="C836" s="7" t="s">
        <v>292</v>
      </c>
      <c r="D836" s="5">
        <v>1</v>
      </c>
      <c r="E836" s="5">
        <v>1</v>
      </c>
      <c r="F836" s="5">
        <v>0</v>
      </c>
      <c r="G836" s="5">
        <v>0</v>
      </c>
      <c r="H836" s="6">
        <f t="shared" si="60"/>
        <v>4.2253158106669789E-7</v>
      </c>
      <c r="I836" s="6">
        <f t="shared" si="61"/>
        <v>0</v>
      </c>
      <c r="J836" s="6">
        <f t="shared" si="62"/>
        <v>0</v>
      </c>
      <c r="K836" s="6">
        <f t="shared" si="63"/>
        <v>0</v>
      </c>
      <c r="L836" s="6">
        <f t="shared" si="64"/>
        <v>0</v>
      </c>
    </row>
    <row r="837" spans="1:12" ht="22.95" customHeight="1">
      <c r="A837" s="5">
        <v>5</v>
      </c>
      <c r="B837" s="7" t="s">
        <v>90</v>
      </c>
      <c r="C837" s="7" t="s">
        <v>290</v>
      </c>
      <c r="D837" s="5">
        <v>8893</v>
      </c>
      <c r="E837" s="5">
        <v>11208</v>
      </c>
      <c r="F837" s="5">
        <v>3556</v>
      </c>
      <c r="G837" s="5">
        <v>4614</v>
      </c>
      <c r="H837" s="6">
        <f t="shared" si="60"/>
        <v>3.7575733504261444E-3</v>
      </c>
      <c r="I837" s="6">
        <f t="shared" si="61"/>
        <v>0.39986506240863601</v>
      </c>
      <c r="J837" s="6">
        <f t="shared" si="62"/>
        <v>0.41167023554603854</v>
      </c>
      <c r="K837" s="6">
        <f t="shared" si="63"/>
        <v>1.5025223022731777E-3</v>
      </c>
      <c r="L837" s="6">
        <f t="shared" si="64"/>
        <v>1.5468811062514481E-3</v>
      </c>
    </row>
    <row r="838" spans="1:12" ht="22.95" customHeight="1">
      <c r="A838" s="5">
        <v>5</v>
      </c>
      <c r="B838" s="7" t="s">
        <v>163</v>
      </c>
      <c r="C838" s="7" t="s">
        <v>303</v>
      </c>
      <c r="D838" s="5">
        <v>179</v>
      </c>
      <c r="E838" s="5">
        <v>170</v>
      </c>
      <c r="F838" s="5">
        <v>109</v>
      </c>
      <c r="G838" s="5">
        <v>106</v>
      </c>
      <c r="H838" s="6">
        <f t="shared" si="60"/>
        <v>7.563315301093892E-5</v>
      </c>
      <c r="I838" s="6">
        <f t="shared" si="61"/>
        <v>0.60893854748603349</v>
      </c>
      <c r="J838" s="6">
        <f t="shared" si="62"/>
        <v>0.62352941176470589</v>
      </c>
      <c r="K838" s="6">
        <f t="shared" si="63"/>
        <v>4.6055942336270063E-5</v>
      </c>
      <c r="L838" s="6">
        <f t="shared" si="64"/>
        <v>4.7159495406820737E-5</v>
      </c>
    </row>
    <row r="839" spans="1:12" ht="22.95" customHeight="1">
      <c r="A839" s="5">
        <v>5</v>
      </c>
      <c r="B839" s="7" t="s">
        <v>214</v>
      </c>
      <c r="C839" s="7" t="s">
        <v>303</v>
      </c>
      <c r="D839" s="5">
        <v>9</v>
      </c>
      <c r="E839" s="5">
        <v>3</v>
      </c>
      <c r="F839" s="5">
        <v>6</v>
      </c>
      <c r="G839" s="5">
        <v>2</v>
      </c>
      <c r="H839" s="6">
        <f t="shared" si="60"/>
        <v>3.8027842296002809E-6</v>
      </c>
      <c r="I839" s="6">
        <f t="shared" si="61"/>
        <v>0.66666666666666663</v>
      </c>
      <c r="J839" s="6">
        <f t="shared" si="62"/>
        <v>0.66666666666666663</v>
      </c>
      <c r="K839" s="6">
        <f t="shared" si="63"/>
        <v>2.5351894864001871E-6</v>
      </c>
      <c r="L839" s="6">
        <f t="shared" si="64"/>
        <v>2.5351894864001871E-6</v>
      </c>
    </row>
    <row r="840" spans="1:12" ht="22.95" customHeight="1">
      <c r="A840" s="5">
        <v>5</v>
      </c>
      <c r="B840" s="7" t="s">
        <v>138</v>
      </c>
      <c r="C840" s="7" t="s">
        <v>303</v>
      </c>
      <c r="D840" s="5">
        <v>243</v>
      </c>
      <c r="E840" s="5">
        <v>303</v>
      </c>
      <c r="F840" s="5">
        <v>117</v>
      </c>
      <c r="G840" s="5">
        <v>165</v>
      </c>
      <c r="H840" s="6">
        <f t="shared" si="60"/>
        <v>1.0267517419920758E-4</v>
      </c>
      <c r="I840" s="6">
        <f t="shared" si="61"/>
        <v>0.48148148148148145</v>
      </c>
      <c r="J840" s="6">
        <f t="shared" si="62"/>
        <v>0.54455445544554459</v>
      </c>
      <c r="K840" s="6">
        <f t="shared" si="63"/>
        <v>4.9436194984803645E-5</v>
      </c>
      <c r="L840" s="6">
        <f t="shared" si="64"/>
        <v>5.5912223573825912E-5</v>
      </c>
    </row>
    <row r="841" spans="1:12" ht="22.95" customHeight="1">
      <c r="A841" s="5">
        <v>5</v>
      </c>
      <c r="B841" s="7" t="s">
        <v>168</v>
      </c>
      <c r="C841" s="7" t="s">
        <v>303</v>
      </c>
      <c r="D841" s="5">
        <v>135</v>
      </c>
      <c r="E841" s="5">
        <v>191</v>
      </c>
      <c r="F841" s="5">
        <v>83</v>
      </c>
      <c r="G841" s="5">
        <v>124</v>
      </c>
      <c r="H841" s="6">
        <f t="shared" si="60"/>
        <v>5.7041763444004214E-5</v>
      </c>
      <c r="I841" s="6">
        <f t="shared" si="61"/>
        <v>0.61481481481481481</v>
      </c>
      <c r="J841" s="6">
        <f t="shared" si="62"/>
        <v>0.64921465968586389</v>
      </c>
      <c r="K841" s="6">
        <f t="shared" si="63"/>
        <v>3.5070121228535926E-5</v>
      </c>
      <c r="L841" s="6">
        <f t="shared" si="64"/>
        <v>3.7032349042180745E-5</v>
      </c>
    </row>
    <row r="842" spans="1:12" ht="22.95" customHeight="1">
      <c r="A842" s="5">
        <v>5</v>
      </c>
      <c r="B842" s="7" t="s">
        <v>165</v>
      </c>
      <c r="C842" s="7" t="s">
        <v>293</v>
      </c>
      <c r="D842" s="5">
        <v>24</v>
      </c>
      <c r="E842" s="5">
        <v>38</v>
      </c>
      <c r="F842" s="5">
        <v>13</v>
      </c>
      <c r="G842" s="5">
        <v>20</v>
      </c>
      <c r="H842" s="6">
        <f t="shared" si="60"/>
        <v>1.0140757945600749E-5</v>
      </c>
      <c r="I842" s="6">
        <f t="shared" si="61"/>
        <v>0.54166666666666663</v>
      </c>
      <c r="J842" s="6">
        <f t="shared" si="62"/>
        <v>0.52631578947368418</v>
      </c>
      <c r="K842" s="6">
        <f t="shared" si="63"/>
        <v>5.4929105538670721E-6</v>
      </c>
      <c r="L842" s="6">
        <f t="shared" si="64"/>
        <v>5.3372410240003939E-6</v>
      </c>
    </row>
    <row r="843" spans="1:12" ht="22.95" customHeight="1">
      <c r="A843" s="5">
        <v>5</v>
      </c>
      <c r="B843" s="7" t="s">
        <v>149</v>
      </c>
      <c r="C843" s="7" t="s">
        <v>295</v>
      </c>
      <c r="D843" s="5">
        <v>120</v>
      </c>
      <c r="E843" s="5">
        <v>176</v>
      </c>
      <c r="F843" s="5">
        <v>84</v>
      </c>
      <c r="G843" s="5">
        <v>120</v>
      </c>
      <c r="H843" s="6">
        <f t="shared" si="60"/>
        <v>5.0703789728003748E-5</v>
      </c>
      <c r="I843" s="6">
        <f t="shared" si="61"/>
        <v>0.7</v>
      </c>
      <c r="J843" s="6">
        <f t="shared" si="62"/>
        <v>0.68181818181818177</v>
      </c>
      <c r="K843" s="6">
        <f t="shared" si="63"/>
        <v>3.5492652809602624E-5</v>
      </c>
      <c r="L843" s="6">
        <f t="shared" si="64"/>
        <v>3.4570765723638917E-5</v>
      </c>
    </row>
    <row r="844" spans="1:12" ht="22.95" customHeight="1">
      <c r="A844" s="5">
        <v>5</v>
      </c>
      <c r="B844" s="7" t="s">
        <v>278</v>
      </c>
      <c r="C844" s="7" t="s">
        <v>292</v>
      </c>
      <c r="D844" s="5">
        <v>3351</v>
      </c>
      <c r="E844" s="5">
        <v>2731</v>
      </c>
      <c r="F844" s="5">
        <v>2567</v>
      </c>
      <c r="G844" s="5">
        <v>2136</v>
      </c>
      <c r="H844" s="6">
        <f t="shared" si="60"/>
        <v>1.4159033281545047E-3</v>
      </c>
      <c r="I844" s="6">
        <f t="shared" si="61"/>
        <v>0.76603998806326468</v>
      </c>
      <c r="J844" s="6">
        <f t="shared" si="62"/>
        <v>0.78213108751373128</v>
      </c>
      <c r="K844" s="6">
        <f t="shared" si="63"/>
        <v>1.0846385685982134E-3</v>
      </c>
      <c r="L844" s="6">
        <f t="shared" si="64"/>
        <v>1.1074220098637943E-3</v>
      </c>
    </row>
    <row r="845" spans="1:12" ht="22.95" customHeight="1">
      <c r="A845" s="5">
        <v>5</v>
      </c>
      <c r="B845" s="7" t="s">
        <v>127</v>
      </c>
      <c r="C845" s="7" t="s">
        <v>293</v>
      </c>
      <c r="D845" s="5">
        <v>505</v>
      </c>
      <c r="E845" s="5">
        <v>714</v>
      </c>
      <c r="F845" s="5">
        <v>250</v>
      </c>
      <c r="G845" s="5">
        <v>376</v>
      </c>
      <c r="H845" s="6">
        <f t="shared" si="60"/>
        <v>2.1337844843868242E-4</v>
      </c>
      <c r="I845" s="6">
        <f t="shared" si="61"/>
        <v>0.49504950495049505</v>
      </c>
      <c r="J845" s="6">
        <f t="shared" si="62"/>
        <v>0.5266106442577031</v>
      </c>
      <c r="K845" s="6">
        <f t="shared" si="63"/>
        <v>1.0563289526667447E-4</v>
      </c>
      <c r="L845" s="6">
        <f t="shared" si="64"/>
        <v>1.1236736220300362E-4</v>
      </c>
    </row>
    <row r="846" spans="1:12" ht="22.95" customHeight="1">
      <c r="A846" s="5">
        <v>5</v>
      </c>
      <c r="B846" s="7" t="s">
        <v>96</v>
      </c>
      <c r="C846" s="7" t="s">
        <v>290</v>
      </c>
      <c r="D846" s="5">
        <v>2900</v>
      </c>
      <c r="E846" s="5">
        <v>3289</v>
      </c>
      <c r="F846" s="5">
        <v>986</v>
      </c>
      <c r="G846" s="5">
        <v>1296</v>
      </c>
      <c r="H846" s="6">
        <f t="shared" si="60"/>
        <v>1.2253415850934238E-3</v>
      </c>
      <c r="I846" s="6">
        <f t="shared" si="61"/>
        <v>0.34</v>
      </c>
      <c r="J846" s="6">
        <f t="shared" si="62"/>
        <v>0.3940407418668288</v>
      </c>
      <c r="K846" s="6">
        <f t="shared" si="63"/>
        <v>4.1661613893176412E-4</v>
      </c>
      <c r="L846" s="6">
        <f t="shared" si="64"/>
        <v>4.8283450723048864E-4</v>
      </c>
    </row>
    <row r="847" spans="1:12" ht="22.95" customHeight="1">
      <c r="A847" s="5">
        <v>5</v>
      </c>
      <c r="B847" s="7" t="s">
        <v>115</v>
      </c>
      <c r="C847" s="7" t="s">
        <v>294</v>
      </c>
      <c r="D847" s="5">
        <v>328</v>
      </c>
      <c r="E847" s="5">
        <v>541</v>
      </c>
      <c r="F847" s="5">
        <v>119</v>
      </c>
      <c r="G847" s="5">
        <v>235</v>
      </c>
      <c r="H847" s="6">
        <f t="shared" si="60"/>
        <v>1.3859035858987691E-4</v>
      </c>
      <c r="I847" s="6">
        <f t="shared" si="61"/>
        <v>0.36280487804878048</v>
      </c>
      <c r="J847" s="6">
        <f t="shared" si="62"/>
        <v>0.43438077634011091</v>
      </c>
      <c r="K847" s="6">
        <f t="shared" si="63"/>
        <v>5.0281258146937049E-5</v>
      </c>
      <c r="L847" s="6">
        <f t="shared" si="64"/>
        <v>6.0200987557525088E-5</v>
      </c>
    </row>
    <row r="848" spans="1:12" ht="22.95" customHeight="1">
      <c r="A848" s="5">
        <v>5</v>
      </c>
      <c r="B848" s="7" t="s">
        <v>256</v>
      </c>
      <c r="C848" s="7" t="s">
        <v>294</v>
      </c>
      <c r="D848" s="5">
        <v>100</v>
      </c>
      <c r="E848" s="5">
        <v>109</v>
      </c>
      <c r="F848" s="5">
        <v>33</v>
      </c>
      <c r="G848" s="5">
        <v>41</v>
      </c>
      <c r="H848" s="6">
        <f t="shared" si="60"/>
        <v>4.2253158106669789E-5</v>
      </c>
      <c r="I848" s="6">
        <f t="shared" si="61"/>
        <v>0.33</v>
      </c>
      <c r="J848" s="6">
        <f t="shared" si="62"/>
        <v>0.37614678899082571</v>
      </c>
      <c r="K848" s="6">
        <f t="shared" si="63"/>
        <v>1.3943542175201031E-5</v>
      </c>
      <c r="L848" s="6">
        <f t="shared" si="64"/>
        <v>1.5893389746545518E-5</v>
      </c>
    </row>
    <row r="849" spans="1:12" ht="22.95" customHeight="1">
      <c r="A849" s="5">
        <v>5</v>
      </c>
      <c r="B849" s="7" t="s">
        <v>277</v>
      </c>
      <c r="C849" s="7" t="s">
        <v>294</v>
      </c>
      <c r="D849" s="5">
        <v>3574</v>
      </c>
      <c r="E849" s="5">
        <v>6308</v>
      </c>
      <c r="F849" s="5">
        <v>1179</v>
      </c>
      <c r="G849" s="5">
        <v>1871</v>
      </c>
      <c r="H849" s="6">
        <f t="shared" si="60"/>
        <v>1.5101278707323781E-3</v>
      </c>
      <c r="I849" s="6">
        <f t="shared" si="61"/>
        <v>0.32988248461108</v>
      </c>
      <c r="J849" s="6">
        <f t="shared" si="62"/>
        <v>0.29660748256182623</v>
      </c>
      <c r="K849" s="6">
        <f t="shared" si="63"/>
        <v>4.9816473407763673E-4</v>
      </c>
      <c r="L849" s="6">
        <f t="shared" si="64"/>
        <v>4.4791522608438164E-4</v>
      </c>
    </row>
    <row r="850" spans="1:12" ht="22.95" customHeight="1">
      <c r="A850" s="5">
        <v>5</v>
      </c>
      <c r="B850" s="7" t="s">
        <v>225</v>
      </c>
      <c r="C850" s="7" t="s">
        <v>291</v>
      </c>
      <c r="D850" s="5">
        <v>2</v>
      </c>
      <c r="E850" s="5">
        <v>3</v>
      </c>
      <c r="F850" s="5">
        <v>2</v>
      </c>
      <c r="G850" s="5">
        <v>1</v>
      </c>
      <c r="H850" s="6">
        <f t="shared" si="60"/>
        <v>8.4506316213339578E-7</v>
      </c>
      <c r="I850" s="6">
        <f t="shared" si="61"/>
        <v>1</v>
      </c>
      <c r="J850" s="6">
        <f t="shared" si="62"/>
        <v>0.33333333333333331</v>
      </c>
      <c r="K850" s="6">
        <f t="shared" si="63"/>
        <v>8.4506316213339578E-7</v>
      </c>
      <c r="L850" s="6">
        <f t="shared" si="64"/>
        <v>2.8168772071113193E-7</v>
      </c>
    </row>
    <row r="851" spans="1:12" ht="22.95" customHeight="1">
      <c r="A851" s="5">
        <v>5</v>
      </c>
      <c r="B851" s="7" t="s">
        <v>128</v>
      </c>
      <c r="C851" s="7" t="s">
        <v>293</v>
      </c>
      <c r="D851" s="5">
        <v>78</v>
      </c>
      <c r="E851" s="5">
        <v>144</v>
      </c>
      <c r="F851" s="5">
        <v>22</v>
      </c>
      <c r="G851" s="5">
        <v>48</v>
      </c>
      <c r="H851" s="6">
        <f t="shared" si="60"/>
        <v>3.2957463323202432E-5</v>
      </c>
      <c r="I851" s="6">
        <f t="shared" si="61"/>
        <v>0.28205128205128205</v>
      </c>
      <c r="J851" s="6">
        <f t="shared" si="62"/>
        <v>0.33333333333333331</v>
      </c>
      <c r="K851" s="6">
        <f t="shared" si="63"/>
        <v>9.295694783467353E-6</v>
      </c>
      <c r="L851" s="6">
        <f t="shared" si="64"/>
        <v>1.0985821107734144E-5</v>
      </c>
    </row>
    <row r="852" spans="1:12" ht="22.95" customHeight="1">
      <c r="A852" s="5">
        <v>6</v>
      </c>
      <c r="B852" s="7" t="s">
        <v>172</v>
      </c>
      <c r="C852" s="7" t="s">
        <v>296</v>
      </c>
      <c r="D852" s="5">
        <v>2</v>
      </c>
      <c r="E852" s="5">
        <v>18</v>
      </c>
      <c r="F852" s="5">
        <v>0</v>
      </c>
      <c r="G852" s="5">
        <v>0</v>
      </c>
      <c r="H852" s="6">
        <f t="shared" si="60"/>
        <v>8.4506316213339578E-7</v>
      </c>
      <c r="I852" s="6">
        <f t="shared" si="61"/>
        <v>0</v>
      </c>
      <c r="J852" s="6">
        <f t="shared" si="62"/>
        <v>0</v>
      </c>
      <c r="K852" s="6">
        <f t="shared" si="63"/>
        <v>0</v>
      </c>
      <c r="L852" s="6">
        <f t="shared" si="64"/>
        <v>0</v>
      </c>
    </row>
    <row r="853" spans="1:12" ht="22.95" customHeight="1">
      <c r="A853" s="5">
        <v>6</v>
      </c>
      <c r="B853" s="7" t="s">
        <v>112</v>
      </c>
      <c r="C853" s="7" t="s">
        <v>290</v>
      </c>
      <c r="D853" s="5">
        <v>1828</v>
      </c>
      <c r="E853" s="5">
        <v>2116</v>
      </c>
      <c r="F853" s="5">
        <v>457</v>
      </c>
      <c r="G853" s="5">
        <v>785</v>
      </c>
      <c r="H853" s="6">
        <f t="shared" si="60"/>
        <v>7.7238773018992375E-4</v>
      </c>
      <c r="I853" s="6">
        <f t="shared" si="61"/>
        <v>0.25</v>
      </c>
      <c r="J853" s="6">
        <f t="shared" si="62"/>
        <v>0.37098298676748581</v>
      </c>
      <c r="K853" s="6">
        <f t="shared" si="63"/>
        <v>1.9309693254748094E-4</v>
      </c>
      <c r="L853" s="6">
        <f t="shared" si="64"/>
        <v>2.8654270708841688E-4</v>
      </c>
    </row>
    <row r="854" spans="1:12" ht="22.95" customHeight="1">
      <c r="A854" s="5">
        <v>6</v>
      </c>
      <c r="B854" s="7" t="s">
        <v>179</v>
      </c>
      <c r="C854" s="7" t="s">
        <v>292</v>
      </c>
      <c r="D854" s="5">
        <v>171</v>
      </c>
      <c r="E854" s="5">
        <v>230</v>
      </c>
      <c r="F854" s="5">
        <v>114</v>
      </c>
      <c r="G854" s="5">
        <v>170</v>
      </c>
      <c r="H854" s="6">
        <f t="shared" si="60"/>
        <v>7.2252900362405331E-5</v>
      </c>
      <c r="I854" s="6">
        <f t="shared" si="61"/>
        <v>0.66666666666666663</v>
      </c>
      <c r="J854" s="6">
        <f t="shared" si="62"/>
        <v>0.73913043478260865</v>
      </c>
      <c r="K854" s="6">
        <f t="shared" si="63"/>
        <v>4.8168600241603549E-5</v>
      </c>
      <c r="L854" s="6">
        <f t="shared" si="64"/>
        <v>5.3404317659169157E-5</v>
      </c>
    </row>
    <row r="855" spans="1:12" ht="22.95" customHeight="1">
      <c r="A855" s="5">
        <v>6</v>
      </c>
      <c r="B855" s="7" t="s">
        <v>113</v>
      </c>
      <c r="C855" s="7" t="s">
        <v>295</v>
      </c>
      <c r="D855" s="5">
        <v>5943</v>
      </c>
      <c r="E855" s="5">
        <v>6834</v>
      </c>
      <c r="F855" s="5">
        <v>2316</v>
      </c>
      <c r="G855" s="5">
        <v>3905</v>
      </c>
      <c r="H855" s="6">
        <f t="shared" si="60"/>
        <v>2.5111051862793856E-3</v>
      </c>
      <c r="I855" s="6">
        <f t="shared" si="61"/>
        <v>0.38970217062089851</v>
      </c>
      <c r="J855" s="6">
        <f t="shared" si="62"/>
        <v>0.57140766754462979</v>
      </c>
      <c r="K855" s="6">
        <f t="shared" si="63"/>
        <v>9.7858314175047235E-4</v>
      </c>
      <c r="L855" s="6">
        <f t="shared" si="64"/>
        <v>1.4348647574511269E-3</v>
      </c>
    </row>
    <row r="856" spans="1:12" ht="22.95" customHeight="1">
      <c r="A856" s="5">
        <v>6</v>
      </c>
      <c r="B856" s="7" t="s">
        <v>262</v>
      </c>
      <c r="C856" s="7" t="s">
        <v>294</v>
      </c>
      <c r="D856" s="5">
        <v>860</v>
      </c>
      <c r="E856" s="5">
        <v>769</v>
      </c>
      <c r="F856" s="5">
        <v>645</v>
      </c>
      <c r="G856" s="5">
        <v>530</v>
      </c>
      <c r="H856" s="6">
        <f t="shared" si="60"/>
        <v>3.6337715971736017E-4</v>
      </c>
      <c r="I856" s="6">
        <f t="shared" si="61"/>
        <v>0.75</v>
      </c>
      <c r="J856" s="6">
        <f t="shared" si="62"/>
        <v>0.68920676202860853</v>
      </c>
      <c r="K856" s="6">
        <f t="shared" si="63"/>
        <v>2.7253286978802012E-4</v>
      </c>
      <c r="L856" s="6">
        <f t="shared" si="64"/>
        <v>2.5044199564395434E-4</v>
      </c>
    </row>
    <row r="857" spans="1:12" ht="22.95" customHeight="1">
      <c r="A857" s="5">
        <v>6</v>
      </c>
      <c r="B857" s="7" t="s">
        <v>237</v>
      </c>
      <c r="C857" s="7" t="s">
        <v>303</v>
      </c>
      <c r="D857" s="5">
        <v>6</v>
      </c>
      <c r="E857" s="5">
        <v>8</v>
      </c>
      <c r="F857" s="5">
        <v>3</v>
      </c>
      <c r="G857" s="5">
        <v>7</v>
      </c>
      <c r="H857" s="6">
        <f t="shared" si="60"/>
        <v>2.5351894864001871E-6</v>
      </c>
      <c r="I857" s="6">
        <f t="shared" si="61"/>
        <v>0.5</v>
      </c>
      <c r="J857" s="6">
        <f t="shared" si="62"/>
        <v>0.875</v>
      </c>
      <c r="K857" s="6">
        <f t="shared" si="63"/>
        <v>1.2675947432000936E-6</v>
      </c>
      <c r="L857" s="6">
        <f t="shared" si="64"/>
        <v>2.2182908006001636E-6</v>
      </c>
    </row>
    <row r="858" spans="1:12" ht="22.95" customHeight="1">
      <c r="A858" s="5">
        <v>6</v>
      </c>
      <c r="B858" s="7" t="s">
        <v>148</v>
      </c>
      <c r="C858" s="7" t="s">
        <v>293</v>
      </c>
      <c r="D858" s="5">
        <v>514</v>
      </c>
      <c r="E858" s="5">
        <v>641</v>
      </c>
      <c r="F858" s="5">
        <v>259</v>
      </c>
      <c r="G858" s="5">
        <v>305</v>
      </c>
      <c r="H858" s="6">
        <f t="shared" si="60"/>
        <v>2.1718123266828272E-4</v>
      </c>
      <c r="I858" s="6">
        <f t="shared" si="61"/>
        <v>0.50389105058365757</v>
      </c>
      <c r="J858" s="6">
        <f t="shared" si="62"/>
        <v>0.47581903276131043</v>
      </c>
      <c r="K858" s="6">
        <f t="shared" si="63"/>
        <v>1.0943567949627476E-4</v>
      </c>
      <c r="L858" s="6">
        <f t="shared" si="64"/>
        <v>1.033389640621314E-4</v>
      </c>
    </row>
    <row r="859" spans="1:12" ht="22.95" customHeight="1">
      <c r="A859" s="5">
        <v>6</v>
      </c>
      <c r="B859" s="7" t="s">
        <v>132</v>
      </c>
      <c r="C859" s="7" t="s">
        <v>295</v>
      </c>
      <c r="D859" s="5">
        <v>968</v>
      </c>
      <c r="E859" s="5">
        <v>916</v>
      </c>
      <c r="F859" s="5">
        <v>623</v>
      </c>
      <c r="G859" s="5">
        <v>608</v>
      </c>
      <c r="H859" s="6">
        <f t="shared" si="60"/>
        <v>4.0901057047256357E-4</v>
      </c>
      <c r="I859" s="6">
        <f t="shared" si="61"/>
        <v>0.64359504132231404</v>
      </c>
      <c r="J859" s="6">
        <f t="shared" si="62"/>
        <v>0.66375545851528384</v>
      </c>
      <c r="K859" s="6">
        <f t="shared" si="63"/>
        <v>2.6323717500455277E-4</v>
      </c>
      <c r="L859" s="6">
        <f t="shared" si="64"/>
        <v>2.7148299874161423E-4</v>
      </c>
    </row>
    <row r="860" spans="1:12" ht="22.95" customHeight="1">
      <c r="A860" s="5">
        <v>6</v>
      </c>
      <c r="B860" s="7" t="s">
        <v>164</v>
      </c>
      <c r="C860" s="7" t="s">
        <v>294</v>
      </c>
      <c r="D860" s="5">
        <v>76</v>
      </c>
      <c r="E860" s="5">
        <v>103</v>
      </c>
      <c r="F860" s="5">
        <v>33</v>
      </c>
      <c r="G860" s="5">
        <v>44</v>
      </c>
      <c r="H860" s="6">
        <f t="shared" si="60"/>
        <v>3.2112400161069042E-5</v>
      </c>
      <c r="I860" s="6">
        <f t="shared" si="61"/>
        <v>0.43421052631578949</v>
      </c>
      <c r="J860" s="6">
        <f t="shared" si="62"/>
        <v>0.42718446601941745</v>
      </c>
      <c r="K860" s="6">
        <f t="shared" si="63"/>
        <v>1.3943542175201031E-5</v>
      </c>
      <c r="L860" s="6">
        <f t="shared" si="64"/>
        <v>1.3717918515408134E-5</v>
      </c>
    </row>
    <row r="861" spans="1:12" ht="22.95" customHeight="1">
      <c r="A861" s="5">
        <v>6</v>
      </c>
      <c r="B861" s="7" t="s">
        <v>164</v>
      </c>
      <c r="C861" s="7" t="s">
        <v>303</v>
      </c>
      <c r="D861" s="5">
        <v>55</v>
      </c>
      <c r="E861" s="5">
        <v>64</v>
      </c>
      <c r="F861" s="5">
        <v>19</v>
      </c>
      <c r="G861" s="5">
        <v>18</v>
      </c>
      <c r="H861" s="6">
        <f t="shared" si="60"/>
        <v>2.3239236958668384E-5</v>
      </c>
      <c r="I861" s="6">
        <f t="shared" si="61"/>
        <v>0.34545454545454546</v>
      </c>
      <c r="J861" s="6">
        <f t="shared" si="62"/>
        <v>0.28125</v>
      </c>
      <c r="K861" s="6">
        <f t="shared" si="63"/>
        <v>8.0281000402672605E-6</v>
      </c>
      <c r="L861" s="6">
        <f t="shared" si="64"/>
        <v>6.5360353946254831E-6</v>
      </c>
    </row>
    <row r="862" spans="1:12" ht="22.95" customHeight="1">
      <c r="A862" s="5">
        <v>6</v>
      </c>
      <c r="B862" s="7" t="s">
        <v>199</v>
      </c>
      <c r="C862" s="7" t="s">
        <v>296</v>
      </c>
      <c r="D862" s="5">
        <v>41</v>
      </c>
      <c r="E862" s="5">
        <v>29</v>
      </c>
      <c r="F862" s="5">
        <v>0</v>
      </c>
      <c r="G862" s="5">
        <v>0</v>
      </c>
      <c r="H862" s="6">
        <f t="shared" ref="H862:H925" si="65">D862/$B$16</f>
        <v>1.7323794823734613E-5</v>
      </c>
      <c r="I862" s="6">
        <f t="shared" ref="I862:I925" si="66">F862/D862</f>
        <v>0</v>
      </c>
      <c r="J862" s="6">
        <f t="shared" ref="J862:J925" si="67">G862/E862</f>
        <v>0</v>
      </c>
      <c r="K862" s="6">
        <f t="shared" ref="K862:K925" si="68">H862*I862</f>
        <v>0</v>
      </c>
      <c r="L862" s="6">
        <f t="shared" ref="L862:L925" si="69">H862*J862</f>
        <v>0</v>
      </c>
    </row>
    <row r="863" spans="1:12" ht="22.95" customHeight="1">
      <c r="A863" s="5">
        <v>6</v>
      </c>
      <c r="B863" s="7" t="s">
        <v>196</v>
      </c>
      <c r="C863" s="7" t="s">
        <v>303</v>
      </c>
      <c r="D863" s="5">
        <v>34</v>
      </c>
      <c r="E863" s="5">
        <v>57</v>
      </c>
      <c r="F863" s="5">
        <v>22</v>
      </c>
      <c r="G863" s="5">
        <v>34</v>
      </c>
      <c r="H863" s="6">
        <f t="shared" si="65"/>
        <v>1.4366073756267728E-5</v>
      </c>
      <c r="I863" s="6">
        <f t="shared" si="66"/>
        <v>0.6470588235294118</v>
      </c>
      <c r="J863" s="6">
        <f t="shared" si="67"/>
        <v>0.59649122807017541</v>
      </c>
      <c r="K863" s="6">
        <f t="shared" si="68"/>
        <v>9.2956947834673547E-6</v>
      </c>
      <c r="L863" s="6">
        <f t="shared" si="69"/>
        <v>8.5692369774228556E-6</v>
      </c>
    </row>
    <row r="864" spans="1:12" ht="22.95" customHeight="1">
      <c r="A864" s="5">
        <v>6</v>
      </c>
      <c r="B864" s="7" t="s">
        <v>187</v>
      </c>
      <c r="C864" s="7" t="s">
        <v>291</v>
      </c>
      <c r="D864" s="5">
        <v>11</v>
      </c>
      <c r="E864" s="5">
        <v>12</v>
      </c>
      <c r="F864" s="5">
        <v>7</v>
      </c>
      <c r="G864" s="5">
        <v>10</v>
      </c>
      <c r="H864" s="6">
        <f t="shared" si="65"/>
        <v>4.6478473917336765E-6</v>
      </c>
      <c r="I864" s="6">
        <f t="shared" si="66"/>
        <v>0.63636363636363635</v>
      </c>
      <c r="J864" s="6">
        <f t="shared" si="67"/>
        <v>0.83333333333333337</v>
      </c>
      <c r="K864" s="6">
        <f t="shared" si="68"/>
        <v>2.9577210674668849E-6</v>
      </c>
      <c r="L864" s="6">
        <f t="shared" si="69"/>
        <v>3.8732061597780637E-6</v>
      </c>
    </row>
    <row r="865" spans="1:12" ht="22.95" customHeight="1">
      <c r="A865" s="5">
        <v>6</v>
      </c>
      <c r="B865" s="7" t="s">
        <v>167</v>
      </c>
      <c r="C865" s="7" t="s">
        <v>291</v>
      </c>
      <c r="D865" s="5">
        <v>54</v>
      </c>
      <c r="E865" s="5">
        <v>104</v>
      </c>
      <c r="F865" s="5">
        <v>36</v>
      </c>
      <c r="G865" s="5">
        <v>80</v>
      </c>
      <c r="H865" s="6">
        <f t="shared" si="65"/>
        <v>2.2816705377601686E-5</v>
      </c>
      <c r="I865" s="6">
        <f t="shared" si="66"/>
        <v>0.66666666666666663</v>
      </c>
      <c r="J865" s="6">
        <f t="shared" si="67"/>
        <v>0.76923076923076927</v>
      </c>
      <c r="K865" s="6">
        <f t="shared" si="68"/>
        <v>1.5211136918401124E-5</v>
      </c>
      <c r="L865" s="6">
        <f t="shared" si="69"/>
        <v>1.7551311828924375E-5</v>
      </c>
    </row>
    <row r="866" spans="1:12" ht="22.95" customHeight="1">
      <c r="A866" s="5">
        <v>6</v>
      </c>
      <c r="B866" s="7" t="s">
        <v>89</v>
      </c>
      <c r="C866" s="7" t="s">
        <v>295</v>
      </c>
      <c r="D866" s="5">
        <v>14254</v>
      </c>
      <c r="E866" s="5">
        <v>16688</v>
      </c>
      <c r="F866" s="5">
        <v>4848</v>
      </c>
      <c r="G866" s="5">
        <v>10038</v>
      </c>
      <c r="H866" s="6">
        <f t="shared" si="65"/>
        <v>6.0227651565247118E-3</v>
      </c>
      <c r="I866" s="6">
        <f t="shared" si="66"/>
        <v>0.34011505542303916</v>
      </c>
      <c r="J866" s="6">
        <f t="shared" si="67"/>
        <v>0.60151006711409394</v>
      </c>
      <c r="K866" s="6">
        <f t="shared" si="68"/>
        <v>2.0484331050113513E-3</v>
      </c>
      <c r="L866" s="6">
        <f t="shared" si="69"/>
        <v>3.6227538735136059E-3</v>
      </c>
    </row>
    <row r="867" spans="1:12" ht="22.95" customHeight="1">
      <c r="A867" s="5">
        <v>6</v>
      </c>
      <c r="B867" s="7" t="s">
        <v>158</v>
      </c>
      <c r="C867" s="7" t="s">
        <v>296</v>
      </c>
      <c r="D867" s="5">
        <v>179</v>
      </c>
      <c r="E867" s="5">
        <v>192</v>
      </c>
      <c r="F867" s="5">
        <v>0</v>
      </c>
      <c r="G867" s="5">
        <v>0</v>
      </c>
      <c r="H867" s="6">
        <f t="shared" si="65"/>
        <v>7.563315301093892E-5</v>
      </c>
      <c r="I867" s="6">
        <f t="shared" si="66"/>
        <v>0</v>
      </c>
      <c r="J867" s="6">
        <f t="shared" si="67"/>
        <v>0</v>
      </c>
      <c r="K867" s="6">
        <f t="shared" si="68"/>
        <v>0</v>
      </c>
      <c r="L867" s="6">
        <f t="shared" si="69"/>
        <v>0</v>
      </c>
    </row>
    <row r="868" spans="1:12" ht="22.95" customHeight="1">
      <c r="A868" s="5">
        <v>6</v>
      </c>
      <c r="B868" s="7" t="s">
        <v>238</v>
      </c>
      <c r="C868" s="7" t="s">
        <v>296</v>
      </c>
      <c r="D868" s="5">
        <v>1</v>
      </c>
      <c r="E868" s="5">
        <v>2</v>
      </c>
      <c r="F868" s="5">
        <v>0</v>
      </c>
      <c r="G868" s="5">
        <v>0</v>
      </c>
      <c r="H868" s="6">
        <f t="shared" si="65"/>
        <v>4.2253158106669789E-7</v>
      </c>
      <c r="I868" s="6">
        <f t="shared" si="66"/>
        <v>0</v>
      </c>
      <c r="J868" s="6">
        <f t="shared" si="67"/>
        <v>0</v>
      </c>
      <c r="K868" s="6">
        <f t="shared" si="68"/>
        <v>0</v>
      </c>
      <c r="L868" s="6">
        <f t="shared" si="69"/>
        <v>0</v>
      </c>
    </row>
    <row r="869" spans="1:12" ht="22.95" customHeight="1">
      <c r="A869" s="5">
        <v>6</v>
      </c>
      <c r="B869" s="7" t="s">
        <v>150</v>
      </c>
      <c r="C869" s="7" t="s">
        <v>291</v>
      </c>
      <c r="D869" s="5">
        <v>9</v>
      </c>
      <c r="E869" s="5">
        <v>27</v>
      </c>
      <c r="F869" s="5">
        <v>4</v>
      </c>
      <c r="G869" s="5">
        <v>11</v>
      </c>
      <c r="H869" s="6">
        <f t="shared" si="65"/>
        <v>3.8027842296002809E-6</v>
      </c>
      <c r="I869" s="6">
        <f t="shared" si="66"/>
        <v>0.44444444444444442</v>
      </c>
      <c r="J869" s="6">
        <f t="shared" si="67"/>
        <v>0.40740740740740738</v>
      </c>
      <c r="K869" s="6">
        <f t="shared" si="68"/>
        <v>1.6901263242667914E-6</v>
      </c>
      <c r="L869" s="6">
        <f t="shared" si="69"/>
        <v>1.5492824639112255E-6</v>
      </c>
    </row>
    <row r="870" spans="1:12" ht="22.95" customHeight="1">
      <c r="A870" s="5">
        <v>6</v>
      </c>
      <c r="B870" s="7" t="s">
        <v>259</v>
      </c>
      <c r="C870" s="7" t="s">
        <v>291</v>
      </c>
      <c r="D870" s="5">
        <v>262</v>
      </c>
      <c r="E870" s="5">
        <v>251</v>
      </c>
      <c r="F870" s="5">
        <v>37</v>
      </c>
      <c r="G870" s="5">
        <v>55</v>
      </c>
      <c r="H870" s="6">
        <f t="shared" si="65"/>
        <v>1.1070327423947484E-4</v>
      </c>
      <c r="I870" s="6">
        <f t="shared" si="66"/>
        <v>0.14122137404580154</v>
      </c>
      <c r="J870" s="6">
        <f t="shared" si="67"/>
        <v>0.21912350597609562</v>
      </c>
      <c r="K870" s="6">
        <f t="shared" si="68"/>
        <v>1.5633668499467822E-5</v>
      </c>
      <c r="L870" s="6">
        <f t="shared" si="69"/>
        <v>2.4257689574386916E-5</v>
      </c>
    </row>
    <row r="871" spans="1:12" ht="22.95" customHeight="1">
      <c r="A871" s="5">
        <v>6</v>
      </c>
      <c r="B871" s="7" t="s">
        <v>198</v>
      </c>
      <c r="C871" s="7" t="s">
        <v>303</v>
      </c>
      <c r="D871" s="5">
        <v>5</v>
      </c>
      <c r="E871" s="5">
        <v>5</v>
      </c>
      <c r="F871" s="5">
        <v>3</v>
      </c>
      <c r="G871" s="5">
        <v>4</v>
      </c>
      <c r="H871" s="6">
        <f t="shared" si="65"/>
        <v>2.1126579053334894E-6</v>
      </c>
      <c r="I871" s="6">
        <f t="shared" si="66"/>
        <v>0.6</v>
      </c>
      <c r="J871" s="6">
        <f t="shared" si="67"/>
        <v>0.8</v>
      </c>
      <c r="K871" s="6">
        <f t="shared" si="68"/>
        <v>1.2675947432000936E-6</v>
      </c>
      <c r="L871" s="6">
        <f t="shared" si="69"/>
        <v>1.6901263242667916E-6</v>
      </c>
    </row>
    <row r="872" spans="1:12" ht="22.95" customHeight="1">
      <c r="A872" s="5">
        <v>6</v>
      </c>
      <c r="B872" s="7" t="s">
        <v>102</v>
      </c>
      <c r="C872" s="7" t="s">
        <v>296</v>
      </c>
      <c r="D872" s="5">
        <v>1832</v>
      </c>
      <c r="E872" s="5">
        <v>1971</v>
      </c>
      <c r="F872" s="5">
        <v>0</v>
      </c>
      <c r="G872" s="5">
        <v>0</v>
      </c>
      <c r="H872" s="6">
        <f t="shared" si="65"/>
        <v>7.7407785651419049E-4</v>
      </c>
      <c r="I872" s="6">
        <f t="shared" si="66"/>
        <v>0</v>
      </c>
      <c r="J872" s="6">
        <f t="shared" si="67"/>
        <v>0</v>
      </c>
      <c r="K872" s="6">
        <f t="shared" si="68"/>
        <v>0</v>
      </c>
      <c r="L872" s="6">
        <f t="shared" si="69"/>
        <v>0</v>
      </c>
    </row>
    <row r="873" spans="1:12" ht="22.95" customHeight="1">
      <c r="A873" s="5">
        <v>6</v>
      </c>
      <c r="B873" s="7" t="s">
        <v>131</v>
      </c>
      <c r="C873" s="7" t="s">
        <v>291</v>
      </c>
      <c r="D873" s="5">
        <v>86</v>
      </c>
      <c r="E873" s="5">
        <v>99</v>
      </c>
      <c r="F873" s="5">
        <v>44</v>
      </c>
      <c r="G873" s="5">
        <v>51</v>
      </c>
      <c r="H873" s="6">
        <f t="shared" si="65"/>
        <v>3.6337715971736015E-5</v>
      </c>
      <c r="I873" s="6">
        <f t="shared" si="66"/>
        <v>0.51162790697674421</v>
      </c>
      <c r="J873" s="6">
        <f t="shared" si="67"/>
        <v>0.51515151515151514</v>
      </c>
      <c r="K873" s="6">
        <f t="shared" si="68"/>
        <v>1.8591389566934706E-5</v>
      </c>
      <c r="L873" s="6">
        <f t="shared" si="69"/>
        <v>1.8719429439985218E-5</v>
      </c>
    </row>
    <row r="874" spans="1:12" ht="22.95" customHeight="1">
      <c r="A874" s="5">
        <v>6</v>
      </c>
      <c r="B874" s="7" t="s">
        <v>177</v>
      </c>
      <c r="C874" s="7" t="s">
        <v>291</v>
      </c>
      <c r="D874" s="5">
        <v>31</v>
      </c>
      <c r="E874" s="5">
        <v>29</v>
      </c>
      <c r="F874" s="5">
        <v>24</v>
      </c>
      <c r="G874" s="5">
        <v>15</v>
      </c>
      <c r="H874" s="6">
        <f t="shared" si="65"/>
        <v>1.3098479013067634E-5</v>
      </c>
      <c r="I874" s="6">
        <f t="shared" si="66"/>
        <v>0.77419354838709675</v>
      </c>
      <c r="J874" s="6">
        <f t="shared" si="67"/>
        <v>0.51724137931034486</v>
      </c>
      <c r="K874" s="6">
        <f t="shared" si="68"/>
        <v>1.0140757945600749E-5</v>
      </c>
      <c r="L874" s="6">
        <f t="shared" si="69"/>
        <v>6.7750753515867073E-6</v>
      </c>
    </row>
    <row r="875" spans="1:12" ht="22.95" customHeight="1">
      <c r="A875" s="5">
        <v>6</v>
      </c>
      <c r="B875" s="7" t="s">
        <v>258</v>
      </c>
      <c r="C875" s="7" t="s">
        <v>292</v>
      </c>
      <c r="D875" s="5">
        <v>135</v>
      </c>
      <c r="E875" s="5">
        <v>185</v>
      </c>
      <c r="F875" s="5">
        <v>74</v>
      </c>
      <c r="G875" s="5">
        <v>111</v>
      </c>
      <c r="H875" s="6">
        <f t="shared" si="65"/>
        <v>5.7041763444004214E-5</v>
      </c>
      <c r="I875" s="6">
        <f t="shared" si="66"/>
        <v>0.54814814814814816</v>
      </c>
      <c r="J875" s="6">
        <f t="shared" si="67"/>
        <v>0.6</v>
      </c>
      <c r="K875" s="6">
        <f t="shared" si="68"/>
        <v>3.1267336998935645E-5</v>
      </c>
      <c r="L875" s="6">
        <f t="shared" si="69"/>
        <v>3.4225058066402528E-5</v>
      </c>
    </row>
    <row r="876" spans="1:12" ht="22.95" customHeight="1">
      <c r="A876" s="5">
        <v>6</v>
      </c>
      <c r="B876" s="7" t="s">
        <v>183</v>
      </c>
      <c r="C876" s="7" t="s">
        <v>303</v>
      </c>
      <c r="D876" s="5">
        <v>131</v>
      </c>
      <c r="E876" s="5">
        <v>117</v>
      </c>
      <c r="F876" s="5">
        <v>88</v>
      </c>
      <c r="G876" s="5">
        <v>77</v>
      </c>
      <c r="H876" s="6">
        <f t="shared" si="65"/>
        <v>5.5351637119737419E-5</v>
      </c>
      <c r="I876" s="6">
        <f t="shared" si="66"/>
        <v>0.6717557251908397</v>
      </c>
      <c r="J876" s="6">
        <f t="shared" si="67"/>
        <v>0.65811965811965811</v>
      </c>
      <c r="K876" s="6">
        <f t="shared" si="68"/>
        <v>3.7182779133869412E-5</v>
      </c>
      <c r="L876" s="6">
        <f t="shared" si="69"/>
        <v>3.6428000497604966E-5</v>
      </c>
    </row>
    <row r="877" spans="1:12" ht="22.95" customHeight="1">
      <c r="A877" s="5">
        <v>6</v>
      </c>
      <c r="B877" s="7" t="s">
        <v>118</v>
      </c>
      <c r="C877" s="7" t="s">
        <v>299</v>
      </c>
      <c r="D877" s="5">
        <v>1685</v>
      </c>
      <c r="E877" s="5">
        <v>2064</v>
      </c>
      <c r="F877" s="5">
        <v>836</v>
      </c>
      <c r="G877" s="5">
        <v>1030</v>
      </c>
      <c r="H877" s="6">
        <f t="shared" si="65"/>
        <v>7.1196571409738588E-4</v>
      </c>
      <c r="I877" s="6">
        <f t="shared" si="66"/>
        <v>0.49614243323442137</v>
      </c>
      <c r="J877" s="6">
        <f t="shared" si="67"/>
        <v>0.49903100775193798</v>
      </c>
      <c r="K877" s="6">
        <f t="shared" si="68"/>
        <v>3.5323640177175941E-4</v>
      </c>
      <c r="L877" s="6">
        <f t="shared" si="69"/>
        <v>3.5529296779084665E-4</v>
      </c>
    </row>
    <row r="878" spans="1:12" ht="22.95" customHeight="1">
      <c r="A878" s="5">
        <v>6</v>
      </c>
      <c r="B878" s="7" t="s">
        <v>178</v>
      </c>
      <c r="C878" s="7" t="s">
        <v>303</v>
      </c>
      <c r="D878" s="5">
        <v>5</v>
      </c>
      <c r="E878" s="5">
        <v>2</v>
      </c>
      <c r="F878" s="5">
        <v>5</v>
      </c>
      <c r="G878" s="5">
        <v>2</v>
      </c>
      <c r="H878" s="6">
        <f t="shared" si="65"/>
        <v>2.1126579053334894E-6</v>
      </c>
      <c r="I878" s="6">
        <f t="shared" si="66"/>
        <v>1</v>
      </c>
      <c r="J878" s="6">
        <f t="shared" si="67"/>
        <v>1</v>
      </c>
      <c r="K878" s="6">
        <f t="shared" si="68"/>
        <v>2.1126579053334894E-6</v>
      </c>
      <c r="L878" s="6">
        <f t="shared" si="69"/>
        <v>2.1126579053334894E-6</v>
      </c>
    </row>
    <row r="879" spans="1:12" ht="22.95" customHeight="1">
      <c r="A879" s="5">
        <v>6</v>
      </c>
      <c r="B879" s="7" t="s">
        <v>223</v>
      </c>
      <c r="C879" s="7" t="s">
        <v>296</v>
      </c>
      <c r="D879" s="5">
        <v>3</v>
      </c>
      <c r="E879" s="5">
        <v>8</v>
      </c>
      <c r="F879" s="5">
        <v>0</v>
      </c>
      <c r="G879" s="5">
        <v>0</v>
      </c>
      <c r="H879" s="6">
        <f t="shared" si="65"/>
        <v>1.2675947432000936E-6</v>
      </c>
      <c r="I879" s="6">
        <f t="shared" si="66"/>
        <v>0</v>
      </c>
      <c r="J879" s="6">
        <f t="shared" si="67"/>
        <v>0</v>
      </c>
      <c r="K879" s="6">
        <f t="shared" si="68"/>
        <v>0</v>
      </c>
      <c r="L879" s="6">
        <f t="shared" si="69"/>
        <v>0</v>
      </c>
    </row>
    <row r="880" spans="1:12" ht="22.95" customHeight="1">
      <c r="A880" s="5">
        <v>6</v>
      </c>
      <c r="B880" s="7" t="s">
        <v>129</v>
      </c>
      <c r="C880" s="7" t="s">
        <v>291</v>
      </c>
      <c r="D880" s="5">
        <v>682</v>
      </c>
      <c r="E880" s="5">
        <v>810</v>
      </c>
      <c r="F880" s="5">
        <v>402</v>
      </c>
      <c r="G880" s="5">
        <v>427</v>
      </c>
      <c r="H880" s="6">
        <f t="shared" si="65"/>
        <v>2.8816653828748795E-4</v>
      </c>
      <c r="I880" s="6">
        <f t="shared" si="66"/>
        <v>0.58944281524926689</v>
      </c>
      <c r="J880" s="6">
        <f t="shared" si="67"/>
        <v>0.52716049382716046</v>
      </c>
      <c r="K880" s="6">
        <f t="shared" si="68"/>
        <v>1.6985769558881255E-4</v>
      </c>
      <c r="L880" s="6">
        <f t="shared" si="69"/>
        <v>1.519100146280955E-4</v>
      </c>
    </row>
    <row r="881" spans="1:12" ht="22.95" customHeight="1">
      <c r="A881" s="5">
        <v>6</v>
      </c>
      <c r="B881" s="7" t="s">
        <v>211</v>
      </c>
      <c r="C881" s="7" t="s">
        <v>291</v>
      </c>
      <c r="D881" s="5">
        <v>1</v>
      </c>
      <c r="E881" s="5">
        <v>1</v>
      </c>
      <c r="F881" s="5">
        <v>0</v>
      </c>
      <c r="G881" s="5">
        <v>0</v>
      </c>
      <c r="H881" s="6">
        <f t="shared" si="65"/>
        <v>4.2253158106669789E-7</v>
      </c>
      <c r="I881" s="6">
        <f t="shared" si="66"/>
        <v>0</v>
      </c>
      <c r="J881" s="6">
        <f t="shared" si="67"/>
        <v>0</v>
      </c>
      <c r="K881" s="6">
        <f t="shared" si="68"/>
        <v>0</v>
      </c>
      <c r="L881" s="6">
        <f t="shared" si="69"/>
        <v>0</v>
      </c>
    </row>
    <row r="882" spans="1:12" ht="22.95" customHeight="1">
      <c r="A882" s="5">
        <v>6</v>
      </c>
      <c r="B882" s="7" t="s">
        <v>205</v>
      </c>
      <c r="C882" s="7" t="s">
        <v>291</v>
      </c>
      <c r="D882" s="5">
        <v>1</v>
      </c>
      <c r="E882" s="5">
        <v>1</v>
      </c>
      <c r="F882" s="5">
        <v>0</v>
      </c>
      <c r="G882" s="5">
        <v>0</v>
      </c>
      <c r="H882" s="6">
        <f t="shared" si="65"/>
        <v>4.2253158106669789E-7</v>
      </c>
      <c r="I882" s="6">
        <f t="shared" si="66"/>
        <v>0</v>
      </c>
      <c r="J882" s="6">
        <f t="shared" si="67"/>
        <v>0</v>
      </c>
      <c r="K882" s="6">
        <f t="shared" si="68"/>
        <v>0</v>
      </c>
      <c r="L882" s="6">
        <f t="shared" si="69"/>
        <v>0</v>
      </c>
    </row>
    <row r="883" spans="1:12" ht="22.95" customHeight="1">
      <c r="A883" s="5">
        <v>6</v>
      </c>
      <c r="B883" s="7" t="s">
        <v>100</v>
      </c>
      <c r="C883" s="7" t="s">
        <v>290</v>
      </c>
      <c r="D883" s="5">
        <v>3389</v>
      </c>
      <c r="E883" s="5">
        <v>4012</v>
      </c>
      <c r="F883" s="5">
        <v>995</v>
      </c>
      <c r="G883" s="5">
        <v>1674</v>
      </c>
      <c r="H883" s="6">
        <f t="shared" si="65"/>
        <v>1.4319595282350391E-3</v>
      </c>
      <c r="I883" s="6">
        <f t="shared" si="66"/>
        <v>0.29359693124815578</v>
      </c>
      <c r="J883" s="6">
        <f t="shared" si="67"/>
        <v>0.41724825523429709</v>
      </c>
      <c r="K883" s="6">
        <f t="shared" si="68"/>
        <v>4.2041892316136434E-4</v>
      </c>
      <c r="L883" s="6">
        <f t="shared" si="69"/>
        <v>5.9748261472219728E-4</v>
      </c>
    </row>
    <row r="884" spans="1:12" ht="22.95" customHeight="1">
      <c r="A884" s="5">
        <v>6</v>
      </c>
      <c r="B884" s="7" t="s">
        <v>92</v>
      </c>
      <c r="C884" s="7" t="s">
        <v>293</v>
      </c>
      <c r="D884" s="5">
        <v>3671</v>
      </c>
      <c r="E884" s="5">
        <v>7592</v>
      </c>
      <c r="F884" s="5">
        <v>1091</v>
      </c>
      <c r="G884" s="5">
        <v>1458</v>
      </c>
      <c r="H884" s="6">
        <f t="shared" si="65"/>
        <v>1.5511134340958478E-3</v>
      </c>
      <c r="I884" s="6">
        <f t="shared" si="66"/>
        <v>0.29719422500681014</v>
      </c>
      <c r="J884" s="6">
        <f t="shared" si="67"/>
        <v>0.19204425711275025</v>
      </c>
      <c r="K884" s="6">
        <f t="shared" si="68"/>
        <v>4.6098195494376736E-4</v>
      </c>
      <c r="L884" s="6">
        <f t="shared" si="69"/>
        <v>2.9788242714854398E-4</v>
      </c>
    </row>
    <row r="885" spans="1:12" ht="22.95" customHeight="1">
      <c r="A885" s="5">
        <v>6</v>
      </c>
      <c r="B885" s="7" t="s">
        <v>173</v>
      </c>
      <c r="C885" s="7" t="s">
        <v>303</v>
      </c>
      <c r="D885" s="5">
        <v>142</v>
      </c>
      <c r="E885" s="5">
        <v>160</v>
      </c>
      <c r="F885" s="5">
        <v>66</v>
      </c>
      <c r="G885" s="5">
        <v>89</v>
      </c>
      <c r="H885" s="6">
        <f t="shared" si="65"/>
        <v>5.9999484511471098E-5</v>
      </c>
      <c r="I885" s="6">
        <f t="shared" si="66"/>
        <v>0.46478873239436619</v>
      </c>
      <c r="J885" s="6">
        <f t="shared" si="67"/>
        <v>0.55625000000000002</v>
      </c>
      <c r="K885" s="6">
        <f t="shared" si="68"/>
        <v>2.7887084350402059E-5</v>
      </c>
      <c r="L885" s="6">
        <f t="shared" si="69"/>
        <v>3.3374713259505802E-5</v>
      </c>
    </row>
    <row r="886" spans="1:12" ht="22.95" customHeight="1">
      <c r="A886" s="5">
        <v>6</v>
      </c>
      <c r="B886" s="7" t="s">
        <v>233</v>
      </c>
      <c r="C886" s="7" t="s">
        <v>292</v>
      </c>
      <c r="D886" s="5">
        <v>1046</v>
      </c>
      <c r="E886" s="5">
        <v>1217</v>
      </c>
      <c r="F886" s="5">
        <v>377</v>
      </c>
      <c r="G886" s="5">
        <v>435</v>
      </c>
      <c r="H886" s="6">
        <f t="shared" si="65"/>
        <v>4.4196803379576598E-4</v>
      </c>
      <c r="I886" s="6">
        <f t="shared" si="66"/>
        <v>0.36042065009560231</v>
      </c>
      <c r="J886" s="6">
        <f t="shared" si="67"/>
        <v>0.35743631881676252</v>
      </c>
      <c r="K886" s="6">
        <f t="shared" si="68"/>
        <v>1.592944060621451E-4</v>
      </c>
      <c r="L886" s="6">
        <f t="shared" si="69"/>
        <v>1.5797542703464108E-4</v>
      </c>
    </row>
    <row r="887" spans="1:12" ht="22.95" customHeight="1">
      <c r="A887" s="5">
        <v>6</v>
      </c>
      <c r="B887" s="7" t="s">
        <v>133</v>
      </c>
      <c r="C887" s="7" t="s">
        <v>293</v>
      </c>
      <c r="D887" s="5">
        <v>1280</v>
      </c>
      <c r="E887" s="5">
        <v>1703</v>
      </c>
      <c r="F887" s="5">
        <v>592</v>
      </c>
      <c r="G887" s="5">
        <v>572</v>
      </c>
      <c r="H887" s="6">
        <f t="shared" si="65"/>
        <v>5.4084042376537328E-4</v>
      </c>
      <c r="I887" s="6">
        <f t="shared" si="66"/>
        <v>0.46250000000000002</v>
      </c>
      <c r="J887" s="6">
        <f t="shared" si="67"/>
        <v>0.33587786259541985</v>
      </c>
      <c r="K887" s="6">
        <f t="shared" si="68"/>
        <v>2.5013869599148516E-4</v>
      </c>
      <c r="L887" s="6">
        <f t="shared" si="69"/>
        <v>1.8165632553951468E-4</v>
      </c>
    </row>
    <row r="888" spans="1:12" ht="22.95" customHeight="1">
      <c r="A888" s="5">
        <v>6</v>
      </c>
      <c r="B888" s="7" t="s">
        <v>210</v>
      </c>
      <c r="C888" s="7" t="s">
        <v>296</v>
      </c>
      <c r="D888" s="5">
        <v>4</v>
      </c>
      <c r="E888" s="5">
        <v>2</v>
      </c>
      <c r="F888" s="5">
        <v>0</v>
      </c>
      <c r="G888" s="5">
        <v>0</v>
      </c>
      <c r="H888" s="6">
        <f t="shared" si="65"/>
        <v>1.6901263242667916E-6</v>
      </c>
      <c r="I888" s="6">
        <f t="shared" si="66"/>
        <v>0</v>
      </c>
      <c r="J888" s="6">
        <f t="shared" si="67"/>
        <v>0</v>
      </c>
      <c r="K888" s="6">
        <f t="shared" si="68"/>
        <v>0</v>
      </c>
      <c r="L888" s="6">
        <f t="shared" si="69"/>
        <v>0</v>
      </c>
    </row>
    <row r="889" spans="1:12" ht="22.95" customHeight="1">
      <c r="A889" s="5">
        <v>6</v>
      </c>
      <c r="B889" s="7" t="s">
        <v>280</v>
      </c>
      <c r="C889" s="7" t="s">
        <v>292</v>
      </c>
      <c r="D889" s="5">
        <v>3864</v>
      </c>
      <c r="E889" s="5">
        <v>3218</v>
      </c>
      <c r="F889" s="5">
        <v>0</v>
      </c>
      <c r="G889" s="5">
        <v>0</v>
      </c>
      <c r="H889" s="6">
        <f t="shared" si="65"/>
        <v>1.6326620292417206E-3</v>
      </c>
      <c r="I889" s="6">
        <f t="shared" si="66"/>
        <v>0</v>
      </c>
      <c r="J889" s="6">
        <f t="shared" si="67"/>
        <v>0</v>
      </c>
      <c r="K889" s="6">
        <f t="shared" si="68"/>
        <v>0</v>
      </c>
      <c r="L889" s="6">
        <f t="shared" si="69"/>
        <v>0</v>
      </c>
    </row>
    <row r="890" spans="1:12" ht="22.95" customHeight="1">
      <c r="A890" s="5">
        <v>6</v>
      </c>
      <c r="B890" s="7" t="s">
        <v>98</v>
      </c>
      <c r="C890" s="7" t="s">
        <v>292</v>
      </c>
      <c r="D890" s="5">
        <v>6337</v>
      </c>
      <c r="E890" s="5">
        <v>6621</v>
      </c>
      <c r="F890" s="5">
        <v>2134</v>
      </c>
      <c r="G890" s="5">
        <v>2460</v>
      </c>
      <c r="H890" s="6">
        <f t="shared" si="65"/>
        <v>2.6775826292196646E-3</v>
      </c>
      <c r="I890" s="6">
        <f t="shared" si="66"/>
        <v>0.33675240650149912</v>
      </c>
      <c r="J890" s="6">
        <f t="shared" si="67"/>
        <v>0.37154508382419577</v>
      </c>
      <c r="K890" s="6">
        <f t="shared" si="68"/>
        <v>9.0168239399633328E-4</v>
      </c>
      <c r="L890" s="6">
        <f t="shared" si="69"/>
        <v>9.9484266241963077E-4</v>
      </c>
    </row>
    <row r="891" spans="1:12" ht="22.95" customHeight="1">
      <c r="A891" s="5">
        <v>6</v>
      </c>
      <c r="B891" s="7" t="s">
        <v>231</v>
      </c>
      <c r="C891" s="7" t="s">
        <v>295</v>
      </c>
      <c r="D891" s="5">
        <v>25</v>
      </c>
      <c r="E891" s="5">
        <v>17</v>
      </c>
      <c r="F891" s="5">
        <v>22</v>
      </c>
      <c r="G891" s="5">
        <v>13</v>
      </c>
      <c r="H891" s="6">
        <f t="shared" si="65"/>
        <v>1.0563289526667447E-5</v>
      </c>
      <c r="I891" s="6">
        <f t="shared" si="66"/>
        <v>0.88</v>
      </c>
      <c r="J891" s="6">
        <f t="shared" si="67"/>
        <v>0.76470588235294112</v>
      </c>
      <c r="K891" s="6">
        <f t="shared" si="68"/>
        <v>9.295694783467353E-6</v>
      </c>
      <c r="L891" s="6">
        <f t="shared" si="69"/>
        <v>8.0778096380398127E-6</v>
      </c>
    </row>
    <row r="892" spans="1:12" ht="22.95" customHeight="1">
      <c r="A892" s="5">
        <v>6</v>
      </c>
      <c r="B892" s="7" t="s">
        <v>263</v>
      </c>
      <c r="C892" s="7" t="s">
        <v>295</v>
      </c>
      <c r="D892" s="5">
        <v>564</v>
      </c>
      <c r="E892" s="5">
        <v>520</v>
      </c>
      <c r="F892" s="5">
        <v>463</v>
      </c>
      <c r="G892" s="5">
        <v>437</v>
      </c>
      <c r="H892" s="6">
        <f t="shared" si="65"/>
        <v>2.383078117216176E-4</v>
      </c>
      <c r="I892" s="6">
        <f t="shared" si="66"/>
        <v>0.82092198581560283</v>
      </c>
      <c r="J892" s="6">
        <f t="shared" si="67"/>
        <v>0.8403846153846154</v>
      </c>
      <c r="K892" s="6">
        <f t="shared" si="68"/>
        <v>1.956321220338811E-4</v>
      </c>
      <c r="L892" s="6">
        <f t="shared" si="69"/>
        <v>2.0027021869682094E-4</v>
      </c>
    </row>
    <row r="893" spans="1:12" ht="22.95" customHeight="1">
      <c r="A893" s="5">
        <v>6</v>
      </c>
      <c r="B893" s="7" t="s">
        <v>242</v>
      </c>
      <c r="C893" s="7" t="s">
        <v>303</v>
      </c>
      <c r="D893" s="5">
        <v>22</v>
      </c>
      <c r="E893" s="5">
        <v>29</v>
      </c>
      <c r="F893" s="5">
        <v>6</v>
      </c>
      <c r="G893" s="5">
        <v>8</v>
      </c>
      <c r="H893" s="6">
        <f t="shared" si="65"/>
        <v>9.295694783467353E-6</v>
      </c>
      <c r="I893" s="6">
        <f t="shared" si="66"/>
        <v>0.27272727272727271</v>
      </c>
      <c r="J893" s="6">
        <f t="shared" si="67"/>
        <v>0.27586206896551724</v>
      </c>
      <c r="K893" s="6">
        <f t="shared" si="68"/>
        <v>2.5351894864001871E-6</v>
      </c>
      <c r="L893" s="6">
        <f t="shared" si="69"/>
        <v>2.5643295954392696E-6</v>
      </c>
    </row>
    <row r="894" spans="1:12" ht="22.95" customHeight="1">
      <c r="A894" s="5">
        <v>6</v>
      </c>
      <c r="B894" s="7" t="s">
        <v>283</v>
      </c>
      <c r="C894" s="7" t="s">
        <v>295</v>
      </c>
      <c r="D894" s="5">
        <v>2513</v>
      </c>
      <c r="E894" s="5">
        <v>827</v>
      </c>
      <c r="F894" s="5">
        <v>2406</v>
      </c>
      <c r="G894" s="5">
        <v>749</v>
      </c>
      <c r="H894" s="6">
        <f t="shared" si="65"/>
        <v>1.0618218632206119E-3</v>
      </c>
      <c r="I894" s="6">
        <f t="shared" si="66"/>
        <v>0.95742140867489056</v>
      </c>
      <c r="J894" s="6">
        <f t="shared" si="67"/>
        <v>0.90568319226118499</v>
      </c>
      <c r="K894" s="6">
        <f t="shared" si="68"/>
        <v>1.0166109840464752E-3</v>
      </c>
      <c r="L894" s="6">
        <f t="shared" si="69"/>
        <v>9.6167421469436313E-4</v>
      </c>
    </row>
    <row r="895" spans="1:12" ht="22.95" customHeight="1">
      <c r="A895" s="5">
        <v>6</v>
      </c>
      <c r="B895" s="7" t="s">
        <v>147</v>
      </c>
      <c r="C895" s="7" t="s">
        <v>292</v>
      </c>
      <c r="D895" s="5">
        <v>192</v>
      </c>
      <c r="E895" s="5">
        <v>221</v>
      </c>
      <c r="F895" s="5">
        <v>124</v>
      </c>
      <c r="G895" s="5">
        <v>155</v>
      </c>
      <c r="H895" s="6">
        <f t="shared" si="65"/>
        <v>8.1126063564805989E-5</v>
      </c>
      <c r="I895" s="6">
        <f t="shared" si="66"/>
        <v>0.64583333333333337</v>
      </c>
      <c r="J895" s="6">
        <f t="shared" si="67"/>
        <v>0.70135746606334837</v>
      </c>
      <c r="K895" s="6">
        <f t="shared" si="68"/>
        <v>5.2393916052270536E-5</v>
      </c>
      <c r="L895" s="6">
        <f t="shared" si="69"/>
        <v>5.6898370373506458E-5</v>
      </c>
    </row>
    <row r="896" spans="1:12" ht="22.95" customHeight="1">
      <c r="A896" s="5">
        <v>6</v>
      </c>
      <c r="B896" s="7" t="s">
        <v>252</v>
      </c>
      <c r="C896" s="7" t="s">
        <v>291</v>
      </c>
      <c r="D896" s="5">
        <v>45</v>
      </c>
      <c r="E896" s="5">
        <v>65</v>
      </c>
      <c r="F896" s="5">
        <v>14</v>
      </c>
      <c r="G896" s="5">
        <v>19</v>
      </c>
      <c r="H896" s="6">
        <f t="shared" si="65"/>
        <v>1.9013921148001405E-5</v>
      </c>
      <c r="I896" s="6">
        <f t="shared" si="66"/>
        <v>0.31111111111111112</v>
      </c>
      <c r="J896" s="6">
        <f t="shared" si="67"/>
        <v>0.29230769230769232</v>
      </c>
      <c r="K896" s="6">
        <f t="shared" si="68"/>
        <v>5.9154421349337707E-6</v>
      </c>
      <c r="L896" s="6">
        <f t="shared" si="69"/>
        <v>5.5579154124927184E-6</v>
      </c>
    </row>
    <row r="897" spans="1:12" ht="22.95" customHeight="1">
      <c r="A897" s="5">
        <v>6</v>
      </c>
      <c r="B897" s="7" t="s">
        <v>103</v>
      </c>
      <c r="C897" s="7" t="s">
        <v>290</v>
      </c>
      <c r="D897" s="5">
        <v>2518</v>
      </c>
      <c r="E897" s="5">
        <v>2768</v>
      </c>
      <c r="F897" s="5">
        <v>677</v>
      </c>
      <c r="G897" s="5">
        <v>1090</v>
      </c>
      <c r="H897" s="6">
        <f t="shared" si="65"/>
        <v>1.0639345211259452E-3</v>
      </c>
      <c r="I897" s="6">
        <f t="shared" si="66"/>
        <v>0.26886417791898332</v>
      </c>
      <c r="J897" s="6">
        <f t="shared" si="67"/>
        <v>0.39378612716763006</v>
      </c>
      <c r="K897" s="6">
        <f t="shared" si="68"/>
        <v>2.8605388038215447E-4</v>
      </c>
      <c r="L897" s="6">
        <f t="shared" si="69"/>
        <v>4.1896265463413308E-4</v>
      </c>
    </row>
    <row r="898" spans="1:12" ht="22.95" customHeight="1">
      <c r="A898" s="5">
        <v>6</v>
      </c>
      <c r="B898" s="7" t="s">
        <v>140</v>
      </c>
      <c r="C898" s="7" t="s">
        <v>290</v>
      </c>
      <c r="D898" s="5">
        <v>128</v>
      </c>
      <c r="E898" s="5">
        <v>193</v>
      </c>
      <c r="F898" s="5">
        <v>87</v>
      </c>
      <c r="G898" s="5">
        <v>126</v>
      </c>
      <c r="H898" s="6">
        <f t="shared" si="65"/>
        <v>5.408404237653733E-5</v>
      </c>
      <c r="I898" s="6">
        <f t="shared" si="66"/>
        <v>0.6796875</v>
      </c>
      <c r="J898" s="6">
        <f t="shared" si="67"/>
        <v>0.65284974093264247</v>
      </c>
      <c r="K898" s="6">
        <f t="shared" si="68"/>
        <v>3.6760247552802713E-5</v>
      </c>
      <c r="L898" s="6">
        <f t="shared" si="69"/>
        <v>3.530875305411245E-5</v>
      </c>
    </row>
    <row r="899" spans="1:12" ht="22.95" customHeight="1">
      <c r="A899" s="5">
        <v>6</v>
      </c>
      <c r="B899" s="7" t="s">
        <v>144</v>
      </c>
      <c r="C899" s="7" t="s">
        <v>296</v>
      </c>
      <c r="D899" s="5">
        <v>155</v>
      </c>
      <c r="E899" s="5">
        <v>216</v>
      </c>
      <c r="F899" s="5">
        <v>0</v>
      </c>
      <c r="G899" s="5">
        <v>0</v>
      </c>
      <c r="H899" s="6">
        <f t="shared" si="65"/>
        <v>6.5492395065338166E-5</v>
      </c>
      <c r="I899" s="6">
        <f t="shared" si="66"/>
        <v>0</v>
      </c>
      <c r="J899" s="6">
        <f t="shared" si="67"/>
        <v>0</v>
      </c>
      <c r="K899" s="6">
        <f t="shared" si="68"/>
        <v>0</v>
      </c>
      <c r="L899" s="6">
        <f t="shared" si="69"/>
        <v>0</v>
      </c>
    </row>
    <row r="900" spans="1:12" ht="22.95" customHeight="1">
      <c r="A900" s="5">
        <v>6</v>
      </c>
      <c r="B900" s="7" t="s">
        <v>107</v>
      </c>
      <c r="C900" s="7" t="s">
        <v>296</v>
      </c>
      <c r="D900" s="5">
        <v>2458</v>
      </c>
      <c r="E900" s="5">
        <v>2379</v>
      </c>
      <c r="F900" s="5">
        <v>0</v>
      </c>
      <c r="G900" s="5">
        <v>0</v>
      </c>
      <c r="H900" s="6">
        <f t="shared" si="65"/>
        <v>1.0385826262619435E-3</v>
      </c>
      <c r="I900" s="6">
        <f t="shared" si="66"/>
        <v>0</v>
      </c>
      <c r="J900" s="6">
        <f t="shared" si="67"/>
        <v>0</v>
      </c>
      <c r="K900" s="6">
        <f t="shared" si="68"/>
        <v>0</v>
      </c>
      <c r="L900" s="6">
        <f t="shared" si="69"/>
        <v>0</v>
      </c>
    </row>
    <row r="901" spans="1:12" ht="22.95" customHeight="1">
      <c r="A901" s="5">
        <v>6</v>
      </c>
      <c r="B901" s="7" t="s">
        <v>146</v>
      </c>
      <c r="C901" s="7" t="s">
        <v>296</v>
      </c>
      <c r="D901" s="5">
        <v>256</v>
      </c>
      <c r="E901" s="5">
        <v>263</v>
      </c>
      <c r="F901" s="5">
        <v>0</v>
      </c>
      <c r="G901" s="5">
        <v>0</v>
      </c>
      <c r="H901" s="6">
        <f t="shared" si="65"/>
        <v>1.0816808475307466E-4</v>
      </c>
      <c r="I901" s="6">
        <f t="shared" si="66"/>
        <v>0</v>
      </c>
      <c r="J901" s="6">
        <f t="shared" si="67"/>
        <v>0</v>
      </c>
      <c r="K901" s="6">
        <f t="shared" si="68"/>
        <v>0</v>
      </c>
      <c r="L901" s="6">
        <f t="shared" si="69"/>
        <v>0</v>
      </c>
    </row>
    <row r="902" spans="1:12" ht="22.95" customHeight="1">
      <c r="A902" s="5">
        <v>6</v>
      </c>
      <c r="B902" s="7" t="s">
        <v>143</v>
      </c>
      <c r="C902" s="7" t="s">
        <v>304</v>
      </c>
      <c r="D902" s="5">
        <v>1609</v>
      </c>
      <c r="E902" s="5">
        <v>1383</v>
      </c>
      <c r="F902" s="5">
        <v>604</v>
      </c>
      <c r="G902" s="5">
        <v>527</v>
      </c>
      <c r="H902" s="6">
        <f t="shared" si="65"/>
        <v>6.7985331393631684E-4</v>
      </c>
      <c r="I902" s="6">
        <f t="shared" si="66"/>
        <v>0.37538844002486016</v>
      </c>
      <c r="J902" s="6">
        <f t="shared" si="67"/>
        <v>0.38105567606652208</v>
      </c>
      <c r="K902" s="6">
        <f t="shared" si="68"/>
        <v>2.5520907496428549E-4</v>
      </c>
      <c r="L902" s="6">
        <f t="shared" si="69"/>
        <v>2.5906196416806867E-4</v>
      </c>
    </row>
    <row r="903" spans="1:12" ht="22.95" customHeight="1">
      <c r="A903" s="5">
        <v>6</v>
      </c>
      <c r="B903" s="7" t="s">
        <v>143</v>
      </c>
      <c r="C903" s="7" t="s">
        <v>295</v>
      </c>
      <c r="D903" s="5">
        <v>3478</v>
      </c>
      <c r="E903" s="5">
        <v>3323</v>
      </c>
      <c r="F903" s="5">
        <v>1363</v>
      </c>
      <c r="G903" s="5">
        <v>1189</v>
      </c>
      <c r="H903" s="6">
        <f t="shared" si="65"/>
        <v>1.4695648389499753E-3</v>
      </c>
      <c r="I903" s="6">
        <f t="shared" si="66"/>
        <v>0.39189189189189189</v>
      </c>
      <c r="J903" s="6">
        <f t="shared" si="67"/>
        <v>0.35780920854649412</v>
      </c>
      <c r="K903" s="6">
        <f t="shared" si="68"/>
        <v>5.7591054499390917E-4</v>
      </c>
      <c r="L903" s="6">
        <f t="shared" si="69"/>
        <v>5.2582383193244678E-4</v>
      </c>
    </row>
    <row r="904" spans="1:12" ht="22.95" customHeight="1">
      <c r="A904" s="5">
        <v>6</v>
      </c>
      <c r="B904" s="7" t="s">
        <v>106</v>
      </c>
      <c r="C904" s="7" t="s">
        <v>290</v>
      </c>
      <c r="D904" s="5">
        <v>1980</v>
      </c>
      <c r="E904" s="5">
        <v>2406</v>
      </c>
      <c r="F904" s="5">
        <v>552</v>
      </c>
      <c r="G904" s="5">
        <v>990</v>
      </c>
      <c r="H904" s="6">
        <f t="shared" si="65"/>
        <v>8.3661253051206183E-4</v>
      </c>
      <c r="I904" s="6">
        <f t="shared" si="66"/>
        <v>0.27878787878787881</v>
      </c>
      <c r="J904" s="6">
        <f t="shared" si="67"/>
        <v>0.41147132169576062</v>
      </c>
      <c r="K904" s="6">
        <f t="shared" si="68"/>
        <v>2.3323743274881727E-4</v>
      </c>
      <c r="L904" s="6">
        <f t="shared" si="69"/>
        <v>3.4424206367703291E-4</v>
      </c>
    </row>
    <row r="905" spans="1:12" ht="22.95" customHeight="1">
      <c r="A905" s="5">
        <v>6</v>
      </c>
      <c r="B905" s="7" t="s">
        <v>186</v>
      </c>
      <c r="C905" s="7" t="s">
        <v>291</v>
      </c>
      <c r="D905" s="5">
        <v>24</v>
      </c>
      <c r="E905" s="5">
        <v>29</v>
      </c>
      <c r="F905" s="5">
        <v>14</v>
      </c>
      <c r="G905" s="5">
        <v>23</v>
      </c>
      <c r="H905" s="6">
        <f t="shared" si="65"/>
        <v>1.0140757945600749E-5</v>
      </c>
      <c r="I905" s="6">
        <f t="shared" si="66"/>
        <v>0.58333333333333337</v>
      </c>
      <c r="J905" s="6">
        <f t="shared" si="67"/>
        <v>0.7931034482758621</v>
      </c>
      <c r="K905" s="6">
        <f t="shared" si="68"/>
        <v>5.9154421349337707E-6</v>
      </c>
      <c r="L905" s="6">
        <f t="shared" si="69"/>
        <v>8.0426700947868015E-6</v>
      </c>
    </row>
    <row r="906" spans="1:12" ht="22.95" customHeight="1">
      <c r="A906" s="5">
        <v>6</v>
      </c>
      <c r="B906" s="7" t="s">
        <v>190</v>
      </c>
      <c r="C906" s="7" t="s">
        <v>291</v>
      </c>
      <c r="D906" s="5">
        <v>27</v>
      </c>
      <c r="E906" s="5">
        <v>35</v>
      </c>
      <c r="F906" s="5">
        <v>17</v>
      </c>
      <c r="G906" s="5">
        <v>25</v>
      </c>
      <c r="H906" s="6">
        <f t="shared" si="65"/>
        <v>1.1408352688800843E-5</v>
      </c>
      <c r="I906" s="6">
        <f t="shared" si="66"/>
        <v>0.62962962962962965</v>
      </c>
      <c r="J906" s="6">
        <f t="shared" si="67"/>
        <v>0.7142857142857143</v>
      </c>
      <c r="K906" s="6">
        <f t="shared" si="68"/>
        <v>7.1830368781338641E-6</v>
      </c>
      <c r="L906" s="6">
        <f t="shared" si="69"/>
        <v>8.1488233491434591E-6</v>
      </c>
    </row>
    <row r="907" spans="1:12" ht="22.95" customHeight="1">
      <c r="A907" s="5">
        <v>6</v>
      </c>
      <c r="B907" s="7" t="s">
        <v>124</v>
      </c>
      <c r="C907" s="7" t="s">
        <v>303</v>
      </c>
      <c r="D907" s="5">
        <v>1145</v>
      </c>
      <c r="E907" s="5">
        <v>1365</v>
      </c>
      <c r="F907" s="5">
        <v>550</v>
      </c>
      <c r="G907" s="5">
        <v>687</v>
      </c>
      <c r="H907" s="6">
        <f t="shared" si="65"/>
        <v>4.8379866032136905E-4</v>
      </c>
      <c r="I907" s="6">
        <f t="shared" si="66"/>
        <v>0.48034934497816595</v>
      </c>
      <c r="J907" s="6">
        <f t="shared" si="67"/>
        <v>0.50329670329670328</v>
      </c>
      <c r="K907" s="6">
        <f t="shared" si="68"/>
        <v>2.3239236958668384E-4</v>
      </c>
      <c r="L907" s="6">
        <f t="shared" si="69"/>
        <v>2.4349427079910661E-4</v>
      </c>
    </row>
    <row r="908" spans="1:12" ht="22.95" customHeight="1">
      <c r="A908" s="5">
        <v>6</v>
      </c>
      <c r="B908" s="7" t="s">
        <v>170</v>
      </c>
      <c r="C908" s="7" t="s">
        <v>303</v>
      </c>
      <c r="D908" s="5">
        <v>229</v>
      </c>
      <c r="E908" s="5">
        <v>271</v>
      </c>
      <c r="F908" s="5">
        <v>135</v>
      </c>
      <c r="G908" s="5">
        <v>170</v>
      </c>
      <c r="H908" s="6">
        <f t="shared" si="65"/>
        <v>9.6759732064273811E-5</v>
      </c>
      <c r="I908" s="6">
        <f t="shared" si="66"/>
        <v>0.58951965065502188</v>
      </c>
      <c r="J908" s="6">
        <f t="shared" si="67"/>
        <v>0.62730627306273068</v>
      </c>
      <c r="K908" s="6">
        <f t="shared" si="68"/>
        <v>5.7041763444004214E-5</v>
      </c>
      <c r="L908" s="6">
        <f t="shared" si="69"/>
        <v>6.0697986903788006E-5</v>
      </c>
    </row>
    <row r="909" spans="1:12" ht="22.95" customHeight="1">
      <c r="A909" s="5">
        <v>6</v>
      </c>
      <c r="B909" s="7" t="s">
        <v>125</v>
      </c>
      <c r="C909" s="7" t="s">
        <v>298</v>
      </c>
      <c r="D909" s="5">
        <v>1481</v>
      </c>
      <c r="E909" s="5">
        <v>1760</v>
      </c>
      <c r="F909" s="5">
        <v>1013</v>
      </c>
      <c r="G909" s="5">
        <v>953</v>
      </c>
      <c r="H909" s="6">
        <f t="shared" si="65"/>
        <v>6.2576927155977952E-4</v>
      </c>
      <c r="I909" s="6">
        <f t="shared" si="66"/>
        <v>0.68399729912221474</v>
      </c>
      <c r="J909" s="6">
        <f t="shared" si="67"/>
        <v>0.54147727272727275</v>
      </c>
      <c r="K909" s="6">
        <f t="shared" si="68"/>
        <v>4.2802449162056494E-4</v>
      </c>
      <c r="L909" s="6">
        <f t="shared" si="69"/>
        <v>3.3883983852072157E-4</v>
      </c>
    </row>
    <row r="910" spans="1:12" ht="22.95" customHeight="1">
      <c r="A910" s="5">
        <v>6</v>
      </c>
      <c r="B910" s="7" t="s">
        <v>154</v>
      </c>
      <c r="C910" s="7" t="s">
        <v>298</v>
      </c>
      <c r="D910" s="5">
        <v>33</v>
      </c>
      <c r="E910" s="5">
        <v>73</v>
      </c>
      <c r="F910" s="5">
        <v>4</v>
      </c>
      <c r="G910" s="5">
        <v>47</v>
      </c>
      <c r="H910" s="6">
        <f t="shared" si="65"/>
        <v>1.3943542175201029E-5</v>
      </c>
      <c r="I910" s="6">
        <f t="shared" si="66"/>
        <v>0.12121212121212122</v>
      </c>
      <c r="J910" s="6">
        <f t="shared" si="67"/>
        <v>0.64383561643835618</v>
      </c>
      <c r="K910" s="6">
        <f t="shared" si="68"/>
        <v>1.6901263242667916E-6</v>
      </c>
      <c r="L910" s="6">
        <f t="shared" si="69"/>
        <v>8.9773490717047732E-6</v>
      </c>
    </row>
    <row r="911" spans="1:12" ht="22.95" customHeight="1">
      <c r="A911" s="5">
        <v>6</v>
      </c>
      <c r="B911" s="7" t="s">
        <v>246</v>
      </c>
      <c r="C911" s="7" t="s">
        <v>298</v>
      </c>
      <c r="D911" s="5">
        <v>8</v>
      </c>
      <c r="E911" s="5">
        <v>5</v>
      </c>
      <c r="F911" s="5">
        <v>2</v>
      </c>
      <c r="G911" s="5">
        <v>3</v>
      </c>
      <c r="H911" s="6">
        <f t="shared" si="65"/>
        <v>3.3802526485335831E-6</v>
      </c>
      <c r="I911" s="6">
        <f t="shared" si="66"/>
        <v>0.25</v>
      </c>
      <c r="J911" s="6">
        <f t="shared" si="67"/>
        <v>0.6</v>
      </c>
      <c r="K911" s="6">
        <f t="shared" si="68"/>
        <v>8.4506316213339578E-7</v>
      </c>
      <c r="L911" s="6">
        <f t="shared" si="69"/>
        <v>2.0281515891201499E-6</v>
      </c>
    </row>
    <row r="912" spans="1:12" ht="22.95" customHeight="1">
      <c r="A912" s="5">
        <v>6</v>
      </c>
      <c r="B912" s="7" t="s">
        <v>95</v>
      </c>
      <c r="C912" s="7" t="s">
        <v>290</v>
      </c>
      <c r="D912" s="5">
        <v>2636</v>
      </c>
      <c r="E912" s="5">
        <v>3531</v>
      </c>
      <c r="F912" s="5">
        <v>1038</v>
      </c>
      <c r="G912" s="5">
        <v>1705</v>
      </c>
      <c r="H912" s="6">
        <f t="shared" si="65"/>
        <v>1.1137932476918157E-3</v>
      </c>
      <c r="I912" s="6">
        <f t="shared" si="66"/>
        <v>0.3937784522003035</v>
      </c>
      <c r="J912" s="6">
        <f t="shared" si="67"/>
        <v>0.48286604361370716</v>
      </c>
      <c r="K912" s="6">
        <f t="shared" si="68"/>
        <v>4.3858778114723245E-4</v>
      </c>
      <c r="L912" s="6">
        <f t="shared" si="69"/>
        <v>5.3781293891660877E-4</v>
      </c>
    </row>
    <row r="913" spans="1:12" ht="22.95" customHeight="1">
      <c r="A913" s="5">
        <v>6</v>
      </c>
      <c r="B913" s="7" t="s">
        <v>105</v>
      </c>
      <c r="C913" s="7" t="s">
        <v>296</v>
      </c>
      <c r="D913" s="5">
        <v>3084</v>
      </c>
      <c r="E913" s="5">
        <v>3910</v>
      </c>
      <c r="F913" s="5">
        <v>0</v>
      </c>
      <c r="G913" s="5">
        <v>0</v>
      </c>
      <c r="H913" s="6">
        <f t="shared" si="65"/>
        <v>1.3030873960096963E-3</v>
      </c>
      <c r="I913" s="6">
        <f t="shared" si="66"/>
        <v>0</v>
      </c>
      <c r="J913" s="6">
        <f t="shared" si="67"/>
        <v>0</v>
      </c>
      <c r="K913" s="6">
        <f t="shared" si="68"/>
        <v>0</v>
      </c>
      <c r="L913" s="6">
        <f t="shared" si="69"/>
        <v>0</v>
      </c>
    </row>
    <row r="914" spans="1:12" ht="22.95" customHeight="1">
      <c r="A914" s="5">
        <v>6</v>
      </c>
      <c r="B914" s="7" t="s">
        <v>268</v>
      </c>
      <c r="C914" s="7" t="s">
        <v>292</v>
      </c>
      <c r="D914" s="5">
        <v>1443</v>
      </c>
      <c r="E914" s="5">
        <v>1482</v>
      </c>
      <c r="F914" s="5">
        <v>0</v>
      </c>
      <c r="G914" s="5">
        <v>0</v>
      </c>
      <c r="H914" s="6">
        <f t="shared" si="65"/>
        <v>6.0971307147924506E-4</v>
      </c>
      <c r="I914" s="6">
        <f t="shared" si="66"/>
        <v>0</v>
      </c>
      <c r="J914" s="6">
        <f t="shared" si="67"/>
        <v>0</v>
      </c>
      <c r="K914" s="6">
        <f t="shared" si="68"/>
        <v>0</v>
      </c>
      <c r="L914" s="6">
        <f t="shared" si="69"/>
        <v>0</v>
      </c>
    </row>
    <row r="915" spans="1:12" ht="22.95" customHeight="1">
      <c r="A915" s="5">
        <v>6</v>
      </c>
      <c r="B915" s="7" t="s">
        <v>268</v>
      </c>
      <c r="C915" s="7" t="s">
        <v>295</v>
      </c>
      <c r="D915" s="5">
        <v>99</v>
      </c>
      <c r="E915" s="5">
        <v>70</v>
      </c>
      <c r="F915" s="5">
        <v>90</v>
      </c>
      <c r="G915" s="5">
        <v>63</v>
      </c>
      <c r="H915" s="6">
        <f t="shared" si="65"/>
        <v>4.183062652560309E-5</v>
      </c>
      <c r="I915" s="6">
        <f t="shared" si="66"/>
        <v>0.90909090909090906</v>
      </c>
      <c r="J915" s="6">
        <f t="shared" si="67"/>
        <v>0.9</v>
      </c>
      <c r="K915" s="6">
        <f t="shared" si="68"/>
        <v>3.8027842296002809E-5</v>
      </c>
      <c r="L915" s="6">
        <f t="shared" si="69"/>
        <v>3.7647563873042782E-5</v>
      </c>
    </row>
    <row r="916" spans="1:12" ht="22.95" customHeight="1">
      <c r="A916" s="5">
        <v>6</v>
      </c>
      <c r="B916" s="7" t="s">
        <v>203</v>
      </c>
      <c r="C916" s="7" t="s">
        <v>298</v>
      </c>
      <c r="D916" s="5">
        <v>32</v>
      </c>
      <c r="E916" s="5">
        <v>21</v>
      </c>
      <c r="F916" s="5">
        <v>9</v>
      </c>
      <c r="G916" s="5">
        <v>4</v>
      </c>
      <c r="H916" s="6">
        <f t="shared" si="65"/>
        <v>1.3521010594134333E-5</v>
      </c>
      <c r="I916" s="6">
        <f t="shared" si="66"/>
        <v>0.28125</v>
      </c>
      <c r="J916" s="6">
        <f t="shared" si="67"/>
        <v>0.19047619047619047</v>
      </c>
      <c r="K916" s="6">
        <f t="shared" si="68"/>
        <v>3.8027842296002809E-6</v>
      </c>
      <c r="L916" s="6">
        <f t="shared" si="69"/>
        <v>2.5754305893589203E-6</v>
      </c>
    </row>
    <row r="917" spans="1:12" ht="22.95" customHeight="1">
      <c r="A917" s="5">
        <v>6</v>
      </c>
      <c r="B917" s="7" t="s">
        <v>244</v>
      </c>
      <c r="C917" s="7" t="s">
        <v>298</v>
      </c>
      <c r="D917" s="5">
        <v>13</v>
      </c>
      <c r="E917" s="5">
        <v>3</v>
      </c>
      <c r="F917" s="5">
        <v>3</v>
      </c>
      <c r="G917" s="5">
        <v>1</v>
      </c>
      <c r="H917" s="6">
        <f t="shared" si="65"/>
        <v>5.4929105538670721E-6</v>
      </c>
      <c r="I917" s="6">
        <f t="shared" si="66"/>
        <v>0.23076923076923078</v>
      </c>
      <c r="J917" s="6">
        <f t="shared" si="67"/>
        <v>0.33333333333333331</v>
      </c>
      <c r="K917" s="6">
        <f t="shared" si="68"/>
        <v>1.2675947432000936E-6</v>
      </c>
      <c r="L917" s="6">
        <f t="shared" si="69"/>
        <v>1.8309701846223572E-6</v>
      </c>
    </row>
    <row r="918" spans="1:12" ht="22.95" customHeight="1">
      <c r="A918" s="5">
        <v>6</v>
      </c>
      <c r="B918" s="7" t="s">
        <v>87</v>
      </c>
      <c r="C918" s="7" t="s">
        <v>290</v>
      </c>
      <c r="D918" s="5">
        <v>4217</v>
      </c>
      <c r="E918" s="5">
        <v>4388</v>
      </c>
      <c r="F918" s="5">
        <v>1436</v>
      </c>
      <c r="G918" s="5">
        <v>1511</v>
      </c>
      <c r="H918" s="6">
        <f t="shared" si="65"/>
        <v>1.7818156773582649E-3</v>
      </c>
      <c r="I918" s="6">
        <f t="shared" si="66"/>
        <v>0.34052644059758119</v>
      </c>
      <c r="J918" s="6">
        <f t="shared" si="67"/>
        <v>0.3443482224247949</v>
      </c>
      <c r="K918" s="6">
        <f t="shared" si="68"/>
        <v>6.067553504117781E-4</v>
      </c>
      <c r="L918" s="6">
        <f t="shared" si="69"/>
        <v>6.1356506118695042E-4</v>
      </c>
    </row>
    <row r="919" spans="1:12" ht="22.95" customHeight="1">
      <c r="A919" s="5">
        <v>6</v>
      </c>
      <c r="B919" s="7" t="s">
        <v>255</v>
      </c>
      <c r="C919" s="7" t="s">
        <v>303</v>
      </c>
      <c r="D919" s="5">
        <v>35</v>
      </c>
      <c r="E919" s="5">
        <v>37</v>
      </c>
      <c r="F919" s="5">
        <v>19</v>
      </c>
      <c r="G919" s="5">
        <v>18</v>
      </c>
      <c r="H919" s="6">
        <f t="shared" si="65"/>
        <v>1.4788605337334425E-5</v>
      </c>
      <c r="I919" s="6">
        <f t="shared" si="66"/>
        <v>0.54285714285714282</v>
      </c>
      <c r="J919" s="6">
        <f t="shared" si="67"/>
        <v>0.48648648648648651</v>
      </c>
      <c r="K919" s="6">
        <f t="shared" si="68"/>
        <v>8.0281000402672588E-6</v>
      </c>
      <c r="L919" s="6">
        <f t="shared" si="69"/>
        <v>7.1944566505951258E-6</v>
      </c>
    </row>
    <row r="920" spans="1:12" ht="22.95" customHeight="1">
      <c r="A920" s="5">
        <v>6</v>
      </c>
      <c r="B920" s="7" t="s">
        <v>260</v>
      </c>
      <c r="C920" s="7" t="s">
        <v>294</v>
      </c>
      <c r="D920" s="5">
        <v>255</v>
      </c>
      <c r="E920" s="5">
        <v>209</v>
      </c>
      <c r="F920" s="5">
        <v>162</v>
      </c>
      <c r="G920" s="5">
        <v>91</v>
      </c>
      <c r="H920" s="6">
        <f t="shared" si="65"/>
        <v>1.0774555317200796E-4</v>
      </c>
      <c r="I920" s="6">
        <f t="shared" si="66"/>
        <v>0.63529411764705879</v>
      </c>
      <c r="J920" s="6">
        <f t="shared" si="67"/>
        <v>0.4354066985645933</v>
      </c>
      <c r="K920" s="6">
        <f t="shared" si="68"/>
        <v>6.8450116132805057E-5</v>
      </c>
      <c r="L920" s="6">
        <f t="shared" si="69"/>
        <v>4.6913135591639827E-5</v>
      </c>
    </row>
    <row r="921" spans="1:12" ht="22.95" customHeight="1">
      <c r="A921" s="5">
        <v>6</v>
      </c>
      <c r="B921" s="7" t="s">
        <v>114</v>
      </c>
      <c r="C921" s="7" t="s">
        <v>291</v>
      </c>
      <c r="D921" s="5">
        <v>275</v>
      </c>
      <c r="E921" s="5">
        <v>284</v>
      </c>
      <c r="F921" s="5">
        <v>123</v>
      </c>
      <c r="G921" s="5">
        <v>178</v>
      </c>
      <c r="H921" s="6">
        <f t="shared" si="65"/>
        <v>1.1619618479334192E-4</v>
      </c>
      <c r="I921" s="6">
        <f t="shared" si="66"/>
        <v>0.44727272727272727</v>
      </c>
      <c r="J921" s="6">
        <f t="shared" si="67"/>
        <v>0.62676056338028174</v>
      </c>
      <c r="K921" s="6">
        <f t="shared" si="68"/>
        <v>5.1971384471203837E-5</v>
      </c>
      <c r="L921" s="6">
        <f t="shared" si="69"/>
        <v>7.2827186243714311E-5</v>
      </c>
    </row>
    <row r="922" spans="1:12" ht="22.95" customHeight="1">
      <c r="A922" s="5">
        <v>6</v>
      </c>
      <c r="B922" s="7" t="s">
        <v>114</v>
      </c>
      <c r="C922" s="7" t="s">
        <v>292</v>
      </c>
      <c r="D922" s="5">
        <v>61</v>
      </c>
      <c r="E922" s="5">
        <v>71</v>
      </c>
      <c r="F922" s="5">
        <v>33</v>
      </c>
      <c r="G922" s="5">
        <v>45</v>
      </c>
      <c r="H922" s="6">
        <f t="shared" si="65"/>
        <v>2.5774426445068569E-5</v>
      </c>
      <c r="I922" s="6">
        <f t="shared" si="66"/>
        <v>0.54098360655737709</v>
      </c>
      <c r="J922" s="6">
        <f t="shared" si="67"/>
        <v>0.63380281690140849</v>
      </c>
      <c r="K922" s="6">
        <f t="shared" si="68"/>
        <v>1.3943542175201031E-5</v>
      </c>
      <c r="L922" s="6">
        <f t="shared" si="69"/>
        <v>1.6335904084902617E-5</v>
      </c>
    </row>
    <row r="923" spans="1:12" ht="22.95" customHeight="1">
      <c r="A923" s="5">
        <v>6</v>
      </c>
      <c r="B923" s="7" t="s">
        <v>249</v>
      </c>
      <c r="C923" s="7" t="s">
        <v>291</v>
      </c>
      <c r="D923" s="5">
        <v>7</v>
      </c>
      <c r="E923" s="5">
        <v>3</v>
      </c>
      <c r="F923" s="5">
        <v>3</v>
      </c>
      <c r="G923" s="5">
        <v>2</v>
      </c>
      <c r="H923" s="6">
        <f t="shared" si="65"/>
        <v>2.9577210674668854E-6</v>
      </c>
      <c r="I923" s="6">
        <f t="shared" si="66"/>
        <v>0.42857142857142855</v>
      </c>
      <c r="J923" s="6">
        <f t="shared" si="67"/>
        <v>0.66666666666666663</v>
      </c>
      <c r="K923" s="6">
        <f t="shared" si="68"/>
        <v>1.2675947432000936E-6</v>
      </c>
      <c r="L923" s="6">
        <f t="shared" si="69"/>
        <v>1.9718140449779233E-6</v>
      </c>
    </row>
    <row r="924" spans="1:12" ht="22.95" customHeight="1">
      <c r="A924" s="5">
        <v>6</v>
      </c>
      <c r="B924" s="7" t="s">
        <v>209</v>
      </c>
      <c r="C924" s="7" t="s">
        <v>291</v>
      </c>
      <c r="D924" s="5">
        <v>3</v>
      </c>
      <c r="E924" s="5">
        <v>3</v>
      </c>
      <c r="F924" s="5">
        <v>2</v>
      </c>
      <c r="G924" s="5">
        <v>0</v>
      </c>
      <c r="H924" s="6">
        <f t="shared" si="65"/>
        <v>1.2675947432000936E-6</v>
      </c>
      <c r="I924" s="6">
        <f t="shared" si="66"/>
        <v>0.66666666666666663</v>
      </c>
      <c r="J924" s="6">
        <f t="shared" si="67"/>
        <v>0</v>
      </c>
      <c r="K924" s="6">
        <f t="shared" si="68"/>
        <v>8.4506316213339568E-7</v>
      </c>
      <c r="L924" s="6">
        <f t="shared" si="69"/>
        <v>0</v>
      </c>
    </row>
    <row r="925" spans="1:12" ht="22.95" customHeight="1">
      <c r="A925" s="5">
        <v>6</v>
      </c>
      <c r="B925" s="7" t="s">
        <v>272</v>
      </c>
      <c r="C925" s="7" t="s">
        <v>304</v>
      </c>
      <c r="D925" s="5">
        <v>3841</v>
      </c>
      <c r="E925" s="5">
        <v>4079</v>
      </c>
      <c r="F925" s="5">
        <v>1114</v>
      </c>
      <c r="G925" s="5">
        <v>1290</v>
      </c>
      <c r="H925" s="6">
        <f t="shared" si="65"/>
        <v>1.6229438028771866E-3</v>
      </c>
      <c r="I925" s="6">
        <f t="shared" si="66"/>
        <v>0.29002863837542309</v>
      </c>
      <c r="J925" s="6">
        <f t="shared" si="67"/>
        <v>0.3162539838195636</v>
      </c>
      <c r="K925" s="6">
        <f t="shared" si="68"/>
        <v>4.7070018130830149E-4</v>
      </c>
      <c r="L925" s="6">
        <f t="shared" si="69"/>
        <v>5.1326244317518276E-4</v>
      </c>
    </row>
    <row r="926" spans="1:12" ht="22.95" customHeight="1">
      <c r="A926" s="5">
        <v>6</v>
      </c>
      <c r="B926" s="7" t="s">
        <v>253</v>
      </c>
      <c r="C926" s="7" t="s">
        <v>303</v>
      </c>
      <c r="D926" s="5">
        <v>42</v>
      </c>
      <c r="E926" s="5">
        <v>52</v>
      </c>
      <c r="F926" s="5">
        <v>31</v>
      </c>
      <c r="G926" s="5">
        <v>37</v>
      </c>
      <c r="H926" s="6">
        <f t="shared" ref="H926:H989" si="70">D926/$B$16</f>
        <v>1.7746326404801312E-5</v>
      </c>
      <c r="I926" s="6">
        <f t="shared" ref="I926:I989" si="71">F926/D926</f>
        <v>0.73809523809523814</v>
      </c>
      <c r="J926" s="6">
        <f t="shared" ref="J926:J989" si="72">G926/E926</f>
        <v>0.71153846153846156</v>
      </c>
      <c r="K926" s="6">
        <f t="shared" ref="K926:K989" si="73">H926*I926</f>
        <v>1.3098479013067636E-5</v>
      </c>
      <c r="L926" s="6">
        <f t="shared" ref="L926:L989" si="74">H926*J926</f>
        <v>1.2627193788031703E-5</v>
      </c>
    </row>
    <row r="927" spans="1:12" ht="22.95" customHeight="1">
      <c r="A927" s="5">
        <v>6</v>
      </c>
      <c r="B927" s="7" t="s">
        <v>241</v>
      </c>
      <c r="C927" s="7" t="s">
        <v>303</v>
      </c>
      <c r="D927" s="5">
        <v>13</v>
      </c>
      <c r="E927" s="5">
        <v>5</v>
      </c>
      <c r="F927" s="5">
        <v>11</v>
      </c>
      <c r="G927" s="5">
        <v>2</v>
      </c>
      <c r="H927" s="6">
        <f t="shared" si="70"/>
        <v>5.4929105538670721E-6</v>
      </c>
      <c r="I927" s="6">
        <f t="shared" si="71"/>
        <v>0.84615384615384615</v>
      </c>
      <c r="J927" s="6">
        <f t="shared" si="72"/>
        <v>0.4</v>
      </c>
      <c r="K927" s="6">
        <f t="shared" si="73"/>
        <v>4.6478473917336765E-6</v>
      </c>
      <c r="L927" s="6">
        <f t="shared" si="74"/>
        <v>2.1971642215468288E-6</v>
      </c>
    </row>
    <row r="928" spans="1:12" ht="22.95" customHeight="1">
      <c r="A928" s="5">
        <v>6</v>
      </c>
      <c r="B928" s="7" t="s">
        <v>271</v>
      </c>
      <c r="C928" s="7" t="s">
        <v>292</v>
      </c>
      <c r="D928" s="5">
        <v>3792</v>
      </c>
      <c r="E928" s="5">
        <v>3661</v>
      </c>
      <c r="F928" s="5">
        <v>1139</v>
      </c>
      <c r="G928" s="5">
        <v>1155</v>
      </c>
      <c r="H928" s="6">
        <f t="shared" si="70"/>
        <v>1.6022397554049184E-3</v>
      </c>
      <c r="I928" s="6">
        <f t="shared" si="71"/>
        <v>0.3003691983122363</v>
      </c>
      <c r="J928" s="6">
        <f t="shared" si="72"/>
        <v>0.31548757170172081</v>
      </c>
      <c r="K928" s="6">
        <f t="shared" si="73"/>
        <v>4.8126347083496889E-4</v>
      </c>
      <c r="L928" s="6">
        <f t="shared" si="74"/>
        <v>5.0548672971665676E-4</v>
      </c>
    </row>
    <row r="929" spans="1:12" ht="22.95" customHeight="1">
      <c r="A929" s="5">
        <v>6</v>
      </c>
      <c r="B929" s="7" t="s">
        <v>261</v>
      </c>
      <c r="C929" s="7" t="s">
        <v>295</v>
      </c>
      <c r="D929" s="5">
        <v>1464</v>
      </c>
      <c r="E929" s="5">
        <v>1854</v>
      </c>
      <c r="F929" s="5">
        <v>1273</v>
      </c>
      <c r="G929" s="5">
        <v>1587</v>
      </c>
      <c r="H929" s="6">
        <f t="shared" si="70"/>
        <v>6.1858623468164572E-4</v>
      </c>
      <c r="I929" s="6">
        <f t="shared" si="71"/>
        <v>0.86953551912568305</v>
      </c>
      <c r="J929" s="6">
        <f t="shared" si="72"/>
        <v>0.85598705501618122</v>
      </c>
      <c r="K929" s="6">
        <f t="shared" si="73"/>
        <v>5.3788270269790643E-4</v>
      </c>
      <c r="L929" s="6">
        <f t="shared" si="74"/>
        <v>5.2950180929869028E-4</v>
      </c>
    </row>
    <row r="930" spans="1:12" ht="22.95" customHeight="1">
      <c r="A930" s="5">
        <v>6</v>
      </c>
      <c r="B930" s="7" t="s">
        <v>88</v>
      </c>
      <c r="C930" s="7" t="s">
        <v>295</v>
      </c>
      <c r="D930" s="5">
        <v>48032</v>
      </c>
      <c r="E930" s="5">
        <v>56689</v>
      </c>
      <c r="F930" s="5">
        <v>18891</v>
      </c>
      <c r="G930" s="5">
        <v>26004</v>
      </c>
      <c r="H930" s="6">
        <f t="shared" si="70"/>
        <v>2.0295036901795634E-2</v>
      </c>
      <c r="I930" s="6">
        <f t="shared" si="71"/>
        <v>0.39330029980013326</v>
      </c>
      <c r="J930" s="6">
        <f t="shared" si="72"/>
        <v>0.45871333062851699</v>
      </c>
      <c r="K930" s="6">
        <f t="shared" si="73"/>
        <v>7.9820440979309903E-3</v>
      </c>
      <c r="L930" s="6">
        <f t="shared" si="74"/>
        <v>9.3096039724513344E-3</v>
      </c>
    </row>
    <row r="931" spans="1:12" ht="22.95" customHeight="1">
      <c r="A931" s="5">
        <v>6</v>
      </c>
      <c r="B931" s="7" t="s">
        <v>153</v>
      </c>
      <c r="C931" s="7" t="s">
        <v>292</v>
      </c>
      <c r="D931" s="5">
        <v>503</v>
      </c>
      <c r="E931" s="5">
        <v>568</v>
      </c>
      <c r="F931" s="5">
        <v>451</v>
      </c>
      <c r="G931" s="5">
        <v>543</v>
      </c>
      <c r="H931" s="6">
        <f t="shared" si="70"/>
        <v>2.1253338527654902E-4</v>
      </c>
      <c r="I931" s="6">
        <f t="shared" si="71"/>
        <v>0.89662027833001989</v>
      </c>
      <c r="J931" s="6">
        <f t="shared" si="72"/>
        <v>0.95598591549295775</v>
      </c>
      <c r="K931" s="6">
        <f t="shared" si="73"/>
        <v>1.9056174306108074E-4</v>
      </c>
      <c r="L931" s="6">
        <f t="shared" si="74"/>
        <v>2.0317892289641921E-4</v>
      </c>
    </row>
    <row r="932" spans="1:12" ht="22.95" customHeight="1">
      <c r="A932" s="5">
        <v>6</v>
      </c>
      <c r="B932" s="7" t="s">
        <v>137</v>
      </c>
      <c r="C932" s="7" t="s">
        <v>293</v>
      </c>
      <c r="D932" s="5">
        <v>533</v>
      </c>
      <c r="E932" s="5">
        <v>759</v>
      </c>
      <c r="F932" s="5">
        <v>126</v>
      </c>
      <c r="G932" s="5">
        <v>176</v>
      </c>
      <c r="H932" s="6">
        <f t="shared" si="70"/>
        <v>2.2520933270854998E-4</v>
      </c>
      <c r="I932" s="6">
        <f t="shared" si="71"/>
        <v>0.23639774859287055</v>
      </c>
      <c r="J932" s="6">
        <f t="shared" si="72"/>
        <v>0.2318840579710145</v>
      </c>
      <c r="K932" s="6">
        <f t="shared" si="73"/>
        <v>5.3238979214403933E-5</v>
      </c>
      <c r="L932" s="6">
        <f t="shared" si="74"/>
        <v>5.2222453961402895E-5</v>
      </c>
    </row>
    <row r="933" spans="1:12" ht="22.95" customHeight="1">
      <c r="A933" s="5">
        <v>6</v>
      </c>
      <c r="B933" s="7" t="s">
        <v>247</v>
      </c>
      <c r="C933" s="7" t="s">
        <v>292</v>
      </c>
      <c r="D933" s="5">
        <v>3</v>
      </c>
      <c r="E933" s="5">
        <v>5</v>
      </c>
      <c r="F933" s="5">
        <v>0</v>
      </c>
      <c r="G933" s="5">
        <v>0</v>
      </c>
      <c r="H933" s="6">
        <f t="shared" si="70"/>
        <v>1.2675947432000936E-6</v>
      </c>
      <c r="I933" s="6">
        <f t="shared" si="71"/>
        <v>0</v>
      </c>
      <c r="J933" s="6">
        <f t="shared" si="72"/>
        <v>0</v>
      </c>
      <c r="K933" s="6">
        <f t="shared" si="73"/>
        <v>0</v>
      </c>
      <c r="L933" s="6">
        <f t="shared" si="74"/>
        <v>0</v>
      </c>
    </row>
    <row r="934" spans="1:12" ht="22.95" customHeight="1">
      <c r="A934" s="5">
        <v>6</v>
      </c>
      <c r="B934" s="7" t="s">
        <v>119</v>
      </c>
      <c r="C934" s="7" t="s">
        <v>303</v>
      </c>
      <c r="D934" s="5">
        <v>748</v>
      </c>
      <c r="E934" s="5">
        <v>944</v>
      </c>
      <c r="F934" s="5">
        <v>322</v>
      </c>
      <c r="G934" s="5">
        <v>389</v>
      </c>
      <c r="H934" s="6">
        <f t="shared" si="70"/>
        <v>3.1605362263789004E-4</v>
      </c>
      <c r="I934" s="6">
        <f t="shared" si="71"/>
        <v>0.43048128342245989</v>
      </c>
      <c r="J934" s="6">
        <f t="shared" si="72"/>
        <v>0.41207627118644069</v>
      </c>
      <c r="K934" s="6">
        <f t="shared" si="73"/>
        <v>1.3605516910347672E-4</v>
      </c>
      <c r="L934" s="6">
        <f t="shared" si="74"/>
        <v>1.3023819831158818E-4</v>
      </c>
    </row>
    <row r="935" spans="1:12" ht="22.95" customHeight="1">
      <c r="A935" s="5">
        <v>6</v>
      </c>
      <c r="B935" s="7" t="s">
        <v>159</v>
      </c>
      <c r="C935" s="7" t="s">
        <v>303</v>
      </c>
      <c r="D935" s="5">
        <v>33</v>
      </c>
      <c r="E935" s="5">
        <v>64</v>
      </c>
      <c r="F935" s="5">
        <v>15</v>
      </c>
      <c r="G935" s="5">
        <v>21</v>
      </c>
      <c r="H935" s="6">
        <f t="shared" si="70"/>
        <v>1.3943542175201029E-5</v>
      </c>
      <c r="I935" s="6">
        <f t="shared" si="71"/>
        <v>0.45454545454545453</v>
      </c>
      <c r="J935" s="6">
        <f t="shared" si="72"/>
        <v>0.328125</v>
      </c>
      <c r="K935" s="6">
        <f t="shared" si="73"/>
        <v>6.3379737160004676E-6</v>
      </c>
      <c r="L935" s="6">
        <f t="shared" si="74"/>
        <v>4.5752247762378375E-6</v>
      </c>
    </row>
    <row r="936" spans="1:12" ht="22.95" customHeight="1">
      <c r="A936" s="5">
        <v>6</v>
      </c>
      <c r="B936" s="7" t="s">
        <v>145</v>
      </c>
      <c r="C936" s="7" t="s">
        <v>294</v>
      </c>
      <c r="D936" s="5">
        <v>87</v>
      </c>
      <c r="E936" s="5">
        <v>154</v>
      </c>
      <c r="F936" s="5">
        <v>44</v>
      </c>
      <c r="G936" s="5">
        <v>83</v>
      </c>
      <c r="H936" s="6">
        <f t="shared" si="70"/>
        <v>3.6760247552802713E-5</v>
      </c>
      <c r="I936" s="6">
        <f t="shared" si="71"/>
        <v>0.50574712643678166</v>
      </c>
      <c r="J936" s="6">
        <f t="shared" si="72"/>
        <v>0.53896103896103897</v>
      </c>
      <c r="K936" s="6">
        <f t="shared" si="73"/>
        <v>1.8591389566934706E-5</v>
      </c>
      <c r="L936" s="6">
        <f t="shared" si="74"/>
        <v>1.981234121352354E-5</v>
      </c>
    </row>
    <row r="937" spans="1:12" ht="22.95" customHeight="1">
      <c r="A937" s="5">
        <v>6</v>
      </c>
      <c r="B937" s="7" t="s">
        <v>232</v>
      </c>
      <c r="C937" s="7" t="s">
        <v>292</v>
      </c>
      <c r="D937" s="5">
        <v>4</v>
      </c>
      <c r="E937" s="5">
        <v>2</v>
      </c>
      <c r="F937" s="5">
        <v>1</v>
      </c>
      <c r="G937" s="5">
        <v>1</v>
      </c>
      <c r="H937" s="6">
        <f t="shared" si="70"/>
        <v>1.6901263242667916E-6</v>
      </c>
      <c r="I937" s="6">
        <f t="shared" si="71"/>
        <v>0.25</v>
      </c>
      <c r="J937" s="6">
        <f t="shared" si="72"/>
        <v>0.5</v>
      </c>
      <c r="K937" s="6">
        <f t="shared" si="73"/>
        <v>4.2253158106669789E-7</v>
      </c>
      <c r="L937" s="6">
        <f t="shared" si="74"/>
        <v>8.4506316213339578E-7</v>
      </c>
    </row>
    <row r="938" spans="1:12" ht="22.95" customHeight="1">
      <c r="A938" s="5">
        <v>6</v>
      </c>
      <c r="B938" s="7" t="s">
        <v>174</v>
      </c>
      <c r="C938" s="7" t="s">
        <v>296</v>
      </c>
      <c r="D938" s="5">
        <v>41</v>
      </c>
      <c r="E938" s="5">
        <v>59</v>
      </c>
      <c r="F938" s="5">
        <v>0</v>
      </c>
      <c r="G938" s="5">
        <v>0</v>
      </c>
      <c r="H938" s="6">
        <f t="shared" si="70"/>
        <v>1.7323794823734613E-5</v>
      </c>
      <c r="I938" s="6">
        <f t="shared" si="71"/>
        <v>0</v>
      </c>
      <c r="J938" s="6">
        <f t="shared" si="72"/>
        <v>0</v>
      </c>
      <c r="K938" s="6">
        <f t="shared" si="73"/>
        <v>0</v>
      </c>
      <c r="L938" s="6">
        <f t="shared" si="74"/>
        <v>0</v>
      </c>
    </row>
    <row r="939" spans="1:12" ht="22.95" customHeight="1">
      <c r="A939" s="5">
        <v>6</v>
      </c>
      <c r="B939" s="7" t="s">
        <v>273</v>
      </c>
      <c r="C939" s="7" t="s">
        <v>294</v>
      </c>
      <c r="D939" s="5">
        <v>864</v>
      </c>
      <c r="E939" s="5">
        <v>1272</v>
      </c>
      <c r="F939" s="5">
        <v>768</v>
      </c>
      <c r="G939" s="5">
        <v>1092</v>
      </c>
      <c r="H939" s="6">
        <f t="shared" si="70"/>
        <v>3.6506728604162697E-4</v>
      </c>
      <c r="I939" s="6">
        <f t="shared" si="71"/>
        <v>0.88888888888888884</v>
      </c>
      <c r="J939" s="6">
        <f t="shared" si="72"/>
        <v>0.85849056603773588</v>
      </c>
      <c r="K939" s="6">
        <f t="shared" si="73"/>
        <v>3.2450425425922395E-4</v>
      </c>
      <c r="L939" s="6">
        <f t="shared" si="74"/>
        <v>3.1340682103573637E-4</v>
      </c>
    </row>
    <row r="940" spans="1:12" ht="22.95" customHeight="1">
      <c r="A940" s="5">
        <v>6</v>
      </c>
      <c r="B940" s="7" t="s">
        <v>213</v>
      </c>
      <c r="C940" s="7" t="s">
        <v>291</v>
      </c>
      <c r="D940" s="5">
        <v>1</v>
      </c>
      <c r="E940" s="5">
        <v>1</v>
      </c>
      <c r="F940" s="5">
        <v>0</v>
      </c>
      <c r="G940" s="5">
        <v>1</v>
      </c>
      <c r="H940" s="6">
        <f t="shared" si="70"/>
        <v>4.2253158106669789E-7</v>
      </c>
      <c r="I940" s="6">
        <f t="shared" si="71"/>
        <v>0</v>
      </c>
      <c r="J940" s="6">
        <f t="shared" si="72"/>
        <v>1</v>
      </c>
      <c r="K940" s="6">
        <f t="shared" si="73"/>
        <v>0</v>
      </c>
      <c r="L940" s="6">
        <f t="shared" si="74"/>
        <v>4.2253158106669789E-7</v>
      </c>
    </row>
    <row r="941" spans="1:12" ht="22.95" customHeight="1">
      <c r="A941" s="5">
        <v>6</v>
      </c>
      <c r="B941" s="7" t="s">
        <v>236</v>
      </c>
      <c r="C941" s="7" t="s">
        <v>303</v>
      </c>
      <c r="D941" s="5">
        <v>13</v>
      </c>
      <c r="E941" s="5">
        <v>6</v>
      </c>
      <c r="F941" s="5">
        <v>10</v>
      </c>
      <c r="G941" s="5">
        <v>4</v>
      </c>
      <c r="H941" s="6">
        <f t="shared" si="70"/>
        <v>5.4929105538670721E-6</v>
      </c>
      <c r="I941" s="6">
        <f t="shared" si="71"/>
        <v>0.76923076923076927</v>
      </c>
      <c r="J941" s="6">
        <f t="shared" si="72"/>
        <v>0.66666666666666663</v>
      </c>
      <c r="K941" s="6">
        <f t="shared" si="73"/>
        <v>4.2253158106669787E-6</v>
      </c>
      <c r="L941" s="6">
        <f t="shared" si="74"/>
        <v>3.6619403692447144E-6</v>
      </c>
    </row>
    <row r="942" spans="1:12" ht="22.95" customHeight="1">
      <c r="A942" s="5">
        <v>6</v>
      </c>
      <c r="B942" s="7" t="s">
        <v>176</v>
      </c>
      <c r="C942" s="7" t="s">
        <v>301</v>
      </c>
      <c r="D942" s="5">
        <v>9</v>
      </c>
      <c r="E942" s="5">
        <v>16</v>
      </c>
      <c r="F942" s="5">
        <v>3</v>
      </c>
      <c r="G942" s="5">
        <v>10</v>
      </c>
      <c r="H942" s="6">
        <f t="shared" si="70"/>
        <v>3.8027842296002809E-6</v>
      </c>
      <c r="I942" s="6">
        <f t="shared" si="71"/>
        <v>0.33333333333333331</v>
      </c>
      <c r="J942" s="6">
        <f t="shared" si="72"/>
        <v>0.625</v>
      </c>
      <c r="K942" s="6">
        <f t="shared" si="73"/>
        <v>1.2675947432000936E-6</v>
      </c>
      <c r="L942" s="6">
        <f t="shared" si="74"/>
        <v>2.3767401435001756E-6</v>
      </c>
    </row>
    <row r="943" spans="1:12" ht="22.95" customHeight="1">
      <c r="A943" s="5">
        <v>6</v>
      </c>
      <c r="B943" s="7" t="s">
        <v>169</v>
      </c>
      <c r="C943" s="7" t="s">
        <v>292</v>
      </c>
      <c r="D943" s="5">
        <v>171</v>
      </c>
      <c r="E943" s="5">
        <v>209</v>
      </c>
      <c r="F943" s="5">
        <v>137</v>
      </c>
      <c r="G943" s="5">
        <v>146</v>
      </c>
      <c r="H943" s="6">
        <f t="shared" si="70"/>
        <v>7.2252900362405331E-5</v>
      </c>
      <c r="I943" s="6">
        <f t="shared" si="71"/>
        <v>0.80116959064327486</v>
      </c>
      <c r="J943" s="6">
        <f t="shared" si="72"/>
        <v>0.69856459330143539</v>
      </c>
      <c r="K943" s="6">
        <f t="shared" si="73"/>
        <v>5.7886826606137604E-5</v>
      </c>
      <c r="L943" s="6">
        <f t="shared" si="74"/>
        <v>5.0473317956512813E-5</v>
      </c>
    </row>
    <row r="944" spans="1:12" ht="22.95" customHeight="1">
      <c r="A944" s="5">
        <v>6</v>
      </c>
      <c r="B944" s="7" t="s">
        <v>234</v>
      </c>
      <c r="C944" s="7" t="s">
        <v>292</v>
      </c>
      <c r="D944" s="5">
        <v>394</v>
      </c>
      <c r="E944" s="5">
        <v>431</v>
      </c>
      <c r="F944" s="5">
        <v>246</v>
      </c>
      <c r="G944" s="5">
        <v>273</v>
      </c>
      <c r="H944" s="6">
        <f t="shared" si="70"/>
        <v>1.6647744294027896E-4</v>
      </c>
      <c r="I944" s="6">
        <f t="shared" si="71"/>
        <v>0.62436548223350252</v>
      </c>
      <c r="J944" s="6">
        <f t="shared" si="72"/>
        <v>0.63341067285382835</v>
      </c>
      <c r="K944" s="6">
        <f t="shared" si="73"/>
        <v>1.0394276894240767E-4</v>
      </c>
      <c r="L944" s="6">
        <f t="shared" si="74"/>
        <v>1.0544858914778691E-4</v>
      </c>
    </row>
    <row r="945" spans="1:12" ht="22.95" customHeight="1">
      <c r="A945" s="5">
        <v>6</v>
      </c>
      <c r="B945" s="7" t="s">
        <v>141</v>
      </c>
      <c r="C945" s="7" t="s">
        <v>298</v>
      </c>
      <c r="D945" s="5">
        <v>511</v>
      </c>
      <c r="E945" s="5">
        <v>634</v>
      </c>
      <c r="F945" s="5">
        <v>117</v>
      </c>
      <c r="G945" s="5">
        <v>155</v>
      </c>
      <c r="H945" s="6">
        <f t="shared" si="70"/>
        <v>2.1591363792508261E-4</v>
      </c>
      <c r="I945" s="6">
        <f t="shared" si="71"/>
        <v>0.22896281800391388</v>
      </c>
      <c r="J945" s="6">
        <f t="shared" si="72"/>
        <v>0.24447949526813881</v>
      </c>
      <c r="K945" s="6">
        <f t="shared" si="73"/>
        <v>4.9436194984803645E-5</v>
      </c>
      <c r="L945" s="6">
        <f t="shared" si="74"/>
        <v>5.2786457221431871E-5</v>
      </c>
    </row>
    <row r="946" spans="1:12" ht="22.95" customHeight="1">
      <c r="A946" s="5">
        <v>6</v>
      </c>
      <c r="B946" s="7" t="s">
        <v>166</v>
      </c>
      <c r="C946" s="7" t="s">
        <v>292</v>
      </c>
      <c r="D946" s="5">
        <v>240</v>
      </c>
      <c r="E946" s="5">
        <v>219</v>
      </c>
      <c r="F946" s="5">
        <v>89</v>
      </c>
      <c r="G946" s="5">
        <v>104</v>
      </c>
      <c r="H946" s="6">
        <f t="shared" si="70"/>
        <v>1.014075794560075E-4</v>
      </c>
      <c r="I946" s="6">
        <f t="shared" si="71"/>
        <v>0.37083333333333335</v>
      </c>
      <c r="J946" s="6">
        <f t="shared" si="72"/>
        <v>0.47488584474885842</v>
      </c>
      <c r="K946" s="6">
        <f t="shared" si="73"/>
        <v>3.7605310714936117E-5</v>
      </c>
      <c r="L946" s="6">
        <f t="shared" si="74"/>
        <v>4.8157024033903102E-5</v>
      </c>
    </row>
    <row r="947" spans="1:12" ht="22.95" customHeight="1">
      <c r="A947" s="5">
        <v>6</v>
      </c>
      <c r="B947" s="7" t="s">
        <v>104</v>
      </c>
      <c r="C947" s="7" t="s">
        <v>293</v>
      </c>
      <c r="D947" s="5">
        <v>3442</v>
      </c>
      <c r="E947" s="5">
        <v>4389</v>
      </c>
      <c r="F947" s="5">
        <v>1301</v>
      </c>
      <c r="G947" s="5">
        <v>2341</v>
      </c>
      <c r="H947" s="6">
        <f t="shared" si="70"/>
        <v>1.4543537020315742E-3</v>
      </c>
      <c r="I947" s="6">
        <f t="shared" si="71"/>
        <v>0.37797791981406159</v>
      </c>
      <c r="J947" s="6">
        <f t="shared" si="72"/>
        <v>0.5333789017999544</v>
      </c>
      <c r="K947" s="6">
        <f t="shared" si="73"/>
        <v>5.4971358696777393E-4</v>
      </c>
      <c r="L947" s="6">
        <f t="shared" si="74"/>
        <v>7.7572158041829919E-4</v>
      </c>
    </row>
    <row r="948" spans="1:12" ht="22.95" customHeight="1">
      <c r="A948" s="5">
        <v>6</v>
      </c>
      <c r="B948" s="7" t="s">
        <v>282</v>
      </c>
      <c r="C948" s="7" t="s">
        <v>292</v>
      </c>
      <c r="D948" s="5">
        <v>4044</v>
      </c>
      <c r="E948" s="5">
        <v>3422</v>
      </c>
      <c r="F948" s="5">
        <v>3305</v>
      </c>
      <c r="G948" s="5">
        <v>2885</v>
      </c>
      <c r="H948" s="6">
        <f t="shared" si="70"/>
        <v>1.7087177138337263E-3</v>
      </c>
      <c r="I948" s="6">
        <f t="shared" si="71"/>
        <v>0.81726013847675572</v>
      </c>
      <c r="J948" s="6">
        <f t="shared" si="72"/>
        <v>0.84307422559906486</v>
      </c>
      <c r="K948" s="6">
        <f t="shared" si="73"/>
        <v>1.3964668754254366E-3</v>
      </c>
      <c r="L948" s="6">
        <f t="shared" si="74"/>
        <v>1.4405758633577732E-3</v>
      </c>
    </row>
    <row r="949" spans="1:12" ht="22.95" customHeight="1">
      <c r="A949" s="5">
        <v>6</v>
      </c>
      <c r="B949" s="7" t="s">
        <v>270</v>
      </c>
      <c r="C949" s="7" t="s">
        <v>303</v>
      </c>
      <c r="D949" s="5">
        <v>597</v>
      </c>
      <c r="E949" s="5">
        <v>260</v>
      </c>
      <c r="F949" s="5">
        <v>129</v>
      </c>
      <c r="G949" s="5">
        <v>62</v>
      </c>
      <c r="H949" s="6">
        <f t="shared" si="70"/>
        <v>2.5225135389681864E-4</v>
      </c>
      <c r="I949" s="6">
        <f t="shared" si="71"/>
        <v>0.21608040201005024</v>
      </c>
      <c r="J949" s="6">
        <f t="shared" si="72"/>
        <v>0.23846153846153847</v>
      </c>
      <c r="K949" s="6">
        <f t="shared" si="73"/>
        <v>5.4506573957604022E-5</v>
      </c>
      <c r="L949" s="6">
        <f t="shared" si="74"/>
        <v>6.015224592924137E-5</v>
      </c>
    </row>
    <row r="950" spans="1:12" ht="22.95" customHeight="1">
      <c r="A950" s="5">
        <v>6</v>
      </c>
      <c r="B950" s="7" t="s">
        <v>250</v>
      </c>
      <c r="C950" s="7" t="s">
        <v>303</v>
      </c>
      <c r="D950" s="5">
        <v>41</v>
      </c>
      <c r="E950" s="5">
        <v>24</v>
      </c>
      <c r="F950" s="5">
        <v>25</v>
      </c>
      <c r="G950" s="5">
        <v>16</v>
      </c>
      <c r="H950" s="6">
        <f t="shared" si="70"/>
        <v>1.7323794823734613E-5</v>
      </c>
      <c r="I950" s="6">
        <f t="shared" si="71"/>
        <v>0.6097560975609756</v>
      </c>
      <c r="J950" s="6">
        <f t="shared" si="72"/>
        <v>0.66666666666666663</v>
      </c>
      <c r="K950" s="6">
        <f t="shared" si="73"/>
        <v>1.0563289526667447E-5</v>
      </c>
      <c r="L950" s="6">
        <f t="shared" si="74"/>
        <v>1.1549196549156408E-5</v>
      </c>
    </row>
    <row r="951" spans="1:12" ht="22.95" customHeight="1">
      <c r="A951" s="5">
        <v>6</v>
      </c>
      <c r="B951" s="7" t="s">
        <v>156</v>
      </c>
      <c r="C951" s="7" t="s">
        <v>303</v>
      </c>
      <c r="D951" s="5">
        <v>56</v>
      </c>
      <c r="E951" s="5">
        <v>74</v>
      </c>
      <c r="F951" s="5">
        <v>36</v>
      </c>
      <c r="G951" s="5">
        <v>35</v>
      </c>
      <c r="H951" s="6">
        <f t="shared" si="70"/>
        <v>2.3661768539735083E-5</v>
      </c>
      <c r="I951" s="6">
        <f t="shared" si="71"/>
        <v>0.6428571428571429</v>
      </c>
      <c r="J951" s="6">
        <f t="shared" si="72"/>
        <v>0.47297297297297297</v>
      </c>
      <c r="K951" s="6">
        <f t="shared" si="73"/>
        <v>1.5211136918401125E-5</v>
      </c>
      <c r="L951" s="6">
        <f t="shared" si="74"/>
        <v>1.1191377012036863E-5</v>
      </c>
    </row>
    <row r="952" spans="1:12" ht="22.95" customHeight="1">
      <c r="A952" s="5">
        <v>6</v>
      </c>
      <c r="B952" s="7" t="s">
        <v>182</v>
      </c>
      <c r="C952" s="7" t="s">
        <v>291</v>
      </c>
      <c r="D952" s="5">
        <v>7</v>
      </c>
      <c r="E952" s="5">
        <v>1</v>
      </c>
      <c r="F952" s="5">
        <v>4</v>
      </c>
      <c r="G952" s="5">
        <v>0</v>
      </c>
      <c r="H952" s="6">
        <f t="shared" si="70"/>
        <v>2.9577210674668854E-6</v>
      </c>
      <c r="I952" s="6">
        <f t="shared" si="71"/>
        <v>0.5714285714285714</v>
      </c>
      <c r="J952" s="6">
        <f t="shared" si="72"/>
        <v>0</v>
      </c>
      <c r="K952" s="6">
        <f t="shared" si="73"/>
        <v>1.6901263242667916E-6</v>
      </c>
      <c r="L952" s="6">
        <f t="shared" si="74"/>
        <v>0</v>
      </c>
    </row>
    <row r="953" spans="1:12" ht="22.95" customHeight="1">
      <c r="A953" s="5">
        <v>6</v>
      </c>
      <c r="B953" s="7" t="s">
        <v>245</v>
      </c>
      <c r="C953" s="7" t="s">
        <v>293</v>
      </c>
      <c r="D953" s="5">
        <v>74</v>
      </c>
      <c r="E953" s="5">
        <v>83</v>
      </c>
      <c r="F953" s="5">
        <v>39</v>
      </c>
      <c r="G953" s="5">
        <v>33</v>
      </c>
      <c r="H953" s="6">
        <f t="shared" si="70"/>
        <v>3.1267336998935645E-5</v>
      </c>
      <c r="I953" s="6">
        <f t="shared" si="71"/>
        <v>0.52702702702702697</v>
      </c>
      <c r="J953" s="6">
        <f t="shared" si="72"/>
        <v>0.39759036144578314</v>
      </c>
      <c r="K953" s="6">
        <f t="shared" si="73"/>
        <v>1.6478731661601216E-5</v>
      </c>
      <c r="L953" s="6">
        <f t="shared" si="74"/>
        <v>1.2431591818853931E-5</v>
      </c>
    </row>
    <row r="954" spans="1:12" ht="22.95" customHeight="1">
      <c r="A954" s="5">
        <v>6</v>
      </c>
      <c r="B954" s="7" t="s">
        <v>108</v>
      </c>
      <c r="C954" s="7" t="s">
        <v>294</v>
      </c>
      <c r="D954" s="5">
        <v>4444</v>
      </c>
      <c r="E954" s="5">
        <v>5151</v>
      </c>
      <c r="F954" s="5">
        <v>3635</v>
      </c>
      <c r="G954" s="5">
        <v>4438</v>
      </c>
      <c r="H954" s="6">
        <f t="shared" si="70"/>
        <v>1.8777303462604053E-3</v>
      </c>
      <c r="I954" s="6">
        <f t="shared" si="71"/>
        <v>0.81795679567956792</v>
      </c>
      <c r="J954" s="6">
        <f t="shared" si="72"/>
        <v>0.86158027567462625</v>
      </c>
      <c r="K954" s="6">
        <f t="shared" si="73"/>
        <v>1.5359022971774467E-3</v>
      </c>
      <c r="L954" s="6">
        <f t="shared" si="74"/>
        <v>1.6178154293736513E-3</v>
      </c>
    </row>
    <row r="955" spans="1:12" ht="22.95" customHeight="1">
      <c r="A955" s="5">
        <v>6</v>
      </c>
      <c r="B955" s="7" t="s">
        <v>276</v>
      </c>
      <c r="C955" s="7" t="s">
        <v>295</v>
      </c>
      <c r="D955" s="5">
        <v>5840</v>
      </c>
      <c r="E955" s="5">
        <v>5625</v>
      </c>
      <c r="F955" s="5">
        <v>2742</v>
      </c>
      <c r="G955" s="5">
        <v>2584</v>
      </c>
      <c r="H955" s="6">
        <f t="shared" si="70"/>
        <v>2.4675844334295155E-3</v>
      </c>
      <c r="I955" s="6">
        <f t="shared" si="71"/>
        <v>0.46952054794520548</v>
      </c>
      <c r="J955" s="6">
        <f t="shared" si="72"/>
        <v>0.45937777777777777</v>
      </c>
      <c r="K955" s="6">
        <f t="shared" si="73"/>
        <v>1.1585815952848855E-3</v>
      </c>
      <c r="L955" s="6">
        <f t="shared" si="74"/>
        <v>1.1335534535078875E-3</v>
      </c>
    </row>
    <row r="956" spans="1:12" ht="22.95" customHeight="1">
      <c r="A956" s="5">
        <v>6</v>
      </c>
      <c r="B956" s="7" t="s">
        <v>281</v>
      </c>
      <c r="C956" s="7" t="s">
        <v>305</v>
      </c>
      <c r="D956" s="5">
        <v>1667</v>
      </c>
      <c r="E956" s="5">
        <v>525</v>
      </c>
      <c r="F956" s="5">
        <v>1644</v>
      </c>
      <c r="G956" s="5">
        <v>501</v>
      </c>
      <c r="H956" s="6">
        <f t="shared" si="70"/>
        <v>7.0436014563818533E-4</v>
      </c>
      <c r="I956" s="6">
        <f t="shared" si="71"/>
        <v>0.98620275944811042</v>
      </c>
      <c r="J956" s="6">
        <f t="shared" si="72"/>
        <v>0.95428571428571429</v>
      </c>
      <c r="K956" s="6">
        <f t="shared" si="73"/>
        <v>6.9464191927365131E-4</v>
      </c>
      <c r="L956" s="6">
        <f t="shared" si="74"/>
        <v>6.7216082469472548E-4</v>
      </c>
    </row>
    <row r="957" spans="1:12" ht="22.95" customHeight="1">
      <c r="A957" s="5">
        <v>6</v>
      </c>
      <c r="B957" s="7" t="s">
        <v>207</v>
      </c>
      <c r="C957" s="7" t="s">
        <v>295</v>
      </c>
      <c r="D957" s="5">
        <v>257</v>
      </c>
      <c r="E957" s="5">
        <v>243</v>
      </c>
      <c r="F957" s="5">
        <v>238</v>
      </c>
      <c r="G957" s="5">
        <v>238</v>
      </c>
      <c r="H957" s="6">
        <f t="shared" si="70"/>
        <v>1.0859061633414136E-4</v>
      </c>
      <c r="I957" s="6">
        <f t="shared" si="71"/>
        <v>0.92607003891050588</v>
      </c>
      <c r="J957" s="6">
        <f t="shared" si="72"/>
        <v>0.97942386831275718</v>
      </c>
      <c r="K957" s="6">
        <f t="shared" si="73"/>
        <v>1.005625162938741E-4</v>
      </c>
      <c r="L957" s="6">
        <f t="shared" si="74"/>
        <v>1.063562415124512E-4</v>
      </c>
    </row>
    <row r="958" spans="1:12" ht="22.95" customHeight="1">
      <c r="A958" s="5">
        <v>6</v>
      </c>
      <c r="B958" s="7" t="s">
        <v>269</v>
      </c>
      <c r="C958" s="7" t="s">
        <v>295</v>
      </c>
      <c r="D958" s="5">
        <v>1473</v>
      </c>
      <c r="E958" s="5">
        <v>1240</v>
      </c>
      <c r="F958" s="5">
        <v>1268</v>
      </c>
      <c r="G958" s="5">
        <v>1034</v>
      </c>
      <c r="H958" s="6">
        <f t="shared" si="70"/>
        <v>6.2238901891124594E-4</v>
      </c>
      <c r="I958" s="6">
        <f t="shared" si="71"/>
        <v>0.86082824168363881</v>
      </c>
      <c r="J958" s="6">
        <f t="shared" si="72"/>
        <v>0.83387096774193548</v>
      </c>
      <c r="K958" s="6">
        <f t="shared" si="73"/>
        <v>5.3577004479257284E-4</v>
      </c>
      <c r="L958" s="6">
        <f t="shared" si="74"/>
        <v>5.1899213351147447E-4</v>
      </c>
    </row>
    <row r="959" spans="1:12" ht="22.95" customHeight="1">
      <c r="A959" s="5">
        <v>6</v>
      </c>
      <c r="B959" s="7" t="s">
        <v>284</v>
      </c>
      <c r="C959" s="7" t="s">
        <v>295</v>
      </c>
      <c r="D959" s="5">
        <v>29740</v>
      </c>
      <c r="E959" s="5">
        <v>34039</v>
      </c>
      <c r="F959" s="5">
        <v>18389</v>
      </c>
      <c r="G959" s="5">
        <v>23034</v>
      </c>
      <c r="H959" s="6">
        <f t="shared" si="70"/>
        <v>1.2566089220923594E-2</v>
      </c>
      <c r="I959" s="6">
        <f t="shared" si="71"/>
        <v>0.61832548755884331</v>
      </c>
      <c r="J959" s="6">
        <f t="shared" si="72"/>
        <v>0.67669437997590998</v>
      </c>
      <c r="K959" s="6">
        <f t="shared" si="73"/>
        <v>7.7699332442355074E-3</v>
      </c>
      <c r="L959" s="6">
        <f t="shared" si="74"/>
        <v>8.503401954074858E-3</v>
      </c>
    </row>
    <row r="960" spans="1:12" ht="22.95" customHeight="1">
      <c r="A960" s="5">
        <v>6</v>
      </c>
      <c r="B960" s="7" t="s">
        <v>117</v>
      </c>
      <c r="C960" s="7" t="s">
        <v>295</v>
      </c>
      <c r="D960" s="5">
        <v>24081</v>
      </c>
      <c r="E960" s="5">
        <v>23790</v>
      </c>
      <c r="F960" s="5">
        <v>12137</v>
      </c>
      <c r="G960" s="5">
        <v>12054</v>
      </c>
      <c r="H960" s="6">
        <f t="shared" si="70"/>
        <v>1.0174983003667152E-2</v>
      </c>
      <c r="I960" s="6">
        <f t="shared" si="71"/>
        <v>0.50400730866658361</v>
      </c>
      <c r="J960" s="6">
        <f t="shared" si="72"/>
        <v>0.50668348045397227</v>
      </c>
      <c r="K960" s="6">
        <f t="shared" si="73"/>
        <v>5.1282657994065122E-3</v>
      </c>
      <c r="L960" s="6">
        <f t="shared" si="74"/>
        <v>5.1554958018580855E-3</v>
      </c>
    </row>
    <row r="961" spans="1:12" ht="22.95" customHeight="1">
      <c r="A961" s="5">
        <v>6</v>
      </c>
      <c r="B961" s="7" t="s">
        <v>99</v>
      </c>
      <c r="C961" s="7" t="s">
        <v>295</v>
      </c>
      <c r="D961" s="5">
        <v>4779</v>
      </c>
      <c r="E961" s="5">
        <v>6024</v>
      </c>
      <c r="F961" s="5">
        <v>2351</v>
      </c>
      <c r="G961" s="5">
        <v>3280</v>
      </c>
      <c r="H961" s="6">
        <f t="shared" si="70"/>
        <v>2.0192784259177492E-3</v>
      </c>
      <c r="I961" s="6">
        <f t="shared" si="71"/>
        <v>0.4919439213224524</v>
      </c>
      <c r="J961" s="6">
        <f t="shared" si="72"/>
        <v>0.54448871181938907</v>
      </c>
      <c r="K961" s="6">
        <f t="shared" si="73"/>
        <v>9.9337174708780682E-4</v>
      </c>
      <c r="L961" s="6">
        <f t="shared" si="74"/>
        <v>1.0994743089326388E-3</v>
      </c>
    </row>
    <row r="962" spans="1:12" ht="22.95" customHeight="1">
      <c r="A962" s="5">
        <v>6</v>
      </c>
      <c r="B962" s="7" t="s">
        <v>181</v>
      </c>
      <c r="C962" s="7" t="s">
        <v>295</v>
      </c>
      <c r="D962" s="5">
        <v>2199</v>
      </c>
      <c r="E962" s="5">
        <v>2247</v>
      </c>
      <c r="F962" s="5">
        <v>1754</v>
      </c>
      <c r="G962" s="5">
        <v>1814</v>
      </c>
      <c r="H962" s="6">
        <f t="shared" si="70"/>
        <v>9.2914694676566863E-4</v>
      </c>
      <c r="I962" s="6">
        <f t="shared" si="71"/>
        <v>0.79763528876762169</v>
      </c>
      <c r="J962" s="6">
        <f t="shared" si="72"/>
        <v>0.80729862038273248</v>
      </c>
      <c r="K962" s="6">
        <f t="shared" si="73"/>
        <v>7.4112039319098807E-4</v>
      </c>
      <c r="L962" s="6">
        <f t="shared" si="74"/>
        <v>7.5009904825675249E-4</v>
      </c>
    </row>
    <row r="963" spans="1:12" ht="22.95" customHeight="1">
      <c r="A963" s="5">
        <v>6</v>
      </c>
      <c r="B963" s="7" t="s">
        <v>152</v>
      </c>
      <c r="C963" s="7" t="s">
        <v>290</v>
      </c>
      <c r="D963" s="5">
        <v>51</v>
      </c>
      <c r="E963" s="5">
        <v>72</v>
      </c>
      <c r="F963" s="5">
        <v>24</v>
      </c>
      <c r="G963" s="5">
        <v>40</v>
      </c>
      <c r="H963" s="6">
        <f t="shared" si="70"/>
        <v>2.1549110634401593E-5</v>
      </c>
      <c r="I963" s="6">
        <f t="shared" si="71"/>
        <v>0.47058823529411764</v>
      </c>
      <c r="J963" s="6">
        <f t="shared" si="72"/>
        <v>0.55555555555555558</v>
      </c>
      <c r="K963" s="6">
        <f t="shared" si="73"/>
        <v>1.014075794560075E-5</v>
      </c>
      <c r="L963" s="6">
        <f t="shared" si="74"/>
        <v>1.1971728130223107E-5</v>
      </c>
    </row>
    <row r="964" spans="1:12" ht="22.95" customHeight="1">
      <c r="A964" s="5">
        <v>6</v>
      </c>
      <c r="B964" s="7" t="s">
        <v>122</v>
      </c>
      <c r="C964" s="7" t="s">
        <v>292</v>
      </c>
      <c r="D964" s="5">
        <v>1957</v>
      </c>
      <c r="E964" s="5">
        <v>2164</v>
      </c>
      <c r="F964" s="5">
        <v>1258</v>
      </c>
      <c r="G964" s="5">
        <v>1433</v>
      </c>
      <c r="H964" s="6">
        <f t="shared" si="70"/>
        <v>8.2689430414752769E-4</v>
      </c>
      <c r="I964" s="6">
        <f t="shared" si="71"/>
        <v>0.64282064384261628</v>
      </c>
      <c r="J964" s="6">
        <f t="shared" si="72"/>
        <v>0.6621996303142329</v>
      </c>
      <c r="K964" s="6">
        <f t="shared" si="73"/>
        <v>5.3154472898190588E-4</v>
      </c>
      <c r="L964" s="6">
        <f t="shared" si="74"/>
        <v>5.4756910251543768E-4</v>
      </c>
    </row>
    <row r="965" spans="1:12" ht="22.95" customHeight="1">
      <c r="A965" s="5">
        <v>6</v>
      </c>
      <c r="B965" s="7" t="s">
        <v>265</v>
      </c>
      <c r="C965" s="7" t="s">
        <v>291</v>
      </c>
      <c r="D965" s="5">
        <v>442</v>
      </c>
      <c r="E965" s="5">
        <v>450</v>
      </c>
      <c r="F965" s="5">
        <v>357</v>
      </c>
      <c r="G965" s="5">
        <v>379</v>
      </c>
      <c r="H965" s="6">
        <f t="shared" si="70"/>
        <v>1.8675895883148047E-4</v>
      </c>
      <c r="I965" s="6">
        <f t="shared" si="71"/>
        <v>0.80769230769230771</v>
      </c>
      <c r="J965" s="6">
        <f t="shared" si="72"/>
        <v>0.84222222222222221</v>
      </c>
      <c r="K965" s="6">
        <f t="shared" si="73"/>
        <v>1.5084377444081115E-4</v>
      </c>
      <c r="L965" s="6">
        <f t="shared" si="74"/>
        <v>1.57292545326958E-4</v>
      </c>
    </row>
    <row r="966" spans="1:12" ht="22.95" customHeight="1">
      <c r="A966" s="5">
        <v>6</v>
      </c>
      <c r="B966" s="7" t="s">
        <v>109</v>
      </c>
      <c r="C966" s="7" t="s">
        <v>293</v>
      </c>
      <c r="D966" s="5">
        <v>2705</v>
      </c>
      <c r="E966" s="5">
        <v>4128</v>
      </c>
      <c r="F966" s="5">
        <v>1196</v>
      </c>
      <c r="G966" s="5">
        <v>960</v>
      </c>
      <c r="H966" s="6">
        <f t="shared" si="70"/>
        <v>1.1429479267854178E-3</v>
      </c>
      <c r="I966" s="6">
        <f t="shared" si="71"/>
        <v>0.44214417744916823</v>
      </c>
      <c r="J966" s="6">
        <f t="shared" si="72"/>
        <v>0.23255813953488372</v>
      </c>
      <c r="K966" s="6">
        <f t="shared" si="73"/>
        <v>5.0534777095577075E-4</v>
      </c>
      <c r="L966" s="6">
        <f t="shared" si="74"/>
        <v>2.6580184343846927E-4</v>
      </c>
    </row>
    <row r="967" spans="1:12" ht="22.95" customHeight="1">
      <c r="A967" s="5">
        <v>6</v>
      </c>
      <c r="B967" s="7" t="s">
        <v>97</v>
      </c>
      <c r="C967" s="7" t="s">
        <v>290</v>
      </c>
      <c r="D967" s="5">
        <v>4574</v>
      </c>
      <c r="E967" s="5">
        <v>5180</v>
      </c>
      <c r="F967" s="5">
        <v>1293</v>
      </c>
      <c r="G967" s="5">
        <v>2103</v>
      </c>
      <c r="H967" s="6">
        <f t="shared" si="70"/>
        <v>1.932659451799076E-3</v>
      </c>
      <c r="I967" s="6">
        <f t="shared" si="71"/>
        <v>0.28268473983384346</v>
      </c>
      <c r="J967" s="6">
        <f t="shared" si="72"/>
        <v>0.40598455598455596</v>
      </c>
      <c r="K967" s="6">
        <f t="shared" si="73"/>
        <v>5.4633333431924034E-4</v>
      </c>
      <c r="L967" s="6">
        <f t="shared" si="74"/>
        <v>7.846298894080032E-4</v>
      </c>
    </row>
    <row r="968" spans="1:12" ht="22.95" customHeight="1">
      <c r="A968" s="5">
        <v>6</v>
      </c>
      <c r="B968" s="7" t="s">
        <v>91</v>
      </c>
      <c r="C968" s="7" t="s">
        <v>290</v>
      </c>
      <c r="D968" s="5">
        <v>6156</v>
      </c>
      <c r="E968" s="5">
        <v>6156</v>
      </c>
      <c r="F968" s="5">
        <v>1793</v>
      </c>
      <c r="G968" s="5">
        <v>2408</v>
      </c>
      <c r="H968" s="6">
        <f t="shared" si="70"/>
        <v>2.6011044130465921E-3</v>
      </c>
      <c r="I968" s="6">
        <f t="shared" si="71"/>
        <v>0.29126055880441848</v>
      </c>
      <c r="J968" s="6">
        <f t="shared" si="72"/>
        <v>0.39116309291747886</v>
      </c>
      <c r="K968" s="6">
        <f t="shared" si="73"/>
        <v>7.5759912485258939E-4</v>
      </c>
      <c r="L968" s="6">
        <f t="shared" si="74"/>
        <v>1.0174560472086085E-3</v>
      </c>
    </row>
    <row r="969" spans="1:12" ht="22.95" customHeight="1">
      <c r="A969" s="5">
        <v>6</v>
      </c>
      <c r="B969" s="7" t="s">
        <v>266</v>
      </c>
      <c r="C969" s="7" t="s">
        <v>295</v>
      </c>
      <c r="D969" s="5">
        <v>1094</v>
      </c>
      <c r="E969" s="5">
        <v>1045</v>
      </c>
      <c r="F969" s="5">
        <v>72</v>
      </c>
      <c r="G969" s="5">
        <v>92</v>
      </c>
      <c r="H969" s="6">
        <f t="shared" si="70"/>
        <v>4.6224954968696746E-4</v>
      </c>
      <c r="I969" s="6">
        <f t="shared" si="71"/>
        <v>6.5813528336380253E-2</v>
      </c>
      <c r="J969" s="6">
        <f t="shared" si="72"/>
        <v>8.8038277511961721E-2</v>
      </c>
      <c r="K969" s="6">
        <f t="shared" si="73"/>
        <v>3.0422273836802244E-5</v>
      </c>
      <c r="L969" s="6">
        <f t="shared" si="74"/>
        <v>4.0695654135120578E-5</v>
      </c>
    </row>
    <row r="970" spans="1:12" ht="22.95" customHeight="1">
      <c r="A970" s="5">
        <v>6</v>
      </c>
      <c r="B970" s="7" t="s">
        <v>171</v>
      </c>
      <c r="C970" s="7" t="s">
        <v>303</v>
      </c>
      <c r="D970" s="5">
        <v>27</v>
      </c>
      <c r="E970" s="5">
        <v>24</v>
      </c>
      <c r="F970" s="5">
        <v>21</v>
      </c>
      <c r="G970" s="5">
        <v>16</v>
      </c>
      <c r="H970" s="6">
        <f t="shared" si="70"/>
        <v>1.1408352688800843E-5</v>
      </c>
      <c r="I970" s="6">
        <f t="shared" si="71"/>
        <v>0.77777777777777779</v>
      </c>
      <c r="J970" s="6">
        <f t="shared" si="72"/>
        <v>0.66666666666666663</v>
      </c>
      <c r="K970" s="6">
        <f t="shared" si="73"/>
        <v>8.8731632024006561E-6</v>
      </c>
      <c r="L970" s="6">
        <f t="shared" si="74"/>
        <v>7.6055684592005618E-6</v>
      </c>
    </row>
    <row r="971" spans="1:12" ht="22.95" customHeight="1">
      <c r="A971" s="5">
        <v>6</v>
      </c>
      <c r="B971" s="7" t="s">
        <v>180</v>
      </c>
      <c r="C971" s="7" t="s">
        <v>294</v>
      </c>
      <c r="D971" s="5">
        <v>18</v>
      </c>
      <c r="E971" s="5">
        <v>47</v>
      </c>
      <c r="F971" s="5">
        <v>15</v>
      </c>
      <c r="G971" s="5">
        <v>42</v>
      </c>
      <c r="H971" s="6">
        <f t="shared" si="70"/>
        <v>7.6055684592005618E-6</v>
      </c>
      <c r="I971" s="6">
        <f t="shared" si="71"/>
        <v>0.83333333333333337</v>
      </c>
      <c r="J971" s="6">
        <f t="shared" si="72"/>
        <v>0.8936170212765957</v>
      </c>
      <c r="K971" s="6">
        <f t="shared" si="73"/>
        <v>6.3379737160004685E-6</v>
      </c>
      <c r="L971" s="6">
        <f t="shared" si="74"/>
        <v>6.7964654316260333E-6</v>
      </c>
    </row>
    <row r="972" spans="1:12" ht="22.95" customHeight="1">
      <c r="A972" s="5">
        <v>6</v>
      </c>
      <c r="B972" s="7" t="s">
        <v>134</v>
      </c>
      <c r="C972" s="7" t="s">
        <v>296</v>
      </c>
      <c r="D972" s="5">
        <v>268</v>
      </c>
      <c r="E972" s="5">
        <v>344</v>
      </c>
      <c r="F972" s="5">
        <v>0</v>
      </c>
      <c r="G972" s="5">
        <v>0</v>
      </c>
      <c r="H972" s="6">
        <f t="shared" si="70"/>
        <v>1.1323846372587503E-4</v>
      </c>
      <c r="I972" s="6">
        <f t="shared" si="71"/>
        <v>0</v>
      </c>
      <c r="J972" s="6">
        <f t="shared" si="72"/>
        <v>0</v>
      </c>
      <c r="K972" s="6">
        <f t="shared" si="73"/>
        <v>0</v>
      </c>
      <c r="L972" s="6">
        <f t="shared" si="74"/>
        <v>0</v>
      </c>
    </row>
    <row r="973" spans="1:12" ht="22.95" customHeight="1">
      <c r="A973" s="5">
        <v>6</v>
      </c>
      <c r="B973" s="7" t="s">
        <v>184</v>
      </c>
      <c r="C973" s="7" t="s">
        <v>303</v>
      </c>
      <c r="D973" s="5">
        <v>32</v>
      </c>
      <c r="E973" s="5">
        <v>38</v>
      </c>
      <c r="F973" s="5">
        <v>16</v>
      </c>
      <c r="G973" s="5">
        <v>31</v>
      </c>
      <c r="H973" s="6">
        <f t="shared" si="70"/>
        <v>1.3521010594134333E-5</v>
      </c>
      <c r="I973" s="6">
        <f t="shared" si="71"/>
        <v>0.5</v>
      </c>
      <c r="J973" s="6">
        <f t="shared" si="72"/>
        <v>0.81578947368421051</v>
      </c>
      <c r="K973" s="6">
        <f t="shared" si="73"/>
        <v>6.7605052970671663E-6</v>
      </c>
      <c r="L973" s="6">
        <f t="shared" si="74"/>
        <v>1.1030298116267481E-5</v>
      </c>
    </row>
    <row r="974" spans="1:12" ht="22.95" customHeight="1">
      <c r="A974" s="5">
        <v>6</v>
      </c>
      <c r="B974" s="7" t="s">
        <v>248</v>
      </c>
      <c r="C974" s="7" t="s">
        <v>295</v>
      </c>
      <c r="D974" s="5">
        <v>12</v>
      </c>
      <c r="E974" s="5">
        <v>5</v>
      </c>
      <c r="F974" s="5">
        <v>7</v>
      </c>
      <c r="G974" s="5">
        <v>2</v>
      </c>
      <c r="H974" s="6">
        <f t="shared" si="70"/>
        <v>5.0703789728003743E-6</v>
      </c>
      <c r="I974" s="6">
        <f t="shared" si="71"/>
        <v>0.58333333333333337</v>
      </c>
      <c r="J974" s="6">
        <f t="shared" si="72"/>
        <v>0.4</v>
      </c>
      <c r="K974" s="6">
        <f t="shared" si="73"/>
        <v>2.9577210674668854E-6</v>
      </c>
      <c r="L974" s="6">
        <f t="shared" si="74"/>
        <v>2.0281515891201499E-6</v>
      </c>
    </row>
    <row r="975" spans="1:12" ht="22.95" customHeight="1">
      <c r="A975" s="5">
        <v>6</v>
      </c>
      <c r="B975" s="7" t="s">
        <v>195</v>
      </c>
      <c r="C975" s="7" t="s">
        <v>291</v>
      </c>
      <c r="D975" s="5">
        <v>5</v>
      </c>
      <c r="E975" s="5">
        <v>10</v>
      </c>
      <c r="F975" s="5">
        <v>2</v>
      </c>
      <c r="G975" s="5">
        <v>9</v>
      </c>
      <c r="H975" s="6">
        <f t="shared" si="70"/>
        <v>2.1126579053334894E-6</v>
      </c>
      <c r="I975" s="6">
        <f t="shared" si="71"/>
        <v>0.4</v>
      </c>
      <c r="J975" s="6">
        <f t="shared" si="72"/>
        <v>0.9</v>
      </c>
      <c r="K975" s="6">
        <f t="shared" si="73"/>
        <v>8.4506316213339578E-7</v>
      </c>
      <c r="L975" s="6">
        <f t="shared" si="74"/>
        <v>1.9013921148001405E-6</v>
      </c>
    </row>
    <row r="976" spans="1:12" ht="22.95" customHeight="1">
      <c r="A976" s="5">
        <v>6</v>
      </c>
      <c r="B976" s="7" t="s">
        <v>235</v>
      </c>
      <c r="C976" s="7" t="s">
        <v>303</v>
      </c>
      <c r="D976" s="5">
        <v>4</v>
      </c>
      <c r="E976" s="5">
        <v>1</v>
      </c>
      <c r="F976" s="5">
        <v>3</v>
      </c>
      <c r="G976" s="5">
        <v>0</v>
      </c>
      <c r="H976" s="6">
        <f t="shared" si="70"/>
        <v>1.6901263242667916E-6</v>
      </c>
      <c r="I976" s="6">
        <f t="shared" si="71"/>
        <v>0.75</v>
      </c>
      <c r="J976" s="6">
        <f t="shared" si="72"/>
        <v>0</v>
      </c>
      <c r="K976" s="6">
        <f t="shared" si="73"/>
        <v>1.2675947432000938E-6</v>
      </c>
      <c r="L976" s="6">
        <f t="shared" si="74"/>
        <v>0</v>
      </c>
    </row>
    <row r="977" spans="1:12" ht="22.95" customHeight="1">
      <c r="A977" s="5">
        <v>6</v>
      </c>
      <c r="B977" s="7" t="s">
        <v>136</v>
      </c>
      <c r="C977" s="7" t="s">
        <v>296</v>
      </c>
      <c r="D977" s="5">
        <v>415</v>
      </c>
      <c r="E977" s="5">
        <v>626</v>
      </c>
      <c r="F977" s="5">
        <v>0</v>
      </c>
      <c r="G977" s="5">
        <v>0</v>
      </c>
      <c r="H977" s="6">
        <f t="shared" si="70"/>
        <v>1.7535060614267962E-4</v>
      </c>
      <c r="I977" s="6">
        <f t="shared" si="71"/>
        <v>0</v>
      </c>
      <c r="J977" s="6">
        <f t="shared" si="72"/>
        <v>0</v>
      </c>
      <c r="K977" s="6">
        <f t="shared" si="73"/>
        <v>0</v>
      </c>
      <c r="L977" s="6">
        <f t="shared" si="74"/>
        <v>0</v>
      </c>
    </row>
    <row r="978" spans="1:12" ht="22.95" customHeight="1">
      <c r="A978" s="5">
        <v>6</v>
      </c>
      <c r="B978" s="7" t="s">
        <v>243</v>
      </c>
      <c r="C978" s="7" t="s">
        <v>292</v>
      </c>
      <c r="D978" s="5">
        <v>12</v>
      </c>
      <c r="E978" s="5">
        <v>11</v>
      </c>
      <c r="F978" s="5">
        <v>10</v>
      </c>
      <c r="G978" s="5">
        <v>10</v>
      </c>
      <c r="H978" s="6">
        <f t="shared" si="70"/>
        <v>5.0703789728003743E-6</v>
      </c>
      <c r="I978" s="6">
        <f t="shared" si="71"/>
        <v>0.83333333333333337</v>
      </c>
      <c r="J978" s="6">
        <f t="shared" si="72"/>
        <v>0.90909090909090906</v>
      </c>
      <c r="K978" s="6">
        <f t="shared" si="73"/>
        <v>4.2253158106669787E-6</v>
      </c>
      <c r="L978" s="6">
        <f t="shared" si="74"/>
        <v>4.6094354298185218E-6</v>
      </c>
    </row>
    <row r="979" spans="1:12" ht="22.95" customHeight="1">
      <c r="A979" s="5">
        <v>6</v>
      </c>
      <c r="B979" s="7" t="s">
        <v>274</v>
      </c>
      <c r="C979" s="7" t="s">
        <v>292</v>
      </c>
      <c r="D979" s="5">
        <v>1501</v>
      </c>
      <c r="E979" s="5">
        <v>1233</v>
      </c>
      <c r="F979" s="5">
        <v>963</v>
      </c>
      <c r="G979" s="5">
        <v>790</v>
      </c>
      <c r="H979" s="6">
        <f t="shared" si="70"/>
        <v>6.3421990318111355E-4</v>
      </c>
      <c r="I979" s="6">
        <f t="shared" si="71"/>
        <v>0.64157228514323783</v>
      </c>
      <c r="J979" s="6">
        <f t="shared" si="72"/>
        <v>0.6407137064071371</v>
      </c>
      <c r="K979" s="6">
        <f t="shared" si="73"/>
        <v>4.0689791256723009E-4</v>
      </c>
      <c r="L979" s="6">
        <f t="shared" si="74"/>
        <v>4.0635338484434691E-4</v>
      </c>
    </row>
    <row r="980" spans="1:12" ht="22.95" customHeight="1">
      <c r="A980" s="5">
        <v>6</v>
      </c>
      <c r="B980" s="7" t="s">
        <v>279</v>
      </c>
      <c r="C980" s="7" t="s">
        <v>303</v>
      </c>
      <c r="D980" s="5">
        <v>3694</v>
      </c>
      <c r="E980" s="5">
        <v>2647</v>
      </c>
      <c r="F980" s="5">
        <v>1176</v>
      </c>
      <c r="G980" s="5">
        <v>1443</v>
      </c>
      <c r="H980" s="6">
        <f t="shared" si="70"/>
        <v>1.5608316604603821E-3</v>
      </c>
      <c r="I980" s="6">
        <f t="shared" si="71"/>
        <v>0.31835408770979967</v>
      </c>
      <c r="J980" s="6">
        <f t="shared" si="72"/>
        <v>0.54514544767661499</v>
      </c>
      <c r="K980" s="6">
        <f t="shared" si="73"/>
        <v>4.9689713933443673E-4</v>
      </c>
      <c r="L980" s="6">
        <f t="shared" si="74"/>
        <v>8.5088027428950933E-4</v>
      </c>
    </row>
    <row r="981" spans="1:12" ht="22.95" customHeight="1">
      <c r="A981" s="5">
        <v>6</v>
      </c>
      <c r="B981" s="7" t="s">
        <v>257</v>
      </c>
      <c r="C981" s="7" t="s">
        <v>293</v>
      </c>
      <c r="D981" s="5">
        <v>996</v>
      </c>
      <c r="E981" s="5">
        <v>1079</v>
      </c>
      <c r="F981" s="5">
        <v>368</v>
      </c>
      <c r="G981" s="5">
        <v>280</v>
      </c>
      <c r="H981" s="6">
        <f t="shared" si="70"/>
        <v>4.2084145474243108E-4</v>
      </c>
      <c r="I981" s="6">
        <f t="shared" si="71"/>
        <v>0.36947791164658633</v>
      </c>
      <c r="J981" s="6">
        <f t="shared" si="72"/>
        <v>0.25949953660797032</v>
      </c>
      <c r="K981" s="6">
        <f t="shared" si="73"/>
        <v>1.554916218325448E-4</v>
      </c>
      <c r="L981" s="6">
        <f t="shared" si="74"/>
        <v>1.0920816249108497E-4</v>
      </c>
    </row>
    <row r="982" spans="1:12" ht="22.95" customHeight="1">
      <c r="A982" s="5">
        <v>6</v>
      </c>
      <c r="B982" s="7" t="s">
        <v>121</v>
      </c>
      <c r="C982" s="7" t="s">
        <v>290</v>
      </c>
      <c r="D982" s="5">
        <v>957</v>
      </c>
      <c r="E982" s="5">
        <v>1255</v>
      </c>
      <c r="F982" s="5">
        <v>513</v>
      </c>
      <c r="G982" s="5">
        <v>803</v>
      </c>
      <c r="H982" s="6">
        <f t="shared" si="70"/>
        <v>4.0436272308082987E-4</v>
      </c>
      <c r="I982" s="6">
        <f t="shared" si="71"/>
        <v>0.53605015673981193</v>
      </c>
      <c r="J982" s="6">
        <f t="shared" si="72"/>
        <v>0.63984063745019926</v>
      </c>
      <c r="K982" s="6">
        <f t="shared" si="73"/>
        <v>2.1675870108721603E-4</v>
      </c>
      <c r="L982" s="6">
        <f t="shared" si="74"/>
        <v>2.5872770249713657E-4</v>
      </c>
    </row>
    <row r="983" spans="1:12" ht="22.95" customHeight="1">
      <c r="A983" s="5">
        <v>6</v>
      </c>
      <c r="B983" s="7" t="s">
        <v>160</v>
      </c>
      <c r="C983" s="7" t="s">
        <v>292</v>
      </c>
      <c r="D983" s="5">
        <v>257</v>
      </c>
      <c r="E983" s="5">
        <v>297</v>
      </c>
      <c r="F983" s="5">
        <v>72</v>
      </c>
      <c r="G983" s="5">
        <v>63</v>
      </c>
      <c r="H983" s="6">
        <f t="shared" si="70"/>
        <v>1.0859061633414136E-4</v>
      </c>
      <c r="I983" s="6">
        <f t="shared" si="71"/>
        <v>0.28015564202334631</v>
      </c>
      <c r="J983" s="6">
        <f t="shared" si="72"/>
        <v>0.21212121212121213</v>
      </c>
      <c r="K983" s="6">
        <f t="shared" si="73"/>
        <v>3.0422273836802247E-5</v>
      </c>
      <c r="L983" s="6">
        <f t="shared" si="74"/>
        <v>2.3034373161787562E-5</v>
      </c>
    </row>
    <row r="984" spans="1:12" ht="22.95" customHeight="1">
      <c r="A984" s="5">
        <v>6</v>
      </c>
      <c r="B984" s="7" t="s">
        <v>240</v>
      </c>
      <c r="C984" s="7" t="s">
        <v>296</v>
      </c>
      <c r="D984" s="5">
        <v>21</v>
      </c>
      <c r="E984" s="5">
        <v>12</v>
      </c>
      <c r="F984" s="5">
        <v>0</v>
      </c>
      <c r="G984" s="5">
        <v>0</v>
      </c>
      <c r="H984" s="6">
        <f t="shared" si="70"/>
        <v>8.8731632024006561E-6</v>
      </c>
      <c r="I984" s="6">
        <f t="shared" si="71"/>
        <v>0</v>
      </c>
      <c r="J984" s="6">
        <f t="shared" si="72"/>
        <v>0</v>
      </c>
      <c r="K984" s="6">
        <f t="shared" si="73"/>
        <v>0</v>
      </c>
      <c r="L984" s="6">
        <f t="shared" si="74"/>
        <v>0</v>
      </c>
    </row>
    <row r="985" spans="1:12" ht="22.95" customHeight="1">
      <c r="A985" s="5">
        <v>6</v>
      </c>
      <c r="B985" s="7" t="s">
        <v>116</v>
      </c>
      <c r="C985" s="7" t="s">
        <v>294</v>
      </c>
      <c r="D985" s="5">
        <v>2020</v>
      </c>
      <c r="E985" s="5">
        <v>2783</v>
      </c>
      <c r="F985" s="5">
        <v>707</v>
      </c>
      <c r="G985" s="5">
        <v>1206</v>
      </c>
      <c r="H985" s="6">
        <f t="shared" si="70"/>
        <v>8.5351379375472967E-4</v>
      </c>
      <c r="I985" s="6">
        <f t="shared" si="71"/>
        <v>0.35</v>
      </c>
      <c r="J985" s="6">
        <f t="shared" si="72"/>
        <v>0.43334531081566657</v>
      </c>
      <c r="K985" s="6">
        <f t="shared" si="73"/>
        <v>2.9872982781415535E-4</v>
      </c>
      <c r="L985" s="6">
        <f t="shared" si="74"/>
        <v>3.6986620024010206E-4</v>
      </c>
    </row>
    <row r="986" spans="1:12" ht="22.95" customHeight="1">
      <c r="A986" s="5">
        <v>6</v>
      </c>
      <c r="B986" s="7" t="s">
        <v>101</v>
      </c>
      <c r="C986" s="7" t="s">
        <v>294</v>
      </c>
      <c r="D986" s="5">
        <v>3</v>
      </c>
      <c r="E986" s="5">
        <v>110</v>
      </c>
      <c r="F986" s="5">
        <v>2</v>
      </c>
      <c r="G986" s="5">
        <v>40</v>
      </c>
      <c r="H986" s="6">
        <f t="shared" si="70"/>
        <v>1.2675947432000936E-6</v>
      </c>
      <c r="I986" s="6">
        <f t="shared" si="71"/>
        <v>0.66666666666666663</v>
      </c>
      <c r="J986" s="6">
        <f t="shared" si="72"/>
        <v>0.36363636363636365</v>
      </c>
      <c r="K986" s="6">
        <f t="shared" si="73"/>
        <v>8.4506316213339568E-7</v>
      </c>
      <c r="L986" s="6">
        <f t="shared" si="74"/>
        <v>4.609435429818522E-7</v>
      </c>
    </row>
    <row r="987" spans="1:12" ht="22.95" customHeight="1">
      <c r="A987" s="5">
        <v>6</v>
      </c>
      <c r="B987" s="7" t="s">
        <v>135</v>
      </c>
      <c r="C987" s="7" t="s">
        <v>291</v>
      </c>
      <c r="D987" s="5">
        <v>2338</v>
      </c>
      <c r="E987" s="5">
        <v>2521</v>
      </c>
      <c r="F987" s="5">
        <v>872</v>
      </c>
      <c r="G987" s="5">
        <v>1032</v>
      </c>
      <c r="H987" s="6">
        <f t="shared" si="70"/>
        <v>9.8787883653393953E-4</v>
      </c>
      <c r="I987" s="6">
        <f t="shared" si="71"/>
        <v>0.3729683490162532</v>
      </c>
      <c r="J987" s="6">
        <f t="shared" si="72"/>
        <v>0.4093613645378818</v>
      </c>
      <c r="K987" s="6">
        <f t="shared" si="73"/>
        <v>3.684475386901605E-4</v>
      </c>
      <c r="L987" s="6">
        <f t="shared" si="74"/>
        <v>4.0439942852162856E-4</v>
      </c>
    </row>
    <row r="988" spans="1:12" ht="22.95" customHeight="1">
      <c r="A988" s="5">
        <v>6</v>
      </c>
      <c r="B988" s="7" t="s">
        <v>120</v>
      </c>
      <c r="C988" s="7" t="s">
        <v>303</v>
      </c>
      <c r="D988" s="5">
        <v>406</v>
      </c>
      <c r="E988" s="5">
        <v>675</v>
      </c>
      <c r="F988" s="5">
        <v>279</v>
      </c>
      <c r="G988" s="5">
        <v>464</v>
      </c>
      <c r="H988" s="6">
        <f t="shared" si="70"/>
        <v>1.7154782191307935E-4</v>
      </c>
      <c r="I988" s="6">
        <f t="shared" si="71"/>
        <v>0.68719211822660098</v>
      </c>
      <c r="J988" s="6">
        <f t="shared" si="72"/>
        <v>0.68740740740740736</v>
      </c>
      <c r="K988" s="6">
        <f t="shared" si="73"/>
        <v>1.1788631111760872E-4</v>
      </c>
      <c r="L988" s="6">
        <f t="shared" si="74"/>
        <v>1.1792324350765749E-4</v>
      </c>
    </row>
    <row r="989" spans="1:12" ht="22.95" customHeight="1">
      <c r="A989" s="5">
        <v>6</v>
      </c>
      <c r="B989" s="7" t="s">
        <v>239</v>
      </c>
      <c r="C989" s="7" t="s">
        <v>296</v>
      </c>
      <c r="D989" s="5">
        <v>12</v>
      </c>
      <c r="E989" s="5">
        <v>4</v>
      </c>
      <c r="F989" s="5">
        <v>0</v>
      </c>
      <c r="G989" s="5">
        <v>0</v>
      </c>
      <c r="H989" s="6">
        <f t="shared" si="70"/>
        <v>5.0703789728003743E-6</v>
      </c>
      <c r="I989" s="6">
        <f t="shared" si="71"/>
        <v>0</v>
      </c>
      <c r="J989" s="6">
        <f t="shared" si="72"/>
        <v>0</v>
      </c>
      <c r="K989" s="6">
        <f t="shared" si="73"/>
        <v>0</v>
      </c>
      <c r="L989" s="6">
        <f t="shared" si="74"/>
        <v>0</v>
      </c>
    </row>
    <row r="990" spans="1:12" ht="22.95" customHeight="1">
      <c r="A990" s="5">
        <v>6</v>
      </c>
      <c r="B990" s="7" t="s">
        <v>175</v>
      </c>
      <c r="C990" s="7" t="s">
        <v>296</v>
      </c>
      <c r="D990" s="5">
        <v>356</v>
      </c>
      <c r="E990" s="5">
        <v>295</v>
      </c>
      <c r="F990" s="5">
        <v>0</v>
      </c>
      <c r="G990" s="5">
        <v>0</v>
      </c>
      <c r="H990" s="6">
        <f t="shared" ref="H990:H1053" si="75">D990/$B$16</f>
        <v>1.5042124285974444E-4</v>
      </c>
      <c r="I990" s="6">
        <f t="shared" ref="I990:I1053" si="76">F990/D990</f>
        <v>0</v>
      </c>
      <c r="J990" s="6">
        <f t="shared" ref="J990:J1053" si="77">G990/E990</f>
        <v>0</v>
      </c>
      <c r="K990" s="6">
        <f t="shared" ref="K990:K1053" si="78">H990*I990</f>
        <v>0</v>
      </c>
      <c r="L990" s="6">
        <f t="shared" ref="L990:L1053" si="79">H990*J990</f>
        <v>0</v>
      </c>
    </row>
    <row r="991" spans="1:12" ht="22.95" customHeight="1">
      <c r="A991" s="5">
        <v>6</v>
      </c>
      <c r="B991" s="7" t="s">
        <v>155</v>
      </c>
      <c r="C991" s="7" t="s">
        <v>303</v>
      </c>
      <c r="D991" s="5">
        <v>293</v>
      </c>
      <c r="E991" s="5">
        <v>268</v>
      </c>
      <c r="F991" s="5">
        <v>193</v>
      </c>
      <c r="G991" s="5">
        <v>175</v>
      </c>
      <c r="H991" s="6">
        <f t="shared" si="75"/>
        <v>1.2380175325254247E-4</v>
      </c>
      <c r="I991" s="6">
        <f t="shared" si="76"/>
        <v>0.65870307167235498</v>
      </c>
      <c r="J991" s="6">
        <f t="shared" si="77"/>
        <v>0.65298507462686572</v>
      </c>
      <c r="K991" s="6">
        <f t="shared" si="78"/>
        <v>8.1548595145872687E-5</v>
      </c>
      <c r="L991" s="6">
        <f t="shared" si="79"/>
        <v>8.0840697086548266E-5</v>
      </c>
    </row>
    <row r="992" spans="1:12" ht="22.95" customHeight="1">
      <c r="A992" s="5">
        <v>6</v>
      </c>
      <c r="B992" s="7" t="s">
        <v>85</v>
      </c>
      <c r="C992" s="7" t="s">
        <v>291</v>
      </c>
      <c r="D992" s="5">
        <v>7243</v>
      </c>
      <c r="E992" s="5">
        <v>10852</v>
      </c>
      <c r="F992" s="5">
        <v>1623</v>
      </c>
      <c r="G992" s="5">
        <v>2732</v>
      </c>
      <c r="H992" s="6">
        <f t="shared" si="75"/>
        <v>3.0603962416660929E-3</v>
      </c>
      <c r="I992" s="6">
        <f t="shared" si="76"/>
        <v>0.22407842054397351</v>
      </c>
      <c r="J992" s="6">
        <f t="shared" si="77"/>
        <v>0.25175082934021381</v>
      </c>
      <c r="K992" s="6">
        <f t="shared" si="78"/>
        <v>6.8576875607125076E-4</v>
      </c>
      <c r="L992" s="6">
        <f t="shared" si="79"/>
        <v>7.7045729194911235E-4</v>
      </c>
    </row>
    <row r="993" spans="1:12" ht="22.95" customHeight="1">
      <c r="A993" s="5">
        <v>6</v>
      </c>
      <c r="B993" s="7" t="s">
        <v>110</v>
      </c>
      <c r="C993" s="7" t="s">
        <v>291</v>
      </c>
      <c r="D993" s="5">
        <v>2442</v>
      </c>
      <c r="E993" s="5">
        <v>3082</v>
      </c>
      <c r="F993" s="5">
        <v>0</v>
      </c>
      <c r="G993" s="5">
        <v>0</v>
      </c>
      <c r="H993" s="6">
        <f t="shared" si="75"/>
        <v>1.0318221209648763E-3</v>
      </c>
      <c r="I993" s="6">
        <f t="shared" si="76"/>
        <v>0</v>
      </c>
      <c r="J993" s="6">
        <f t="shared" si="77"/>
        <v>0</v>
      </c>
      <c r="K993" s="6">
        <f t="shared" si="78"/>
        <v>0</v>
      </c>
      <c r="L993" s="6">
        <f t="shared" si="79"/>
        <v>0</v>
      </c>
    </row>
    <row r="994" spans="1:12" ht="22.95" customHeight="1">
      <c r="A994" s="5">
        <v>6</v>
      </c>
      <c r="B994" s="7" t="s">
        <v>151</v>
      </c>
      <c r="C994" s="7" t="s">
        <v>291</v>
      </c>
      <c r="D994" s="5">
        <v>493</v>
      </c>
      <c r="E994" s="5">
        <v>446</v>
      </c>
      <c r="F994" s="5">
        <v>112</v>
      </c>
      <c r="G994" s="5">
        <v>171</v>
      </c>
      <c r="H994" s="6">
        <f t="shared" si="75"/>
        <v>2.0830806946588206E-4</v>
      </c>
      <c r="I994" s="6">
        <f t="shared" si="76"/>
        <v>0.22718052738336714</v>
      </c>
      <c r="J994" s="6">
        <f t="shared" si="77"/>
        <v>0.38340807174887892</v>
      </c>
      <c r="K994" s="6">
        <f t="shared" si="78"/>
        <v>4.7323537079470166E-5</v>
      </c>
      <c r="L994" s="6">
        <f t="shared" si="79"/>
        <v>7.986699524364536E-5</v>
      </c>
    </row>
    <row r="995" spans="1:12" ht="22.95" customHeight="1">
      <c r="A995" s="5">
        <v>6</v>
      </c>
      <c r="B995" s="7" t="s">
        <v>161</v>
      </c>
      <c r="C995" s="7" t="s">
        <v>291</v>
      </c>
      <c r="D995" s="5">
        <v>234</v>
      </c>
      <c r="E995" s="5">
        <v>278</v>
      </c>
      <c r="F995" s="5">
        <v>74</v>
      </c>
      <c r="G995" s="5">
        <v>83</v>
      </c>
      <c r="H995" s="6">
        <f t="shared" si="75"/>
        <v>9.8872389969607304E-5</v>
      </c>
      <c r="I995" s="6">
        <f t="shared" si="76"/>
        <v>0.31623931623931623</v>
      </c>
      <c r="J995" s="6">
        <f t="shared" si="77"/>
        <v>0.29856115107913667</v>
      </c>
      <c r="K995" s="6">
        <f t="shared" si="78"/>
        <v>3.1267336998935645E-5</v>
      </c>
      <c r="L995" s="6">
        <f t="shared" si="79"/>
        <v>2.9519454559271242E-5</v>
      </c>
    </row>
    <row r="996" spans="1:12" ht="22.95" customHeight="1">
      <c r="A996" s="5">
        <v>6</v>
      </c>
      <c r="B996" s="7" t="s">
        <v>162</v>
      </c>
      <c r="C996" s="7" t="s">
        <v>291</v>
      </c>
      <c r="D996" s="5">
        <v>258</v>
      </c>
      <c r="E996" s="5">
        <v>283</v>
      </c>
      <c r="F996" s="5">
        <v>51</v>
      </c>
      <c r="G996" s="5">
        <v>68</v>
      </c>
      <c r="H996" s="6">
        <f t="shared" si="75"/>
        <v>1.0901314791520806E-4</v>
      </c>
      <c r="I996" s="6">
        <f t="shared" si="76"/>
        <v>0.19767441860465115</v>
      </c>
      <c r="J996" s="6">
        <f t="shared" si="77"/>
        <v>0.24028268551236748</v>
      </c>
      <c r="K996" s="6">
        <f t="shared" si="78"/>
        <v>2.1549110634401593E-5</v>
      </c>
      <c r="L996" s="6">
        <f t="shared" si="79"/>
        <v>2.6193971937223136E-5</v>
      </c>
    </row>
    <row r="997" spans="1:12" ht="22.95" customHeight="1">
      <c r="A997" s="5">
        <v>6</v>
      </c>
      <c r="B997" s="7" t="s">
        <v>130</v>
      </c>
      <c r="C997" s="7" t="s">
        <v>292</v>
      </c>
      <c r="D997" s="5">
        <v>584</v>
      </c>
      <c r="E997" s="5">
        <v>863</v>
      </c>
      <c r="F997" s="5">
        <v>341</v>
      </c>
      <c r="G997" s="5">
        <v>533</v>
      </c>
      <c r="H997" s="6">
        <f t="shared" si="75"/>
        <v>2.4675844334295157E-4</v>
      </c>
      <c r="I997" s="6">
        <f t="shared" si="76"/>
        <v>0.58390410958904104</v>
      </c>
      <c r="J997" s="6">
        <f t="shared" si="77"/>
        <v>0.61761297798377757</v>
      </c>
      <c r="K997" s="6">
        <f t="shared" si="78"/>
        <v>1.4408326914374398E-4</v>
      </c>
      <c r="L997" s="6">
        <f t="shared" si="79"/>
        <v>1.5240121703568156E-4</v>
      </c>
    </row>
    <row r="998" spans="1:12" ht="22.95" customHeight="1">
      <c r="A998" s="5">
        <v>6</v>
      </c>
      <c r="B998" s="7" t="s">
        <v>192</v>
      </c>
      <c r="C998" s="7" t="s">
        <v>303</v>
      </c>
      <c r="D998" s="5">
        <v>20</v>
      </c>
      <c r="E998" s="5">
        <v>17</v>
      </c>
      <c r="F998" s="5">
        <v>13</v>
      </c>
      <c r="G998" s="5">
        <v>15</v>
      </c>
      <c r="H998" s="6">
        <f t="shared" si="75"/>
        <v>8.4506316213339574E-6</v>
      </c>
      <c r="I998" s="6">
        <f t="shared" si="76"/>
        <v>0.65</v>
      </c>
      <c r="J998" s="6">
        <f t="shared" si="77"/>
        <v>0.88235294117647056</v>
      </c>
      <c r="K998" s="6">
        <f t="shared" si="78"/>
        <v>5.4929105538670729E-6</v>
      </c>
      <c r="L998" s="6">
        <f t="shared" si="79"/>
        <v>7.4564396658829036E-6</v>
      </c>
    </row>
    <row r="999" spans="1:12" ht="22.95" customHeight="1">
      <c r="A999" s="5">
        <v>6</v>
      </c>
      <c r="B999" s="7" t="s">
        <v>126</v>
      </c>
      <c r="C999" s="7" t="s">
        <v>298</v>
      </c>
      <c r="D999" s="5">
        <v>782</v>
      </c>
      <c r="E999" s="5">
        <v>990</v>
      </c>
      <c r="F999" s="5">
        <v>422</v>
      </c>
      <c r="G999" s="5">
        <v>484</v>
      </c>
      <c r="H999" s="6">
        <f t="shared" si="75"/>
        <v>3.3041969639415776E-4</v>
      </c>
      <c r="I999" s="6">
        <f t="shared" si="76"/>
        <v>0.53964194373401531</v>
      </c>
      <c r="J999" s="6">
        <f t="shared" si="77"/>
        <v>0.48888888888888887</v>
      </c>
      <c r="K999" s="6">
        <f t="shared" si="78"/>
        <v>1.783083272101465E-4</v>
      </c>
      <c r="L999" s="6">
        <f t="shared" si="79"/>
        <v>1.6153851823714379E-4</v>
      </c>
    </row>
    <row r="1000" spans="1:12" ht="22.95" customHeight="1">
      <c r="A1000" s="5">
        <v>6</v>
      </c>
      <c r="B1000" s="7" t="s">
        <v>197</v>
      </c>
      <c r="C1000" s="7" t="s">
        <v>298</v>
      </c>
      <c r="D1000" s="5">
        <v>8</v>
      </c>
      <c r="E1000" s="5">
        <v>12</v>
      </c>
      <c r="F1000" s="5">
        <v>8</v>
      </c>
      <c r="G1000" s="5">
        <v>5</v>
      </c>
      <c r="H1000" s="6">
        <f t="shared" si="75"/>
        <v>3.3802526485335831E-6</v>
      </c>
      <c r="I1000" s="6">
        <f t="shared" si="76"/>
        <v>1</v>
      </c>
      <c r="J1000" s="6">
        <f t="shared" si="77"/>
        <v>0.41666666666666669</v>
      </c>
      <c r="K1000" s="6">
        <f t="shared" si="78"/>
        <v>3.3802526485335831E-6</v>
      </c>
      <c r="L1000" s="6">
        <f t="shared" si="79"/>
        <v>1.4084386035556596E-6</v>
      </c>
    </row>
    <row r="1001" spans="1:12" ht="22.95" customHeight="1">
      <c r="A1001" s="5">
        <v>6</v>
      </c>
      <c r="B1001" s="7" t="s">
        <v>189</v>
      </c>
      <c r="C1001" s="7" t="s">
        <v>298</v>
      </c>
      <c r="D1001" s="5">
        <v>58</v>
      </c>
      <c r="E1001" s="5">
        <v>73</v>
      </c>
      <c r="F1001" s="5">
        <v>22</v>
      </c>
      <c r="G1001" s="5">
        <v>24</v>
      </c>
      <c r="H1001" s="6">
        <f t="shared" si="75"/>
        <v>2.4506831701868477E-5</v>
      </c>
      <c r="I1001" s="6">
        <f t="shared" si="76"/>
        <v>0.37931034482758619</v>
      </c>
      <c r="J1001" s="6">
        <f t="shared" si="77"/>
        <v>0.32876712328767121</v>
      </c>
      <c r="K1001" s="6">
        <f t="shared" si="78"/>
        <v>9.295694783467353E-6</v>
      </c>
      <c r="L1001" s="6">
        <f t="shared" si="79"/>
        <v>8.0570405595184032E-6</v>
      </c>
    </row>
    <row r="1002" spans="1:12" ht="22.95" customHeight="1">
      <c r="A1002" s="5">
        <v>6</v>
      </c>
      <c r="B1002" s="7" t="s">
        <v>194</v>
      </c>
      <c r="C1002" s="7" t="s">
        <v>303</v>
      </c>
      <c r="D1002" s="5">
        <v>11</v>
      </c>
      <c r="E1002" s="5">
        <v>20</v>
      </c>
      <c r="F1002" s="5">
        <v>3</v>
      </c>
      <c r="G1002" s="5">
        <v>7</v>
      </c>
      <c r="H1002" s="6">
        <f t="shared" si="75"/>
        <v>4.6478473917336765E-6</v>
      </c>
      <c r="I1002" s="6">
        <f t="shared" si="76"/>
        <v>0.27272727272727271</v>
      </c>
      <c r="J1002" s="6">
        <f t="shared" si="77"/>
        <v>0.35</v>
      </c>
      <c r="K1002" s="6">
        <f t="shared" si="78"/>
        <v>1.2675947432000936E-6</v>
      </c>
      <c r="L1002" s="6">
        <f t="shared" si="79"/>
        <v>1.6267465871067866E-6</v>
      </c>
    </row>
    <row r="1003" spans="1:12" ht="22.95" customHeight="1">
      <c r="A1003" s="5">
        <v>6</v>
      </c>
      <c r="B1003" s="7" t="s">
        <v>275</v>
      </c>
      <c r="C1003" s="7" t="s">
        <v>295</v>
      </c>
      <c r="D1003" s="5">
        <v>1049</v>
      </c>
      <c r="E1003" s="5">
        <v>610</v>
      </c>
      <c r="F1003" s="5">
        <v>777</v>
      </c>
      <c r="G1003" s="5">
        <v>387</v>
      </c>
      <c r="H1003" s="6">
        <f t="shared" si="75"/>
        <v>4.4323562853896609E-4</v>
      </c>
      <c r="I1003" s="6">
        <f t="shared" si="76"/>
        <v>0.74070543374642517</v>
      </c>
      <c r="J1003" s="6">
        <f t="shared" si="77"/>
        <v>0.63442622950819672</v>
      </c>
      <c r="K1003" s="6">
        <f t="shared" si="78"/>
        <v>3.2830703848882428E-4</v>
      </c>
      <c r="L1003" s="6">
        <f t="shared" si="79"/>
        <v>2.8120030859767194E-4</v>
      </c>
    </row>
    <row r="1004" spans="1:12" ht="22.95" customHeight="1">
      <c r="A1004" s="5">
        <v>6</v>
      </c>
      <c r="B1004" s="7" t="s">
        <v>94</v>
      </c>
      <c r="C1004" s="7" t="s">
        <v>291</v>
      </c>
      <c r="D1004" s="5">
        <v>4729</v>
      </c>
      <c r="E1004" s="5">
        <v>4330</v>
      </c>
      <c r="F1004" s="5">
        <v>0</v>
      </c>
      <c r="G1004" s="5">
        <v>0</v>
      </c>
      <c r="H1004" s="6">
        <f t="shared" si="75"/>
        <v>1.9981518468644142E-3</v>
      </c>
      <c r="I1004" s="6">
        <f t="shared" si="76"/>
        <v>0</v>
      </c>
      <c r="J1004" s="6">
        <f t="shared" si="77"/>
        <v>0</v>
      </c>
      <c r="K1004" s="6">
        <f t="shared" si="78"/>
        <v>0</v>
      </c>
      <c r="L1004" s="6">
        <f t="shared" si="79"/>
        <v>0</v>
      </c>
    </row>
    <row r="1005" spans="1:12" ht="22.95" customHeight="1">
      <c r="A1005" s="5">
        <v>6</v>
      </c>
      <c r="B1005" s="7" t="s">
        <v>226</v>
      </c>
      <c r="C1005" s="7" t="s">
        <v>292</v>
      </c>
      <c r="D1005" s="5">
        <v>3</v>
      </c>
      <c r="E1005" s="5">
        <v>1</v>
      </c>
      <c r="F1005" s="5">
        <v>0</v>
      </c>
      <c r="G1005" s="5">
        <v>0</v>
      </c>
      <c r="H1005" s="6">
        <f t="shared" si="75"/>
        <v>1.2675947432000936E-6</v>
      </c>
      <c r="I1005" s="6">
        <f t="shared" si="76"/>
        <v>0</v>
      </c>
      <c r="J1005" s="6">
        <f t="shared" si="77"/>
        <v>0</v>
      </c>
      <c r="K1005" s="6">
        <f t="shared" si="78"/>
        <v>0</v>
      </c>
      <c r="L1005" s="6">
        <f t="shared" si="79"/>
        <v>0</v>
      </c>
    </row>
    <row r="1006" spans="1:12" ht="22.95" customHeight="1">
      <c r="A1006" s="5">
        <v>6</v>
      </c>
      <c r="B1006" s="7" t="s">
        <v>221</v>
      </c>
      <c r="C1006" s="7" t="s">
        <v>291</v>
      </c>
      <c r="D1006" s="5">
        <v>1</v>
      </c>
      <c r="E1006" s="5">
        <v>1</v>
      </c>
      <c r="F1006" s="5">
        <v>0</v>
      </c>
      <c r="G1006" s="5">
        <v>1</v>
      </c>
      <c r="H1006" s="6">
        <f t="shared" si="75"/>
        <v>4.2253158106669789E-7</v>
      </c>
      <c r="I1006" s="6">
        <f t="shared" si="76"/>
        <v>0</v>
      </c>
      <c r="J1006" s="6">
        <f t="shared" si="77"/>
        <v>1</v>
      </c>
      <c r="K1006" s="6">
        <f t="shared" si="78"/>
        <v>0</v>
      </c>
      <c r="L1006" s="6">
        <f t="shared" si="79"/>
        <v>4.2253158106669789E-7</v>
      </c>
    </row>
    <row r="1007" spans="1:12" ht="22.95" customHeight="1">
      <c r="A1007" s="5">
        <v>6</v>
      </c>
      <c r="B1007" s="7" t="s">
        <v>90</v>
      </c>
      <c r="C1007" s="7" t="s">
        <v>290</v>
      </c>
      <c r="D1007" s="5">
        <v>9607</v>
      </c>
      <c r="E1007" s="5">
        <v>11513</v>
      </c>
      <c r="F1007" s="5">
        <v>3683</v>
      </c>
      <c r="G1007" s="5">
        <v>5440</v>
      </c>
      <c r="H1007" s="6">
        <f t="shared" si="75"/>
        <v>4.0592608993077666E-3</v>
      </c>
      <c r="I1007" s="6">
        <f t="shared" si="76"/>
        <v>0.38336629540959716</v>
      </c>
      <c r="J1007" s="6">
        <f t="shared" si="77"/>
        <v>0.47250933727091116</v>
      </c>
      <c r="K1007" s="6">
        <f t="shared" si="78"/>
        <v>1.5561838130686483E-3</v>
      </c>
      <c r="L1007" s="6">
        <f t="shared" si="79"/>
        <v>1.9180386773416356E-3</v>
      </c>
    </row>
    <row r="1008" spans="1:12" ht="22.95" customHeight="1">
      <c r="A1008" s="5">
        <v>6</v>
      </c>
      <c r="B1008" s="7" t="s">
        <v>163</v>
      </c>
      <c r="C1008" s="7" t="s">
        <v>303</v>
      </c>
      <c r="D1008" s="5">
        <v>190</v>
      </c>
      <c r="E1008" s="5">
        <v>190</v>
      </c>
      <c r="F1008" s="5">
        <v>109</v>
      </c>
      <c r="G1008" s="5">
        <v>119</v>
      </c>
      <c r="H1008" s="6">
        <f t="shared" si="75"/>
        <v>8.0281000402672591E-5</v>
      </c>
      <c r="I1008" s="6">
        <f t="shared" si="76"/>
        <v>0.5736842105263158</v>
      </c>
      <c r="J1008" s="6">
        <f t="shared" si="77"/>
        <v>0.62631578947368416</v>
      </c>
      <c r="K1008" s="6">
        <f t="shared" si="78"/>
        <v>4.6055942336270063E-5</v>
      </c>
      <c r="L1008" s="6">
        <f t="shared" si="79"/>
        <v>5.0281258146937043E-5</v>
      </c>
    </row>
    <row r="1009" spans="1:12" ht="22.95" customHeight="1">
      <c r="A1009" s="5">
        <v>6</v>
      </c>
      <c r="B1009" s="7" t="s">
        <v>214</v>
      </c>
      <c r="C1009" s="7" t="s">
        <v>303</v>
      </c>
      <c r="D1009" s="5">
        <v>6</v>
      </c>
      <c r="E1009" s="5">
        <v>3</v>
      </c>
      <c r="F1009" s="5">
        <v>5</v>
      </c>
      <c r="G1009" s="5">
        <v>2</v>
      </c>
      <c r="H1009" s="6">
        <f t="shared" si="75"/>
        <v>2.5351894864001871E-6</v>
      </c>
      <c r="I1009" s="6">
        <f t="shared" si="76"/>
        <v>0.83333333333333337</v>
      </c>
      <c r="J1009" s="6">
        <f t="shared" si="77"/>
        <v>0.66666666666666663</v>
      </c>
      <c r="K1009" s="6">
        <f t="shared" si="78"/>
        <v>2.1126579053334894E-6</v>
      </c>
      <c r="L1009" s="6">
        <f t="shared" si="79"/>
        <v>1.6901263242667914E-6</v>
      </c>
    </row>
    <row r="1010" spans="1:12" ht="22.95" customHeight="1">
      <c r="A1010" s="5">
        <v>6</v>
      </c>
      <c r="B1010" s="7" t="s">
        <v>138</v>
      </c>
      <c r="C1010" s="7" t="s">
        <v>303</v>
      </c>
      <c r="D1010" s="5">
        <v>323</v>
      </c>
      <c r="E1010" s="5">
        <v>309</v>
      </c>
      <c r="F1010" s="5">
        <v>173</v>
      </c>
      <c r="G1010" s="5">
        <v>149</v>
      </c>
      <c r="H1010" s="6">
        <f t="shared" si="75"/>
        <v>1.364777006845434E-4</v>
      </c>
      <c r="I1010" s="6">
        <f t="shared" si="76"/>
        <v>0.5356037151702786</v>
      </c>
      <c r="J1010" s="6">
        <f t="shared" si="77"/>
        <v>0.48220064724919093</v>
      </c>
      <c r="K1010" s="6">
        <f t="shared" si="78"/>
        <v>7.3097963524538715E-5</v>
      </c>
      <c r="L1010" s="6">
        <f t="shared" si="79"/>
        <v>6.5809635605168181E-5</v>
      </c>
    </row>
    <row r="1011" spans="1:12" ht="22.95" customHeight="1">
      <c r="A1011" s="5">
        <v>6</v>
      </c>
      <c r="B1011" s="7" t="s">
        <v>168</v>
      </c>
      <c r="C1011" s="7" t="s">
        <v>303</v>
      </c>
      <c r="D1011" s="5">
        <v>155</v>
      </c>
      <c r="E1011" s="5">
        <v>192</v>
      </c>
      <c r="F1011" s="5">
        <v>101</v>
      </c>
      <c r="G1011" s="5">
        <v>125</v>
      </c>
      <c r="H1011" s="6">
        <f t="shared" si="75"/>
        <v>6.5492395065338166E-5</v>
      </c>
      <c r="I1011" s="6">
        <f t="shared" si="76"/>
        <v>0.65161290322580645</v>
      </c>
      <c r="J1011" s="6">
        <f t="shared" si="77"/>
        <v>0.65104166666666663</v>
      </c>
      <c r="K1011" s="6">
        <f t="shared" si="78"/>
        <v>4.2675689687736481E-5</v>
      </c>
      <c r="L1011" s="6">
        <f t="shared" si="79"/>
        <v>4.2638278037329536E-5</v>
      </c>
    </row>
    <row r="1012" spans="1:12" ht="22.95" customHeight="1">
      <c r="A1012" s="5">
        <v>6</v>
      </c>
      <c r="B1012" s="7" t="s">
        <v>165</v>
      </c>
      <c r="C1012" s="7" t="s">
        <v>293</v>
      </c>
      <c r="D1012" s="5">
        <v>32</v>
      </c>
      <c r="E1012" s="5">
        <v>60</v>
      </c>
      <c r="F1012" s="5">
        <v>23</v>
      </c>
      <c r="G1012" s="5">
        <v>43</v>
      </c>
      <c r="H1012" s="6">
        <f t="shared" si="75"/>
        <v>1.3521010594134333E-5</v>
      </c>
      <c r="I1012" s="6">
        <f t="shared" si="76"/>
        <v>0.71875</v>
      </c>
      <c r="J1012" s="6">
        <f t="shared" si="77"/>
        <v>0.71666666666666667</v>
      </c>
      <c r="K1012" s="6">
        <f t="shared" si="78"/>
        <v>9.7182263645340516E-6</v>
      </c>
      <c r="L1012" s="6">
        <f t="shared" si="79"/>
        <v>9.6900575924629392E-6</v>
      </c>
    </row>
    <row r="1013" spans="1:12" ht="22.95" customHeight="1">
      <c r="A1013" s="5">
        <v>6</v>
      </c>
      <c r="B1013" s="7" t="s">
        <v>149</v>
      </c>
      <c r="C1013" s="7" t="s">
        <v>295</v>
      </c>
      <c r="D1013" s="5">
        <v>176</v>
      </c>
      <c r="E1013" s="5">
        <v>193</v>
      </c>
      <c r="F1013" s="5">
        <v>135</v>
      </c>
      <c r="G1013" s="5">
        <v>145</v>
      </c>
      <c r="H1013" s="6">
        <f t="shared" si="75"/>
        <v>7.4365558267738824E-5</v>
      </c>
      <c r="I1013" s="6">
        <f t="shared" si="76"/>
        <v>0.76704545454545459</v>
      </c>
      <c r="J1013" s="6">
        <f t="shared" si="77"/>
        <v>0.75129533678756477</v>
      </c>
      <c r="K1013" s="6">
        <f t="shared" si="78"/>
        <v>5.7041763444004214E-5</v>
      </c>
      <c r="L1013" s="6">
        <f t="shared" si="79"/>
        <v>5.5870497144156109E-5</v>
      </c>
    </row>
    <row r="1014" spans="1:12" ht="22.95" customHeight="1">
      <c r="A1014" s="5">
        <v>6</v>
      </c>
      <c r="B1014" s="7" t="s">
        <v>278</v>
      </c>
      <c r="C1014" s="7" t="s">
        <v>292</v>
      </c>
      <c r="D1014" s="5">
        <v>2941</v>
      </c>
      <c r="E1014" s="5">
        <v>2333</v>
      </c>
      <c r="F1014" s="5">
        <v>2262</v>
      </c>
      <c r="G1014" s="5">
        <v>1801</v>
      </c>
      <c r="H1014" s="6">
        <f t="shared" si="75"/>
        <v>1.2426653799171585E-3</v>
      </c>
      <c r="I1014" s="6">
        <f t="shared" si="76"/>
        <v>0.76912614756885411</v>
      </c>
      <c r="J1014" s="6">
        <f t="shared" si="77"/>
        <v>0.77196742391770257</v>
      </c>
      <c r="K1014" s="6">
        <f t="shared" si="78"/>
        <v>9.557664363728706E-4</v>
      </c>
      <c r="L1014" s="6">
        <f t="shared" si="79"/>
        <v>9.5929719212636203E-4</v>
      </c>
    </row>
    <row r="1015" spans="1:12" ht="22.95" customHeight="1">
      <c r="A1015" s="5">
        <v>6</v>
      </c>
      <c r="B1015" s="7" t="s">
        <v>127</v>
      </c>
      <c r="C1015" s="7" t="s">
        <v>293</v>
      </c>
      <c r="D1015" s="5">
        <v>448</v>
      </c>
      <c r="E1015" s="5">
        <v>797</v>
      </c>
      <c r="F1015" s="5">
        <v>230</v>
      </c>
      <c r="G1015" s="5">
        <v>460</v>
      </c>
      <c r="H1015" s="6">
        <f t="shared" si="75"/>
        <v>1.8929414831788066E-4</v>
      </c>
      <c r="I1015" s="6">
        <f t="shared" si="76"/>
        <v>0.5133928571428571</v>
      </c>
      <c r="J1015" s="6">
        <f t="shared" si="77"/>
        <v>0.57716436637390212</v>
      </c>
      <c r="K1015" s="6">
        <f t="shared" si="78"/>
        <v>9.718226364534051E-5</v>
      </c>
      <c r="L1015" s="6">
        <f t="shared" si="79"/>
        <v>1.0925383717217705E-4</v>
      </c>
    </row>
    <row r="1016" spans="1:12" ht="22.95" customHeight="1">
      <c r="A1016" s="5">
        <v>6</v>
      </c>
      <c r="B1016" s="7" t="s">
        <v>96</v>
      </c>
      <c r="C1016" s="7" t="s">
        <v>290</v>
      </c>
      <c r="D1016" s="5">
        <v>2865</v>
      </c>
      <c r="E1016" s="5">
        <v>3185</v>
      </c>
      <c r="F1016" s="5">
        <v>971</v>
      </c>
      <c r="G1016" s="5">
        <v>1587</v>
      </c>
      <c r="H1016" s="6">
        <f t="shared" si="75"/>
        <v>1.2105529797560893E-3</v>
      </c>
      <c r="I1016" s="6">
        <f t="shared" si="76"/>
        <v>0.33891797556719022</v>
      </c>
      <c r="J1016" s="6">
        <f t="shared" si="77"/>
        <v>0.49827315541601258</v>
      </c>
      <c r="K1016" s="6">
        <f t="shared" si="78"/>
        <v>4.1027816521576363E-4</v>
      </c>
      <c r="L1016" s="6">
        <f t="shared" si="79"/>
        <v>6.0318605302132303E-4</v>
      </c>
    </row>
    <row r="1017" spans="1:12" ht="22.95" customHeight="1">
      <c r="A1017" s="5">
        <v>6</v>
      </c>
      <c r="B1017" s="7" t="s">
        <v>115</v>
      </c>
      <c r="C1017" s="7" t="s">
        <v>294</v>
      </c>
      <c r="D1017" s="5">
        <v>475</v>
      </c>
      <c r="E1017" s="5">
        <v>673</v>
      </c>
      <c r="F1017" s="5">
        <v>251</v>
      </c>
      <c r="G1017" s="5">
        <v>333</v>
      </c>
      <c r="H1017" s="6">
        <f t="shared" si="75"/>
        <v>2.0070250100668148E-4</v>
      </c>
      <c r="I1017" s="6">
        <f t="shared" si="76"/>
        <v>0.5284210526315789</v>
      </c>
      <c r="J1017" s="6">
        <f t="shared" si="77"/>
        <v>0.4947994056463596</v>
      </c>
      <c r="K1017" s="6">
        <f t="shared" si="78"/>
        <v>1.0605542684774115E-4</v>
      </c>
      <c r="L1017" s="6">
        <f t="shared" si="79"/>
        <v>9.9307478209843892E-5</v>
      </c>
    </row>
    <row r="1018" spans="1:12" ht="22.95" customHeight="1">
      <c r="A1018" s="5">
        <v>6</v>
      </c>
      <c r="B1018" s="7" t="s">
        <v>93</v>
      </c>
      <c r="C1018" s="7" t="s">
        <v>294</v>
      </c>
      <c r="D1018" s="5">
        <v>3</v>
      </c>
      <c r="E1018" s="5">
        <v>242</v>
      </c>
      <c r="F1018" s="5">
        <v>2</v>
      </c>
      <c r="G1018" s="5">
        <v>75</v>
      </c>
      <c r="H1018" s="6">
        <f t="shared" si="75"/>
        <v>1.2675947432000936E-6</v>
      </c>
      <c r="I1018" s="6">
        <f t="shared" si="76"/>
        <v>0.66666666666666663</v>
      </c>
      <c r="J1018" s="6">
        <f t="shared" si="77"/>
        <v>0.30991735537190085</v>
      </c>
      <c r="K1018" s="6">
        <f t="shared" si="78"/>
        <v>8.4506316213339568E-7</v>
      </c>
      <c r="L1018" s="6">
        <f t="shared" si="79"/>
        <v>3.928496104958968E-7</v>
      </c>
    </row>
    <row r="1019" spans="1:12" ht="22.95" customHeight="1">
      <c r="A1019" s="5">
        <v>6</v>
      </c>
      <c r="B1019" s="7" t="s">
        <v>256</v>
      </c>
      <c r="C1019" s="7" t="s">
        <v>294</v>
      </c>
      <c r="D1019" s="5">
        <v>123</v>
      </c>
      <c r="E1019" s="5">
        <v>91</v>
      </c>
      <c r="F1019" s="5">
        <v>53</v>
      </c>
      <c r="G1019" s="5">
        <v>31</v>
      </c>
      <c r="H1019" s="6">
        <f t="shared" si="75"/>
        <v>5.1971384471203837E-5</v>
      </c>
      <c r="I1019" s="6">
        <f t="shared" si="76"/>
        <v>0.43089430894308944</v>
      </c>
      <c r="J1019" s="6">
        <f t="shared" si="77"/>
        <v>0.34065934065934067</v>
      </c>
      <c r="K1019" s="6">
        <f t="shared" si="78"/>
        <v>2.2394173796534987E-5</v>
      </c>
      <c r="L1019" s="6">
        <f t="shared" si="79"/>
        <v>1.7704537567113394E-5</v>
      </c>
    </row>
    <row r="1020" spans="1:12" ht="22.95" customHeight="1">
      <c r="A1020" s="5">
        <v>6</v>
      </c>
      <c r="B1020" s="7" t="s">
        <v>277</v>
      </c>
      <c r="C1020" s="7" t="s">
        <v>294</v>
      </c>
      <c r="D1020" s="5">
        <v>15194</v>
      </c>
      <c r="E1020" s="5">
        <v>8911</v>
      </c>
      <c r="F1020" s="5">
        <v>5758</v>
      </c>
      <c r="G1020" s="5">
        <v>2400</v>
      </c>
      <c r="H1020" s="6">
        <f t="shared" si="75"/>
        <v>6.4199448427274073E-3</v>
      </c>
      <c r="I1020" s="6">
        <f t="shared" si="76"/>
        <v>0.37896538107147559</v>
      </c>
      <c r="J1020" s="6">
        <f t="shared" si="77"/>
        <v>0.26933004152171475</v>
      </c>
      <c r="K1020" s="6">
        <f t="shared" si="78"/>
        <v>2.4329368437820465E-3</v>
      </c>
      <c r="L1020" s="6">
        <f t="shared" si="79"/>
        <v>1.7290840110588911E-3</v>
      </c>
    </row>
    <row r="1021" spans="1:12" ht="22.95" customHeight="1">
      <c r="A1021" s="5">
        <v>6</v>
      </c>
      <c r="B1021" s="7" t="s">
        <v>201</v>
      </c>
      <c r="C1021" s="7" t="s">
        <v>303</v>
      </c>
      <c r="D1021" s="5">
        <v>3</v>
      </c>
      <c r="E1021" s="5">
        <v>2</v>
      </c>
      <c r="F1021" s="5">
        <v>0</v>
      </c>
      <c r="G1021" s="5">
        <v>2</v>
      </c>
      <c r="H1021" s="6">
        <f t="shared" si="75"/>
        <v>1.2675947432000936E-6</v>
      </c>
      <c r="I1021" s="6">
        <f t="shared" si="76"/>
        <v>0</v>
      </c>
      <c r="J1021" s="6">
        <f t="shared" si="77"/>
        <v>1</v>
      </c>
      <c r="K1021" s="6">
        <f t="shared" si="78"/>
        <v>0</v>
      </c>
      <c r="L1021" s="6">
        <f t="shared" si="79"/>
        <v>1.2675947432000936E-6</v>
      </c>
    </row>
    <row r="1022" spans="1:12" ht="22.95" customHeight="1">
      <c r="A1022" s="5">
        <v>6</v>
      </c>
      <c r="B1022" s="7" t="s">
        <v>128</v>
      </c>
      <c r="C1022" s="7" t="s">
        <v>293</v>
      </c>
      <c r="D1022" s="5">
        <v>92</v>
      </c>
      <c r="E1022" s="5">
        <v>301</v>
      </c>
      <c r="F1022" s="5">
        <v>39</v>
      </c>
      <c r="G1022" s="5">
        <v>119</v>
      </c>
      <c r="H1022" s="6">
        <f t="shared" si="75"/>
        <v>3.8872905458136207E-5</v>
      </c>
      <c r="I1022" s="6">
        <f t="shared" si="76"/>
        <v>0.42391304347826086</v>
      </c>
      <c r="J1022" s="6">
        <f t="shared" si="77"/>
        <v>0.39534883720930231</v>
      </c>
      <c r="K1022" s="6">
        <f t="shared" si="78"/>
        <v>1.6478731661601216E-5</v>
      </c>
      <c r="L1022" s="6">
        <f t="shared" si="79"/>
        <v>1.5368357971821289E-5</v>
      </c>
    </row>
    <row r="1023" spans="1:12" ht="22.95" customHeight="1">
      <c r="A1023" s="5">
        <v>7</v>
      </c>
      <c r="B1023" s="7" t="s">
        <v>172</v>
      </c>
      <c r="C1023" s="7" t="s">
        <v>296</v>
      </c>
      <c r="D1023" s="5">
        <v>1</v>
      </c>
      <c r="E1023" s="5">
        <v>20</v>
      </c>
      <c r="F1023" s="5">
        <v>0</v>
      </c>
      <c r="G1023" s="5">
        <v>0</v>
      </c>
      <c r="H1023" s="6">
        <f t="shared" si="75"/>
        <v>4.2253158106669789E-7</v>
      </c>
      <c r="I1023" s="6">
        <f t="shared" si="76"/>
        <v>0</v>
      </c>
      <c r="J1023" s="6">
        <f t="shared" si="77"/>
        <v>0</v>
      </c>
      <c r="K1023" s="6">
        <f t="shared" si="78"/>
        <v>0</v>
      </c>
      <c r="L1023" s="6">
        <f t="shared" si="79"/>
        <v>0</v>
      </c>
    </row>
    <row r="1024" spans="1:12" ht="22.95" customHeight="1">
      <c r="A1024" s="5">
        <v>7</v>
      </c>
      <c r="B1024" s="7" t="s">
        <v>112</v>
      </c>
      <c r="C1024" s="7" t="s">
        <v>290</v>
      </c>
      <c r="D1024" s="5">
        <v>2240</v>
      </c>
      <c r="E1024" s="5">
        <v>2524</v>
      </c>
      <c r="F1024" s="5">
        <v>520</v>
      </c>
      <c r="G1024" s="5">
        <v>1321</v>
      </c>
      <c r="H1024" s="6">
        <f t="shared" si="75"/>
        <v>9.464707415894032E-4</v>
      </c>
      <c r="I1024" s="6">
        <f t="shared" si="76"/>
        <v>0.23214285714285715</v>
      </c>
      <c r="J1024" s="6">
        <f t="shared" si="77"/>
        <v>0.52337559429477021</v>
      </c>
      <c r="K1024" s="6">
        <f t="shared" si="78"/>
        <v>2.1971642215468288E-4</v>
      </c>
      <c r="L1024" s="6">
        <f t="shared" si="79"/>
        <v>4.9535968686196575E-4</v>
      </c>
    </row>
    <row r="1025" spans="1:12" ht="22.95" customHeight="1">
      <c r="A1025" s="5">
        <v>7</v>
      </c>
      <c r="B1025" s="7" t="s">
        <v>179</v>
      </c>
      <c r="C1025" s="7" t="s">
        <v>292</v>
      </c>
      <c r="D1025" s="5">
        <v>198</v>
      </c>
      <c r="E1025" s="5">
        <v>205</v>
      </c>
      <c r="F1025" s="5">
        <v>125</v>
      </c>
      <c r="G1025" s="5">
        <v>142</v>
      </c>
      <c r="H1025" s="6">
        <f t="shared" si="75"/>
        <v>8.366125305120618E-5</v>
      </c>
      <c r="I1025" s="6">
        <f t="shared" si="76"/>
        <v>0.63131313131313127</v>
      </c>
      <c r="J1025" s="6">
        <f t="shared" si="77"/>
        <v>0.69268292682926824</v>
      </c>
      <c r="K1025" s="6">
        <f t="shared" si="78"/>
        <v>5.2816447633337234E-5</v>
      </c>
      <c r="L1025" s="6">
        <f t="shared" si="79"/>
        <v>5.7950721625713543E-5</v>
      </c>
    </row>
    <row r="1026" spans="1:12" ht="22.95" customHeight="1">
      <c r="A1026" s="5">
        <v>7</v>
      </c>
      <c r="B1026" s="7" t="s">
        <v>113</v>
      </c>
      <c r="C1026" s="7" t="s">
        <v>295</v>
      </c>
      <c r="D1026" s="5">
        <v>6470</v>
      </c>
      <c r="E1026" s="5">
        <v>6962</v>
      </c>
      <c r="F1026" s="5">
        <v>2235</v>
      </c>
      <c r="G1026" s="5">
        <v>4035</v>
      </c>
      <c r="H1026" s="6">
        <f t="shared" si="75"/>
        <v>2.7337793295015354E-3</v>
      </c>
      <c r="I1026" s="6">
        <f t="shared" si="76"/>
        <v>0.34544049459041731</v>
      </c>
      <c r="J1026" s="6">
        <f t="shared" si="77"/>
        <v>0.57957483481758121</v>
      </c>
      <c r="K1026" s="6">
        <f t="shared" si="78"/>
        <v>9.4435808368406983E-4</v>
      </c>
      <c r="L1026" s="6">
        <f t="shared" si="79"/>
        <v>1.5844297033235702E-3</v>
      </c>
    </row>
    <row r="1027" spans="1:12" ht="22.95" customHeight="1">
      <c r="A1027" s="5">
        <v>7</v>
      </c>
      <c r="B1027" s="7" t="s">
        <v>262</v>
      </c>
      <c r="C1027" s="7" t="s">
        <v>294</v>
      </c>
      <c r="D1027" s="5">
        <v>939</v>
      </c>
      <c r="E1027" s="5">
        <v>985</v>
      </c>
      <c r="F1027" s="5">
        <v>682</v>
      </c>
      <c r="G1027" s="5">
        <v>717</v>
      </c>
      <c r="H1027" s="6">
        <f t="shared" si="75"/>
        <v>3.9675715462162933E-4</v>
      </c>
      <c r="I1027" s="6">
        <f t="shared" si="76"/>
        <v>0.72630457933972314</v>
      </c>
      <c r="J1027" s="6">
        <f t="shared" si="77"/>
        <v>0.72791878172588831</v>
      </c>
      <c r="K1027" s="6">
        <f t="shared" si="78"/>
        <v>2.8816653828748795E-4</v>
      </c>
      <c r="L1027" s="6">
        <f t="shared" si="79"/>
        <v>2.8880698463320631E-4</v>
      </c>
    </row>
    <row r="1028" spans="1:12" ht="22.95" customHeight="1">
      <c r="A1028" s="5">
        <v>7</v>
      </c>
      <c r="B1028" s="7" t="s">
        <v>237</v>
      </c>
      <c r="C1028" s="7" t="s">
        <v>303</v>
      </c>
      <c r="D1028" s="5">
        <v>10</v>
      </c>
      <c r="E1028" s="5">
        <v>7</v>
      </c>
      <c r="F1028" s="5">
        <v>6</v>
      </c>
      <c r="G1028" s="5">
        <v>5</v>
      </c>
      <c r="H1028" s="6">
        <f t="shared" si="75"/>
        <v>4.2253158106669787E-6</v>
      </c>
      <c r="I1028" s="6">
        <f t="shared" si="76"/>
        <v>0.6</v>
      </c>
      <c r="J1028" s="6">
        <f t="shared" si="77"/>
        <v>0.7142857142857143</v>
      </c>
      <c r="K1028" s="6">
        <f t="shared" si="78"/>
        <v>2.5351894864001871E-6</v>
      </c>
      <c r="L1028" s="6">
        <f t="shared" si="79"/>
        <v>3.0180827219049847E-6</v>
      </c>
    </row>
    <row r="1029" spans="1:12" ht="22.95" customHeight="1">
      <c r="A1029" s="5">
        <v>7</v>
      </c>
      <c r="B1029" s="7" t="s">
        <v>148</v>
      </c>
      <c r="C1029" s="7" t="s">
        <v>293</v>
      </c>
      <c r="D1029" s="5">
        <v>411</v>
      </c>
      <c r="E1029" s="5">
        <v>483</v>
      </c>
      <c r="F1029" s="5">
        <v>161</v>
      </c>
      <c r="G1029" s="5">
        <v>207</v>
      </c>
      <c r="H1029" s="6">
        <f t="shared" si="75"/>
        <v>1.7366047981841283E-4</v>
      </c>
      <c r="I1029" s="6">
        <f t="shared" si="76"/>
        <v>0.39172749391727496</v>
      </c>
      <c r="J1029" s="6">
        <f t="shared" si="77"/>
        <v>0.42857142857142855</v>
      </c>
      <c r="K1029" s="6">
        <f t="shared" si="78"/>
        <v>6.8027584551738358E-5</v>
      </c>
      <c r="L1029" s="6">
        <f t="shared" si="79"/>
        <v>7.442591992217692E-5</v>
      </c>
    </row>
    <row r="1030" spans="1:12" ht="22.95" customHeight="1">
      <c r="A1030" s="5">
        <v>7</v>
      </c>
      <c r="B1030" s="7" t="s">
        <v>132</v>
      </c>
      <c r="C1030" s="7" t="s">
        <v>295</v>
      </c>
      <c r="D1030" s="5">
        <v>954</v>
      </c>
      <c r="E1030" s="5">
        <v>1003</v>
      </c>
      <c r="F1030" s="5">
        <v>605</v>
      </c>
      <c r="G1030" s="5">
        <v>648</v>
      </c>
      <c r="H1030" s="6">
        <f t="shared" si="75"/>
        <v>4.0309512833762976E-4</v>
      </c>
      <c r="I1030" s="6">
        <f t="shared" si="76"/>
        <v>0.63417190775681342</v>
      </c>
      <c r="J1030" s="6">
        <f t="shared" si="77"/>
        <v>0.64606181455633105</v>
      </c>
      <c r="K1030" s="6">
        <f t="shared" si="78"/>
        <v>2.5563160654535223E-4</v>
      </c>
      <c r="L1030" s="6">
        <f t="shared" si="79"/>
        <v>2.6042437005262622E-4</v>
      </c>
    </row>
    <row r="1031" spans="1:12" ht="22.95" customHeight="1">
      <c r="A1031" s="5">
        <v>7</v>
      </c>
      <c r="B1031" s="7" t="s">
        <v>164</v>
      </c>
      <c r="C1031" s="7" t="s">
        <v>294</v>
      </c>
      <c r="D1031" s="5">
        <v>99</v>
      </c>
      <c r="E1031" s="5">
        <v>65</v>
      </c>
      <c r="F1031" s="5">
        <v>41</v>
      </c>
      <c r="G1031" s="5">
        <v>38</v>
      </c>
      <c r="H1031" s="6">
        <f t="shared" si="75"/>
        <v>4.183062652560309E-5</v>
      </c>
      <c r="I1031" s="6">
        <f t="shared" si="76"/>
        <v>0.41414141414141414</v>
      </c>
      <c r="J1031" s="6">
        <f t="shared" si="77"/>
        <v>0.58461538461538465</v>
      </c>
      <c r="K1031" s="6">
        <f t="shared" si="78"/>
        <v>1.7323794823734613E-5</v>
      </c>
      <c r="L1031" s="6">
        <f t="shared" si="79"/>
        <v>2.4454827814967962E-5</v>
      </c>
    </row>
    <row r="1032" spans="1:12" ht="22.95" customHeight="1">
      <c r="A1032" s="5">
        <v>7</v>
      </c>
      <c r="B1032" s="7" t="s">
        <v>164</v>
      </c>
      <c r="C1032" s="7" t="s">
        <v>303</v>
      </c>
      <c r="D1032" s="5">
        <v>54</v>
      </c>
      <c r="E1032" s="5">
        <v>61</v>
      </c>
      <c r="F1032" s="5">
        <v>22</v>
      </c>
      <c r="G1032" s="5">
        <v>30</v>
      </c>
      <c r="H1032" s="6">
        <f t="shared" si="75"/>
        <v>2.2816705377601686E-5</v>
      </c>
      <c r="I1032" s="6">
        <f t="shared" si="76"/>
        <v>0.40740740740740738</v>
      </c>
      <c r="J1032" s="6">
        <f t="shared" si="77"/>
        <v>0.49180327868852458</v>
      </c>
      <c r="K1032" s="6">
        <f t="shared" si="78"/>
        <v>9.295694783467353E-6</v>
      </c>
      <c r="L1032" s="6">
        <f t="shared" si="79"/>
        <v>1.12213305135746E-5</v>
      </c>
    </row>
    <row r="1033" spans="1:12" ht="22.95" customHeight="1">
      <c r="A1033" s="5">
        <v>7</v>
      </c>
      <c r="B1033" s="7" t="s">
        <v>199</v>
      </c>
      <c r="C1033" s="7" t="s">
        <v>296</v>
      </c>
      <c r="D1033" s="5">
        <v>55</v>
      </c>
      <c r="E1033" s="5">
        <v>53</v>
      </c>
      <c r="F1033" s="5">
        <v>0</v>
      </c>
      <c r="G1033" s="5">
        <v>0</v>
      </c>
      <c r="H1033" s="6">
        <f t="shared" si="75"/>
        <v>2.3239236958668384E-5</v>
      </c>
      <c r="I1033" s="6">
        <f t="shared" si="76"/>
        <v>0</v>
      </c>
      <c r="J1033" s="6">
        <f t="shared" si="77"/>
        <v>0</v>
      </c>
      <c r="K1033" s="6">
        <f t="shared" si="78"/>
        <v>0</v>
      </c>
      <c r="L1033" s="6">
        <f t="shared" si="79"/>
        <v>0</v>
      </c>
    </row>
    <row r="1034" spans="1:12" ht="22.95" customHeight="1">
      <c r="A1034" s="5">
        <v>7</v>
      </c>
      <c r="B1034" s="7" t="s">
        <v>196</v>
      </c>
      <c r="C1034" s="7" t="s">
        <v>303</v>
      </c>
      <c r="D1034" s="5">
        <v>55</v>
      </c>
      <c r="E1034" s="5">
        <v>63</v>
      </c>
      <c r="F1034" s="5">
        <v>33</v>
      </c>
      <c r="G1034" s="5">
        <v>46</v>
      </c>
      <c r="H1034" s="6">
        <f t="shared" si="75"/>
        <v>2.3239236958668384E-5</v>
      </c>
      <c r="I1034" s="6">
        <f t="shared" si="76"/>
        <v>0.6</v>
      </c>
      <c r="J1034" s="6">
        <f t="shared" si="77"/>
        <v>0.73015873015873012</v>
      </c>
      <c r="K1034" s="6">
        <f t="shared" si="78"/>
        <v>1.3943542175201029E-5</v>
      </c>
      <c r="L1034" s="6">
        <f t="shared" si="79"/>
        <v>1.6968331747599136E-5</v>
      </c>
    </row>
    <row r="1035" spans="1:12" ht="22.95" customHeight="1">
      <c r="A1035" s="5">
        <v>7</v>
      </c>
      <c r="B1035" s="7" t="s">
        <v>187</v>
      </c>
      <c r="C1035" s="7" t="s">
        <v>291</v>
      </c>
      <c r="D1035" s="5">
        <v>15</v>
      </c>
      <c r="E1035" s="5">
        <v>13</v>
      </c>
      <c r="F1035" s="5">
        <v>7</v>
      </c>
      <c r="G1035" s="5">
        <v>4</v>
      </c>
      <c r="H1035" s="6">
        <f t="shared" si="75"/>
        <v>6.3379737160004685E-6</v>
      </c>
      <c r="I1035" s="6">
        <f t="shared" si="76"/>
        <v>0.46666666666666667</v>
      </c>
      <c r="J1035" s="6">
        <f t="shared" si="77"/>
        <v>0.30769230769230771</v>
      </c>
      <c r="K1035" s="6">
        <f t="shared" si="78"/>
        <v>2.9577210674668854E-6</v>
      </c>
      <c r="L1035" s="6">
        <f t="shared" si="79"/>
        <v>1.9501457587693752E-6</v>
      </c>
    </row>
    <row r="1036" spans="1:12" ht="22.95" customHeight="1">
      <c r="A1036" s="5">
        <v>7</v>
      </c>
      <c r="B1036" s="7" t="s">
        <v>167</v>
      </c>
      <c r="C1036" s="7" t="s">
        <v>291</v>
      </c>
      <c r="D1036" s="5">
        <v>58</v>
      </c>
      <c r="E1036" s="5">
        <v>95</v>
      </c>
      <c r="F1036" s="5">
        <v>38</v>
      </c>
      <c r="G1036" s="5">
        <v>77</v>
      </c>
      <c r="H1036" s="6">
        <f t="shared" si="75"/>
        <v>2.4506831701868477E-5</v>
      </c>
      <c r="I1036" s="6">
        <f t="shared" si="76"/>
        <v>0.65517241379310343</v>
      </c>
      <c r="J1036" s="6">
        <f t="shared" si="77"/>
        <v>0.81052631578947365</v>
      </c>
      <c r="K1036" s="6">
        <f t="shared" si="78"/>
        <v>1.6056200080534518E-5</v>
      </c>
      <c r="L1036" s="6">
        <f t="shared" si="79"/>
        <v>1.9863432010988133E-5</v>
      </c>
    </row>
    <row r="1037" spans="1:12" ht="22.95" customHeight="1">
      <c r="A1037" s="5">
        <v>7</v>
      </c>
      <c r="B1037" s="7" t="s">
        <v>89</v>
      </c>
      <c r="C1037" s="7" t="s">
        <v>295</v>
      </c>
      <c r="D1037" s="5">
        <v>13401</v>
      </c>
      <c r="E1037" s="5">
        <v>14686</v>
      </c>
      <c r="F1037" s="5">
        <v>3876</v>
      </c>
      <c r="G1037" s="5">
        <v>8851</v>
      </c>
      <c r="H1037" s="6">
        <f t="shared" si="75"/>
        <v>5.6623457178748187E-3</v>
      </c>
      <c r="I1037" s="6">
        <f t="shared" si="76"/>
        <v>0.28923214685471232</v>
      </c>
      <c r="J1037" s="6">
        <f t="shared" si="77"/>
        <v>0.60268282718235056</v>
      </c>
      <c r="K1037" s="6">
        <f t="shared" si="78"/>
        <v>1.637732408214521E-3</v>
      </c>
      <c r="L1037" s="6">
        <f t="shared" si="79"/>
        <v>3.412598525732672E-3</v>
      </c>
    </row>
    <row r="1038" spans="1:12" ht="22.95" customHeight="1">
      <c r="A1038" s="5">
        <v>7</v>
      </c>
      <c r="B1038" s="7" t="s">
        <v>158</v>
      </c>
      <c r="C1038" s="7" t="s">
        <v>296</v>
      </c>
      <c r="D1038" s="5">
        <v>156</v>
      </c>
      <c r="E1038" s="5">
        <v>147</v>
      </c>
      <c r="F1038" s="5">
        <v>0</v>
      </c>
      <c r="G1038" s="5">
        <v>0</v>
      </c>
      <c r="H1038" s="6">
        <f t="shared" si="75"/>
        <v>6.5914926646404865E-5</v>
      </c>
      <c r="I1038" s="6">
        <f t="shared" si="76"/>
        <v>0</v>
      </c>
      <c r="J1038" s="6">
        <f t="shared" si="77"/>
        <v>0</v>
      </c>
      <c r="K1038" s="6">
        <f t="shared" si="78"/>
        <v>0</v>
      </c>
      <c r="L1038" s="6">
        <f t="shared" si="79"/>
        <v>0</v>
      </c>
    </row>
    <row r="1039" spans="1:12" ht="22.95" customHeight="1">
      <c r="A1039" s="5">
        <v>7</v>
      </c>
      <c r="B1039" s="7" t="s">
        <v>238</v>
      </c>
      <c r="C1039" s="7" t="s">
        <v>296</v>
      </c>
      <c r="D1039" s="5">
        <v>3</v>
      </c>
      <c r="E1039" s="5">
        <v>1</v>
      </c>
      <c r="F1039" s="5">
        <v>0</v>
      </c>
      <c r="G1039" s="5">
        <v>0</v>
      </c>
      <c r="H1039" s="6">
        <f t="shared" si="75"/>
        <v>1.2675947432000936E-6</v>
      </c>
      <c r="I1039" s="6">
        <f t="shared" si="76"/>
        <v>0</v>
      </c>
      <c r="J1039" s="6">
        <f t="shared" si="77"/>
        <v>0</v>
      </c>
      <c r="K1039" s="6">
        <f t="shared" si="78"/>
        <v>0</v>
      </c>
      <c r="L1039" s="6">
        <f t="shared" si="79"/>
        <v>0</v>
      </c>
    </row>
    <row r="1040" spans="1:12" ht="22.95" customHeight="1">
      <c r="A1040" s="5">
        <v>7</v>
      </c>
      <c r="B1040" s="7" t="s">
        <v>150</v>
      </c>
      <c r="C1040" s="7" t="s">
        <v>291</v>
      </c>
      <c r="D1040" s="5">
        <v>24</v>
      </c>
      <c r="E1040" s="5">
        <v>13</v>
      </c>
      <c r="F1040" s="5">
        <v>14</v>
      </c>
      <c r="G1040" s="5">
        <v>7</v>
      </c>
      <c r="H1040" s="6">
        <f t="shared" si="75"/>
        <v>1.0140757945600749E-5</v>
      </c>
      <c r="I1040" s="6">
        <f t="shared" si="76"/>
        <v>0.58333333333333337</v>
      </c>
      <c r="J1040" s="6">
        <f t="shared" si="77"/>
        <v>0.53846153846153844</v>
      </c>
      <c r="K1040" s="6">
        <f t="shared" si="78"/>
        <v>5.9154421349337707E-6</v>
      </c>
      <c r="L1040" s="6">
        <f t="shared" si="79"/>
        <v>5.4604081245542489E-6</v>
      </c>
    </row>
    <row r="1041" spans="1:12" ht="22.95" customHeight="1">
      <c r="A1041" s="5">
        <v>7</v>
      </c>
      <c r="B1041" s="7" t="s">
        <v>259</v>
      </c>
      <c r="C1041" s="7" t="s">
        <v>291</v>
      </c>
      <c r="D1041" s="5">
        <v>290</v>
      </c>
      <c r="E1041" s="5">
        <v>275</v>
      </c>
      <c r="F1041" s="5">
        <v>50</v>
      </c>
      <c r="G1041" s="5">
        <v>54</v>
      </c>
      <c r="H1041" s="6">
        <f t="shared" si="75"/>
        <v>1.2253415850934239E-4</v>
      </c>
      <c r="I1041" s="6">
        <f t="shared" si="76"/>
        <v>0.17241379310344829</v>
      </c>
      <c r="J1041" s="6">
        <f t="shared" si="77"/>
        <v>0.19636363636363635</v>
      </c>
      <c r="K1041" s="6">
        <f t="shared" si="78"/>
        <v>2.1126579053334894E-5</v>
      </c>
      <c r="L1041" s="6">
        <f t="shared" si="79"/>
        <v>2.4061252943652686E-5</v>
      </c>
    </row>
    <row r="1042" spans="1:12" ht="22.95" customHeight="1">
      <c r="A1042" s="5">
        <v>7</v>
      </c>
      <c r="B1042" s="7" t="s">
        <v>198</v>
      </c>
      <c r="C1042" s="7" t="s">
        <v>303</v>
      </c>
      <c r="D1042" s="5">
        <v>2</v>
      </c>
      <c r="E1042" s="5">
        <v>12</v>
      </c>
      <c r="F1042" s="5">
        <v>0</v>
      </c>
      <c r="G1042" s="5">
        <v>6</v>
      </c>
      <c r="H1042" s="6">
        <f t="shared" si="75"/>
        <v>8.4506316213339578E-7</v>
      </c>
      <c r="I1042" s="6">
        <f t="shared" si="76"/>
        <v>0</v>
      </c>
      <c r="J1042" s="6">
        <f t="shared" si="77"/>
        <v>0.5</v>
      </c>
      <c r="K1042" s="6">
        <f t="shared" si="78"/>
        <v>0</v>
      </c>
      <c r="L1042" s="6">
        <f t="shared" si="79"/>
        <v>4.2253158106669789E-7</v>
      </c>
    </row>
    <row r="1043" spans="1:12" ht="22.95" customHeight="1">
      <c r="A1043" s="5">
        <v>7</v>
      </c>
      <c r="B1043" s="7" t="s">
        <v>102</v>
      </c>
      <c r="C1043" s="7" t="s">
        <v>296</v>
      </c>
      <c r="D1043" s="5">
        <v>2060</v>
      </c>
      <c r="E1043" s="5">
        <v>3105</v>
      </c>
      <c r="F1043" s="5">
        <v>0</v>
      </c>
      <c r="G1043" s="5">
        <v>0</v>
      </c>
      <c r="H1043" s="6">
        <f t="shared" si="75"/>
        <v>8.7041505699739761E-4</v>
      </c>
      <c r="I1043" s="6">
        <f t="shared" si="76"/>
        <v>0</v>
      </c>
      <c r="J1043" s="6">
        <f t="shared" si="77"/>
        <v>0</v>
      </c>
      <c r="K1043" s="6">
        <f t="shared" si="78"/>
        <v>0</v>
      </c>
      <c r="L1043" s="6">
        <f t="shared" si="79"/>
        <v>0</v>
      </c>
    </row>
    <row r="1044" spans="1:12" ht="22.95" customHeight="1">
      <c r="A1044" s="5">
        <v>7</v>
      </c>
      <c r="B1044" s="7" t="s">
        <v>131</v>
      </c>
      <c r="C1044" s="7" t="s">
        <v>291</v>
      </c>
      <c r="D1044" s="5">
        <v>104</v>
      </c>
      <c r="E1044" s="5">
        <v>108</v>
      </c>
      <c r="F1044" s="5">
        <v>48</v>
      </c>
      <c r="G1044" s="5">
        <v>77</v>
      </c>
      <c r="H1044" s="6">
        <f t="shared" si="75"/>
        <v>4.3943284430936577E-5</v>
      </c>
      <c r="I1044" s="6">
        <f t="shared" si="76"/>
        <v>0.46153846153846156</v>
      </c>
      <c r="J1044" s="6">
        <f t="shared" si="77"/>
        <v>0.71296296296296291</v>
      </c>
      <c r="K1044" s="6">
        <f t="shared" si="78"/>
        <v>2.0281515891201497E-5</v>
      </c>
      <c r="L1044" s="6">
        <f t="shared" si="79"/>
        <v>3.1329934270204777E-5</v>
      </c>
    </row>
    <row r="1045" spans="1:12" ht="22.95" customHeight="1">
      <c r="A1045" s="5">
        <v>7</v>
      </c>
      <c r="B1045" s="7" t="s">
        <v>177</v>
      </c>
      <c r="C1045" s="7" t="s">
        <v>291</v>
      </c>
      <c r="D1045" s="5">
        <v>27</v>
      </c>
      <c r="E1045" s="5">
        <v>25</v>
      </c>
      <c r="F1045" s="5">
        <v>20</v>
      </c>
      <c r="G1045" s="5">
        <v>18</v>
      </c>
      <c r="H1045" s="6">
        <f t="shared" si="75"/>
        <v>1.1408352688800843E-5</v>
      </c>
      <c r="I1045" s="6">
        <f t="shared" si="76"/>
        <v>0.7407407407407407</v>
      </c>
      <c r="J1045" s="6">
        <f t="shared" si="77"/>
        <v>0.72</v>
      </c>
      <c r="K1045" s="6">
        <f t="shared" si="78"/>
        <v>8.4506316213339574E-6</v>
      </c>
      <c r="L1045" s="6">
        <f t="shared" si="79"/>
        <v>8.2140139359366057E-6</v>
      </c>
    </row>
    <row r="1046" spans="1:12" ht="22.95" customHeight="1">
      <c r="A1046" s="5">
        <v>7</v>
      </c>
      <c r="B1046" s="7" t="s">
        <v>212</v>
      </c>
      <c r="C1046" s="7" t="s">
        <v>303</v>
      </c>
      <c r="D1046" s="5">
        <v>1</v>
      </c>
      <c r="E1046" s="5">
        <v>2</v>
      </c>
      <c r="F1046" s="5">
        <v>1</v>
      </c>
      <c r="G1046" s="5">
        <v>2</v>
      </c>
      <c r="H1046" s="6">
        <f t="shared" si="75"/>
        <v>4.2253158106669789E-7</v>
      </c>
      <c r="I1046" s="6">
        <f t="shared" si="76"/>
        <v>1</v>
      </c>
      <c r="J1046" s="6">
        <f t="shared" si="77"/>
        <v>1</v>
      </c>
      <c r="K1046" s="6">
        <f t="shared" si="78"/>
        <v>4.2253158106669789E-7</v>
      </c>
      <c r="L1046" s="6">
        <f t="shared" si="79"/>
        <v>4.2253158106669789E-7</v>
      </c>
    </row>
    <row r="1047" spans="1:12" ht="22.95" customHeight="1">
      <c r="A1047" s="5">
        <v>7</v>
      </c>
      <c r="B1047" s="7" t="s">
        <v>258</v>
      </c>
      <c r="C1047" s="7" t="s">
        <v>292</v>
      </c>
      <c r="D1047" s="5">
        <v>156</v>
      </c>
      <c r="E1047" s="5">
        <v>168</v>
      </c>
      <c r="F1047" s="5">
        <v>83</v>
      </c>
      <c r="G1047" s="5">
        <v>104</v>
      </c>
      <c r="H1047" s="6">
        <f t="shared" si="75"/>
        <v>6.5914926646404865E-5</v>
      </c>
      <c r="I1047" s="6">
        <f t="shared" si="76"/>
        <v>0.53205128205128205</v>
      </c>
      <c r="J1047" s="6">
        <f t="shared" si="77"/>
        <v>0.61904761904761907</v>
      </c>
      <c r="K1047" s="6">
        <f t="shared" si="78"/>
        <v>3.5070121228535919E-5</v>
      </c>
      <c r="L1047" s="6">
        <f t="shared" si="79"/>
        <v>4.0804478400155392E-5</v>
      </c>
    </row>
    <row r="1048" spans="1:12" ht="22.95" customHeight="1">
      <c r="A1048" s="5">
        <v>7</v>
      </c>
      <c r="B1048" s="7" t="s">
        <v>183</v>
      </c>
      <c r="C1048" s="7" t="s">
        <v>303</v>
      </c>
      <c r="D1048" s="5">
        <v>101</v>
      </c>
      <c r="E1048" s="5">
        <v>130</v>
      </c>
      <c r="F1048" s="5">
        <v>60</v>
      </c>
      <c r="G1048" s="5">
        <v>91</v>
      </c>
      <c r="H1048" s="6">
        <f t="shared" si="75"/>
        <v>4.2675689687736487E-5</v>
      </c>
      <c r="I1048" s="6">
        <f t="shared" si="76"/>
        <v>0.59405940594059403</v>
      </c>
      <c r="J1048" s="6">
        <f t="shared" si="77"/>
        <v>0.7</v>
      </c>
      <c r="K1048" s="6">
        <f t="shared" si="78"/>
        <v>2.5351894864001874E-5</v>
      </c>
      <c r="L1048" s="6">
        <f t="shared" si="79"/>
        <v>2.9872982781415538E-5</v>
      </c>
    </row>
    <row r="1049" spans="1:12" ht="22.95" customHeight="1">
      <c r="A1049" s="5">
        <v>7</v>
      </c>
      <c r="B1049" s="7" t="s">
        <v>118</v>
      </c>
      <c r="C1049" s="7" t="s">
        <v>299</v>
      </c>
      <c r="D1049" s="5">
        <v>1986</v>
      </c>
      <c r="E1049" s="5">
        <v>2033</v>
      </c>
      <c r="F1049" s="5">
        <v>1046</v>
      </c>
      <c r="G1049" s="5">
        <v>1088</v>
      </c>
      <c r="H1049" s="6">
        <f t="shared" si="75"/>
        <v>8.3914771999846194E-4</v>
      </c>
      <c r="I1049" s="6">
        <f t="shared" si="76"/>
        <v>0.52668680765357501</v>
      </c>
      <c r="J1049" s="6">
        <f t="shared" si="77"/>
        <v>0.53516969995081165</v>
      </c>
      <c r="K1049" s="6">
        <f t="shared" si="78"/>
        <v>4.4196803379576593E-4</v>
      </c>
      <c r="L1049" s="6">
        <f t="shared" si="79"/>
        <v>4.490864335259846E-4</v>
      </c>
    </row>
    <row r="1050" spans="1:12" ht="22.95" customHeight="1">
      <c r="A1050" s="5">
        <v>7</v>
      </c>
      <c r="B1050" s="7" t="s">
        <v>178</v>
      </c>
      <c r="C1050" s="7" t="s">
        <v>303</v>
      </c>
      <c r="D1050" s="5">
        <v>1</v>
      </c>
      <c r="E1050" s="5">
        <v>36</v>
      </c>
      <c r="F1050" s="5">
        <v>1</v>
      </c>
      <c r="G1050" s="5">
        <v>20</v>
      </c>
      <c r="H1050" s="6">
        <f t="shared" si="75"/>
        <v>4.2253158106669789E-7</v>
      </c>
      <c r="I1050" s="6">
        <f t="shared" si="76"/>
        <v>1</v>
      </c>
      <c r="J1050" s="6">
        <f t="shared" si="77"/>
        <v>0.55555555555555558</v>
      </c>
      <c r="K1050" s="6">
        <f t="shared" si="78"/>
        <v>4.2253158106669789E-7</v>
      </c>
      <c r="L1050" s="6">
        <f t="shared" si="79"/>
        <v>2.3473976725927662E-7</v>
      </c>
    </row>
    <row r="1051" spans="1:12" ht="22.95" customHeight="1">
      <c r="A1051" s="5">
        <v>7</v>
      </c>
      <c r="B1051" s="7" t="s">
        <v>223</v>
      </c>
      <c r="C1051" s="7" t="s">
        <v>296</v>
      </c>
      <c r="D1051" s="5">
        <v>5</v>
      </c>
      <c r="E1051" s="5">
        <v>6</v>
      </c>
      <c r="F1051" s="5">
        <v>0</v>
      </c>
      <c r="G1051" s="5">
        <v>0</v>
      </c>
      <c r="H1051" s="6">
        <f t="shared" si="75"/>
        <v>2.1126579053334894E-6</v>
      </c>
      <c r="I1051" s="6">
        <f t="shared" si="76"/>
        <v>0</v>
      </c>
      <c r="J1051" s="6">
        <f t="shared" si="77"/>
        <v>0</v>
      </c>
      <c r="K1051" s="6">
        <f t="shared" si="78"/>
        <v>0</v>
      </c>
      <c r="L1051" s="6">
        <f t="shared" si="79"/>
        <v>0</v>
      </c>
    </row>
    <row r="1052" spans="1:12" ht="22.95" customHeight="1">
      <c r="A1052" s="5">
        <v>7</v>
      </c>
      <c r="B1052" s="7" t="s">
        <v>129</v>
      </c>
      <c r="C1052" s="7" t="s">
        <v>291</v>
      </c>
      <c r="D1052" s="5">
        <v>710</v>
      </c>
      <c r="E1052" s="5">
        <v>927</v>
      </c>
      <c r="F1052" s="5">
        <v>413</v>
      </c>
      <c r="G1052" s="5">
        <v>636</v>
      </c>
      <c r="H1052" s="6">
        <f t="shared" si="75"/>
        <v>2.9999742255735551E-4</v>
      </c>
      <c r="I1052" s="6">
        <f t="shared" si="76"/>
        <v>0.58169014084507042</v>
      </c>
      <c r="J1052" s="6">
        <f t="shared" si="77"/>
        <v>0.68608414239482196</v>
      </c>
      <c r="K1052" s="6">
        <f t="shared" si="78"/>
        <v>1.7450554298054622E-4</v>
      </c>
      <c r="L1052" s="6">
        <f t="shared" si="79"/>
        <v>2.0582347437592027E-4</v>
      </c>
    </row>
    <row r="1053" spans="1:12" ht="22.95" customHeight="1">
      <c r="A1053" s="5">
        <v>7</v>
      </c>
      <c r="B1053" s="7" t="s">
        <v>100</v>
      </c>
      <c r="C1053" s="7" t="s">
        <v>290</v>
      </c>
      <c r="D1053" s="5">
        <v>3622</v>
      </c>
      <c r="E1053" s="5">
        <v>4384</v>
      </c>
      <c r="F1053" s="5">
        <v>1002</v>
      </c>
      <c r="G1053" s="5">
        <v>2469</v>
      </c>
      <c r="H1053" s="6">
        <f t="shared" si="75"/>
        <v>1.5304093866235797E-3</v>
      </c>
      <c r="I1053" s="6">
        <f t="shared" si="76"/>
        <v>0.2766427388183324</v>
      </c>
      <c r="J1053" s="6">
        <f t="shared" si="77"/>
        <v>0.56318430656934304</v>
      </c>
      <c r="K1053" s="6">
        <f t="shared" si="78"/>
        <v>4.2337664422883124E-4</v>
      </c>
      <c r="L1053" s="6">
        <f t="shared" si="79"/>
        <v>8.6190254917281432E-4</v>
      </c>
    </row>
    <row r="1054" spans="1:12" ht="22.95" customHeight="1">
      <c r="A1054" s="5">
        <v>7</v>
      </c>
      <c r="B1054" s="7" t="s">
        <v>92</v>
      </c>
      <c r="C1054" s="7" t="s">
        <v>293</v>
      </c>
      <c r="D1054" s="5">
        <v>4295</v>
      </c>
      <c r="E1054" s="5">
        <v>7989</v>
      </c>
      <c r="F1054" s="5">
        <v>854</v>
      </c>
      <c r="G1054" s="5">
        <v>2097</v>
      </c>
      <c r="H1054" s="6">
        <f t="shared" ref="H1054:H1117" si="80">D1054/$B$16</f>
        <v>1.8147731406814673E-3</v>
      </c>
      <c r="I1054" s="6">
        <f t="shared" ref="I1054:I1117" si="81">F1054/D1054</f>
        <v>0.19883585564610012</v>
      </c>
      <c r="J1054" s="6">
        <f t="shared" ref="J1054:J1117" si="82">G1054/E1054</f>
        <v>0.26248591813743899</v>
      </c>
      <c r="K1054" s="6">
        <f t="shared" ref="K1054:K1117" si="83">H1054*I1054</f>
        <v>3.6084197023096001E-4</v>
      </c>
      <c r="L1054" s="6">
        <f t="shared" ref="L1054:L1117" si="84">H1054*J1054</f>
        <v>4.7635239404293867E-4</v>
      </c>
    </row>
    <row r="1055" spans="1:12" ht="22.95" customHeight="1">
      <c r="A1055" s="5">
        <v>7</v>
      </c>
      <c r="B1055" s="7" t="s">
        <v>173</v>
      </c>
      <c r="C1055" s="7" t="s">
        <v>303</v>
      </c>
      <c r="D1055" s="5">
        <v>191</v>
      </c>
      <c r="E1055" s="5">
        <v>206</v>
      </c>
      <c r="F1055" s="5">
        <v>81</v>
      </c>
      <c r="G1055" s="5">
        <v>104</v>
      </c>
      <c r="H1055" s="6">
        <f t="shared" si="80"/>
        <v>8.070353198373929E-5</v>
      </c>
      <c r="I1055" s="6">
        <f t="shared" si="81"/>
        <v>0.42408376963350786</v>
      </c>
      <c r="J1055" s="6">
        <f t="shared" si="82"/>
        <v>0.50485436893203883</v>
      </c>
      <c r="K1055" s="6">
        <f t="shared" si="83"/>
        <v>3.4225058066402528E-5</v>
      </c>
      <c r="L1055" s="6">
        <f t="shared" si="84"/>
        <v>4.0743530710237312E-5</v>
      </c>
    </row>
    <row r="1056" spans="1:12" ht="22.95" customHeight="1">
      <c r="A1056" s="5">
        <v>7</v>
      </c>
      <c r="B1056" s="7" t="s">
        <v>233</v>
      </c>
      <c r="C1056" s="7" t="s">
        <v>292</v>
      </c>
      <c r="D1056" s="5">
        <v>1100</v>
      </c>
      <c r="E1056" s="5">
        <v>1118</v>
      </c>
      <c r="F1056" s="5">
        <v>384</v>
      </c>
      <c r="G1056" s="5">
        <v>407</v>
      </c>
      <c r="H1056" s="6">
        <f t="shared" si="80"/>
        <v>4.6478473917336768E-4</v>
      </c>
      <c r="I1056" s="6">
        <f t="shared" si="81"/>
        <v>0.34909090909090912</v>
      </c>
      <c r="J1056" s="6">
        <f t="shared" si="82"/>
        <v>0.36404293381037567</v>
      </c>
      <c r="K1056" s="6">
        <f t="shared" si="83"/>
        <v>1.62252127129612E-4</v>
      </c>
      <c r="L1056" s="6">
        <f t="shared" si="84"/>
        <v>1.6920160003896302E-4</v>
      </c>
    </row>
    <row r="1057" spans="1:12" ht="22.95" customHeight="1">
      <c r="A1057" s="5">
        <v>7</v>
      </c>
      <c r="B1057" s="7" t="s">
        <v>133</v>
      </c>
      <c r="C1057" s="7" t="s">
        <v>293</v>
      </c>
      <c r="D1057" s="5">
        <v>1466</v>
      </c>
      <c r="E1057" s="5">
        <v>1710</v>
      </c>
      <c r="F1057" s="5">
        <v>593</v>
      </c>
      <c r="G1057" s="5">
        <v>619</v>
      </c>
      <c r="H1057" s="6">
        <f t="shared" si="80"/>
        <v>6.1943129784377909E-4</v>
      </c>
      <c r="I1057" s="6">
        <f t="shared" si="81"/>
        <v>0.40450204638472032</v>
      </c>
      <c r="J1057" s="6">
        <f t="shared" si="82"/>
        <v>0.36198830409356725</v>
      </c>
      <c r="K1057" s="6">
        <f t="shared" si="83"/>
        <v>2.5056122757255184E-4</v>
      </c>
      <c r="L1057" s="6">
        <f t="shared" si="84"/>
        <v>2.2422688500894694E-4</v>
      </c>
    </row>
    <row r="1058" spans="1:12" ht="22.95" customHeight="1">
      <c r="A1058" s="5">
        <v>7</v>
      </c>
      <c r="B1058" s="7" t="s">
        <v>280</v>
      </c>
      <c r="C1058" s="7" t="s">
        <v>292</v>
      </c>
      <c r="D1058" s="5">
        <v>4173</v>
      </c>
      <c r="E1058" s="5">
        <v>3266</v>
      </c>
      <c r="F1058" s="5">
        <v>0</v>
      </c>
      <c r="G1058" s="5">
        <v>0</v>
      </c>
      <c r="H1058" s="6">
        <f t="shared" si="80"/>
        <v>1.7632242877913303E-3</v>
      </c>
      <c r="I1058" s="6">
        <f t="shared" si="81"/>
        <v>0</v>
      </c>
      <c r="J1058" s="6">
        <f t="shared" si="82"/>
        <v>0</v>
      </c>
      <c r="K1058" s="6">
        <f t="shared" si="83"/>
        <v>0</v>
      </c>
      <c r="L1058" s="6">
        <f t="shared" si="84"/>
        <v>0</v>
      </c>
    </row>
    <row r="1059" spans="1:12" ht="22.95" customHeight="1">
      <c r="A1059" s="5">
        <v>7</v>
      </c>
      <c r="B1059" s="7" t="s">
        <v>98</v>
      </c>
      <c r="C1059" s="7" t="s">
        <v>292</v>
      </c>
      <c r="D1059" s="5">
        <v>6870</v>
      </c>
      <c r="E1059" s="5">
        <v>6810</v>
      </c>
      <c r="F1059" s="5">
        <v>2389</v>
      </c>
      <c r="G1059" s="5">
        <v>2621</v>
      </c>
      <c r="H1059" s="6">
        <f t="shared" si="80"/>
        <v>2.9027919619282142E-3</v>
      </c>
      <c r="I1059" s="6">
        <f t="shared" si="81"/>
        <v>0.34774381368267832</v>
      </c>
      <c r="J1059" s="6">
        <f t="shared" si="82"/>
        <v>0.38487518355359768</v>
      </c>
      <c r="K1059" s="6">
        <f t="shared" si="83"/>
        <v>1.0094279471683412E-3</v>
      </c>
      <c r="L1059" s="6">
        <f t="shared" si="84"/>
        <v>1.1172125891650293E-3</v>
      </c>
    </row>
    <row r="1060" spans="1:12" ht="22.95" customHeight="1">
      <c r="A1060" s="5">
        <v>7</v>
      </c>
      <c r="B1060" s="7" t="s">
        <v>231</v>
      </c>
      <c r="C1060" s="7" t="s">
        <v>295</v>
      </c>
      <c r="D1060" s="5">
        <v>19</v>
      </c>
      <c r="E1060" s="5">
        <v>22</v>
      </c>
      <c r="F1060" s="5">
        <v>17</v>
      </c>
      <c r="G1060" s="5">
        <v>17</v>
      </c>
      <c r="H1060" s="6">
        <f t="shared" si="80"/>
        <v>8.0281000402672605E-6</v>
      </c>
      <c r="I1060" s="6">
        <f t="shared" si="81"/>
        <v>0.89473684210526316</v>
      </c>
      <c r="J1060" s="6">
        <f t="shared" si="82"/>
        <v>0.77272727272727271</v>
      </c>
      <c r="K1060" s="6">
        <f t="shared" si="83"/>
        <v>7.1830368781338649E-6</v>
      </c>
      <c r="L1060" s="6">
        <f t="shared" si="84"/>
        <v>6.2035318492974286E-6</v>
      </c>
    </row>
    <row r="1061" spans="1:12" ht="22.95" customHeight="1">
      <c r="A1061" s="5">
        <v>7</v>
      </c>
      <c r="B1061" s="7" t="s">
        <v>263</v>
      </c>
      <c r="C1061" s="7" t="s">
        <v>295</v>
      </c>
      <c r="D1061" s="5">
        <v>653</v>
      </c>
      <c r="E1061" s="5">
        <v>629</v>
      </c>
      <c r="F1061" s="5">
        <v>494</v>
      </c>
      <c r="G1061" s="5">
        <v>540</v>
      </c>
      <c r="H1061" s="6">
        <f t="shared" si="80"/>
        <v>2.7591312243655371E-4</v>
      </c>
      <c r="I1061" s="6">
        <f t="shared" si="81"/>
        <v>0.75650842266462481</v>
      </c>
      <c r="J1061" s="6">
        <f t="shared" si="82"/>
        <v>0.85850556438791736</v>
      </c>
      <c r="K1061" s="6">
        <f t="shared" si="83"/>
        <v>2.0873060104694875E-4</v>
      </c>
      <c r="L1061" s="6">
        <f t="shared" si="84"/>
        <v>2.3687295089942607E-4</v>
      </c>
    </row>
    <row r="1062" spans="1:12" ht="22.95" customHeight="1">
      <c r="A1062" s="5">
        <v>7</v>
      </c>
      <c r="B1062" s="7" t="s">
        <v>242</v>
      </c>
      <c r="C1062" s="7" t="s">
        <v>303</v>
      </c>
      <c r="D1062" s="5">
        <v>42</v>
      </c>
      <c r="E1062" s="5">
        <v>23</v>
      </c>
      <c r="F1062" s="5">
        <v>14</v>
      </c>
      <c r="G1062" s="5">
        <v>7</v>
      </c>
      <c r="H1062" s="6">
        <f t="shared" si="80"/>
        <v>1.7746326404801312E-5</v>
      </c>
      <c r="I1062" s="6">
        <f t="shared" si="81"/>
        <v>0.33333333333333331</v>
      </c>
      <c r="J1062" s="6">
        <f t="shared" si="82"/>
        <v>0.30434782608695654</v>
      </c>
      <c r="K1062" s="6">
        <f t="shared" si="83"/>
        <v>5.9154421349337707E-6</v>
      </c>
      <c r="L1062" s="6">
        <f t="shared" si="84"/>
        <v>5.4010558623308342E-6</v>
      </c>
    </row>
    <row r="1063" spans="1:12" ht="22.95" customHeight="1">
      <c r="A1063" s="5">
        <v>7</v>
      </c>
      <c r="B1063" s="7" t="s">
        <v>283</v>
      </c>
      <c r="C1063" s="7" t="s">
        <v>295</v>
      </c>
      <c r="D1063" s="5">
        <v>6038</v>
      </c>
      <c r="E1063" s="5">
        <v>797</v>
      </c>
      <c r="F1063" s="5">
        <v>5932</v>
      </c>
      <c r="G1063" s="5">
        <v>723</v>
      </c>
      <c r="H1063" s="6">
        <f t="shared" si="80"/>
        <v>2.5512456864807218E-3</v>
      </c>
      <c r="I1063" s="6">
        <f t="shared" si="81"/>
        <v>0.98244451805233524</v>
      </c>
      <c r="J1063" s="6">
        <f t="shared" si="82"/>
        <v>0.90715181932245925</v>
      </c>
      <c r="K1063" s="6">
        <f t="shared" si="83"/>
        <v>2.506457338887652E-3</v>
      </c>
      <c r="L1063" s="6">
        <f t="shared" si="84"/>
        <v>2.3143671660295633E-3</v>
      </c>
    </row>
    <row r="1064" spans="1:12" ht="22.95" customHeight="1">
      <c r="A1064" s="5">
        <v>7</v>
      </c>
      <c r="B1064" s="7" t="s">
        <v>147</v>
      </c>
      <c r="C1064" s="7" t="s">
        <v>292</v>
      </c>
      <c r="D1064" s="5">
        <v>206</v>
      </c>
      <c r="E1064" s="5">
        <v>252</v>
      </c>
      <c r="F1064" s="5">
        <v>140</v>
      </c>
      <c r="G1064" s="5">
        <v>159</v>
      </c>
      <c r="H1064" s="6">
        <f t="shared" si="80"/>
        <v>8.7041505699739769E-5</v>
      </c>
      <c r="I1064" s="6">
        <f t="shared" si="81"/>
        <v>0.67961165048543692</v>
      </c>
      <c r="J1064" s="6">
        <f t="shared" si="82"/>
        <v>0.63095238095238093</v>
      </c>
      <c r="K1064" s="6">
        <f t="shared" si="83"/>
        <v>5.9154421349337707E-5</v>
      </c>
      <c r="L1064" s="6">
        <f t="shared" si="84"/>
        <v>5.4919045262931045E-5</v>
      </c>
    </row>
    <row r="1065" spans="1:12" ht="22.95" customHeight="1">
      <c r="A1065" s="5">
        <v>7</v>
      </c>
      <c r="B1065" s="7" t="s">
        <v>252</v>
      </c>
      <c r="C1065" s="7" t="s">
        <v>291</v>
      </c>
      <c r="D1065" s="5">
        <v>49</v>
      </c>
      <c r="E1065" s="5">
        <v>45</v>
      </c>
      <c r="F1065" s="5">
        <v>24</v>
      </c>
      <c r="G1065" s="5">
        <v>14</v>
      </c>
      <c r="H1065" s="6">
        <f t="shared" si="80"/>
        <v>2.0704047472268196E-5</v>
      </c>
      <c r="I1065" s="6">
        <f t="shared" si="81"/>
        <v>0.48979591836734693</v>
      </c>
      <c r="J1065" s="6">
        <f t="shared" si="82"/>
        <v>0.31111111111111112</v>
      </c>
      <c r="K1065" s="6">
        <f t="shared" si="83"/>
        <v>1.0140757945600749E-5</v>
      </c>
      <c r="L1065" s="6">
        <f t="shared" si="84"/>
        <v>6.44125921359455E-6</v>
      </c>
    </row>
    <row r="1066" spans="1:12" ht="22.95" customHeight="1">
      <c r="A1066" s="5">
        <v>7</v>
      </c>
      <c r="B1066" s="7" t="s">
        <v>103</v>
      </c>
      <c r="C1066" s="7" t="s">
        <v>290</v>
      </c>
      <c r="D1066" s="5">
        <v>2885</v>
      </c>
      <c r="E1066" s="5">
        <v>3427</v>
      </c>
      <c r="F1066" s="5">
        <v>898</v>
      </c>
      <c r="G1066" s="5">
        <v>1777</v>
      </c>
      <c r="H1066" s="6">
        <f t="shared" si="80"/>
        <v>1.2190036113774235E-3</v>
      </c>
      <c r="I1066" s="6">
        <f t="shared" si="81"/>
        <v>0.31126516464471404</v>
      </c>
      <c r="J1066" s="6">
        <f t="shared" si="82"/>
        <v>0.51852932594105627</v>
      </c>
      <c r="K1066" s="6">
        <f t="shared" si="83"/>
        <v>3.7943335979789475E-4</v>
      </c>
      <c r="L1066" s="6">
        <f t="shared" si="84"/>
        <v>6.3208912092724875E-4</v>
      </c>
    </row>
    <row r="1067" spans="1:12" ht="22.95" customHeight="1">
      <c r="A1067" s="5">
        <v>7</v>
      </c>
      <c r="B1067" s="7" t="s">
        <v>140</v>
      </c>
      <c r="C1067" s="7" t="s">
        <v>290</v>
      </c>
      <c r="D1067" s="5">
        <v>165</v>
      </c>
      <c r="E1067" s="5">
        <v>241</v>
      </c>
      <c r="F1067" s="5">
        <v>120</v>
      </c>
      <c r="G1067" s="5">
        <v>177</v>
      </c>
      <c r="H1067" s="6">
        <f t="shared" si="80"/>
        <v>6.9717710876005153E-5</v>
      </c>
      <c r="I1067" s="6">
        <f t="shared" si="81"/>
        <v>0.72727272727272729</v>
      </c>
      <c r="J1067" s="6">
        <f t="shared" si="82"/>
        <v>0.73443983402489632</v>
      </c>
      <c r="K1067" s="6">
        <f t="shared" si="83"/>
        <v>5.0703789728003748E-5</v>
      </c>
      <c r="L1067" s="6">
        <f t="shared" si="84"/>
        <v>5.1203464004368935E-5</v>
      </c>
    </row>
    <row r="1068" spans="1:12" ht="22.95" customHeight="1">
      <c r="A1068" s="5">
        <v>7</v>
      </c>
      <c r="B1068" s="7" t="s">
        <v>144</v>
      </c>
      <c r="C1068" s="7" t="s">
        <v>296</v>
      </c>
      <c r="D1068" s="5">
        <v>187</v>
      </c>
      <c r="E1068" s="5">
        <v>166</v>
      </c>
      <c r="F1068" s="5">
        <v>0</v>
      </c>
      <c r="G1068" s="5">
        <v>0</v>
      </c>
      <c r="H1068" s="6">
        <f t="shared" si="80"/>
        <v>7.9013405659472509E-5</v>
      </c>
      <c r="I1068" s="6">
        <f t="shared" si="81"/>
        <v>0</v>
      </c>
      <c r="J1068" s="6">
        <f t="shared" si="82"/>
        <v>0</v>
      </c>
      <c r="K1068" s="6">
        <f t="shared" si="83"/>
        <v>0</v>
      </c>
      <c r="L1068" s="6">
        <f t="shared" si="84"/>
        <v>0</v>
      </c>
    </row>
    <row r="1069" spans="1:12" ht="22.95" customHeight="1">
      <c r="A1069" s="5">
        <v>7</v>
      </c>
      <c r="B1069" s="7" t="s">
        <v>107</v>
      </c>
      <c r="C1069" s="7" t="s">
        <v>296</v>
      </c>
      <c r="D1069" s="5">
        <v>2615</v>
      </c>
      <c r="E1069" s="5">
        <v>3029</v>
      </c>
      <c r="F1069" s="5">
        <v>0</v>
      </c>
      <c r="G1069" s="5">
        <v>0</v>
      </c>
      <c r="H1069" s="6">
        <f t="shared" si="80"/>
        <v>1.1049200844894149E-3</v>
      </c>
      <c r="I1069" s="6">
        <f t="shared" si="81"/>
        <v>0</v>
      </c>
      <c r="J1069" s="6">
        <f t="shared" si="82"/>
        <v>0</v>
      </c>
      <c r="K1069" s="6">
        <f t="shared" si="83"/>
        <v>0</v>
      </c>
      <c r="L1069" s="6">
        <f t="shared" si="84"/>
        <v>0</v>
      </c>
    </row>
    <row r="1070" spans="1:12" ht="22.95" customHeight="1">
      <c r="A1070" s="5">
        <v>7</v>
      </c>
      <c r="B1070" s="7" t="s">
        <v>146</v>
      </c>
      <c r="C1070" s="7" t="s">
        <v>296</v>
      </c>
      <c r="D1070" s="5">
        <v>202</v>
      </c>
      <c r="E1070" s="5">
        <v>228</v>
      </c>
      <c r="F1070" s="5">
        <v>0</v>
      </c>
      <c r="G1070" s="5">
        <v>0</v>
      </c>
      <c r="H1070" s="6">
        <f t="shared" si="80"/>
        <v>8.5351379375472975E-5</v>
      </c>
      <c r="I1070" s="6">
        <f t="shared" si="81"/>
        <v>0</v>
      </c>
      <c r="J1070" s="6">
        <f t="shared" si="82"/>
        <v>0</v>
      </c>
      <c r="K1070" s="6">
        <f t="shared" si="83"/>
        <v>0</v>
      </c>
      <c r="L1070" s="6">
        <f t="shared" si="84"/>
        <v>0</v>
      </c>
    </row>
    <row r="1071" spans="1:12" ht="22.95" customHeight="1">
      <c r="A1071" s="5">
        <v>7</v>
      </c>
      <c r="B1071" s="7" t="s">
        <v>143</v>
      </c>
      <c r="C1071" s="7" t="s">
        <v>304</v>
      </c>
      <c r="D1071" s="5">
        <v>1497</v>
      </c>
      <c r="E1071" s="5">
        <v>1318</v>
      </c>
      <c r="F1071" s="5">
        <v>538</v>
      </c>
      <c r="G1071" s="5">
        <v>555</v>
      </c>
      <c r="H1071" s="6">
        <f t="shared" si="80"/>
        <v>6.325297768568467E-4</v>
      </c>
      <c r="I1071" s="6">
        <f t="shared" si="81"/>
        <v>0.35938543754175017</v>
      </c>
      <c r="J1071" s="6">
        <f t="shared" si="82"/>
        <v>0.421092564491654</v>
      </c>
      <c r="K1071" s="6">
        <f t="shared" si="83"/>
        <v>2.2732199061388346E-4</v>
      </c>
      <c r="L1071" s="6">
        <f t="shared" si="84"/>
        <v>2.6635358585398321E-4</v>
      </c>
    </row>
    <row r="1072" spans="1:12" ht="22.95" customHeight="1">
      <c r="A1072" s="5">
        <v>7</v>
      </c>
      <c r="B1072" s="7" t="s">
        <v>143</v>
      </c>
      <c r="C1072" s="7" t="s">
        <v>295</v>
      </c>
      <c r="D1072" s="5">
        <v>3515</v>
      </c>
      <c r="E1072" s="5">
        <v>3927</v>
      </c>
      <c r="F1072" s="5">
        <v>1379</v>
      </c>
      <c r="G1072" s="5">
        <v>1419</v>
      </c>
      <c r="H1072" s="6">
        <f t="shared" si="80"/>
        <v>1.485198507449443E-3</v>
      </c>
      <c r="I1072" s="6">
        <f t="shared" si="81"/>
        <v>0.39231863442389758</v>
      </c>
      <c r="J1072" s="6">
        <f t="shared" si="82"/>
        <v>0.36134453781512604</v>
      </c>
      <c r="K1072" s="6">
        <f t="shared" si="83"/>
        <v>5.8267105029097634E-4</v>
      </c>
      <c r="L1072" s="6">
        <f t="shared" si="84"/>
        <v>5.3666836823803405E-4</v>
      </c>
    </row>
    <row r="1073" spans="1:12" ht="22.95" customHeight="1">
      <c r="A1073" s="5">
        <v>7</v>
      </c>
      <c r="B1073" s="7" t="s">
        <v>106</v>
      </c>
      <c r="C1073" s="7" t="s">
        <v>290</v>
      </c>
      <c r="D1073" s="5">
        <v>2243</v>
      </c>
      <c r="E1073" s="5">
        <v>2649</v>
      </c>
      <c r="F1073" s="5">
        <v>625</v>
      </c>
      <c r="G1073" s="5">
        <v>1525</v>
      </c>
      <c r="H1073" s="6">
        <f t="shared" si="80"/>
        <v>9.4773833633260331E-4</v>
      </c>
      <c r="I1073" s="6">
        <f t="shared" si="81"/>
        <v>0.27864467231386536</v>
      </c>
      <c r="J1073" s="6">
        <f t="shared" si="82"/>
        <v>0.5756889392223481</v>
      </c>
      <c r="K1073" s="6">
        <f t="shared" si="83"/>
        <v>2.6408223816668614E-4</v>
      </c>
      <c r="L1073" s="6">
        <f t="shared" si="84"/>
        <v>5.4560247750366938E-4</v>
      </c>
    </row>
    <row r="1074" spans="1:12" ht="22.95" customHeight="1">
      <c r="A1074" s="5">
        <v>7</v>
      </c>
      <c r="B1074" s="7" t="s">
        <v>186</v>
      </c>
      <c r="C1074" s="7" t="s">
        <v>291</v>
      </c>
      <c r="D1074" s="5">
        <v>15</v>
      </c>
      <c r="E1074" s="5">
        <v>27</v>
      </c>
      <c r="F1074" s="5">
        <v>9</v>
      </c>
      <c r="G1074" s="5">
        <v>20</v>
      </c>
      <c r="H1074" s="6">
        <f t="shared" si="80"/>
        <v>6.3379737160004685E-6</v>
      </c>
      <c r="I1074" s="6">
        <f t="shared" si="81"/>
        <v>0.6</v>
      </c>
      <c r="J1074" s="6">
        <f t="shared" si="82"/>
        <v>0.7407407407407407</v>
      </c>
      <c r="K1074" s="6">
        <f t="shared" si="83"/>
        <v>3.8027842296002809E-6</v>
      </c>
      <c r="L1074" s="6">
        <f t="shared" si="84"/>
        <v>4.6947953451855323E-6</v>
      </c>
    </row>
    <row r="1075" spans="1:12" ht="22.95" customHeight="1">
      <c r="A1075" s="5">
        <v>7</v>
      </c>
      <c r="B1075" s="7" t="s">
        <v>190</v>
      </c>
      <c r="C1075" s="7" t="s">
        <v>291</v>
      </c>
      <c r="D1075" s="5">
        <v>26</v>
      </c>
      <c r="E1075" s="5">
        <v>42</v>
      </c>
      <c r="F1075" s="5">
        <v>17</v>
      </c>
      <c r="G1075" s="5">
        <v>30</v>
      </c>
      <c r="H1075" s="6">
        <f t="shared" si="80"/>
        <v>1.0985821107734144E-5</v>
      </c>
      <c r="I1075" s="6">
        <f t="shared" si="81"/>
        <v>0.65384615384615385</v>
      </c>
      <c r="J1075" s="6">
        <f t="shared" si="82"/>
        <v>0.7142857142857143</v>
      </c>
      <c r="K1075" s="6">
        <f t="shared" si="83"/>
        <v>7.1830368781338632E-6</v>
      </c>
      <c r="L1075" s="6">
        <f t="shared" si="84"/>
        <v>7.8470150769529608E-6</v>
      </c>
    </row>
    <row r="1076" spans="1:12" ht="22.95" customHeight="1">
      <c r="A1076" s="5">
        <v>7</v>
      </c>
      <c r="B1076" s="7" t="s">
        <v>124</v>
      </c>
      <c r="C1076" s="7" t="s">
        <v>303</v>
      </c>
      <c r="D1076" s="5">
        <v>1232</v>
      </c>
      <c r="E1076" s="5">
        <v>1398</v>
      </c>
      <c r="F1076" s="5">
        <v>541</v>
      </c>
      <c r="G1076" s="5">
        <v>723</v>
      </c>
      <c r="H1076" s="6">
        <f t="shared" si="80"/>
        <v>5.2055890787417174E-4</v>
      </c>
      <c r="I1076" s="6">
        <f t="shared" si="81"/>
        <v>0.43912337662337664</v>
      </c>
      <c r="J1076" s="6">
        <f t="shared" si="82"/>
        <v>0.51716738197424894</v>
      </c>
      <c r="K1076" s="6">
        <f t="shared" si="83"/>
        <v>2.2858958535708354E-4</v>
      </c>
      <c r="L1076" s="6">
        <f t="shared" si="84"/>
        <v>2.6921608754865964E-4</v>
      </c>
    </row>
    <row r="1077" spans="1:12" ht="22.95" customHeight="1">
      <c r="A1077" s="5">
        <v>7</v>
      </c>
      <c r="B1077" s="7" t="s">
        <v>170</v>
      </c>
      <c r="C1077" s="7" t="s">
        <v>303</v>
      </c>
      <c r="D1077" s="5">
        <v>276</v>
      </c>
      <c r="E1077" s="5">
        <v>286</v>
      </c>
      <c r="F1077" s="5">
        <v>178</v>
      </c>
      <c r="G1077" s="5">
        <v>173</v>
      </c>
      <c r="H1077" s="6">
        <f t="shared" si="80"/>
        <v>1.1661871637440862E-4</v>
      </c>
      <c r="I1077" s="6">
        <f t="shared" si="81"/>
        <v>0.64492753623188404</v>
      </c>
      <c r="J1077" s="6">
        <f t="shared" si="82"/>
        <v>0.6048951048951049</v>
      </c>
      <c r="K1077" s="6">
        <f t="shared" si="83"/>
        <v>7.5210621429872221E-5</v>
      </c>
      <c r="L1077" s="6">
        <f t="shared" si="84"/>
        <v>7.0542090674030394E-5</v>
      </c>
    </row>
    <row r="1078" spans="1:12" ht="22.95" customHeight="1">
      <c r="A1078" s="5">
        <v>7</v>
      </c>
      <c r="B1078" s="7" t="s">
        <v>125</v>
      </c>
      <c r="C1078" s="7" t="s">
        <v>298</v>
      </c>
      <c r="D1078" s="5">
        <v>1393</v>
      </c>
      <c r="E1078" s="5">
        <v>1373</v>
      </c>
      <c r="F1078" s="5">
        <v>911</v>
      </c>
      <c r="G1078" s="5">
        <v>956</v>
      </c>
      <c r="H1078" s="6">
        <f t="shared" si="80"/>
        <v>5.8858649242591015E-4</v>
      </c>
      <c r="I1078" s="6">
        <f t="shared" si="81"/>
        <v>0.65398420674802582</v>
      </c>
      <c r="J1078" s="6">
        <f t="shared" si="82"/>
        <v>0.69628550619082297</v>
      </c>
      <c r="K1078" s="6">
        <f t="shared" si="83"/>
        <v>3.8492627035176176E-4</v>
      </c>
      <c r="L1078" s="6">
        <f t="shared" si="84"/>
        <v>4.0982424381585584E-4</v>
      </c>
    </row>
    <row r="1079" spans="1:12" ht="22.95" customHeight="1">
      <c r="A1079" s="5">
        <v>7</v>
      </c>
      <c r="B1079" s="7" t="s">
        <v>154</v>
      </c>
      <c r="C1079" s="7" t="s">
        <v>298</v>
      </c>
      <c r="D1079" s="5">
        <v>53</v>
      </c>
      <c r="E1079" s="5">
        <v>93</v>
      </c>
      <c r="F1079" s="5">
        <v>15</v>
      </c>
      <c r="G1079" s="5">
        <v>67</v>
      </c>
      <c r="H1079" s="6">
        <f t="shared" si="80"/>
        <v>2.2394173796534987E-5</v>
      </c>
      <c r="I1079" s="6">
        <f t="shared" si="81"/>
        <v>0.28301886792452829</v>
      </c>
      <c r="J1079" s="6">
        <f t="shared" si="82"/>
        <v>0.72043010752688175</v>
      </c>
      <c r="K1079" s="6">
        <f t="shared" si="83"/>
        <v>6.3379737160004676E-6</v>
      </c>
      <c r="L1079" s="6">
        <f t="shared" si="84"/>
        <v>1.6133437036213377E-5</v>
      </c>
    </row>
    <row r="1080" spans="1:12" ht="22.95" customHeight="1">
      <c r="A1080" s="5">
        <v>7</v>
      </c>
      <c r="B1080" s="7" t="s">
        <v>246</v>
      </c>
      <c r="C1080" s="7" t="s">
        <v>298</v>
      </c>
      <c r="D1080" s="5">
        <v>6</v>
      </c>
      <c r="E1080" s="5">
        <v>6</v>
      </c>
      <c r="F1080" s="5">
        <v>1</v>
      </c>
      <c r="G1080" s="5">
        <v>4</v>
      </c>
      <c r="H1080" s="6">
        <f t="shared" si="80"/>
        <v>2.5351894864001871E-6</v>
      </c>
      <c r="I1080" s="6">
        <f t="shared" si="81"/>
        <v>0.16666666666666666</v>
      </c>
      <c r="J1080" s="6">
        <f t="shared" si="82"/>
        <v>0.66666666666666663</v>
      </c>
      <c r="K1080" s="6">
        <f t="shared" si="83"/>
        <v>4.2253158106669784E-7</v>
      </c>
      <c r="L1080" s="6">
        <f t="shared" si="84"/>
        <v>1.6901263242667914E-6</v>
      </c>
    </row>
    <row r="1081" spans="1:12" ht="22.95" customHeight="1">
      <c r="A1081" s="5">
        <v>7</v>
      </c>
      <c r="B1081" s="7" t="s">
        <v>95</v>
      </c>
      <c r="C1081" s="7" t="s">
        <v>290</v>
      </c>
      <c r="D1081" s="5">
        <v>2733</v>
      </c>
      <c r="E1081" s="5">
        <v>4489</v>
      </c>
      <c r="F1081" s="5">
        <v>939</v>
      </c>
      <c r="G1081" s="5">
        <v>2842</v>
      </c>
      <c r="H1081" s="6">
        <f t="shared" si="80"/>
        <v>1.1547788110552854E-3</v>
      </c>
      <c r="I1081" s="6">
        <f t="shared" si="81"/>
        <v>0.34357848518111966</v>
      </c>
      <c r="J1081" s="6">
        <f t="shared" si="82"/>
        <v>0.63310314101136111</v>
      </c>
      <c r="K1081" s="6">
        <f t="shared" si="83"/>
        <v>3.9675715462162938E-4</v>
      </c>
      <c r="L1081" s="6">
        <f t="shared" si="84"/>
        <v>7.3109409245246631E-4</v>
      </c>
    </row>
    <row r="1082" spans="1:12" ht="22.95" customHeight="1">
      <c r="A1082" s="5">
        <v>7</v>
      </c>
      <c r="B1082" s="7" t="s">
        <v>105</v>
      </c>
      <c r="C1082" s="7" t="s">
        <v>296</v>
      </c>
      <c r="D1082" s="5">
        <v>3365</v>
      </c>
      <c r="E1082" s="5">
        <v>3721</v>
      </c>
      <c r="F1082" s="5">
        <v>0</v>
      </c>
      <c r="G1082" s="5">
        <v>0</v>
      </c>
      <c r="H1082" s="6">
        <f t="shared" si="80"/>
        <v>1.4218187702894384E-3</v>
      </c>
      <c r="I1082" s="6">
        <f t="shared" si="81"/>
        <v>0</v>
      </c>
      <c r="J1082" s="6">
        <f t="shared" si="82"/>
        <v>0</v>
      </c>
      <c r="K1082" s="6">
        <f t="shared" si="83"/>
        <v>0</v>
      </c>
      <c r="L1082" s="6">
        <f t="shared" si="84"/>
        <v>0</v>
      </c>
    </row>
    <row r="1083" spans="1:12" ht="22.95" customHeight="1">
      <c r="A1083" s="5">
        <v>7</v>
      </c>
      <c r="B1083" s="7" t="s">
        <v>268</v>
      </c>
      <c r="C1083" s="7" t="s">
        <v>292</v>
      </c>
      <c r="D1083" s="5">
        <v>1587</v>
      </c>
      <c r="E1083" s="5">
        <v>1989</v>
      </c>
      <c r="F1083" s="5">
        <v>0</v>
      </c>
      <c r="G1083" s="5">
        <v>0</v>
      </c>
      <c r="H1083" s="6">
        <f t="shared" si="80"/>
        <v>6.7055761915284955E-4</v>
      </c>
      <c r="I1083" s="6">
        <f t="shared" si="81"/>
        <v>0</v>
      </c>
      <c r="J1083" s="6">
        <f t="shared" si="82"/>
        <v>0</v>
      </c>
      <c r="K1083" s="6">
        <f t="shared" si="83"/>
        <v>0</v>
      </c>
      <c r="L1083" s="6">
        <f t="shared" si="84"/>
        <v>0</v>
      </c>
    </row>
    <row r="1084" spans="1:12" ht="22.95" customHeight="1">
      <c r="A1084" s="5">
        <v>7</v>
      </c>
      <c r="B1084" s="7" t="s">
        <v>268</v>
      </c>
      <c r="C1084" s="7" t="s">
        <v>295</v>
      </c>
      <c r="D1084" s="5">
        <v>80</v>
      </c>
      <c r="E1084" s="5">
        <v>54</v>
      </c>
      <c r="F1084" s="5">
        <v>75</v>
      </c>
      <c r="G1084" s="5">
        <v>48</v>
      </c>
      <c r="H1084" s="6">
        <f t="shared" si="80"/>
        <v>3.380252648533583E-5</v>
      </c>
      <c r="I1084" s="6">
        <f t="shared" si="81"/>
        <v>0.9375</v>
      </c>
      <c r="J1084" s="6">
        <f t="shared" si="82"/>
        <v>0.88888888888888884</v>
      </c>
      <c r="K1084" s="6">
        <f t="shared" si="83"/>
        <v>3.1689868580002343E-5</v>
      </c>
      <c r="L1084" s="6">
        <f t="shared" si="84"/>
        <v>3.0046690209187401E-5</v>
      </c>
    </row>
    <row r="1085" spans="1:12" ht="22.95" customHeight="1">
      <c r="A1085" s="5">
        <v>7</v>
      </c>
      <c r="B1085" s="7" t="s">
        <v>203</v>
      </c>
      <c r="C1085" s="7" t="s">
        <v>298</v>
      </c>
      <c r="D1085" s="5">
        <v>29</v>
      </c>
      <c r="E1085" s="5">
        <v>30</v>
      </c>
      <c r="F1085" s="5">
        <v>16</v>
      </c>
      <c r="G1085" s="5">
        <v>16</v>
      </c>
      <c r="H1085" s="6">
        <f t="shared" si="80"/>
        <v>1.2253415850934238E-5</v>
      </c>
      <c r="I1085" s="6">
        <f t="shared" si="81"/>
        <v>0.55172413793103448</v>
      </c>
      <c r="J1085" s="6">
        <f t="shared" si="82"/>
        <v>0.53333333333333333</v>
      </c>
      <c r="K1085" s="6">
        <f t="shared" si="83"/>
        <v>6.7605052970671663E-6</v>
      </c>
      <c r="L1085" s="6">
        <f t="shared" si="84"/>
        <v>6.5351551204982607E-6</v>
      </c>
    </row>
    <row r="1086" spans="1:12" ht="22.95" customHeight="1">
      <c r="A1086" s="5">
        <v>7</v>
      </c>
      <c r="B1086" s="7" t="s">
        <v>244</v>
      </c>
      <c r="C1086" s="7" t="s">
        <v>298</v>
      </c>
      <c r="D1086" s="5">
        <v>2</v>
      </c>
      <c r="E1086" s="5">
        <v>1</v>
      </c>
      <c r="F1086" s="5">
        <v>1</v>
      </c>
      <c r="G1086" s="5">
        <v>0</v>
      </c>
      <c r="H1086" s="6">
        <f t="shared" si="80"/>
        <v>8.4506316213339578E-7</v>
      </c>
      <c r="I1086" s="6">
        <f t="shared" si="81"/>
        <v>0.5</v>
      </c>
      <c r="J1086" s="6">
        <f t="shared" si="82"/>
        <v>0</v>
      </c>
      <c r="K1086" s="6">
        <f t="shared" si="83"/>
        <v>4.2253158106669789E-7</v>
      </c>
      <c r="L1086" s="6">
        <f t="shared" si="84"/>
        <v>0</v>
      </c>
    </row>
    <row r="1087" spans="1:12" ht="22.95" customHeight="1">
      <c r="A1087" s="5">
        <v>7</v>
      </c>
      <c r="B1087" s="7" t="s">
        <v>87</v>
      </c>
      <c r="C1087" s="7" t="s">
        <v>290</v>
      </c>
      <c r="D1087" s="5">
        <v>3008</v>
      </c>
      <c r="E1087" s="5">
        <v>4331</v>
      </c>
      <c r="F1087" s="5">
        <v>1171</v>
      </c>
      <c r="G1087" s="5">
        <v>1649</v>
      </c>
      <c r="H1087" s="6">
        <f t="shared" si="80"/>
        <v>1.2709749958486273E-3</v>
      </c>
      <c r="I1087" s="6">
        <f t="shared" si="81"/>
        <v>0.38929521276595747</v>
      </c>
      <c r="J1087" s="6">
        <f t="shared" si="82"/>
        <v>0.38074347725698454</v>
      </c>
      <c r="K1087" s="6">
        <f t="shared" si="83"/>
        <v>4.9478448142910325E-4</v>
      </c>
      <c r="L1087" s="6">
        <f t="shared" si="84"/>
        <v>4.8391543942608787E-4</v>
      </c>
    </row>
    <row r="1088" spans="1:12" ht="22.95" customHeight="1">
      <c r="A1088" s="5">
        <v>7</v>
      </c>
      <c r="B1088" s="7" t="s">
        <v>255</v>
      </c>
      <c r="C1088" s="7" t="s">
        <v>303</v>
      </c>
      <c r="D1088" s="5">
        <v>66</v>
      </c>
      <c r="E1088" s="5">
        <v>54</v>
      </c>
      <c r="F1088" s="5">
        <v>43</v>
      </c>
      <c r="G1088" s="5">
        <v>30</v>
      </c>
      <c r="H1088" s="6">
        <f t="shared" si="80"/>
        <v>2.7887084350402059E-5</v>
      </c>
      <c r="I1088" s="6">
        <f t="shared" si="81"/>
        <v>0.65151515151515149</v>
      </c>
      <c r="J1088" s="6">
        <f t="shared" si="82"/>
        <v>0.55555555555555558</v>
      </c>
      <c r="K1088" s="6">
        <f t="shared" si="83"/>
        <v>1.8168857985868007E-5</v>
      </c>
      <c r="L1088" s="6">
        <f t="shared" si="84"/>
        <v>1.5492824639112255E-5</v>
      </c>
    </row>
    <row r="1089" spans="1:12" ht="22.95" customHeight="1">
      <c r="A1089" s="5">
        <v>7</v>
      </c>
      <c r="B1089" s="7" t="s">
        <v>260</v>
      </c>
      <c r="C1089" s="7" t="s">
        <v>294</v>
      </c>
      <c r="D1089" s="5">
        <v>302</v>
      </c>
      <c r="E1089" s="5">
        <v>147</v>
      </c>
      <c r="F1089" s="5">
        <v>195</v>
      </c>
      <c r="G1089" s="5">
        <v>81</v>
      </c>
      <c r="H1089" s="6">
        <f t="shared" si="80"/>
        <v>1.2760453748214277E-4</v>
      </c>
      <c r="I1089" s="6">
        <f t="shared" si="81"/>
        <v>0.64569536423841056</v>
      </c>
      <c r="J1089" s="6">
        <f t="shared" si="82"/>
        <v>0.55102040816326525</v>
      </c>
      <c r="K1089" s="6">
        <f t="shared" si="83"/>
        <v>8.2393658308006084E-5</v>
      </c>
      <c r="L1089" s="6">
        <f t="shared" si="84"/>
        <v>7.0312704326894984E-5</v>
      </c>
    </row>
    <row r="1090" spans="1:12" ht="22.95" customHeight="1">
      <c r="A1090" s="5">
        <v>7</v>
      </c>
      <c r="B1090" s="7" t="s">
        <v>114</v>
      </c>
      <c r="C1090" s="7" t="s">
        <v>291</v>
      </c>
      <c r="D1090" s="5">
        <v>213</v>
      </c>
      <c r="E1090" s="5">
        <v>332</v>
      </c>
      <c r="F1090" s="5">
        <v>105</v>
      </c>
      <c r="G1090" s="5">
        <v>249</v>
      </c>
      <c r="H1090" s="6">
        <f t="shared" si="80"/>
        <v>8.9999226767206646E-5</v>
      </c>
      <c r="I1090" s="6">
        <f t="shared" si="81"/>
        <v>0.49295774647887325</v>
      </c>
      <c r="J1090" s="6">
        <f t="shared" si="82"/>
        <v>0.75</v>
      </c>
      <c r="K1090" s="6">
        <f t="shared" si="83"/>
        <v>4.4365816012003275E-5</v>
      </c>
      <c r="L1090" s="6">
        <f t="shared" si="84"/>
        <v>6.7499420075404988E-5</v>
      </c>
    </row>
    <row r="1091" spans="1:12" ht="22.95" customHeight="1">
      <c r="A1091" s="5">
        <v>7</v>
      </c>
      <c r="B1091" s="7" t="s">
        <v>114</v>
      </c>
      <c r="C1091" s="7" t="s">
        <v>292</v>
      </c>
      <c r="D1091" s="5">
        <v>83</v>
      </c>
      <c r="E1091" s="5">
        <v>69</v>
      </c>
      <c r="F1091" s="5">
        <v>42</v>
      </c>
      <c r="G1091" s="5">
        <v>41</v>
      </c>
      <c r="H1091" s="6">
        <f t="shared" si="80"/>
        <v>3.5070121228535926E-5</v>
      </c>
      <c r="I1091" s="6">
        <f t="shared" si="81"/>
        <v>0.50602409638554213</v>
      </c>
      <c r="J1091" s="6">
        <f t="shared" si="82"/>
        <v>0.59420289855072461</v>
      </c>
      <c r="K1091" s="6">
        <f t="shared" si="83"/>
        <v>1.7746326404801312E-5</v>
      </c>
      <c r="L1091" s="6">
        <f t="shared" si="84"/>
        <v>2.0838767686521346E-5</v>
      </c>
    </row>
    <row r="1092" spans="1:12" ht="22.95" customHeight="1">
      <c r="A1092" s="5">
        <v>7</v>
      </c>
      <c r="B1092" s="7" t="s">
        <v>249</v>
      </c>
      <c r="C1092" s="7" t="s">
        <v>291</v>
      </c>
      <c r="D1092" s="5">
        <v>8</v>
      </c>
      <c r="E1092" s="5">
        <v>6</v>
      </c>
      <c r="F1092" s="5">
        <v>5</v>
      </c>
      <c r="G1092" s="5">
        <v>5</v>
      </c>
      <c r="H1092" s="6">
        <f t="shared" si="80"/>
        <v>3.3802526485335831E-6</v>
      </c>
      <c r="I1092" s="6">
        <f t="shared" si="81"/>
        <v>0.625</v>
      </c>
      <c r="J1092" s="6">
        <f t="shared" si="82"/>
        <v>0.83333333333333337</v>
      </c>
      <c r="K1092" s="6">
        <f t="shared" si="83"/>
        <v>2.1126579053334894E-6</v>
      </c>
      <c r="L1092" s="6">
        <f t="shared" si="84"/>
        <v>2.8168772071113193E-6</v>
      </c>
    </row>
    <row r="1093" spans="1:12" ht="22.95" customHeight="1">
      <c r="A1093" s="5">
        <v>7</v>
      </c>
      <c r="B1093" s="7" t="s">
        <v>209</v>
      </c>
      <c r="C1093" s="7" t="s">
        <v>291</v>
      </c>
      <c r="D1093" s="5">
        <v>7</v>
      </c>
      <c r="E1093" s="5">
        <v>6</v>
      </c>
      <c r="F1093" s="5">
        <v>0</v>
      </c>
      <c r="G1093" s="5">
        <v>3</v>
      </c>
      <c r="H1093" s="6">
        <f t="shared" si="80"/>
        <v>2.9577210674668854E-6</v>
      </c>
      <c r="I1093" s="6">
        <f t="shared" si="81"/>
        <v>0</v>
      </c>
      <c r="J1093" s="6">
        <f t="shared" si="82"/>
        <v>0.5</v>
      </c>
      <c r="K1093" s="6">
        <f t="shared" si="83"/>
        <v>0</v>
      </c>
      <c r="L1093" s="6">
        <f t="shared" si="84"/>
        <v>1.4788605337334427E-6</v>
      </c>
    </row>
    <row r="1094" spans="1:12" ht="22.95" customHeight="1">
      <c r="A1094" s="5">
        <v>7</v>
      </c>
      <c r="B1094" s="7" t="s">
        <v>272</v>
      </c>
      <c r="C1094" s="7" t="s">
        <v>304</v>
      </c>
      <c r="D1094" s="5">
        <v>4596</v>
      </c>
      <c r="E1094" s="5">
        <v>2226</v>
      </c>
      <c r="F1094" s="5">
        <v>1451</v>
      </c>
      <c r="G1094" s="5">
        <v>992</v>
      </c>
      <c r="H1094" s="6">
        <f t="shared" si="80"/>
        <v>1.9419551465825434E-3</v>
      </c>
      <c r="I1094" s="6">
        <f t="shared" si="81"/>
        <v>0.31570931244560485</v>
      </c>
      <c r="J1094" s="6">
        <f t="shared" si="82"/>
        <v>0.44564240790655885</v>
      </c>
      <c r="K1094" s="6">
        <f t="shared" si="83"/>
        <v>6.1309332412777854E-4</v>
      </c>
      <c r="L1094" s="6">
        <f t="shared" si="84"/>
        <v>8.6541756756957906E-4</v>
      </c>
    </row>
    <row r="1095" spans="1:12" ht="22.95" customHeight="1">
      <c r="A1095" s="5">
        <v>7</v>
      </c>
      <c r="B1095" s="7" t="s">
        <v>253</v>
      </c>
      <c r="C1095" s="7" t="s">
        <v>303</v>
      </c>
      <c r="D1095" s="5">
        <v>78</v>
      </c>
      <c r="E1095" s="5">
        <v>61</v>
      </c>
      <c r="F1095" s="5">
        <v>48</v>
      </c>
      <c r="G1095" s="5">
        <v>47</v>
      </c>
      <c r="H1095" s="6">
        <f t="shared" si="80"/>
        <v>3.2957463323202432E-5</v>
      </c>
      <c r="I1095" s="6">
        <f t="shared" si="81"/>
        <v>0.61538461538461542</v>
      </c>
      <c r="J1095" s="6">
        <f t="shared" si="82"/>
        <v>0.77049180327868849</v>
      </c>
      <c r="K1095" s="6">
        <f t="shared" si="83"/>
        <v>2.0281515891201497E-5</v>
      </c>
      <c r="L1095" s="6">
        <f t="shared" si="84"/>
        <v>2.5393455347385481E-5</v>
      </c>
    </row>
    <row r="1096" spans="1:12" ht="22.95" customHeight="1">
      <c r="A1096" s="5">
        <v>7</v>
      </c>
      <c r="B1096" s="7" t="s">
        <v>241</v>
      </c>
      <c r="C1096" s="7" t="s">
        <v>303</v>
      </c>
      <c r="D1096" s="5">
        <v>10</v>
      </c>
      <c r="E1096" s="5">
        <v>11</v>
      </c>
      <c r="F1096" s="5">
        <v>8</v>
      </c>
      <c r="G1096" s="5">
        <v>8</v>
      </c>
      <c r="H1096" s="6">
        <f t="shared" si="80"/>
        <v>4.2253158106669787E-6</v>
      </c>
      <c r="I1096" s="6">
        <f t="shared" si="81"/>
        <v>0.8</v>
      </c>
      <c r="J1096" s="6">
        <f t="shared" si="82"/>
        <v>0.72727272727272729</v>
      </c>
      <c r="K1096" s="6">
        <f t="shared" si="83"/>
        <v>3.3802526485335831E-6</v>
      </c>
      <c r="L1096" s="6">
        <f t="shared" si="84"/>
        <v>3.0729569532123483E-6</v>
      </c>
    </row>
    <row r="1097" spans="1:12" ht="22.95" customHeight="1">
      <c r="A1097" s="5">
        <v>7</v>
      </c>
      <c r="B1097" s="7" t="s">
        <v>271</v>
      </c>
      <c r="C1097" s="7" t="s">
        <v>292</v>
      </c>
      <c r="D1097" s="5">
        <v>4305</v>
      </c>
      <c r="E1097" s="5">
        <v>4048</v>
      </c>
      <c r="F1097" s="5">
        <v>1167</v>
      </c>
      <c r="G1097" s="5">
        <v>1330</v>
      </c>
      <c r="H1097" s="6">
        <f t="shared" si="80"/>
        <v>1.8189984564921343E-3</v>
      </c>
      <c r="I1097" s="6">
        <f t="shared" si="81"/>
        <v>0.27108013937282233</v>
      </c>
      <c r="J1097" s="6">
        <f t="shared" si="82"/>
        <v>0.32855731225296442</v>
      </c>
      <c r="K1097" s="6">
        <f t="shared" si="83"/>
        <v>4.9309435510483651E-4</v>
      </c>
      <c r="L1097" s="6">
        <f t="shared" si="84"/>
        <v>5.9764524385734648E-4</v>
      </c>
    </row>
    <row r="1098" spans="1:12" ht="22.95" customHeight="1">
      <c r="A1098" s="5">
        <v>7</v>
      </c>
      <c r="B1098" s="7" t="s">
        <v>261</v>
      </c>
      <c r="C1098" s="7" t="s">
        <v>295</v>
      </c>
      <c r="D1098" s="5">
        <v>7305</v>
      </c>
      <c r="E1098" s="5">
        <v>6923</v>
      </c>
      <c r="F1098" s="5">
        <v>5952</v>
      </c>
      <c r="G1098" s="5">
        <v>6391</v>
      </c>
      <c r="H1098" s="6">
        <f t="shared" si="80"/>
        <v>3.0865931996922279E-3</v>
      </c>
      <c r="I1098" s="6">
        <f t="shared" si="81"/>
        <v>0.8147843942505133</v>
      </c>
      <c r="J1098" s="6">
        <f t="shared" si="82"/>
        <v>0.92315470171890801</v>
      </c>
      <c r="K1098" s="6">
        <f t="shared" si="83"/>
        <v>2.5149079705089855E-3</v>
      </c>
      <c r="L1098" s="6">
        <f t="shared" si="84"/>
        <v>2.8494030245894884E-3</v>
      </c>
    </row>
    <row r="1099" spans="1:12" ht="22.95" customHeight="1">
      <c r="A1099" s="5">
        <v>7</v>
      </c>
      <c r="B1099" s="7" t="s">
        <v>88</v>
      </c>
      <c r="C1099" s="7" t="s">
        <v>295</v>
      </c>
      <c r="D1099" s="5">
        <v>47001</v>
      </c>
      <c r="E1099" s="5">
        <v>49082</v>
      </c>
      <c r="F1099" s="5">
        <v>18028</v>
      </c>
      <c r="G1099" s="5">
        <v>23435</v>
      </c>
      <c r="H1099" s="6">
        <f t="shared" si="80"/>
        <v>1.9859406841715867E-2</v>
      </c>
      <c r="I1099" s="6">
        <f t="shared" si="81"/>
        <v>0.38356630709984896</v>
      </c>
      <c r="J1099" s="6">
        <f t="shared" si="82"/>
        <v>0.47746628091764803</v>
      </c>
      <c r="K1099" s="6">
        <f t="shared" si="83"/>
        <v>7.6173993434704296E-3</v>
      </c>
      <c r="L1099" s="6">
        <f t="shared" si="84"/>
        <v>9.4821971259445685E-3</v>
      </c>
    </row>
    <row r="1100" spans="1:12" ht="22.95" customHeight="1">
      <c r="A1100" s="5">
        <v>7</v>
      </c>
      <c r="B1100" s="7" t="s">
        <v>153</v>
      </c>
      <c r="C1100" s="7" t="s">
        <v>292</v>
      </c>
      <c r="D1100" s="5">
        <v>366</v>
      </c>
      <c r="E1100" s="5">
        <v>499</v>
      </c>
      <c r="F1100" s="5">
        <v>337</v>
      </c>
      <c r="G1100" s="5">
        <v>479</v>
      </c>
      <c r="H1100" s="6">
        <f t="shared" si="80"/>
        <v>1.5464655867041143E-4</v>
      </c>
      <c r="I1100" s="6">
        <f t="shared" si="81"/>
        <v>0.92076502732240439</v>
      </c>
      <c r="J1100" s="6">
        <f t="shared" si="82"/>
        <v>0.95991983967935868</v>
      </c>
      <c r="K1100" s="6">
        <f t="shared" si="83"/>
        <v>1.4239314281947718E-4</v>
      </c>
      <c r="L1100" s="6">
        <f t="shared" si="84"/>
        <v>1.4844829980586587E-4</v>
      </c>
    </row>
    <row r="1101" spans="1:12" ht="22.95" customHeight="1">
      <c r="A1101" s="5">
        <v>7</v>
      </c>
      <c r="B1101" s="7" t="s">
        <v>137</v>
      </c>
      <c r="C1101" s="7" t="s">
        <v>293</v>
      </c>
      <c r="D1101" s="5">
        <v>590</v>
      </c>
      <c r="E1101" s="5">
        <v>701</v>
      </c>
      <c r="F1101" s="5">
        <v>131</v>
      </c>
      <c r="G1101" s="5">
        <v>149</v>
      </c>
      <c r="H1101" s="6">
        <f t="shared" si="80"/>
        <v>2.4929363282935173E-4</v>
      </c>
      <c r="I1101" s="6">
        <f t="shared" si="81"/>
        <v>0.22203389830508474</v>
      </c>
      <c r="J1101" s="6">
        <f t="shared" si="82"/>
        <v>0.21255349500713266</v>
      </c>
      <c r="K1101" s="6">
        <f t="shared" si="83"/>
        <v>5.5351637119737419E-5</v>
      </c>
      <c r="L1101" s="6">
        <f t="shared" si="84"/>
        <v>5.2988232940903574E-5</v>
      </c>
    </row>
    <row r="1102" spans="1:12" ht="22.95" customHeight="1">
      <c r="A1102" s="5">
        <v>7</v>
      </c>
      <c r="B1102" s="7" t="s">
        <v>119</v>
      </c>
      <c r="C1102" s="7" t="s">
        <v>303</v>
      </c>
      <c r="D1102" s="5">
        <v>820</v>
      </c>
      <c r="E1102" s="5">
        <v>1095</v>
      </c>
      <c r="F1102" s="5">
        <v>306</v>
      </c>
      <c r="G1102" s="5">
        <v>442</v>
      </c>
      <c r="H1102" s="6">
        <f t="shared" si="80"/>
        <v>3.4647589647469228E-4</v>
      </c>
      <c r="I1102" s="6">
        <f t="shared" si="81"/>
        <v>0.37317073170731707</v>
      </c>
      <c r="J1102" s="6">
        <f t="shared" si="82"/>
        <v>0.40365296803652967</v>
      </c>
      <c r="K1102" s="6">
        <f t="shared" si="83"/>
        <v>1.2929466380640956E-4</v>
      </c>
      <c r="L1102" s="6">
        <f t="shared" si="84"/>
        <v>1.3985602396512692E-4</v>
      </c>
    </row>
    <row r="1103" spans="1:12" ht="22.95" customHeight="1">
      <c r="A1103" s="5">
        <v>7</v>
      </c>
      <c r="B1103" s="7" t="s">
        <v>159</v>
      </c>
      <c r="C1103" s="7" t="s">
        <v>303</v>
      </c>
      <c r="D1103" s="5">
        <v>52</v>
      </c>
      <c r="E1103" s="5">
        <v>80</v>
      </c>
      <c r="F1103" s="5">
        <v>15</v>
      </c>
      <c r="G1103" s="5">
        <v>41</v>
      </c>
      <c r="H1103" s="6">
        <f t="shared" si="80"/>
        <v>2.1971642215468288E-5</v>
      </c>
      <c r="I1103" s="6">
        <f t="shared" si="81"/>
        <v>0.28846153846153844</v>
      </c>
      <c r="J1103" s="6">
        <f t="shared" si="82"/>
        <v>0.51249999999999996</v>
      </c>
      <c r="K1103" s="6">
        <f t="shared" si="83"/>
        <v>6.3379737160004668E-6</v>
      </c>
      <c r="L1103" s="6">
        <f t="shared" si="84"/>
        <v>1.1260466635427497E-5</v>
      </c>
    </row>
    <row r="1104" spans="1:12" ht="22.95" customHeight="1">
      <c r="A1104" s="5">
        <v>7</v>
      </c>
      <c r="B1104" s="7" t="s">
        <v>145</v>
      </c>
      <c r="C1104" s="7" t="s">
        <v>294</v>
      </c>
      <c r="D1104" s="5">
        <v>89</v>
      </c>
      <c r="E1104" s="5">
        <v>138</v>
      </c>
      <c r="F1104" s="5">
        <v>38</v>
      </c>
      <c r="G1104" s="5">
        <v>81</v>
      </c>
      <c r="H1104" s="6">
        <f t="shared" si="80"/>
        <v>3.7605310714936111E-5</v>
      </c>
      <c r="I1104" s="6">
        <f t="shared" si="81"/>
        <v>0.42696629213483145</v>
      </c>
      <c r="J1104" s="6">
        <f t="shared" si="82"/>
        <v>0.58695652173913049</v>
      </c>
      <c r="K1104" s="6">
        <f t="shared" si="83"/>
        <v>1.6056200080534518E-5</v>
      </c>
      <c r="L1104" s="6">
        <f t="shared" si="84"/>
        <v>2.2072682376158154E-5</v>
      </c>
    </row>
    <row r="1105" spans="1:12" ht="22.95" customHeight="1">
      <c r="A1105" s="5">
        <v>7</v>
      </c>
      <c r="B1105" s="7" t="s">
        <v>232</v>
      </c>
      <c r="C1105" s="7" t="s">
        <v>292</v>
      </c>
      <c r="D1105" s="5">
        <v>7</v>
      </c>
      <c r="E1105" s="5">
        <v>5</v>
      </c>
      <c r="F1105" s="5">
        <v>6</v>
      </c>
      <c r="G1105" s="5">
        <v>4</v>
      </c>
      <c r="H1105" s="6">
        <f t="shared" si="80"/>
        <v>2.9577210674668854E-6</v>
      </c>
      <c r="I1105" s="6">
        <f t="shared" si="81"/>
        <v>0.8571428571428571</v>
      </c>
      <c r="J1105" s="6">
        <f t="shared" si="82"/>
        <v>0.8</v>
      </c>
      <c r="K1105" s="6">
        <f t="shared" si="83"/>
        <v>2.5351894864001871E-6</v>
      </c>
      <c r="L1105" s="6">
        <f t="shared" si="84"/>
        <v>2.3661768539735086E-6</v>
      </c>
    </row>
    <row r="1106" spans="1:12" ht="22.95" customHeight="1">
      <c r="A1106" s="5">
        <v>7</v>
      </c>
      <c r="B1106" s="7" t="s">
        <v>174</v>
      </c>
      <c r="C1106" s="7" t="s">
        <v>296</v>
      </c>
      <c r="D1106" s="5">
        <v>54</v>
      </c>
      <c r="E1106" s="5">
        <v>54</v>
      </c>
      <c r="F1106" s="5">
        <v>0</v>
      </c>
      <c r="G1106" s="5">
        <v>0</v>
      </c>
      <c r="H1106" s="6">
        <f t="shared" si="80"/>
        <v>2.2816705377601686E-5</v>
      </c>
      <c r="I1106" s="6">
        <f t="shared" si="81"/>
        <v>0</v>
      </c>
      <c r="J1106" s="6">
        <f t="shared" si="82"/>
        <v>0</v>
      </c>
      <c r="K1106" s="6">
        <f t="shared" si="83"/>
        <v>0</v>
      </c>
      <c r="L1106" s="6">
        <f t="shared" si="84"/>
        <v>0</v>
      </c>
    </row>
    <row r="1107" spans="1:12" ht="22.95" customHeight="1">
      <c r="A1107" s="5">
        <v>7</v>
      </c>
      <c r="B1107" s="7" t="s">
        <v>273</v>
      </c>
      <c r="C1107" s="7" t="s">
        <v>294</v>
      </c>
      <c r="D1107" s="5">
        <v>1486</v>
      </c>
      <c r="E1107" s="5">
        <v>1248</v>
      </c>
      <c r="F1107" s="5">
        <v>1219</v>
      </c>
      <c r="G1107" s="5">
        <v>1064</v>
      </c>
      <c r="H1107" s="6">
        <f t="shared" si="80"/>
        <v>6.27881929465113E-4</v>
      </c>
      <c r="I1107" s="6">
        <f t="shared" si="81"/>
        <v>0.82032301480484526</v>
      </c>
      <c r="J1107" s="6">
        <f t="shared" si="82"/>
        <v>0.85256410256410253</v>
      </c>
      <c r="K1107" s="6">
        <f t="shared" si="83"/>
        <v>5.1506599732030467E-4</v>
      </c>
      <c r="L1107" s="6">
        <f t="shared" si="84"/>
        <v>5.3530959371064118E-4</v>
      </c>
    </row>
    <row r="1108" spans="1:12" ht="22.95" customHeight="1">
      <c r="A1108" s="5">
        <v>7</v>
      </c>
      <c r="B1108" s="7" t="s">
        <v>236</v>
      </c>
      <c r="C1108" s="7" t="s">
        <v>303</v>
      </c>
      <c r="D1108" s="5">
        <v>8</v>
      </c>
      <c r="E1108" s="5">
        <v>7</v>
      </c>
      <c r="F1108" s="5">
        <v>7</v>
      </c>
      <c r="G1108" s="5">
        <v>4</v>
      </c>
      <c r="H1108" s="6">
        <f t="shared" si="80"/>
        <v>3.3802526485335831E-6</v>
      </c>
      <c r="I1108" s="6">
        <f t="shared" si="81"/>
        <v>0.875</v>
      </c>
      <c r="J1108" s="6">
        <f t="shared" si="82"/>
        <v>0.5714285714285714</v>
      </c>
      <c r="K1108" s="6">
        <f t="shared" si="83"/>
        <v>2.9577210674668854E-6</v>
      </c>
      <c r="L1108" s="6">
        <f t="shared" si="84"/>
        <v>1.9315729420191901E-6</v>
      </c>
    </row>
    <row r="1109" spans="1:12" ht="22.95" customHeight="1">
      <c r="A1109" s="5">
        <v>7</v>
      </c>
      <c r="B1109" s="7" t="s">
        <v>176</v>
      </c>
      <c r="C1109" s="7" t="s">
        <v>301</v>
      </c>
      <c r="D1109" s="5">
        <v>20</v>
      </c>
      <c r="E1109" s="5">
        <v>36</v>
      </c>
      <c r="F1109" s="5">
        <v>5</v>
      </c>
      <c r="G1109" s="5">
        <v>14</v>
      </c>
      <c r="H1109" s="6">
        <f t="shared" si="80"/>
        <v>8.4506316213339574E-6</v>
      </c>
      <c r="I1109" s="6">
        <f t="shared" si="81"/>
        <v>0.25</v>
      </c>
      <c r="J1109" s="6">
        <f t="shared" si="82"/>
        <v>0.3888888888888889</v>
      </c>
      <c r="K1109" s="6">
        <f t="shared" si="83"/>
        <v>2.1126579053334894E-6</v>
      </c>
      <c r="L1109" s="6">
        <f t="shared" si="84"/>
        <v>3.2863567416298724E-6</v>
      </c>
    </row>
    <row r="1110" spans="1:12" ht="22.95" customHeight="1">
      <c r="A1110" s="5">
        <v>7</v>
      </c>
      <c r="B1110" s="7" t="s">
        <v>169</v>
      </c>
      <c r="C1110" s="7" t="s">
        <v>292</v>
      </c>
      <c r="D1110" s="5">
        <v>173</v>
      </c>
      <c r="E1110" s="5">
        <v>148</v>
      </c>
      <c r="F1110" s="5">
        <v>114</v>
      </c>
      <c r="G1110" s="5">
        <v>108</v>
      </c>
      <c r="H1110" s="6">
        <f t="shared" si="80"/>
        <v>7.3097963524538728E-5</v>
      </c>
      <c r="I1110" s="6">
        <f t="shared" si="81"/>
        <v>0.65895953757225434</v>
      </c>
      <c r="J1110" s="6">
        <f t="shared" si="82"/>
        <v>0.72972972972972971</v>
      </c>
      <c r="K1110" s="6">
        <f t="shared" si="83"/>
        <v>4.8168600241603556E-5</v>
      </c>
      <c r="L1110" s="6">
        <f t="shared" si="84"/>
        <v>5.3341757166555287E-5</v>
      </c>
    </row>
    <row r="1111" spans="1:12" ht="22.95" customHeight="1">
      <c r="A1111" s="5">
        <v>7</v>
      </c>
      <c r="B1111" s="7" t="s">
        <v>234</v>
      </c>
      <c r="C1111" s="7" t="s">
        <v>292</v>
      </c>
      <c r="D1111" s="5">
        <v>470</v>
      </c>
      <c r="E1111" s="5">
        <v>434</v>
      </c>
      <c r="F1111" s="5">
        <v>326</v>
      </c>
      <c r="G1111" s="5">
        <v>280</v>
      </c>
      <c r="H1111" s="6">
        <f t="shared" si="80"/>
        <v>1.9858984310134801E-4</v>
      </c>
      <c r="I1111" s="6">
        <f t="shared" si="81"/>
        <v>0.69361702127659575</v>
      </c>
      <c r="J1111" s="6">
        <f t="shared" si="82"/>
        <v>0.64516129032258063</v>
      </c>
      <c r="K1111" s="6">
        <f t="shared" si="83"/>
        <v>1.3774529542774351E-4</v>
      </c>
      <c r="L1111" s="6">
        <f t="shared" si="84"/>
        <v>1.2812247942022451E-4</v>
      </c>
    </row>
    <row r="1112" spans="1:12" ht="22.95" customHeight="1">
      <c r="A1112" s="5">
        <v>7</v>
      </c>
      <c r="B1112" s="7" t="s">
        <v>141</v>
      </c>
      <c r="C1112" s="7" t="s">
        <v>298</v>
      </c>
      <c r="D1112" s="5">
        <v>503</v>
      </c>
      <c r="E1112" s="5">
        <v>540</v>
      </c>
      <c r="F1112" s="5">
        <v>80</v>
      </c>
      <c r="G1112" s="5">
        <v>152</v>
      </c>
      <c r="H1112" s="6">
        <f t="shared" si="80"/>
        <v>2.1253338527654902E-4</v>
      </c>
      <c r="I1112" s="6">
        <f t="shared" si="81"/>
        <v>0.15904572564612326</v>
      </c>
      <c r="J1112" s="6">
        <f t="shared" si="82"/>
        <v>0.2814814814814815</v>
      </c>
      <c r="K1112" s="6">
        <f t="shared" si="83"/>
        <v>3.380252648533583E-5</v>
      </c>
      <c r="L1112" s="6">
        <f t="shared" si="84"/>
        <v>5.9824212151917509E-5</v>
      </c>
    </row>
    <row r="1113" spans="1:12" ht="22.95" customHeight="1">
      <c r="A1113" s="5">
        <v>7</v>
      </c>
      <c r="B1113" s="7" t="s">
        <v>166</v>
      </c>
      <c r="C1113" s="7" t="s">
        <v>292</v>
      </c>
      <c r="D1113" s="5">
        <v>227</v>
      </c>
      <c r="E1113" s="5">
        <v>262</v>
      </c>
      <c r="F1113" s="5">
        <v>71</v>
      </c>
      <c r="G1113" s="5">
        <v>97</v>
      </c>
      <c r="H1113" s="6">
        <f t="shared" si="80"/>
        <v>9.5914668902140414E-5</v>
      </c>
      <c r="I1113" s="6">
        <f t="shared" si="81"/>
        <v>0.31277533039647576</v>
      </c>
      <c r="J1113" s="6">
        <f t="shared" si="82"/>
        <v>0.37022900763358779</v>
      </c>
      <c r="K1113" s="6">
        <f t="shared" si="83"/>
        <v>2.9999742255735545E-5</v>
      </c>
      <c r="L1113" s="6">
        <f t="shared" si="84"/>
        <v>3.5510392685143588E-5</v>
      </c>
    </row>
    <row r="1114" spans="1:12" ht="22.95" customHeight="1">
      <c r="A1114" s="5">
        <v>7</v>
      </c>
      <c r="B1114" s="7" t="s">
        <v>104</v>
      </c>
      <c r="C1114" s="7" t="s">
        <v>293</v>
      </c>
      <c r="D1114" s="5">
        <v>3582</v>
      </c>
      <c r="E1114" s="5">
        <v>3482</v>
      </c>
      <c r="F1114" s="5">
        <v>1163</v>
      </c>
      <c r="G1114" s="5">
        <v>1817</v>
      </c>
      <c r="H1114" s="6">
        <f t="shared" si="80"/>
        <v>1.5135081233809118E-3</v>
      </c>
      <c r="I1114" s="6">
        <f t="shared" si="81"/>
        <v>0.32467895030709099</v>
      </c>
      <c r="J1114" s="6">
        <f t="shared" si="82"/>
        <v>0.52182653647329125</v>
      </c>
      <c r="K1114" s="6">
        <f t="shared" si="83"/>
        <v>4.9140422878056955E-4</v>
      </c>
      <c r="L1114" s="6">
        <f t="shared" si="84"/>
        <v>7.8978870194805202E-4</v>
      </c>
    </row>
    <row r="1115" spans="1:12" ht="22.95" customHeight="1">
      <c r="A1115" s="5">
        <v>7</v>
      </c>
      <c r="B1115" s="7" t="s">
        <v>282</v>
      </c>
      <c r="C1115" s="7" t="s">
        <v>292</v>
      </c>
      <c r="D1115" s="5">
        <v>4199</v>
      </c>
      <c r="E1115" s="5">
        <v>3837</v>
      </c>
      <c r="F1115" s="5">
        <v>3204</v>
      </c>
      <c r="G1115" s="5">
        <v>3358</v>
      </c>
      <c r="H1115" s="6">
        <f t="shared" si="80"/>
        <v>1.7742101088990645E-3</v>
      </c>
      <c r="I1115" s="6">
        <f t="shared" si="81"/>
        <v>0.76303881876637292</v>
      </c>
      <c r="J1115" s="6">
        <f t="shared" si="82"/>
        <v>0.87516288767266093</v>
      </c>
      <c r="K1115" s="6">
        <f t="shared" si="83"/>
        <v>1.3537911857377E-3</v>
      </c>
      <c r="L1115" s="6">
        <f t="shared" si="84"/>
        <v>1.5527228422421314E-3</v>
      </c>
    </row>
    <row r="1116" spans="1:12" ht="22.95" customHeight="1">
      <c r="A1116" s="5">
        <v>7</v>
      </c>
      <c r="B1116" s="7" t="s">
        <v>270</v>
      </c>
      <c r="C1116" s="7" t="s">
        <v>303</v>
      </c>
      <c r="D1116" s="5">
        <v>629</v>
      </c>
      <c r="E1116" s="5">
        <v>273</v>
      </c>
      <c r="F1116" s="5">
        <v>125</v>
      </c>
      <c r="G1116" s="5">
        <v>56</v>
      </c>
      <c r="H1116" s="6">
        <f t="shared" si="80"/>
        <v>2.6577236449095294E-4</v>
      </c>
      <c r="I1116" s="6">
        <f t="shared" si="81"/>
        <v>0.1987281399046105</v>
      </c>
      <c r="J1116" s="6">
        <f t="shared" si="82"/>
        <v>0.20512820512820512</v>
      </c>
      <c r="K1116" s="6">
        <f t="shared" si="83"/>
        <v>5.2816447633337228E-5</v>
      </c>
      <c r="L1116" s="6">
        <f t="shared" si="84"/>
        <v>5.451740810070829E-5</v>
      </c>
    </row>
    <row r="1117" spans="1:12" ht="22.95" customHeight="1">
      <c r="A1117" s="5">
        <v>7</v>
      </c>
      <c r="B1117" s="7" t="s">
        <v>250</v>
      </c>
      <c r="C1117" s="7" t="s">
        <v>303</v>
      </c>
      <c r="D1117" s="5">
        <v>51</v>
      </c>
      <c r="E1117" s="5">
        <v>28</v>
      </c>
      <c r="F1117" s="5">
        <v>31</v>
      </c>
      <c r="G1117" s="5">
        <v>20</v>
      </c>
      <c r="H1117" s="6">
        <f t="shared" si="80"/>
        <v>2.1549110634401593E-5</v>
      </c>
      <c r="I1117" s="6">
        <f t="shared" si="81"/>
        <v>0.60784313725490191</v>
      </c>
      <c r="J1117" s="6">
        <f t="shared" si="82"/>
        <v>0.7142857142857143</v>
      </c>
      <c r="K1117" s="6">
        <f t="shared" si="83"/>
        <v>1.3098479013067634E-5</v>
      </c>
      <c r="L1117" s="6">
        <f t="shared" si="84"/>
        <v>1.5392221881715425E-5</v>
      </c>
    </row>
    <row r="1118" spans="1:12" ht="22.95" customHeight="1">
      <c r="A1118" s="5">
        <v>7</v>
      </c>
      <c r="B1118" s="7" t="s">
        <v>156</v>
      </c>
      <c r="C1118" s="7" t="s">
        <v>303</v>
      </c>
      <c r="D1118" s="5">
        <v>97</v>
      </c>
      <c r="E1118" s="5">
        <v>107</v>
      </c>
      <c r="F1118" s="5">
        <v>50</v>
      </c>
      <c r="G1118" s="5">
        <v>45</v>
      </c>
      <c r="H1118" s="6">
        <f t="shared" ref="H1118:H1181" si="85">D1118/$B$16</f>
        <v>4.0985563363469693E-5</v>
      </c>
      <c r="I1118" s="6">
        <f t="shared" ref="I1118:I1181" si="86">F1118/D1118</f>
        <v>0.51546391752577314</v>
      </c>
      <c r="J1118" s="6">
        <f t="shared" ref="J1118:J1181" si="87">G1118/E1118</f>
        <v>0.42056074766355139</v>
      </c>
      <c r="K1118" s="6">
        <f t="shared" ref="K1118:K1181" si="88">H1118*I1118</f>
        <v>2.1126579053334891E-5</v>
      </c>
      <c r="L1118" s="6">
        <f t="shared" ref="L1118:L1181" si="89">H1118*J1118</f>
        <v>1.7236919171552676E-5</v>
      </c>
    </row>
    <row r="1119" spans="1:12" ht="22.95" customHeight="1">
      <c r="A1119" s="5">
        <v>7</v>
      </c>
      <c r="B1119" s="7" t="s">
        <v>182</v>
      </c>
      <c r="C1119" s="7" t="s">
        <v>291</v>
      </c>
      <c r="D1119" s="5">
        <v>4</v>
      </c>
      <c r="E1119" s="5">
        <v>7</v>
      </c>
      <c r="F1119" s="5">
        <v>2</v>
      </c>
      <c r="G1119" s="5">
        <v>1</v>
      </c>
      <c r="H1119" s="6">
        <f t="shared" si="85"/>
        <v>1.6901263242667916E-6</v>
      </c>
      <c r="I1119" s="6">
        <f t="shared" si="86"/>
        <v>0.5</v>
      </c>
      <c r="J1119" s="6">
        <f t="shared" si="87"/>
        <v>0.14285714285714285</v>
      </c>
      <c r="K1119" s="6">
        <f t="shared" si="88"/>
        <v>8.4506316213339578E-7</v>
      </c>
      <c r="L1119" s="6">
        <f t="shared" si="89"/>
        <v>2.4144661775239877E-7</v>
      </c>
    </row>
    <row r="1120" spans="1:12" ht="22.95" customHeight="1">
      <c r="A1120" s="5">
        <v>7</v>
      </c>
      <c r="B1120" s="7" t="s">
        <v>245</v>
      </c>
      <c r="C1120" s="7" t="s">
        <v>293</v>
      </c>
      <c r="D1120" s="5">
        <v>69</v>
      </c>
      <c r="E1120" s="5">
        <v>45</v>
      </c>
      <c r="F1120" s="5">
        <v>34</v>
      </c>
      <c r="G1120" s="5">
        <v>21</v>
      </c>
      <c r="H1120" s="6">
        <f t="shared" si="85"/>
        <v>2.9154679093602155E-5</v>
      </c>
      <c r="I1120" s="6">
        <f t="shared" si="86"/>
        <v>0.49275362318840582</v>
      </c>
      <c r="J1120" s="6">
        <f t="shared" si="87"/>
        <v>0.46666666666666667</v>
      </c>
      <c r="K1120" s="6">
        <f t="shared" si="88"/>
        <v>1.436607375626773E-5</v>
      </c>
      <c r="L1120" s="6">
        <f t="shared" si="89"/>
        <v>1.3605516910347673E-5</v>
      </c>
    </row>
    <row r="1121" spans="1:12" ht="22.95" customHeight="1">
      <c r="A1121" s="5">
        <v>7</v>
      </c>
      <c r="B1121" s="7" t="s">
        <v>108</v>
      </c>
      <c r="C1121" s="7" t="s">
        <v>294</v>
      </c>
      <c r="D1121" s="5">
        <v>3604</v>
      </c>
      <c r="E1121" s="5">
        <v>4203</v>
      </c>
      <c r="F1121" s="5">
        <v>2997</v>
      </c>
      <c r="G1121" s="5">
        <v>3495</v>
      </c>
      <c r="H1121" s="6">
        <f t="shared" si="85"/>
        <v>1.5228038181643792E-3</v>
      </c>
      <c r="I1121" s="6">
        <f t="shared" si="86"/>
        <v>0.83157602663706998</v>
      </c>
      <c r="J1121" s="6">
        <f t="shared" si="87"/>
        <v>0.8315488936473947</v>
      </c>
      <c r="K1121" s="6">
        <f t="shared" si="88"/>
        <v>1.2663271484568937E-3</v>
      </c>
      <c r="L1121" s="6">
        <f t="shared" si="89"/>
        <v>1.266285830236618E-3</v>
      </c>
    </row>
    <row r="1122" spans="1:12" ht="22.95" customHeight="1">
      <c r="A1122" s="5">
        <v>7</v>
      </c>
      <c r="B1122" s="7" t="s">
        <v>276</v>
      </c>
      <c r="C1122" s="7" t="s">
        <v>295</v>
      </c>
      <c r="D1122" s="5">
        <v>3978</v>
      </c>
      <c r="E1122" s="5">
        <v>4363</v>
      </c>
      <c r="F1122" s="5">
        <v>1972</v>
      </c>
      <c r="G1122" s="5">
        <v>1828</v>
      </c>
      <c r="H1122" s="6">
        <f t="shared" si="85"/>
        <v>1.6808306294833241E-3</v>
      </c>
      <c r="I1122" s="6">
        <f t="shared" si="86"/>
        <v>0.49572649572649574</v>
      </c>
      <c r="J1122" s="6">
        <f t="shared" si="87"/>
        <v>0.41897776759110705</v>
      </c>
      <c r="K1122" s="6">
        <f t="shared" si="88"/>
        <v>8.3323227786352824E-4</v>
      </c>
      <c r="L1122" s="6">
        <f t="shared" si="89"/>
        <v>7.0423066483967834E-4</v>
      </c>
    </row>
    <row r="1123" spans="1:12" ht="22.95" customHeight="1">
      <c r="A1123" s="5">
        <v>7</v>
      </c>
      <c r="B1123" s="7" t="s">
        <v>281</v>
      </c>
      <c r="C1123" s="7" t="s">
        <v>305</v>
      </c>
      <c r="D1123" s="5">
        <v>1324</v>
      </c>
      <c r="E1123" s="5">
        <v>296</v>
      </c>
      <c r="F1123" s="5">
        <v>1313</v>
      </c>
      <c r="G1123" s="5">
        <v>282</v>
      </c>
      <c r="H1123" s="6">
        <f t="shared" si="85"/>
        <v>5.5943181333230796E-4</v>
      </c>
      <c r="I1123" s="6">
        <f t="shared" si="86"/>
        <v>0.9916918429003021</v>
      </c>
      <c r="J1123" s="6">
        <f t="shared" si="87"/>
        <v>0.95270270270270274</v>
      </c>
      <c r="K1123" s="6">
        <f t="shared" si="88"/>
        <v>5.5478396594057426E-4</v>
      </c>
      <c r="L1123" s="6">
        <f t="shared" si="89"/>
        <v>5.3297220053956373E-4</v>
      </c>
    </row>
    <row r="1124" spans="1:12" ht="22.95" customHeight="1">
      <c r="A1124" s="5">
        <v>7</v>
      </c>
      <c r="B1124" s="7" t="s">
        <v>207</v>
      </c>
      <c r="C1124" s="7" t="s">
        <v>295</v>
      </c>
      <c r="D1124" s="5">
        <v>297</v>
      </c>
      <c r="E1124" s="5">
        <v>149</v>
      </c>
      <c r="F1124" s="5">
        <v>292</v>
      </c>
      <c r="G1124" s="5">
        <v>142</v>
      </c>
      <c r="H1124" s="6">
        <f t="shared" si="85"/>
        <v>1.2549187957680926E-4</v>
      </c>
      <c r="I1124" s="6">
        <f t="shared" si="86"/>
        <v>0.98316498316498313</v>
      </c>
      <c r="J1124" s="6">
        <f t="shared" si="87"/>
        <v>0.95302013422818788</v>
      </c>
      <c r="K1124" s="6">
        <f t="shared" si="88"/>
        <v>1.2337922167147576E-4</v>
      </c>
      <c r="L1124" s="6">
        <f t="shared" si="89"/>
        <v>1.1959628791883836E-4</v>
      </c>
    </row>
    <row r="1125" spans="1:12" ht="22.95" customHeight="1">
      <c r="A1125" s="5">
        <v>7</v>
      </c>
      <c r="B1125" s="7" t="s">
        <v>269</v>
      </c>
      <c r="C1125" s="7" t="s">
        <v>295</v>
      </c>
      <c r="D1125" s="5">
        <v>1239</v>
      </c>
      <c r="E1125" s="5">
        <v>934</v>
      </c>
      <c r="F1125" s="5">
        <v>1075</v>
      </c>
      <c r="G1125" s="5">
        <v>777</v>
      </c>
      <c r="H1125" s="6">
        <f t="shared" si="85"/>
        <v>5.235166289416387E-4</v>
      </c>
      <c r="I1125" s="6">
        <f t="shared" si="86"/>
        <v>0.86763518966908793</v>
      </c>
      <c r="J1125" s="6">
        <f t="shared" si="87"/>
        <v>0.83190578158458239</v>
      </c>
      <c r="K1125" s="6">
        <f t="shared" si="88"/>
        <v>4.5422144964670023E-4</v>
      </c>
      <c r="L1125" s="6">
        <f t="shared" si="89"/>
        <v>4.3551651037221974E-4</v>
      </c>
    </row>
    <row r="1126" spans="1:12" ht="22.95" customHeight="1">
      <c r="A1126" s="5">
        <v>7</v>
      </c>
      <c r="B1126" s="7" t="s">
        <v>284</v>
      </c>
      <c r="C1126" s="7" t="s">
        <v>295</v>
      </c>
      <c r="D1126" s="5">
        <v>26659</v>
      </c>
      <c r="E1126" s="5">
        <v>29971</v>
      </c>
      <c r="F1126" s="5">
        <v>17295</v>
      </c>
      <c r="G1126" s="5">
        <v>20579</v>
      </c>
      <c r="H1126" s="6">
        <f t="shared" si="85"/>
        <v>1.1264269419657099E-2</v>
      </c>
      <c r="I1126" s="6">
        <f t="shared" si="86"/>
        <v>0.64874901534191076</v>
      </c>
      <c r="J1126" s="6">
        <f t="shared" si="87"/>
        <v>0.68663040939574926</v>
      </c>
      <c r="K1126" s="6">
        <f t="shared" si="88"/>
        <v>7.3076836945485399E-3</v>
      </c>
      <c r="L1126" s="6">
        <f t="shared" si="89"/>
        <v>7.734389923163173E-3</v>
      </c>
    </row>
    <row r="1127" spans="1:12" ht="22.95" customHeight="1">
      <c r="A1127" s="5">
        <v>7</v>
      </c>
      <c r="B1127" s="7" t="s">
        <v>117</v>
      </c>
      <c r="C1127" s="7" t="s">
        <v>295</v>
      </c>
      <c r="D1127" s="5">
        <v>23287</v>
      </c>
      <c r="E1127" s="5">
        <v>25405</v>
      </c>
      <c r="F1127" s="5">
        <v>11134</v>
      </c>
      <c r="G1127" s="5">
        <v>12977</v>
      </c>
      <c r="H1127" s="6">
        <f t="shared" si="85"/>
        <v>9.8394929283001937E-3</v>
      </c>
      <c r="I1127" s="6">
        <f t="shared" si="86"/>
        <v>0.4781208399536222</v>
      </c>
      <c r="J1127" s="6">
        <f t="shared" si="87"/>
        <v>0.5108049596536115</v>
      </c>
      <c r="K1127" s="6">
        <f t="shared" si="88"/>
        <v>4.7044666235966145E-3</v>
      </c>
      <c r="L1127" s="6">
        <f t="shared" si="89"/>
        <v>5.0260617882523758E-3</v>
      </c>
    </row>
    <row r="1128" spans="1:12" ht="22.95" customHeight="1">
      <c r="A1128" s="5">
        <v>7</v>
      </c>
      <c r="B1128" s="7" t="s">
        <v>99</v>
      </c>
      <c r="C1128" s="7" t="s">
        <v>295</v>
      </c>
      <c r="D1128" s="5">
        <v>3725</v>
      </c>
      <c r="E1128" s="5">
        <v>5088</v>
      </c>
      <c r="F1128" s="5">
        <v>1734</v>
      </c>
      <c r="G1128" s="5">
        <v>2897</v>
      </c>
      <c r="H1128" s="6">
        <f t="shared" si="85"/>
        <v>1.5739301394734496E-3</v>
      </c>
      <c r="I1128" s="6">
        <f t="shared" si="86"/>
        <v>0.46550335570469797</v>
      </c>
      <c r="J1128" s="6">
        <f t="shared" si="87"/>
        <v>0.56937893081761004</v>
      </c>
      <c r="K1128" s="6">
        <f t="shared" si="88"/>
        <v>7.3266976156965405E-4</v>
      </c>
      <c r="L1128" s="6">
        <f t="shared" si="89"/>
        <v>8.9616265999500455E-4</v>
      </c>
    </row>
    <row r="1129" spans="1:12" ht="22.95" customHeight="1">
      <c r="A1129" s="5">
        <v>7</v>
      </c>
      <c r="B1129" s="7" t="s">
        <v>181</v>
      </c>
      <c r="C1129" s="7" t="s">
        <v>295</v>
      </c>
      <c r="D1129" s="5">
        <v>2242</v>
      </c>
      <c r="E1129" s="5">
        <v>2069</v>
      </c>
      <c r="F1129" s="5">
        <v>1759</v>
      </c>
      <c r="G1129" s="5">
        <v>1683</v>
      </c>
      <c r="H1129" s="6">
        <f t="shared" si="85"/>
        <v>9.4731580475153668E-4</v>
      </c>
      <c r="I1129" s="6">
        <f t="shared" si="86"/>
        <v>0.7845673505798394</v>
      </c>
      <c r="J1129" s="6">
        <f t="shared" si="87"/>
        <v>0.81343644272595461</v>
      </c>
      <c r="K1129" s="6">
        <f t="shared" si="88"/>
        <v>7.4323305109632155E-4</v>
      </c>
      <c r="L1129" s="6">
        <f t="shared" si="89"/>
        <v>7.7058119835516498E-4</v>
      </c>
    </row>
    <row r="1130" spans="1:12" ht="22.95" customHeight="1">
      <c r="A1130" s="5">
        <v>7</v>
      </c>
      <c r="B1130" s="7" t="s">
        <v>152</v>
      </c>
      <c r="C1130" s="7" t="s">
        <v>290</v>
      </c>
      <c r="D1130" s="5">
        <v>84</v>
      </c>
      <c r="E1130" s="5">
        <v>117</v>
      </c>
      <c r="F1130" s="5">
        <v>39</v>
      </c>
      <c r="G1130" s="5">
        <v>70</v>
      </c>
      <c r="H1130" s="6">
        <f t="shared" si="85"/>
        <v>3.5492652809602624E-5</v>
      </c>
      <c r="I1130" s="6">
        <f t="shared" si="86"/>
        <v>0.4642857142857143</v>
      </c>
      <c r="J1130" s="6">
        <f t="shared" si="87"/>
        <v>0.59829059829059827</v>
      </c>
      <c r="K1130" s="6">
        <f t="shared" si="88"/>
        <v>1.647873166160122E-5</v>
      </c>
      <c r="L1130" s="6">
        <f t="shared" si="89"/>
        <v>2.1234920484377638E-5</v>
      </c>
    </row>
    <row r="1131" spans="1:12" ht="22.95" customHeight="1">
      <c r="A1131" s="5">
        <v>7</v>
      </c>
      <c r="B1131" s="7" t="s">
        <v>122</v>
      </c>
      <c r="C1131" s="7" t="s">
        <v>292</v>
      </c>
      <c r="D1131" s="5">
        <v>2359</v>
      </c>
      <c r="E1131" s="5">
        <v>2328</v>
      </c>
      <c r="F1131" s="5">
        <v>1463</v>
      </c>
      <c r="G1131" s="5">
        <v>1556</v>
      </c>
      <c r="H1131" s="6">
        <f t="shared" si="85"/>
        <v>9.967519997363403E-4</v>
      </c>
      <c r="I1131" s="6">
        <f t="shared" si="86"/>
        <v>0.62017804154302669</v>
      </c>
      <c r="J1131" s="6">
        <f t="shared" si="87"/>
        <v>0.66838487972508587</v>
      </c>
      <c r="K1131" s="6">
        <f t="shared" si="88"/>
        <v>6.1816370310057898E-4</v>
      </c>
      <c r="L1131" s="6">
        <f t="shared" si="89"/>
        <v>6.662139654595126E-4</v>
      </c>
    </row>
    <row r="1132" spans="1:12" ht="22.95" customHeight="1">
      <c r="A1132" s="5">
        <v>7</v>
      </c>
      <c r="B1132" s="7" t="s">
        <v>265</v>
      </c>
      <c r="C1132" s="7" t="s">
        <v>291</v>
      </c>
      <c r="D1132" s="5">
        <v>400</v>
      </c>
      <c r="E1132" s="5">
        <v>304</v>
      </c>
      <c r="F1132" s="5">
        <v>330</v>
      </c>
      <c r="G1132" s="5">
        <v>250</v>
      </c>
      <c r="H1132" s="6">
        <f t="shared" si="85"/>
        <v>1.6901263242667916E-4</v>
      </c>
      <c r="I1132" s="6">
        <f t="shared" si="86"/>
        <v>0.82499999999999996</v>
      </c>
      <c r="J1132" s="6">
        <f t="shared" si="87"/>
        <v>0.82236842105263153</v>
      </c>
      <c r="K1132" s="6">
        <f t="shared" si="88"/>
        <v>1.3943542175201031E-4</v>
      </c>
      <c r="L1132" s="6">
        <f t="shared" si="89"/>
        <v>1.3899065166667692E-4</v>
      </c>
    </row>
    <row r="1133" spans="1:12" ht="22.95" customHeight="1">
      <c r="A1133" s="5">
        <v>7</v>
      </c>
      <c r="B1133" s="7" t="s">
        <v>109</v>
      </c>
      <c r="C1133" s="7" t="s">
        <v>293</v>
      </c>
      <c r="D1133" s="5">
        <v>2758</v>
      </c>
      <c r="E1133" s="5">
        <v>3570</v>
      </c>
      <c r="F1133" s="5">
        <v>870</v>
      </c>
      <c r="G1133" s="5">
        <v>905</v>
      </c>
      <c r="H1133" s="6">
        <f t="shared" si="85"/>
        <v>1.1653421005819527E-3</v>
      </c>
      <c r="I1133" s="6">
        <f t="shared" si="86"/>
        <v>0.31544597534445251</v>
      </c>
      <c r="J1133" s="6">
        <f t="shared" si="87"/>
        <v>0.25350140056022408</v>
      </c>
      <c r="K1133" s="6">
        <f t="shared" si="88"/>
        <v>3.6760247552802713E-4</v>
      </c>
      <c r="L1133" s="6">
        <f t="shared" si="89"/>
        <v>2.9541585462931853E-4</v>
      </c>
    </row>
    <row r="1134" spans="1:12" ht="22.95" customHeight="1">
      <c r="A1134" s="5">
        <v>7</v>
      </c>
      <c r="B1134" s="7" t="s">
        <v>97</v>
      </c>
      <c r="C1134" s="7" t="s">
        <v>290</v>
      </c>
      <c r="D1134" s="5">
        <v>5265</v>
      </c>
      <c r="E1134" s="5">
        <v>5628</v>
      </c>
      <c r="F1134" s="5">
        <v>1405</v>
      </c>
      <c r="G1134" s="5">
        <v>3051</v>
      </c>
      <c r="H1134" s="6">
        <f t="shared" si="85"/>
        <v>2.2246287743161643E-3</v>
      </c>
      <c r="I1134" s="6">
        <f t="shared" si="86"/>
        <v>0.26685660018993351</v>
      </c>
      <c r="J1134" s="6">
        <f t="shared" si="87"/>
        <v>0.54211087420042647</v>
      </c>
      <c r="K1134" s="6">
        <f t="shared" si="88"/>
        <v>5.9365687139871048E-4</v>
      </c>
      <c r="L1134" s="6">
        <f t="shared" si="89"/>
        <v>1.2059954496159591E-3</v>
      </c>
    </row>
    <row r="1135" spans="1:12" ht="22.95" customHeight="1">
      <c r="A1135" s="5">
        <v>7</v>
      </c>
      <c r="B1135" s="7" t="s">
        <v>91</v>
      </c>
      <c r="C1135" s="7" t="s">
        <v>290</v>
      </c>
      <c r="D1135" s="5">
        <v>5378</v>
      </c>
      <c r="E1135" s="5">
        <v>7988</v>
      </c>
      <c r="F1135" s="5">
        <v>1447</v>
      </c>
      <c r="G1135" s="5">
        <v>3887</v>
      </c>
      <c r="H1135" s="6">
        <f t="shared" si="85"/>
        <v>2.2723748429767012E-3</v>
      </c>
      <c r="I1135" s="6">
        <f t="shared" si="86"/>
        <v>0.26905912978802526</v>
      </c>
      <c r="J1135" s="6">
        <f t="shared" si="87"/>
        <v>0.48660490736104156</v>
      </c>
      <c r="K1135" s="6">
        <f t="shared" si="88"/>
        <v>6.114031978035118E-4</v>
      </c>
      <c r="L1135" s="6">
        <f t="shared" si="89"/>
        <v>1.105748749956239E-3</v>
      </c>
    </row>
    <row r="1136" spans="1:12" ht="22.95" customHeight="1">
      <c r="A1136" s="5">
        <v>7</v>
      </c>
      <c r="B1136" s="7" t="s">
        <v>266</v>
      </c>
      <c r="C1136" s="7" t="s">
        <v>295</v>
      </c>
      <c r="D1136" s="5">
        <v>1286</v>
      </c>
      <c r="E1136" s="5">
        <v>1112</v>
      </c>
      <c r="F1136" s="5">
        <v>85</v>
      </c>
      <c r="G1136" s="5">
        <v>85</v>
      </c>
      <c r="H1136" s="6">
        <f t="shared" si="85"/>
        <v>5.4337561325177349E-4</v>
      </c>
      <c r="I1136" s="6">
        <f t="shared" si="86"/>
        <v>6.6096423017107303E-2</v>
      </c>
      <c r="J1136" s="6">
        <f t="shared" si="87"/>
        <v>7.6438848920863306E-2</v>
      </c>
      <c r="K1136" s="6">
        <f t="shared" si="88"/>
        <v>3.5915184390669316E-5</v>
      </c>
      <c r="L1136" s="6">
        <f t="shared" si="89"/>
        <v>4.1535006408633764E-5</v>
      </c>
    </row>
    <row r="1137" spans="1:12" ht="22.95" customHeight="1">
      <c r="A1137" s="5">
        <v>7</v>
      </c>
      <c r="B1137" s="7" t="s">
        <v>171</v>
      </c>
      <c r="C1137" s="7" t="s">
        <v>303</v>
      </c>
      <c r="D1137" s="5">
        <v>45</v>
      </c>
      <c r="E1137" s="5">
        <v>29</v>
      </c>
      <c r="F1137" s="5">
        <v>37</v>
      </c>
      <c r="G1137" s="5">
        <v>16</v>
      </c>
      <c r="H1137" s="6">
        <f t="shared" si="85"/>
        <v>1.9013921148001405E-5</v>
      </c>
      <c r="I1137" s="6">
        <f t="shared" si="86"/>
        <v>0.82222222222222219</v>
      </c>
      <c r="J1137" s="6">
        <f t="shared" si="87"/>
        <v>0.55172413793103448</v>
      </c>
      <c r="K1137" s="6">
        <f t="shared" si="88"/>
        <v>1.5633668499467822E-5</v>
      </c>
      <c r="L1137" s="6">
        <f t="shared" si="89"/>
        <v>1.049043925406974E-5</v>
      </c>
    </row>
    <row r="1138" spans="1:12" ht="22.95" customHeight="1">
      <c r="A1138" s="5">
        <v>7</v>
      </c>
      <c r="B1138" s="7" t="s">
        <v>180</v>
      </c>
      <c r="C1138" s="7" t="s">
        <v>294</v>
      </c>
      <c r="D1138" s="5">
        <v>11</v>
      </c>
      <c r="E1138" s="5">
        <v>7</v>
      </c>
      <c r="F1138" s="5">
        <v>9</v>
      </c>
      <c r="G1138" s="5">
        <v>7</v>
      </c>
      <c r="H1138" s="6">
        <f t="shared" si="85"/>
        <v>4.6478473917336765E-6</v>
      </c>
      <c r="I1138" s="6">
        <f t="shared" si="86"/>
        <v>0.81818181818181823</v>
      </c>
      <c r="J1138" s="6">
        <f t="shared" si="87"/>
        <v>1</v>
      </c>
      <c r="K1138" s="6">
        <f t="shared" si="88"/>
        <v>3.8027842296002809E-6</v>
      </c>
      <c r="L1138" s="6">
        <f t="shared" si="89"/>
        <v>4.6478473917336765E-6</v>
      </c>
    </row>
    <row r="1139" spans="1:12" ht="22.95" customHeight="1">
      <c r="A1139" s="5">
        <v>7</v>
      </c>
      <c r="B1139" s="7" t="s">
        <v>134</v>
      </c>
      <c r="C1139" s="7" t="s">
        <v>296</v>
      </c>
      <c r="D1139" s="5">
        <v>265</v>
      </c>
      <c r="E1139" s="5">
        <v>379</v>
      </c>
      <c r="F1139" s="5">
        <v>0</v>
      </c>
      <c r="G1139" s="5">
        <v>0</v>
      </c>
      <c r="H1139" s="6">
        <f t="shared" si="85"/>
        <v>1.1197086898267493E-4</v>
      </c>
      <c r="I1139" s="6">
        <f t="shared" si="86"/>
        <v>0</v>
      </c>
      <c r="J1139" s="6">
        <f t="shared" si="87"/>
        <v>0</v>
      </c>
      <c r="K1139" s="6">
        <f t="shared" si="88"/>
        <v>0</v>
      </c>
      <c r="L1139" s="6">
        <f t="shared" si="89"/>
        <v>0</v>
      </c>
    </row>
    <row r="1140" spans="1:12" ht="22.95" customHeight="1">
      <c r="A1140" s="5">
        <v>7</v>
      </c>
      <c r="B1140" s="7" t="s">
        <v>184</v>
      </c>
      <c r="C1140" s="7" t="s">
        <v>303</v>
      </c>
      <c r="D1140" s="5">
        <v>27</v>
      </c>
      <c r="E1140" s="5">
        <v>30</v>
      </c>
      <c r="F1140" s="5">
        <v>17</v>
      </c>
      <c r="G1140" s="5">
        <v>18</v>
      </c>
      <c r="H1140" s="6">
        <f t="shared" si="85"/>
        <v>1.1408352688800843E-5</v>
      </c>
      <c r="I1140" s="6">
        <f t="shared" si="86"/>
        <v>0.62962962962962965</v>
      </c>
      <c r="J1140" s="6">
        <f t="shared" si="87"/>
        <v>0.6</v>
      </c>
      <c r="K1140" s="6">
        <f t="shared" si="88"/>
        <v>7.1830368781338641E-6</v>
      </c>
      <c r="L1140" s="6">
        <f t="shared" si="89"/>
        <v>6.8450116132805053E-6</v>
      </c>
    </row>
    <row r="1141" spans="1:12" ht="22.95" customHeight="1">
      <c r="A1141" s="5">
        <v>7</v>
      </c>
      <c r="B1141" s="7" t="s">
        <v>248</v>
      </c>
      <c r="C1141" s="7" t="s">
        <v>295</v>
      </c>
      <c r="D1141" s="5">
        <v>14</v>
      </c>
      <c r="E1141" s="5">
        <v>12</v>
      </c>
      <c r="F1141" s="5">
        <v>10</v>
      </c>
      <c r="G1141" s="5">
        <v>8</v>
      </c>
      <c r="H1141" s="6">
        <f t="shared" si="85"/>
        <v>5.9154421349337707E-6</v>
      </c>
      <c r="I1141" s="6">
        <f t="shared" si="86"/>
        <v>0.7142857142857143</v>
      </c>
      <c r="J1141" s="6">
        <f t="shared" si="87"/>
        <v>0.66666666666666663</v>
      </c>
      <c r="K1141" s="6">
        <f t="shared" si="88"/>
        <v>4.2253158106669796E-6</v>
      </c>
      <c r="L1141" s="6">
        <f t="shared" si="89"/>
        <v>3.9436280899558466E-6</v>
      </c>
    </row>
    <row r="1142" spans="1:12" ht="22.95" customHeight="1">
      <c r="A1142" s="5">
        <v>7</v>
      </c>
      <c r="B1142" s="7" t="s">
        <v>195</v>
      </c>
      <c r="C1142" s="7" t="s">
        <v>291</v>
      </c>
      <c r="D1142" s="5">
        <v>7</v>
      </c>
      <c r="E1142" s="5">
        <v>4</v>
      </c>
      <c r="F1142" s="5">
        <v>2</v>
      </c>
      <c r="G1142" s="5">
        <v>3</v>
      </c>
      <c r="H1142" s="6">
        <f t="shared" si="85"/>
        <v>2.9577210674668854E-6</v>
      </c>
      <c r="I1142" s="6">
        <f t="shared" si="86"/>
        <v>0.2857142857142857</v>
      </c>
      <c r="J1142" s="6">
        <f t="shared" si="87"/>
        <v>0.75</v>
      </c>
      <c r="K1142" s="6">
        <f t="shared" si="88"/>
        <v>8.4506316213339578E-7</v>
      </c>
      <c r="L1142" s="6">
        <f t="shared" si="89"/>
        <v>2.218290800600164E-6</v>
      </c>
    </row>
    <row r="1143" spans="1:12" ht="22.95" customHeight="1">
      <c r="A1143" s="5">
        <v>7</v>
      </c>
      <c r="B1143" s="7" t="s">
        <v>235</v>
      </c>
      <c r="C1143" s="7" t="s">
        <v>303</v>
      </c>
      <c r="D1143" s="5">
        <v>5</v>
      </c>
      <c r="E1143" s="5">
        <v>2</v>
      </c>
      <c r="F1143" s="5">
        <v>3</v>
      </c>
      <c r="G1143" s="5">
        <v>1</v>
      </c>
      <c r="H1143" s="6">
        <f t="shared" si="85"/>
        <v>2.1126579053334894E-6</v>
      </c>
      <c r="I1143" s="6">
        <f t="shared" si="86"/>
        <v>0.6</v>
      </c>
      <c r="J1143" s="6">
        <f t="shared" si="87"/>
        <v>0.5</v>
      </c>
      <c r="K1143" s="6">
        <f t="shared" si="88"/>
        <v>1.2675947432000936E-6</v>
      </c>
      <c r="L1143" s="6">
        <f t="shared" si="89"/>
        <v>1.0563289526667447E-6</v>
      </c>
    </row>
    <row r="1144" spans="1:12" ht="22.95" customHeight="1">
      <c r="A1144" s="5">
        <v>7</v>
      </c>
      <c r="B1144" s="7" t="s">
        <v>136</v>
      </c>
      <c r="C1144" s="7" t="s">
        <v>296</v>
      </c>
      <c r="D1144" s="5">
        <v>500</v>
      </c>
      <c r="E1144" s="5">
        <v>612</v>
      </c>
      <c r="F1144" s="5">
        <v>0</v>
      </c>
      <c r="G1144" s="5">
        <v>0</v>
      </c>
      <c r="H1144" s="6">
        <f t="shared" si="85"/>
        <v>2.1126579053334894E-4</v>
      </c>
      <c r="I1144" s="6">
        <f t="shared" si="86"/>
        <v>0</v>
      </c>
      <c r="J1144" s="6">
        <f t="shared" si="87"/>
        <v>0</v>
      </c>
      <c r="K1144" s="6">
        <f t="shared" si="88"/>
        <v>0</v>
      </c>
      <c r="L1144" s="6">
        <f t="shared" si="89"/>
        <v>0</v>
      </c>
    </row>
    <row r="1145" spans="1:12" ht="22.95" customHeight="1">
      <c r="A1145" s="5">
        <v>7</v>
      </c>
      <c r="B1145" s="7" t="s">
        <v>243</v>
      </c>
      <c r="C1145" s="7" t="s">
        <v>292</v>
      </c>
      <c r="D1145" s="5">
        <v>9</v>
      </c>
      <c r="E1145" s="5">
        <v>13</v>
      </c>
      <c r="F1145" s="5">
        <v>9</v>
      </c>
      <c r="G1145" s="5">
        <v>13</v>
      </c>
      <c r="H1145" s="6">
        <f t="shared" si="85"/>
        <v>3.8027842296002809E-6</v>
      </c>
      <c r="I1145" s="6">
        <f t="shared" si="86"/>
        <v>1</v>
      </c>
      <c r="J1145" s="6">
        <f t="shared" si="87"/>
        <v>1</v>
      </c>
      <c r="K1145" s="6">
        <f t="shared" si="88"/>
        <v>3.8027842296002809E-6</v>
      </c>
      <c r="L1145" s="6">
        <f t="shared" si="89"/>
        <v>3.8027842296002809E-6</v>
      </c>
    </row>
    <row r="1146" spans="1:12" ht="22.95" customHeight="1">
      <c r="A1146" s="5">
        <v>7</v>
      </c>
      <c r="B1146" s="7" t="s">
        <v>274</v>
      </c>
      <c r="C1146" s="7" t="s">
        <v>292</v>
      </c>
      <c r="D1146" s="5">
        <v>1556</v>
      </c>
      <c r="E1146" s="5">
        <v>1315</v>
      </c>
      <c r="F1146" s="5">
        <v>967</v>
      </c>
      <c r="G1146" s="5">
        <v>871</v>
      </c>
      <c r="H1146" s="6">
        <f t="shared" si="85"/>
        <v>6.5745914013978194E-4</v>
      </c>
      <c r="I1146" s="6">
        <f t="shared" si="86"/>
        <v>0.62146529562982</v>
      </c>
      <c r="J1146" s="6">
        <f t="shared" si="87"/>
        <v>0.66235741444866925</v>
      </c>
      <c r="K1146" s="6">
        <f t="shared" si="88"/>
        <v>4.0858803889149683E-4</v>
      </c>
      <c r="L1146" s="6">
        <f t="shared" si="89"/>
        <v>4.3547293616863128E-4</v>
      </c>
    </row>
    <row r="1147" spans="1:12" ht="22.95" customHeight="1">
      <c r="A1147" s="5">
        <v>7</v>
      </c>
      <c r="B1147" s="7" t="s">
        <v>279</v>
      </c>
      <c r="C1147" s="7" t="s">
        <v>303</v>
      </c>
      <c r="D1147" s="5">
        <v>3635</v>
      </c>
      <c r="E1147" s="5">
        <v>2761</v>
      </c>
      <c r="F1147" s="5">
        <v>1062</v>
      </c>
      <c r="G1147" s="5">
        <v>1506</v>
      </c>
      <c r="H1147" s="6">
        <f t="shared" si="85"/>
        <v>1.5359022971774467E-3</v>
      </c>
      <c r="I1147" s="6">
        <f t="shared" si="86"/>
        <v>0.29215955983493808</v>
      </c>
      <c r="J1147" s="6">
        <f t="shared" si="87"/>
        <v>0.54545454545454541</v>
      </c>
      <c r="K1147" s="6">
        <f t="shared" si="88"/>
        <v>4.4872853909283311E-4</v>
      </c>
      <c r="L1147" s="6">
        <f t="shared" si="89"/>
        <v>8.3776488936951636E-4</v>
      </c>
    </row>
    <row r="1148" spans="1:12" ht="22.95" customHeight="1">
      <c r="A1148" s="5">
        <v>7</v>
      </c>
      <c r="B1148" s="7" t="s">
        <v>257</v>
      </c>
      <c r="C1148" s="7" t="s">
        <v>293</v>
      </c>
      <c r="D1148" s="5">
        <v>1030</v>
      </c>
      <c r="E1148" s="5">
        <v>958</v>
      </c>
      <c r="F1148" s="5">
        <v>309</v>
      </c>
      <c r="G1148" s="5">
        <v>250</v>
      </c>
      <c r="H1148" s="6">
        <f t="shared" si="85"/>
        <v>4.3520752849869881E-4</v>
      </c>
      <c r="I1148" s="6">
        <f t="shared" si="86"/>
        <v>0.3</v>
      </c>
      <c r="J1148" s="6">
        <f t="shared" si="87"/>
        <v>0.26096033402922758</v>
      </c>
      <c r="K1148" s="6">
        <f t="shared" si="88"/>
        <v>1.3056225854960965E-4</v>
      </c>
      <c r="L1148" s="6">
        <f t="shared" si="89"/>
        <v>1.1357190200905503E-4</v>
      </c>
    </row>
    <row r="1149" spans="1:12" ht="22.95" customHeight="1">
      <c r="A1149" s="5">
        <v>7</v>
      </c>
      <c r="B1149" s="7" t="s">
        <v>121</v>
      </c>
      <c r="C1149" s="7" t="s">
        <v>290</v>
      </c>
      <c r="D1149" s="5">
        <v>997</v>
      </c>
      <c r="E1149" s="5">
        <v>1350</v>
      </c>
      <c r="F1149" s="5">
        <v>515</v>
      </c>
      <c r="G1149" s="5">
        <v>974</v>
      </c>
      <c r="H1149" s="6">
        <f t="shared" si="85"/>
        <v>4.2126398632349777E-4</v>
      </c>
      <c r="I1149" s="6">
        <f t="shared" si="86"/>
        <v>0.51654964894684052</v>
      </c>
      <c r="J1149" s="6">
        <f t="shared" si="87"/>
        <v>0.7214814814814815</v>
      </c>
      <c r="K1149" s="6">
        <f t="shared" si="88"/>
        <v>2.176037642493494E-4</v>
      </c>
      <c r="L1149" s="6">
        <f t="shared" si="89"/>
        <v>3.039341649474717E-4</v>
      </c>
    </row>
    <row r="1150" spans="1:12" ht="22.95" customHeight="1">
      <c r="A1150" s="5">
        <v>7</v>
      </c>
      <c r="B1150" s="7" t="s">
        <v>160</v>
      </c>
      <c r="C1150" s="7" t="s">
        <v>292</v>
      </c>
      <c r="D1150" s="5">
        <v>315</v>
      </c>
      <c r="E1150" s="5">
        <v>257</v>
      </c>
      <c r="F1150" s="5">
        <v>70</v>
      </c>
      <c r="G1150" s="5">
        <v>75</v>
      </c>
      <c r="H1150" s="6">
        <f t="shared" si="85"/>
        <v>1.3309744803600984E-4</v>
      </c>
      <c r="I1150" s="6">
        <f t="shared" si="86"/>
        <v>0.22222222222222221</v>
      </c>
      <c r="J1150" s="6">
        <f t="shared" si="87"/>
        <v>0.29182879377431908</v>
      </c>
      <c r="K1150" s="6">
        <f t="shared" si="88"/>
        <v>2.957721067466885E-5</v>
      </c>
      <c r="L1150" s="6">
        <f t="shared" si="89"/>
        <v>3.8841667714788865E-5</v>
      </c>
    </row>
    <row r="1151" spans="1:12" ht="22.95" customHeight="1">
      <c r="A1151" s="5">
        <v>7</v>
      </c>
      <c r="B1151" s="7" t="s">
        <v>240</v>
      </c>
      <c r="C1151" s="7" t="s">
        <v>296</v>
      </c>
      <c r="D1151" s="5">
        <v>16</v>
      </c>
      <c r="E1151" s="5">
        <v>17</v>
      </c>
      <c r="F1151" s="5">
        <v>0</v>
      </c>
      <c r="G1151" s="5">
        <v>0</v>
      </c>
      <c r="H1151" s="6">
        <f t="shared" si="85"/>
        <v>6.7605052970671663E-6</v>
      </c>
      <c r="I1151" s="6">
        <f t="shared" si="86"/>
        <v>0</v>
      </c>
      <c r="J1151" s="6">
        <f t="shared" si="87"/>
        <v>0</v>
      </c>
      <c r="K1151" s="6">
        <f t="shared" si="88"/>
        <v>0</v>
      </c>
      <c r="L1151" s="6">
        <f t="shared" si="89"/>
        <v>0</v>
      </c>
    </row>
    <row r="1152" spans="1:12" ht="22.95" customHeight="1">
      <c r="A1152" s="5">
        <v>7</v>
      </c>
      <c r="B1152" s="7" t="s">
        <v>116</v>
      </c>
      <c r="C1152" s="7" t="s">
        <v>294</v>
      </c>
      <c r="D1152" s="5">
        <v>2743</v>
      </c>
      <c r="E1152" s="5">
        <v>3131</v>
      </c>
      <c r="F1152" s="5">
        <v>1165</v>
      </c>
      <c r="G1152" s="5">
        <v>1623</v>
      </c>
      <c r="H1152" s="6">
        <f t="shared" si="85"/>
        <v>1.1590041268659524E-3</v>
      </c>
      <c r="I1152" s="6">
        <f t="shared" si="86"/>
        <v>0.4247174626321546</v>
      </c>
      <c r="J1152" s="6">
        <f t="shared" si="87"/>
        <v>0.51836473969977648</v>
      </c>
      <c r="K1152" s="6">
        <f t="shared" si="88"/>
        <v>4.9224929194270314E-4</v>
      </c>
      <c r="L1152" s="6">
        <f t="shared" si="89"/>
        <v>6.0078687253383616E-4</v>
      </c>
    </row>
    <row r="1153" spans="1:12" ht="22.95" customHeight="1">
      <c r="A1153" s="5">
        <v>7</v>
      </c>
      <c r="B1153" s="7" t="s">
        <v>101</v>
      </c>
      <c r="C1153" s="7" t="s">
        <v>294</v>
      </c>
      <c r="D1153" s="5">
        <v>2</v>
      </c>
      <c r="E1153" s="5">
        <v>1310</v>
      </c>
      <c r="F1153" s="5">
        <v>1</v>
      </c>
      <c r="G1153" s="5">
        <v>719</v>
      </c>
      <c r="H1153" s="6">
        <f t="shared" si="85"/>
        <v>8.4506316213339578E-7</v>
      </c>
      <c r="I1153" s="6">
        <f t="shared" si="86"/>
        <v>0.5</v>
      </c>
      <c r="J1153" s="6">
        <f t="shared" si="87"/>
        <v>0.54885496183206106</v>
      </c>
      <c r="K1153" s="6">
        <f t="shared" si="88"/>
        <v>4.2253158106669789E-7</v>
      </c>
      <c r="L1153" s="6">
        <f t="shared" si="89"/>
        <v>4.6381710959840578E-7</v>
      </c>
    </row>
    <row r="1154" spans="1:12" ht="22.95" customHeight="1">
      <c r="A1154" s="5">
        <v>7</v>
      </c>
      <c r="B1154" s="7" t="s">
        <v>135</v>
      </c>
      <c r="C1154" s="7" t="s">
        <v>291</v>
      </c>
      <c r="D1154" s="5">
        <v>2446</v>
      </c>
      <c r="E1154" s="5">
        <v>2485</v>
      </c>
      <c r="F1154" s="5">
        <v>875</v>
      </c>
      <c r="G1154" s="5">
        <v>1019</v>
      </c>
      <c r="H1154" s="6">
        <f t="shared" si="85"/>
        <v>1.033512247289143E-3</v>
      </c>
      <c r="I1154" s="6">
        <f t="shared" si="86"/>
        <v>0.35772690106295996</v>
      </c>
      <c r="J1154" s="6">
        <f t="shared" si="87"/>
        <v>0.41006036217303821</v>
      </c>
      <c r="K1154" s="6">
        <f t="shared" si="88"/>
        <v>3.6971513343336067E-4</v>
      </c>
      <c r="L1154" s="6">
        <f t="shared" si="89"/>
        <v>4.2380240643365662E-4</v>
      </c>
    </row>
    <row r="1155" spans="1:12" ht="22.95" customHeight="1">
      <c r="A1155" s="5">
        <v>7</v>
      </c>
      <c r="B1155" s="7" t="s">
        <v>120</v>
      </c>
      <c r="C1155" s="7" t="s">
        <v>303</v>
      </c>
      <c r="D1155" s="5">
        <v>313</v>
      </c>
      <c r="E1155" s="5">
        <v>518</v>
      </c>
      <c r="F1155" s="5">
        <v>189</v>
      </c>
      <c r="G1155" s="5">
        <v>392</v>
      </c>
      <c r="H1155" s="6">
        <f t="shared" si="85"/>
        <v>1.3225238487387644E-4</v>
      </c>
      <c r="I1155" s="6">
        <f t="shared" si="86"/>
        <v>0.60383386581469645</v>
      </c>
      <c r="J1155" s="6">
        <f t="shared" si="87"/>
        <v>0.7567567567567568</v>
      </c>
      <c r="K1155" s="6">
        <f t="shared" si="88"/>
        <v>7.9858468821605893E-5</v>
      </c>
      <c r="L1155" s="6">
        <f t="shared" si="89"/>
        <v>1.000828858505011E-4</v>
      </c>
    </row>
    <row r="1156" spans="1:12" ht="22.95" customHeight="1">
      <c r="A1156" s="5">
        <v>7</v>
      </c>
      <c r="B1156" s="7" t="s">
        <v>239</v>
      </c>
      <c r="C1156" s="7" t="s">
        <v>296</v>
      </c>
      <c r="D1156" s="5">
        <v>5</v>
      </c>
      <c r="E1156" s="5">
        <v>3</v>
      </c>
      <c r="F1156" s="5">
        <v>0</v>
      </c>
      <c r="G1156" s="5">
        <v>0</v>
      </c>
      <c r="H1156" s="6">
        <f t="shared" si="85"/>
        <v>2.1126579053334894E-6</v>
      </c>
      <c r="I1156" s="6">
        <f t="shared" si="86"/>
        <v>0</v>
      </c>
      <c r="J1156" s="6">
        <f t="shared" si="87"/>
        <v>0</v>
      </c>
      <c r="K1156" s="6">
        <f t="shared" si="88"/>
        <v>0</v>
      </c>
      <c r="L1156" s="6">
        <f t="shared" si="89"/>
        <v>0</v>
      </c>
    </row>
    <row r="1157" spans="1:12" ht="22.95" customHeight="1">
      <c r="A1157" s="5">
        <v>7</v>
      </c>
      <c r="B1157" s="7" t="s">
        <v>175</v>
      </c>
      <c r="C1157" s="7" t="s">
        <v>296</v>
      </c>
      <c r="D1157" s="5">
        <v>339</v>
      </c>
      <c r="E1157" s="5">
        <v>298</v>
      </c>
      <c r="F1157" s="5">
        <v>0</v>
      </c>
      <c r="G1157" s="5">
        <v>0</v>
      </c>
      <c r="H1157" s="6">
        <f t="shared" si="85"/>
        <v>1.4323820598161058E-4</v>
      </c>
      <c r="I1157" s="6">
        <f t="shared" si="86"/>
        <v>0</v>
      </c>
      <c r="J1157" s="6">
        <f t="shared" si="87"/>
        <v>0</v>
      </c>
      <c r="K1157" s="6">
        <f t="shared" si="88"/>
        <v>0</v>
      </c>
      <c r="L1157" s="6">
        <f t="shared" si="89"/>
        <v>0</v>
      </c>
    </row>
    <row r="1158" spans="1:12" ht="22.95" customHeight="1">
      <c r="A1158" s="5">
        <v>7</v>
      </c>
      <c r="B1158" s="7" t="s">
        <v>155</v>
      </c>
      <c r="C1158" s="7" t="s">
        <v>303</v>
      </c>
      <c r="D1158" s="5">
        <v>269</v>
      </c>
      <c r="E1158" s="5">
        <v>302</v>
      </c>
      <c r="F1158" s="5">
        <v>132</v>
      </c>
      <c r="G1158" s="5">
        <v>194</v>
      </c>
      <c r="H1158" s="6">
        <f t="shared" si="85"/>
        <v>1.1366099530694173E-4</v>
      </c>
      <c r="I1158" s="6">
        <f t="shared" si="86"/>
        <v>0.49070631970260226</v>
      </c>
      <c r="J1158" s="6">
        <f t="shared" si="87"/>
        <v>0.64238410596026485</v>
      </c>
      <c r="K1158" s="6">
        <f t="shared" si="88"/>
        <v>5.5774168700804125E-5</v>
      </c>
      <c r="L1158" s="6">
        <f t="shared" si="89"/>
        <v>7.301401685280362E-5</v>
      </c>
    </row>
    <row r="1159" spans="1:12" ht="22.95" customHeight="1">
      <c r="A1159" s="5">
        <v>7</v>
      </c>
      <c r="B1159" s="7" t="s">
        <v>85</v>
      </c>
      <c r="C1159" s="7" t="s">
        <v>291</v>
      </c>
      <c r="D1159" s="5">
        <v>6138</v>
      </c>
      <c r="E1159" s="5">
        <v>10145</v>
      </c>
      <c r="F1159" s="5">
        <v>1528</v>
      </c>
      <c r="G1159" s="5">
        <v>3667</v>
      </c>
      <c r="H1159" s="6">
        <f t="shared" si="85"/>
        <v>2.5934988445873914E-3</v>
      </c>
      <c r="I1159" s="6">
        <f t="shared" si="86"/>
        <v>0.24894102313457153</v>
      </c>
      <c r="J1159" s="6">
        <f t="shared" si="87"/>
        <v>0.36145884672252343</v>
      </c>
      <c r="K1159" s="6">
        <f t="shared" si="88"/>
        <v>6.4562825586991432E-4</v>
      </c>
      <c r="L1159" s="6">
        <f t="shared" si="89"/>
        <v>9.3744310134075549E-4</v>
      </c>
    </row>
    <row r="1160" spans="1:12" ht="22.95" customHeight="1">
      <c r="A1160" s="5">
        <v>7</v>
      </c>
      <c r="B1160" s="7" t="s">
        <v>110</v>
      </c>
      <c r="C1160" s="7" t="s">
        <v>291</v>
      </c>
      <c r="D1160" s="5">
        <v>2743</v>
      </c>
      <c r="E1160" s="5">
        <v>3212</v>
      </c>
      <c r="F1160" s="5">
        <v>0</v>
      </c>
      <c r="G1160" s="5">
        <v>0</v>
      </c>
      <c r="H1160" s="6">
        <f t="shared" si="85"/>
        <v>1.1590041268659524E-3</v>
      </c>
      <c r="I1160" s="6">
        <f t="shared" si="86"/>
        <v>0</v>
      </c>
      <c r="J1160" s="6">
        <f t="shared" si="87"/>
        <v>0</v>
      </c>
      <c r="K1160" s="6">
        <f t="shared" si="88"/>
        <v>0</v>
      </c>
      <c r="L1160" s="6">
        <f t="shared" si="89"/>
        <v>0</v>
      </c>
    </row>
    <row r="1161" spans="1:12" ht="22.95" customHeight="1">
      <c r="A1161" s="5">
        <v>7</v>
      </c>
      <c r="B1161" s="7" t="s">
        <v>151</v>
      </c>
      <c r="C1161" s="7" t="s">
        <v>291</v>
      </c>
      <c r="D1161" s="5">
        <v>505</v>
      </c>
      <c r="E1161" s="5">
        <v>419</v>
      </c>
      <c r="F1161" s="5">
        <v>153</v>
      </c>
      <c r="G1161" s="5">
        <v>133</v>
      </c>
      <c r="H1161" s="6">
        <f t="shared" si="85"/>
        <v>2.1337844843868242E-4</v>
      </c>
      <c r="I1161" s="6">
        <f t="shared" si="86"/>
        <v>0.30297029702970296</v>
      </c>
      <c r="J1161" s="6">
        <f t="shared" si="87"/>
        <v>0.31742243436754175</v>
      </c>
      <c r="K1161" s="6">
        <f t="shared" si="88"/>
        <v>6.4647331903204769E-5</v>
      </c>
      <c r="L1161" s="6">
        <f t="shared" si="89"/>
        <v>6.7731106544975566E-5</v>
      </c>
    </row>
    <row r="1162" spans="1:12" ht="22.95" customHeight="1">
      <c r="A1162" s="5">
        <v>7</v>
      </c>
      <c r="B1162" s="7" t="s">
        <v>161</v>
      </c>
      <c r="C1162" s="7" t="s">
        <v>291</v>
      </c>
      <c r="D1162" s="5">
        <v>241</v>
      </c>
      <c r="E1162" s="5">
        <v>233</v>
      </c>
      <c r="F1162" s="5">
        <v>69</v>
      </c>
      <c r="G1162" s="5">
        <v>96</v>
      </c>
      <c r="H1162" s="6">
        <f t="shared" si="85"/>
        <v>1.0183011103707419E-4</v>
      </c>
      <c r="I1162" s="6">
        <f t="shared" si="86"/>
        <v>0.2863070539419087</v>
      </c>
      <c r="J1162" s="6">
        <f t="shared" si="87"/>
        <v>0.41201716738197425</v>
      </c>
      <c r="K1162" s="6">
        <f t="shared" si="88"/>
        <v>2.9154679093602155E-5</v>
      </c>
      <c r="L1162" s="6">
        <f t="shared" si="89"/>
        <v>4.1955753903687221E-5</v>
      </c>
    </row>
    <row r="1163" spans="1:12" ht="22.95" customHeight="1">
      <c r="A1163" s="5">
        <v>7</v>
      </c>
      <c r="B1163" s="7" t="s">
        <v>162</v>
      </c>
      <c r="C1163" s="7" t="s">
        <v>291</v>
      </c>
      <c r="D1163" s="5">
        <v>296</v>
      </c>
      <c r="E1163" s="5">
        <v>265</v>
      </c>
      <c r="F1163" s="5">
        <v>82</v>
      </c>
      <c r="G1163" s="5">
        <v>86</v>
      </c>
      <c r="H1163" s="6">
        <f t="shared" si="85"/>
        <v>1.2506934799574258E-4</v>
      </c>
      <c r="I1163" s="6">
        <f t="shared" si="86"/>
        <v>0.27702702702702703</v>
      </c>
      <c r="J1163" s="6">
        <f t="shared" si="87"/>
        <v>0.32452830188679244</v>
      </c>
      <c r="K1163" s="6">
        <f t="shared" si="88"/>
        <v>3.4647589647469227E-5</v>
      </c>
      <c r="L1163" s="6">
        <f t="shared" si="89"/>
        <v>4.0588543123146648E-5</v>
      </c>
    </row>
    <row r="1164" spans="1:12" ht="22.95" customHeight="1">
      <c r="A1164" s="5">
        <v>7</v>
      </c>
      <c r="B1164" s="7" t="s">
        <v>130</v>
      </c>
      <c r="C1164" s="7" t="s">
        <v>292</v>
      </c>
      <c r="D1164" s="5">
        <v>774</v>
      </c>
      <c r="E1164" s="5">
        <v>796</v>
      </c>
      <c r="F1164" s="5">
        <v>411</v>
      </c>
      <c r="G1164" s="5">
        <v>506</v>
      </c>
      <c r="H1164" s="6">
        <f t="shared" si="85"/>
        <v>3.2703944374562417E-4</v>
      </c>
      <c r="I1164" s="6">
        <f t="shared" si="86"/>
        <v>0.53100775193798455</v>
      </c>
      <c r="J1164" s="6">
        <f t="shared" si="87"/>
        <v>0.63567839195979903</v>
      </c>
      <c r="K1164" s="6">
        <f t="shared" si="88"/>
        <v>1.7366047981841285E-4</v>
      </c>
      <c r="L1164" s="6">
        <f t="shared" si="89"/>
        <v>2.0789190770764552E-4</v>
      </c>
    </row>
    <row r="1165" spans="1:12" ht="22.95" customHeight="1">
      <c r="A1165" s="5">
        <v>7</v>
      </c>
      <c r="B1165" s="7" t="s">
        <v>192</v>
      </c>
      <c r="C1165" s="7" t="s">
        <v>303</v>
      </c>
      <c r="D1165" s="5">
        <v>15</v>
      </c>
      <c r="E1165" s="5">
        <v>25</v>
      </c>
      <c r="F1165" s="5">
        <v>10</v>
      </c>
      <c r="G1165" s="5">
        <v>21</v>
      </c>
      <c r="H1165" s="6">
        <f t="shared" si="85"/>
        <v>6.3379737160004685E-6</v>
      </c>
      <c r="I1165" s="6">
        <f t="shared" si="86"/>
        <v>0.66666666666666663</v>
      </c>
      <c r="J1165" s="6">
        <f t="shared" si="87"/>
        <v>0.84</v>
      </c>
      <c r="K1165" s="6">
        <f t="shared" si="88"/>
        <v>4.2253158106669787E-6</v>
      </c>
      <c r="L1165" s="6">
        <f t="shared" si="89"/>
        <v>5.3238979214403931E-6</v>
      </c>
    </row>
    <row r="1166" spans="1:12" ht="22.95" customHeight="1">
      <c r="A1166" s="5">
        <v>7</v>
      </c>
      <c r="B1166" s="7" t="s">
        <v>126</v>
      </c>
      <c r="C1166" s="7" t="s">
        <v>298</v>
      </c>
      <c r="D1166" s="5">
        <v>928</v>
      </c>
      <c r="E1166" s="5">
        <v>847</v>
      </c>
      <c r="F1166" s="5">
        <v>558</v>
      </c>
      <c r="G1166" s="5">
        <v>485</v>
      </c>
      <c r="H1166" s="6">
        <f t="shared" si="85"/>
        <v>3.9210930722989563E-4</v>
      </c>
      <c r="I1166" s="6">
        <f t="shared" si="86"/>
        <v>0.60129310344827591</v>
      </c>
      <c r="J1166" s="6">
        <f t="shared" si="87"/>
        <v>0.57260920897284528</v>
      </c>
      <c r="K1166" s="6">
        <f t="shared" si="88"/>
        <v>2.3577262223521743E-4</v>
      </c>
      <c r="L1166" s="6">
        <f t="shared" si="89"/>
        <v>2.2452540024380091E-4</v>
      </c>
    </row>
    <row r="1167" spans="1:12" ht="22.95" customHeight="1">
      <c r="A1167" s="5">
        <v>7</v>
      </c>
      <c r="B1167" s="7" t="s">
        <v>197</v>
      </c>
      <c r="C1167" s="7" t="s">
        <v>298</v>
      </c>
      <c r="D1167" s="5">
        <v>10</v>
      </c>
      <c r="E1167" s="5">
        <v>4</v>
      </c>
      <c r="F1167" s="5">
        <v>9</v>
      </c>
      <c r="G1167" s="5">
        <v>3</v>
      </c>
      <c r="H1167" s="6">
        <f t="shared" si="85"/>
        <v>4.2253158106669787E-6</v>
      </c>
      <c r="I1167" s="6">
        <f t="shared" si="86"/>
        <v>0.9</v>
      </c>
      <c r="J1167" s="6">
        <f t="shared" si="87"/>
        <v>0.75</v>
      </c>
      <c r="K1167" s="6">
        <f t="shared" si="88"/>
        <v>3.8027842296002809E-6</v>
      </c>
      <c r="L1167" s="6">
        <f t="shared" si="89"/>
        <v>3.1689868580002338E-6</v>
      </c>
    </row>
    <row r="1168" spans="1:12" ht="22.95" customHeight="1">
      <c r="A1168" s="5">
        <v>7</v>
      </c>
      <c r="B1168" s="7" t="s">
        <v>189</v>
      </c>
      <c r="C1168" s="7" t="s">
        <v>298</v>
      </c>
      <c r="D1168" s="5">
        <v>81</v>
      </c>
      <c r="E1168" s="5">
        <v>67</v>
      </c>
      <c r="F1168" s="5">
        <v>35</v>
      </c>
      <c r="G1168" s="5">
        <v>20</v>
      </c>
      <c r="H1168" s="6">
        <f t="shared" si="85"/>
        <v>3.4225058066402528E-5</v>
      </c>
      <c r="I1168" s="6">
        <f t="shared" si="86"/>
        <v>0.43209876543209874</v>
      </c>
      <c r="J1168" s="6">
        <f t="shared" si="87"/>
        <v>0.29850746268656714</v>
      </c>
      <c r="K1168" s="6">
        <f t="shared" si="88"/>
        <v>1.4788605337334425E-5</v>
      </c>
      <c r="L1168" s="6">
        <f t="shared" si="89"/>
        <v>1.0216435243702246E-5</v>
      </c>
    </row>
    <row r="1169" spans="1:12" ht="22.95" customHeight="1">
      <c r="A1169" s="5">
        <v>7</v>
      </c>
      <c r="B1169" s="7" t="s">
        <v>194</v>
      </c>
      <c r="C1169" s="7" t="s">
        <v>303</v>
      </c>
      <c r="D1169" s="5">
        <v>11</v>
      </c>
      <c r="E1169" s="5">
        <v>14</v>
      </c>
      <c r="F1169" s="5">
        <v>5</v>
      </c>
      <c r="G1169" s="5">
        <v>7</v>
      </c>
      <c r="H1169" s="6">
        <f t="shared" si="85"/>
        <v>4.6478473917336765E-6</v>
      </c>
      <c r="I1169" s="6">
        <f t="shared" si="86"/>
        <v>0.45454545454545453</v>
      </c>
      <c r="J1169" s="6">
        <f t="shared" si="87"/>
        <v>0.5</v>
      </c>
      <c r="K1169" s="6">
        <f t="shared" si="88"/>
        <v>2.1126579053334894E-6</v>
      </c>
      <c r="L1169" s="6">
        <f t="shared" si="89"/>
        <v>2.3239236958668382E-6</v>
      </c>
    </row>
    <row r="1170" spans="1:12" ht="22.95" customHeight="1">
      <c r="A1170" s="5">
        <v>7</v>
      </c>
      <c r="B1170" s="7" t="s">
        <v>275</v>
      </c>
      <c r="C1170" s="7" t="s">
        <v>295</v>
      </c>
      <c r="D1170" s="5">
        <v>1295</v>
      </c>
      <c r="E1170" s="5">
        <v>625</v>
      </c>
      <c r="F1170" s="5">
        <v>1062</v>
      </c>
      <c r="G1170" s="5">
        <v>478</v>
      </c>
      <c r="H1170" s="6">
        <f t="shared" si="85"/>
        <v>5.4717839748137371E-4</v>
      </c>
      <c r="I1170" s="6">
        <f t="shared" si="86"/>
        <v>0.82007722007722006</v>
      </c>
      <c r="J1170" s="6">
        <f t="shared" si="87"/>
        <v>0.76480000000000004</v>
      </c>
      <c r="K1170" s="6">
        <f t="shared" si="88"/>
        <v>4.4872853909283311E-4</v>
      </c>
      <c r="L1170" s="6">
        <f t="shared" si="89"/>
        <v>4.1848203839375462E-4</v>
      </c>
    </row>
    <row r="1171" spans="1:12" ht="22.95" customHeight="1">
      <c r="A1171" s="5">
        <v>7</v>
      </c>
      <c r="B1171" s="7" t="s">
        <v>94</v>
      </c>
      <c r="C1171" s="7" t="s">
        <v>291</v>
      </c>
      <c r="D1171" s="5">
        <v>4112</v>
      </c>
      <c r="E1171" s="5">
        <v>5468</v>
      </c>
      <c r="F1171" s="5">
        <v>0</v>
      </c>
      <c r="G1171" s="5">
        <v>0</v>
      </c>
      <c r="H1171" s="6">
        <f t="shared" si="85"/>
        <v>1.7374498613462617E-3</v>
      </c>
      <c r="I1171" s="6">
        <f t="shared" si="86"/>
        <v>0</v>
      </c>
      <c r="J1171" s="6">
        <f t="shared" si="87"/>
        <v>0</v>
      </c>
      <c r="K1171" s="6">
        <f t="shared" si="88"/>
        <v>0</v>
      </c>
      <c r="L1171" s="6">
        <f t="shared" si="89"/>
        <v>0</v>
      </c>
    </row>
    <row r="1172" spans="1:12" ht="22.95" customHeight="1">
      <c r="A1172" s="5">
        <v>7</v>
      </c>
      <c r="B1172" s="7" t="s">
        <v>90</v>
      </c>
      <c r="C1172" s="7" t="s">
        <v>290</v>
      </c>
      <c r="D1172" s="5">
        <v>11867</v>
      </c>
      <c r="E1172" s="5">
        <v>13203</v>
      </c>
      <c r="F1172" s="5">
        <v>4364</v>
      </c>
      <c r="G1172" s="5">
        <v>7714</v>
      </c>
      <c r="H1172" s="6">
        <f t="shared" si="85"/>
        <v>5.0141822725185041E-3</v>
      </c>
      <c r="I1172" s="6">
        <f t="shared" si="86"/>
        <v>0.36774247914384428</v>
      </c>
      <c r="J1172" s="6">
        <f t="shared" si="87"/>
        <v>0.58426115276831025</v>
      </c>
      <c r="K1172" s="6">
        <f t="shared" si="88"/>
        <v>1.8439278197750696E-3</v>
      </c>
      <c r="L1172" s="6">
        <f t="shared" si="89"/>
        <v>2.929591914732087E-3</v>
      </c>
    </row>
    <row r="1173" spans="1:12" ht="22.95" customHeight="1">
      <c r="A1173" s="5">
        <v>7</v>
      </c>
      <c r="B1173" s="7" t="s">
        <v>163</v>
      </c>
      <c r="C1173" s="7" t="s">
        <v>303</v>
      </c>
      <c r="D1173" s="5">
        <v>157</v>
      </c>
      <c r="E1173" s="5">
        <v>183</v>
      </c>
      <c r="F1173" s="5">
        <v>79</v>
      </c>
      <c r="G1173" s="5">
        <v>124</v>
      </c>
      <c r="H1173" s="6">
        <f t="shared" si="85"/>
        <v>6.6337458227471563E-5</v>
      </c>
      <c r="I1173" s="6">
        <f t="shared" si="86"/>
        <v>0.50318471337579618</v>
      </c>
      <c r="J1173" s="6">
        <f t="shared" si="87"/>
        <v>0.67759562841530052</v>
      </c>
      <c r="K1173" s="6">
        <f t="shared" si="88"/>
        <v>3.3379994904269131E-5</v>
      </c>
      <c r="L1173" s="6">
        <f t="shared" si="89"/>
        <v>4.494997169511734E-5</v>
      </c>
    </row>
    <row r="1174" spans="1:12" ht="22.95" customHeight="1">
      <c r="A1174" s="5">
        <v>7</v>
      </c>
      <c r="B1174" s="7" t="s">
        <v>214</v>
      </c>
      <c r="C1174" s="7" t="s">
        <v>303</v>
      </c>
      <c r="D1174" s="5">
        <v>17</v>
      </c>
      <c r="E1174" s="5">
        <v>4</v>
      </c>
      <c r="F1174" s="5">
        <v>13</v>
      </c>
      <c r="G1174" s="5">
        <v>3</v>
      </c>
      <c r="H1174" s="6">
        <f t="shared" si="85"/>
        <v>7.1830368781338641E-6</v>
      </c>
      <c r="I1174" s="6">
        <f t="shared" si="86"/>
        <v>0.76470588235294112</v>
      </c>
      <c r="J1174" s="6">
        <f t="shared" si="87"/>
        <v>0.75</v>
      </c>
      <c r="K1174" s="6">
        <f t="shared" si="88"/>
        <v>5.4929105538670721E-6</v>
      </c>
      <c r="L1174" s="6">
        <f t="shared" si="89"/>
        <v>5.3872776586003983E-6</v>
      </c>
    </row>
    <row r="1175" spans="1:12" ht="22.95" customHeight="1">
      <c r="A1175" s="5">
        <v>7</v>
      </c>
      <c r="B1175" s="7" t="s">
        <v>138</v>
      </c>
      <c r="C1175" s="7" t="s">
        <v>303</v>
      </c>
      <c r="D1175" s="5">
        <v>300</v>
      </c>
      <c r="E1175" s="5">
        <v>304</v>
      </c>
      <c r="F1175" s="5">
        <v>159</v>
      </c>
      <c r="G1175" s="5">
        <v>185</v>
      </c>
      <c r="H1175" s="6">
        <f t="shared" si="85"/>
        <v>1.2675947432000937E-4</v>
      </c>
      <c r="I1175" s="6">
        <f t="shared" si="86"/>
        <v>0.53</v>
      </c>
      <c r="J1175" s="6">
        <f t="shared" si="87"/>
        <v>0.60855263157894735</v>
      </c>
      <c r="K1175" s="6">
        <f t="shared" si="88"/>
        <v>6.7182521389604974E-5</v>
      </c>
      <c r="L1175" s="6">
        <f t="shared" si="89"/>
        <v>7.7139811675005699E-5</v>
      </c>
    </row>
    <row r="1176" spans="1:12" ht="22.95" customHeight="1">
      <c r="A1176" s="5">
        <v>7</v>
      </c>
      <c r="B1176" s="7" t="s">
        <v>168</v>
      </c>
      <c r="C1176" s="7" t="s">
        <v>303</v>
      </c>
      <c r="D1176" s="5">
        <v>158</v>
      </c>
      <c r="E1176" s="5">
        <v>184</v>
      </c>
      <c r="F1176" s="5">
        <v>93</v>
      </c>
      <c r="G1176" s="5">
        <v>124</v>
      </c>
      <c r="H1176" s="6">
        <f t="shared" si="85"/>
        <v>6.6759989808538262E-5</v>
      </c>
      <c r="I1176" s="6">
        <f t="shared" si="86"/>
        <v>0.58860759493670889</v>
      </c>
      <c r="J1176" s="6">
        <f t="shared" si="87"/>
        <v>0.67391304347826086</v>
      </c>
      <c r="K1176" s="6">
        <f t="shared" si="88"/>
        <v>3.9295437039202905E-5</v>
      </c>
      <c r="L1176" s="6">
        <f t="shared" si="89"/>
        <v>4.4990427914449698E-5</v>
      </c>
    </row>
    <row r="1177" spans="1:12" ht="22.95" customHeight="1">
      <c r="A1177" s="5">
        <v>7</v>
      </c>
      <c r="B1177" s="7" t="s">
        <v>165</v>
      </c>
      <c r="C1177" s="7" t="s">
        <v>293</v>
      </c>
      <c r="D1177" s="5">
        <v>27</v>
      </c>
      <c r="E1177" s="5">
        <v>64</v>
      </c>
      <c r="F1177" s="5">
        <v>15</v>
      </c>
      <c r="G1177" s="5">
        <v>47</v>
      </c>
      <c r="H1177" s="6">
        <f t="shared" si="85"/>
        <v>1.1408352688800843E-5</v>
      </c>
      <c r="I1177" s="6">
        <f t="shared" si="86"/>
        <v>0.55555555555555558</v>
      </c>
      <c r="J1177" s="6">
        <f t="shared" si="87"/>
        <v>0.734375</v>
      </c>
      <c r="K1177" s="6">
        <f t="shared" si="88"/>
        <v>6.3379737160004685E-6</v>
      </c>
      <c r="L1177" s="6">
        <f t="shared" si="89"/>
        <v>8.3780090058381184E-6</v>
      </c>
    </row>
    <row r="1178" spans="1:12" ht="22.95" customHeight="1">
      <c r="A1178" s="5">
        <v>7</v>
      </c>
      <c r="B1178" s="7" t="s">
        <v>149</v>
      </c>
      <c r="C1178" s="7" t="s">
        <v>295</v>
      </c>
      <c r="D1178" s="5">
        <v>132</v>
      </c>
      <c r="E1178" s="5">
        <v>159</v>
      </c>
      <c r="F1178" s="5">
        <v>78</v>
      </c>
      <c r="G1178" s="5">
        <v>124</v>
      </c>
      <c r="H1178" s="6">
        <f t="shared" si="85"/>
        <v>5.5774168700804118E-5</v>
      </c>
      <c r="I1178" s="6">
        <f t="shared" si="86"/>
        <v>0.59090909090909094</v>
      </c>
      <c r="J1178" s="6">
        <f t="shared" si="87"/>
        <v>0.77987421383647804</v>
      </c>
      <c r="K1178" s="6">
        <f t="shared" si="88"/>
        <v>3.2957463323202432E-5</v>
      </c>
      <c r="L1178" s="6">
        <f t="shared" si="89"/>
        <v>4.3496835967922712E-5</v>
      </c>
    </row>
    <row r="1179" spans="1:12" ht="22.95" customHeight="1">
      <c r="A1179" s="5">
        <v>7</v>
      </c>
      <c r="B1179" s="7" t="s">
        <v>278</v>
      </c>
      <c r="C1179" s="7" t="s">
        <v>292</v>
      </c>
      <c r="D1179" s="5">
        <v>3289</v>
      </c>
      <c r="E1179" s="5">
        <v>2225</v>
      </c>
      <c r="F1179" s="5">
        <v>2518</v>
      </c>
      <c r="G1179" s="5">
        <v>1674</v>
      </c>
      <c r="H1179" s="6">
        <f t="shared" si="85"/>
        <v>1.3897063701283692E-3</v>
      </c>
      <c r="I1179" s="6">
        <f t="shared" si="86"/>
        <v>0.76558224384311346</v>
      </c>
      <c r="J1179" s="6">
        <f t="shared" si="87"/>
        <v>0.75235955056179771</v>
      </c>
      <c r="K1179" s="6">
        <f t="shared" si="88"/>
        <v>1.0639345211259452E-3</v>
      </c>
      <c r="L1179" s="6">
        <f t="shared" si="89"/>
        <v>1.0455588600426472E-3</v>
      </c>
    </row>
    <row r="1180" spans="1:12" ht="22.95" customHeight="1">
      <c r="A1180" s="5">
        <v>7</v>
      </c>
      <c r="B1180" s="7" t="s">
        <v>127</v>
      </c>
      <c r="C1180" s="7" t="s">
        <v>293</v>
      </c>
      <c r="D1180" s="5">
        <v>568</v>
      </c>
      <c r="E1180" s="5">
        <v>714</v>
      </c>
      <c r="F1180" s="5">
        <v>306</v>
      </c>
      <c r="G1180" s="5">
        <v>494</v>
      </c>
      <c r="H1180" s="6">
        <f t="shared" si="85"/>
        <v>2.3999793804588439E-4</v>
      </c>
      <c r="I1180" s="6">
        <f t="shared" si="86"/>
        <v>0.53873239436619713</v>
      </c>
      <c r="J1180" s="6">
        <f t="shared" si="87"/>
        <v>0.6918767507002801</v>
      </c>
      <c r="K1180" s="6">
        <f t="shared" si="88"/>
        <v>1.2929466380640954E-4</v>
      </c>
      <c r="L1180" s="6">
        <f t="shared" si="89"/>
        <v>1.6604899354995362E-4</v>
      </c>
    </row>
    <row r="1181" spans="1:12" ht="22.95" customHeight="1">
      <c r="A1181" s="5">
        <v>7</v>
      </c>
      <c r="B1181" s="7" t="s">
        <v>96</v>
      </c>
      <c r="C1181" s="7" t="s">
        <v>290</v>
      </c>
      <c r="D1181" s="5">
        <v>3519</v>
      </c>
      <c r="E1181" s="5">
        <v>4380</v>
      </c>
      <c r="F1181" s="5">
        <v>1211</v>
      </c>
      <c r="G1181" s="5">
        <v>2714</v>
      </c>
      <c r="H1181" s="6">
        <f t="shared" si="85"/>
        <v>1.4868886337737097E-3</v>
      </c>
      <c r="I1181" s="6">
        <f t="shared" si="86"/>
        <v>0.34413185564080706</v>
      </c>
      <c r="J1181" s="6">
        <f t="shared" si="87"/>
        <v>0.61963470319634706</v>
      </c>
      <c r="K1181" s="6">
        <f t="shared" si="88"/>
        <v>5.1168574467177108E-4</v>
      </c>
      <c r="L1181" s="6">
        <f t="shared" si="89"/>
        <v>9.2132779727439461E-4</v>
      </c>
    </row>
    <row r="1182" spans="1:12" ht="22.95" customHeight="1">
      <c r="A1182" s="5">
        <v>7</v>
      </c>
      <c r="B1182" s="7" t="s">
        <v>115</v>
      </c>
      <c r="C1182" s="7" t="s">
        <v>294</v>
      </c>
      <c r="D1182" s="5">
        <v>646</v>
      </c>
      <c r="E1182" s="5">
        <v>512</v>
      </c>
      <c r="F1182" s="5">
        <v>381</v>
      </c>
      <c r="G1182" s="5">
        <v>268</v>
      </c>
      <c r="H1182" s="6">
        <f t="shared" ref="H1182:H1245" si="90">D1182/$B$16</f>
        <v>2.729554013690868E-4</v>
      </c>
      <c r="I1182" s="6">
        <f t="shared" ref="I1182:I1245" si="91">F1182/D1182</f>
        <v>0.58978328173374617</v>
      </c>
      <c r="J1182" s="6">
        <f t="shared" ref="J1182:J1245" si="92">G1182/E1182</f>
        <v>0.5234375</v>
      </c>
      <c r="K1182" s="6">
        <f t="shared" ref="K1182:K1245" si="93">H1182*I1182</f>
        <v>1.6098453238641189E-4</v>
      </c>
      <c r="L1182" s="6">
        <f t="shared" ref="L1182:L1245" si="94">H1182*J1182</f>
        <v>1.4287509290413137E-4</v>
      </c>
    </row>
    <row r="1183" spans="1:12" ht="22.95" customHeight="1">
      <c r="A1183" s="5">
        <v>7</v>
      </c>
      <c r="B1183" s="7" t="s">
        <v>93</v>
      </c>
      <c r="C1183" s="7" t="s">
        <v>294</v>
      </c>
      <c r="D1183" s="5">
        <v>1</v>
      </c>
      <c r="E1183" s="5">
        <v>1892</v>
      </c>
      <c r="F1183" s="5">
        <v>0</v>
      </c>
      <c r="G1183" s="5">
        <v>813</v>
      </c>
      <c r="H1183" s="6">
        <f t="shared" si="90"/>
        <v>4.2253158106669789E-7</v>
      </c>
      <c r="I1183" s="6">
        <f t="shared" si="91"/>
        <v>0</v>
      </c>
      <c r="J1183" s="6">
        <f t="shared" si="92"/>
        <v>0.42970401691331922</v>
      </c>
      <c r="K1183" s="6">
        <f t="shared" si="93"/>
        <v>0</v>
      </c>
      <c r="L1183" s="6">
        <f t="shared" si="94"/>
        <v>1.8156351765709586E-7</v>
      </c>
    </row>
    <row r="1184" spans="1:12" ht="22.95" customHeight="1">
      <c r="A1184" s="5">
        <v>7</v>
      </c>
      <c r="B1184" s="7" t="s">
        <v>256</v>
      </c>
      <c r="C1184" s="7" t="s">
        <v>294</v>
      </c>
      <c r="D1184" s="5">
        <v>118</v>
      </c>
      <c r="E1184" s="5">
        <v>94</v>
      </c>
      <c r="F1184" s="5">
        <v>40</v>
      </c>
      <c r="G1184" s="5">
        <v>35</v>
      </c>
      <c r="H1184" s="6">
        <f t="shared" si="90"/>
        <v>4.9858726565870351E-5</v>
      </c>
      <c r="I1184" s="6">
        <f t="shared" si="91"/>
        <v>0.33898305084745761</v>
      </c>
      <c r="J1184" s="6">
        <f t="shared" si="92"/>
        <v>0.37234042553191488</v>
      </c>
      <c r="K1184" s="6">
        <f t="shared" si="93"/>
        <v>1.6901263242667915E-5</v>
      </c>
      <c r="L1184" s="6">
        <f t="shared" si="94"/>
        <v>1.8564419466015556E-5</v>
      </c>
    </row>
    <row r="1185" spans="1:12" ht="22.95" customHeight="1">
      <c r="A1185" s="5">
        <v>7</v>
      </c>
      <c r="B1185" s="7" t="s">
        <v>277</v>
      </c>
      <c r="C1185" s="7" t="s">
        <v>294</v>
      </c>
      <c r="D1185" s="5">
        <v>15103</v>
      </c>
      <c r="E1185" s="5">
        <v>16261</v>
      </c>
      <c r="F1185" s="5">
        <v>4814</v>
      </c>
      <c r="G1185" s="5">
        <v>5840</v>
      </c>
      <c r="H1185" s="6">
        <f t="shared" si="90"/>
        <v>6.3814944688503385E-3</v>
      </c>
      <c r="I1185" s="6">
        <f t="shared" si="91"/>
        <v>0.31874462027411771</v>
      </c>
      <c r="J1185" s="6">
        <f t="shared" si="92"/>
        <v>0.35914150421253305</v>
      </c>
      <c r="K1185" s="6">
        <f t="shared" si="93"/>
        <v>2.0340670312550837E-3</v>
      </c>
      <c r="L1185" s="6">
        <f t="shared" si="94"/>
        <v>2.2918595226668701E-3</v>
      </c>
    </row>
    <row r="1186" spans="1:12" ht="22.95" customHeight="1">
      <c r="A1186" s="5">
        <v>7</v>
      </c>
      <c r="B1186" s="7" t="s">
        <v>225</v>
      </c>
      <c r="C1186" s="7" t="s">
        <v>291</v>
      </c>
      <c r="D1186" s="5">
        <v>4</v>
      </c>
      <c r="E1186" s="5">
        <v>2</v>
      </c>
      <c r="F1186" s="5">
        <v>4</v>
      </c>
      <c r="G1186" s="5">
        <v>2</v>
      </c>
      <c r="H1186" s="6">
        <f t="shared" si="90"/>
        <v>1.6901263242667916E-6</v>
      </c>
      <c r="I1186" s="6">
        <f t="shared" si="91"/>
        <v>1</v>
      </c>
      <c r="J1186" s="6">
        <f t="shared" si="92"/>
        <v>1</v>
      </c>
      <c r="K1186" s="6">
        <f t="shared" si="93"/>
        <v>1.6901263242667916E-6</v>
      </c>
      <c r="L1186" s="6">
        <f t="shared" si="94"/>
        <v>1.6901263242667916E-6</v>
      </c>
    </row>
    <row r="1187" spans="1:12" ht="22.95" customHeight="1">
      <c r="A1187" s="5">
        <v>7</v>
      </c>
      <c r="B1187" s="7" t="s">
        <v>201</v>
      </c>
      <c r="C1187" s="7" t="s">
        <v>303</v>
      </c>
      <c r="D1187" s="5">
        <v>4</v>
      </c>
      <c r="E1187" s="5">
        <v>2</v>
      </c>
      <c r="F1187" s="5">
        <v>4</v>
      </c>
      <c r="G1187" s="5">
        <v>0</v>
      </c>
      <c r="H1187" s="6">
        <f t="shared" si="90"/>
        <v>1.6901263242667916E-6</v>
      </c>
      <c r="I1187" s="6">
        <f t="shared" si="91"/>
        <v>1</v>
      </c>
      <c r="J1187" s="6">
        <f t="shared" si="92"/>
        <v>0</v>
      </c>
      <c r="K1187" s="6">
        <f t="shared" si="93"/>
        <v>1.6901263242667916E-6</v>
      </c>
      <c r="L1187" s="6">
        <f t="shared" si="94"/>
        <v>0</v>
      </c>
    </row>
    <row r="1188" spans="1:12" ht="22.95" customHeight="1">
      <c r="A1188" s="5">
        <v>7</v>
      </c>
      <c r="B1188" s="7" t="s">
        <v>128</v>
      </c>
      <c r="C1188" s="7" t="s">
        <v>293</v>
      </c>
      <c r="D1188" s="5">
        <v>155</v>
      </c>
      <c r="E1188" s="5">
        <v>360</v>
      </c>
      <c r="F1188" s="5">
        <v>56</v>
      </c>
      <c r="G1188" s="5">
        <v>166</v>
      </c>
      <c r="H1188" s="6">
        <f t="shared" si="90"/>
        <v>6.5492395065338166E-5</v>
      </c>
      <c r="I1188" s="6">
        <f t="shared" si="91"/>
        <v>0.36129032258064514</v>
      </c>
      <c r="J1188" s="6">
        <f t="shared" si="92"/>
        <v>0.46111111111111114</v>
      </c>
      <c r="K1188" s="6">
        <f t="shared" si="93"/>
        <v>2.3661768539735079E-5</v>
      </c>
      <c r="L1188" s="6">
        <f t="shared" si="94"/>
        <v>3.0199271057905935E-5</v>
      </c>
    </row>
    <row r="1189" spans="1:12" ht="22.95" customHeight="1">
      <c r="A1189" s="5">
        <v>7</v>
      </c>
      <c r="B1189" s="7" t="s">
        <v>218</v>
      </c>
      <c r="C1189" s="7" t="s">
        <v>303</v>
      </c>
      <c r="D1189" s="5">
        <v>1</v>
      </c>
      <c r="E1189" s="5">
        <v>2</v>
      </c>
      <c r="F1189" s="5">
        <v>1</v>
      </c>
      <c r="G1189" s="5">
        <v>2</v>
      </c>
      <c r="H1189" s="6">
        <f t="shared" si="90"/>
        <v>4.2253158106669789E-7</v>
      </c>
      <c r="I1189" s="6">
        <f t="shared" si="91"/>
        <v>1</v>
      </c>
      <c r="J1189" s="6">
        <f t="shared" si="92"/>
        <v>1</v>
      </c>
      <c r="K1189" s="6">
        <f t="shared" si="93"/>
        <v>4.2253158106669789E-7</v>
      </c>
      <c r="L1189" s="6">
        <f t="shared" si="94"/>
        <v>4.2253158106669789E-7</v>
      </c>
    </row>
    <row r="1190" spans="1:12" ht="22.95" customHeight="1">
      <c r="A1190" s="5">
        <v>8</v>
      </c>
      <c r="B1190" s="7" t="s">
        <v>172</v>
      </c>
      <c r="C1190" s="7" t="s">
        <v>296</v>
      </c>
      <c r="D1190" s="5">
        <v>3</v>
      </c>
      <c r="E1190" s="5">
        <v>29</v>
      </c>
      <c r="F1190" s="5">
        <v>0</v>
      </c>
      <c r="G1190" s="5">
        <v>0</v>
      </c>
      <c r="H1190" s="6">
        <f t="shared" si="90"/>
        <v>1.2675947432000936E-6</v>
      </c>
      <c r="I1190" s="6">
        <f t="shared" si="91"/>
        <v>0</v>
      </c>
      <c r="J1190" s="6">
        <f t="shared" si="92"/>
        <v>0</v>
      </c>
      <c r="K1190" s="6">
        <f t="shared" si="93"/>
        <v>0</v>
      </c>
      <c r="L1190" s="6">
        <f t="shared" si="94"/>
        <v>0</v>
      </c>
    </row>
    <row r="1191" spans="1:12" ht="22.95" customHeight="1">
      <c r="A1191" s="5">
        <v>8</v>
      </c>
      <c r="B1191" s="7" t="s">
        <v>112</v>
      </c>
      <c r="C1191" s="7" t="s">
        <v>290</v>
      </c>
      <c r="D1191" s="5">
        <v>1916</v>
      </c>
      <c r="E1191" s="5">
        <v>2500</v>
      </c>
      <c r="F1191" s="5">
        <v>468</v>
      </c>
      <c r="G1191" s="5">
        <v>1316</v>
      </c>
      <c r="H1191" s="6">
        <f t="shared" si="90"/>
        <v>8.0957050932379312E-4</v>
      </c>
      <c r="I1191" s="6">
        <f t="shared" si="91"/>
        <v>0.24425887265135698</v>
      </c>
      <c r="J1191" s="6">
        <f t="shared" si="92"/>
        <v>0.52639999999999998</v>
      </c>
      <c r="K1191" s="6">
        <f t="shared" si="93"/>
        <v>1.9774477993921461E-4</v>
      </c>
      <c r="L1191" s="6">
        <f t="shared" si="94"/>
        <v>4.2615791610804465E-4</v>
      </c>
    </row>
    <row r="1192" spans="1:12" ht="22.95" customHeight="1">
      <c r="A1192" s="5">
        <v>8</v>
      </c>
      <c r="B1192" s="7" t="s">
        <v>179</v>
      </c>
      <c r="C1192" s="7" t="s">
        <v>292</v>
      </c>
      <c r="D1192" s="5">
        <v>220</v>
      </c>
      <c r="E1192" s="5">
        <v>197</v>
      </c>
      <c r="F1192" s="5">
        <v>153</v>
      </c>
      <c r="G1192" s="5">
        <v>141</v>
      </c>
      <c r="H1192" s="6">
        <f t="shared" si="90"/>
        <v>9.2956947834673537E-5</v>
      </c>
      <c r="I1192" s="6">
        <f t="shared" si="91"/>
        <v>0.69545454545454544</v>
      </c>
      <c r="J1192" s="6">
        <f t="shared" si="92"/>
        <v>0.71573604060913709</v>
      </c>
      <c r="K1192" s="6">
        <f t="shared" si="93"/>
        <v>6.4647331903204782E-5</v>
      </c>
      <c r="L1192" s="6">
        <f t="shared" si="94"/>
        <v>6.653263779029934E-5</v>
      </c>
    </row>
    <row r="1193" spans="1:12" ht="22.95" customHeight="1">
      <c r="A1193" s="5">
        <v>8</v>
      </c>
      <c r="B1193" s="7" t="s">
        <v>113</v>
      </c>
      <c r="C1193" s="7" t="s">
        <v>295</v>
      </c>
      <c r="D1193" s="5">
        <v>6452</v>
      </c>
      <c r="E1193" s="5">
        <v>6815</v>
      </c>
      <c r="F1193" s="5">
        <v>3065</v>
      </c>
      <c r="G1193" s="5">
        <v>3982</v>
      </c>
      <c r="H1193" s="6">
        <f t="shared" si="90"/>
        <v>2.7261737610423348E-3</v>
      </c>
      <c r="I1193" s="6">
        <f t="shared" si="91"/>
        <v>0.4750464972101674</v>
      </c>
      <c r="J1193" s="6">
        <f t="shared" si="92"/>
        <v>0.58429933969185621</v>
      </c>
      <c r="K1193" s="6">
        <f t="shared" si="93"/>
        <v>1.295059295969429E-3</v>
      </c>
      <c r="L1193" s="6">
        <f t="shared" si="94"/>
        <v>1.5929015284623005E-3</v>
      </c>
    </row>
    <row r="1194" spans="1:12" ht="22.95" customHeight="1">
      <c r="A1194" s="5">
        <v>8</v>
      </c>
      <c r="B1194" s="7" t="s">
        <v>262</v>
      </c>
      <c r="C1194" s="7" t="s">
        <v>294</v>
      </c>
      <c r="D1194" s="5">
        <v>1110</v>
      </c>
      <c r="E1194" s="5">
        <v>1141</v>
      </c>
      <c r="F1194" s="5">
        <v>878</v>
      </c>
      <c r="G1194" s="5">
        <v>879</v>
      </c>
      <c r="H1194" s="6">
        <f t="shared" si="90"/>
        <v>4.6901005498403464E-4</v>
      </c>
      <c r="I1194" s="6">
        <f t="shared" si="91"/>
        <v>0.79099099099099102</v>
      </c>
      <c r="J1194" s="6">
        <f t="shared" si="92"/>
        <v>0.77037686240140224</v>
      </c>
      <c r="K1194" s="6">
        <f t="shared" si="93"/>
        <v>3.7098272817656072E-4</v>
      </c>
      <c r="L1194" s="6">
        <f t="shared" si="94"/>
        <v>3.6131449459330978E-4</v>
      </c>
    </row>
    <row r="1195" spans="1:12" ht="22.95" customHeight="1">
      <c r="A1195" s="5">
        <v>8</v>
      </c>
      <c r="B1195" s="7" t="s">
        <v>237</v>
      </c>
      <c r="C1195" s="7" t="s">
        <v>303</v>
      </c>
      <c r="D1195" s="5">
        <v>9</v>
      </c>
      <c r="E1195" s="5">
        <v>19</v>
      </c>
      <c r="F1195" s="5">
        <v>7</v>
      </c>
      <c r="G1195" s="5">
        <v>17</v>
      </c>
      <c r="H1195" s="6">
        <f t="shared" si="90"/>
        <v>3.8027842296002809E-6</v>
      </c>
      <c r="I1195" s="6">
        <f t="shared" si="91"/>
        <v>0.77777777777777779</v>
      </c>
      <c r="J1195" s="6">
        <f t="shared" si="92"/>
        <v>0.89473684210526316</v>
      </c>
      <c r="K1195" s="6">
        <f t="shared" si="93"/>
        <v>2.9577210674668854E-6</v>
      </c>
      <c r="L1195" s="6">
        <f t="shared" si="94"/>
        <v>3.4024911528002514E-6</v>
      </c>
    </row>
    <row r="1196" spans="1:12" ht="22.95" customHeight="1">
      <c r="A1196" s="5">
        <v>8</v>
      </c>
      <c r="B1196" s="7" t="s">
        <v>148</v>
      </c>
      <c r="C1196" s="7" t="s">
        <v>293</v>
      </c>
      <c r="D1196" s="5">
        <v>453</v>
      </c>
      <c r="E1196" s="5">
        <v>436</v>
      </c>
      <c r="F1196" s="5">
        <v>211</v>
      </c>
      <c r="G1196" s="5">
        <v>202</v>
      </c>
      <c r="H1196" s="6">
        <f t="shared" si="90"/>
        <v>1.9140680622321414E-4</v>
      </c>
      <c r="I1196" s="6">
        <f t="shared" si="91"/>
        <v>0.46578366445916114</v>
      </c>
      <c r="J1196" s="6">
        <f t="shared" si="92"/>
        <v>0.46330275229357798</v>
      </c>
      <c r="K1196" s="6">
        <f t="shared" si="93"/>
        <v>8.9154163605073249E-5</v>
      </c>
      <c r="L1196" s="6">
        <f t="shared" si="94"/>
        <v>8.8679300130938666E-5</v>
      </c>
    </row>
    <row r="1197" spans="1:12" ht="22.95" customHeight="1">
      <c r="A1197" s="5">
        <v>8</v>
      </c>
      <c r="B1197" s="7" t="s">
        <v>132</v>
      </c>
      <c r="C1197" s="7" t="s">
        <v>295</v>
      </c>
      <c r="D1197" s="5">
        <v>970</v>
      </c>
      <c r="E1197" s="5">
        <v>1073</v>
      </c>
      <c r="F1197" s="5">
        <v>661</v>
      </c>
      <c r="G1197" s="5">
        <v>750</v>
      </c>
      <c r="H1197" s="6">
        <f t="shared" si="90"/>
        <v>4.0985563363469694E-4</v>
      </c>
      <c r="I1197" s="6">
        <f t="shared" si="91"/>
        <v>0.68144329896907219</v>
      </c>
      <c r="J1197" s="6">
        <f t="shared" si="92"/>
        <v>0.69897483690587137</v>
      </c>
      <c r="K1197" s="6">
        <f t="shared" si="93"/>
        <v>2.792933750850873E-4</v>
      </c>
      <c r="L1197" s="6">
        <f t="shared" si="94"/>
        <v>2.8647877467476488E-4</v>
      </c>
    </row>
    <row r="1198" spans="1:12" ht="22.95" customHeight="1">
      <c r="A1198" s="5">
        <v>8</v>
      </c>
      <c r="B1198" s="7" t="s">
        <v>164</v>
      </c>
      <c r="C1198" s="7" t="s">
        <v>303</v>
      </c>
      <c r="D1198" s="5">
        <v>49</v>
      </c>
      <c r="E1198" s="5">
        <v>54</v>
      </c>
      <c r="F1198" s="5">
        <v>11</v>
      </c>
      <c r="G1198" s="5">
        <v>16</v>
      </c>
      <c r="H1198" s="6">
        <f t="shared" si="90"/>
        <v>2.0704047472268196E-5</v>
      </c>
      <c r="I1198" s="6">
        <f t="shared" si="91"/>
        <v>0.22448979591836735</v>
      </c>
      <c r="J1198" s="6">
        <f t="shared" si="92"/>
        <v>0.29629629629629628</v>
      </c>
      <c r="K1198" s="6">
        <f t="shared" si="93"/>
        <v>4.6478473917336765E-6</v>
      </c>
      <c r="L1198" s="6">
        <f t="shared" si="94"/>
        <v>6.1345325843757615E-6</v>
      </c>
    </row>
    <row r="1199" spans="1:12" ht="22.95" customHeight="1">
      <c r="A1199" s="5">
        <v>8</v>
      </c>
      <c r="B1199" s="7" t="s">
        <v>199</v>
      </c>
      <c r="C1199" s="7" t="s">
        <v>296</v>
      </c>
      <c r="D1199" s="5">
        <v>53</v>
      </c>
      <c r="E1199" s="5">
        <v>42</v>
      </c>
      <c r="F1199" s="5">
        <v>0</v>
      </c>
      <c r="G1199" s="5">
        <v>0</v>
      </c>
      <c r="H1199" s="6">
        <f t="shared" si="90"/>
        <v>2.2394173796534987E-5</v>
      </c>
      <c r="I1199" s="6">
        <f t="shared" si="91"/>
        <v>0</v>
      </c>
      <c r="J1199" s="6">
        <f t="shared" si="92"/>
        <v>0</v>
      </c>
      <c r="K1199" s="6">
        <f t="shared" si="93"/>
        <v>0</v>
      </c>
      <c r="L1199" s="6">
        <f t="shared" si="94"/>
        <v>0</v>
      </c>
    </row>
    <row r="1200" spans="1:12" ht="22.95" customHeight="1">
      <c r="A1200" s="5">
        <v>8</v>
      </c>
      <c r="B1200" s="7" t="s">
        <v>196</v>
      </c>
      <c r="C1200" s="7" t="s">
        <v>303</v>
      </c>
      <c r="D1200" s="5">
        <v>25</v>
      </c>
      <c r="E1200" s="5">
        <v>27</v>
      </c>
      <c r="F1200" s="5">
        <v>10</v>
      </c>
      <c r="G1200" s="5">
        <v>16</v>
      </c>
      <c r="H1200" s="6">
        <f t="shared" si="90"/>
        <v>1.0563289526667447E-5</v>
      </c>
      <c r="I1200" s="6">
        <f t="shared" si="91"/>
        <v>0.4</v>
      </c>
      <c r="J1200" s="6">
        <f t="shared" si="92"/>
        <v>0.59259259259259256</v>
      </c>
      <c r="K1200" s="6">
        <f t="shared" si="93"/>
        <v>4.2253158106669787E-6</v>
      </c>
      <c r="L1200" s="6">
        <f t="shared" si="94"/>
        <v>6.2597271269140425E-6</v>
      </c>
    </row>
    <row r="1201" spans="1:12" ht="22.95" customHeight="1">
      <c r="A1201" s="5">
        <v>8</v>
      </c>
      <c r="B1201" s="7" t="s">
        <v>187</v>
      </c>
      <c r="C1201" s="7" t="s">
        <v>291</v>
      </c>
      <c r="D1201" s="5">
        <v>11</v>
      </c>
      <c r="E1201" s="5">
        <v>17</v>
      </c>
      <c r="F1201" s="5">
        <v>6</v>
      </c>
      <c r="G1201" s="5">
        <v>10</v>
      </c>
      <c r="H1201" s="6">
        <f t="shared" si="90"/>
        <v>4.6478473917336765E-6</v>
      </c>
      <c r="I1201" s="6">
        <f t="shared" si="91"/>
        <v>0.54545454545454541</v>
      </c>
      <c r="J1201" s="6">
        <f t="shared" si="92"/>
        <v>0.58823529411764708</v>
      </c>
      <c r="K1201" s="6">
        <f t="shared" si="93"/>
        <v>2.5351894864001871E-6</v>
      </c>
      <c r="L1201" s="6">
        <f t="shared" si="94"/>
        <v>2.734027877490398E-6</v>
      </c>
    </row>
    <row r="1202" spans="1:12" ht="22.95" customHeight="1">
      <c r="A1202" s="5">
        <v>8</v>
      </c>
      <c r="B1202" s="7" t="s">
        <v>167</v>
      </c>
      <c r="C1202" s="7" t="s">
        <v>291</v>
      </c>
      <c r="D1202" s="5">
        <v>57</v>
      </c>
      <c r="E1202" s="5">
        <v>65</v>
      </c>
      <c r="F1202" s="5">
        <v>43</v>
      </c>
      <c r="G1202" s="5">
        <v>48</v>
      </c>
      <c r="H1202" s="6">
        <f t="shared" si="90"/>
        <v>2.4084300120801778E-5</v>
      </c>
      <c r="I1202" s="6">
        <f t="shared" si="91"/>
        <v>0.75438596491228072</v>
      </c>
      <c r="J1202" s="6">
        <f t="shared" si="92"/>
        <v>0.7384615384615385</v>
      </c>
      <c r="K1202" s="6">
        <f t="shared" si="93"/>
        <v>1.8168857985868007E-5</v>
      </c>
      <c r="L1202" s="6">
        <f t="shared" si="94"/>
        <v>1.7785329319976698E-5</v>
      </c>
    </row>
    <row r="1203" spans="1:12" ht="22.95" customHeight="1">
      <c r="A1203" s="5">
        <v>8</v>
      </c>
      <c r="B1203" s="7" t="s">
        <v>89</v>
      </c>
      <c r="C1203" s="7" t="s">
        <v>295</v>
      </c>
      <c r="D1203" s="5">
        <v>13282</v>
      </c>
      <c r="E1203" s="5">
        <v>14636</v>
      </c>
      <c r="F1203" s="5">
        <v>5998</v>
      </c>
      <c r="G1203" s="5">
        <v>8824</v>
      </c>
      <c r="H1203" s="6">
        <f t="shared" si="90"/>
        <v>5.6120644597278816E-3</v>
      </c>
      <c r="I1203" s="6">
        <f t="shared" si="91"/>
        <v>0.4515886161722632</v>
      </c>
      <c r="J1203" s="6">
        <f t="shared" si="92"/>
        <v>0.60289696638425805</v>
      </c>
      <c r="K1203" s="6">
        <f t="shared" si="93"/>
        <v>2.534344423238054E-3</v>
      </c>
      <c r="L1203" s="6">
        <f t="shared" si="94"/>
        <v>3.3834966379228501E-3</v>
      </c>
    </row>
    <row r="1204" spans="1:12" ht="22.95" customHeight="1">
      <c r="A1204" s="5">
        <v>8</v>
      </c>
      <c r="B1204" s="7" t="s">
        <v>158</v>
      </c>
      <c r="C1204" s="7" t="s">
        <v>296</v>
      </c>
      <c r="D1204" s="5">
        <v>154</v>
      </c>
      <c r="E1204" s="5">
        <v>155</v>
      </c>
      <c r="F1204" s="5">
        <v>0</v>
      </c>
      <c r="G1204" s="5">
        <v>0</v>
      </c>
      <c r="H1204" s="6">
        <f t="shared" si="90"/>
        <v>6.5069863484271468E-5</v>
      </c>
      <c r="I1204" s="6">
        <f t="shared" si="91"/>
        <v>0</v>
      </c>
      <c r="J1204" s="6">
        <f t="shared" si="92"/>
        <v>0</v>
      </c>
      <c r="K1204" s="6">
        <f t="shared" si="93"/>
        <v>0</v>
      </c>
      <c r="L1204" s="6">
        <f t="shared" si="94"/>
        <v>0</v>
      </c>
    </row>
    <row r="1205" spans="1:12" ht="22.95" customHeight="1">
      <c r="A1205" s="5">
        <v>8</v>
      </c>
      <c r="B1205" s="7" t="s">
        <v>150</v>
      </c>
      <c r="C1205" s="7" t="s">
        <v>291</v>
      </c>
      <c r="D1205" s="5">
        <v>18</v>
      </c>
      <c r="E1205" s="5">
        <v>37</v>
      </c>
      <c r="F1205" s="5">
        <v>7</v>
      </c>
      <c r="G1205" s="5">
        <v>21</v>
      </c>
      <c r="H1205" s="6">
        <f t="shared" si="90"/>
        <v>7.6055684592005618E-6</v>
      </c>
      <c r="I1205" s="6">
        <f t="shared" si="91"/>
        <v>0.3888888888888889</v>
      </c>
      <c r="J1205" s="6">
        <f t="shared" si="92"/>
        <v>0.56756756756756754</v>
      </c>
      <c r="K1205" s="6">
        <f t="shared" si="93"/>
        <v>2.9577210674668854E-6</v>
      </c>
      <c r="L1205" s="6">
        <f t="shared" si="94"/>
        <v>4.3166739903570756E-6</v>
      </c>
    </row>
    <row r="1206" spans="1:12" ht="22.95" customHeight="1">
      <c r="A1206" s="5">
        <v>8</v>
      </c>
      <c r="B1206" s="7" t="s">
        <v>259</v>
      </c>
      <c r="C1206" s="7" t="s">
        <v>291</v>
      </c>
      <c r="D1206" s="5">
        <v>279</v>
      </c>
      <c r="E1206" s="5">
        <v>315</v>
      </c>
      <c r="F1206" s="5">
        <v>54</v>
      </c>
      <c r="G1206" s="5">
        <v>92</v>
      </c>
      <c r="H1206" s="6">
        <f t="shared" si="90"/>
        <v>1.178863111176087E-4</v>
      </c>
      <c r="I1206" s="6">
        <f t="shared" si="91"/>
        <v>0.19354838709677419</v>
      </c>
      <c r="J1206" s="6">
        <f t="shared" si="92"/>
        <v>0.29206349206349208</v>
      </c>
      <c r="K1206" s="6">
        <f t="shared" si="93"/>
        <v>2.2816705377601682E-5</v>
      </c>
      <c r="L1206" s="6">
        <f t="shared" si="94"/>
        <v>3.4430287691492069E-5</v>
      </c>
    </row>
    <row r="1207" spans="1:12" ht="22.95" customHeight="1">
      <c r="A1207" s="5">
        <v>8</v>
      </c>
      <c r="B1207" s="7" t="s">
        <v>198</v>
      </c>
      <c r="C1207" s="7" t="s">
        <v>303</v>
      </c>
      <c r="D1207" s="5">
        <v>5</v>
      </c>
      <c r="E1207" s="5">
        <v>3</v>
      </c>
      <c r="F1207" s="5">
        <v>3</v>
      </c>
      <c r="G1207" s="5">
        <v>3</v>
      </c>
      <c r="H1207" s="6">
        <f t="shared" si="90"/>
        <v>2.1126579053334894E-6</v>
      </c>
      <c r="I1207" s="6">
        <f t="shared" si="91"/>
        <v>0.6</v>
      </c>
      <c r="J1207" s="6">
        <f t="shared" si="92"/>
        <v>1</v>
      </c>
      <c r="K1207" s="6">
        <f t="shared" si="93"/>
        <v>1.2675947432000936E-6</v>
      </c>
      <c r="L1207" s="6">
        <f t="shared" si="94"/>
        <v>2.1126579053334894E-6</v>
      </c>
    </row>
    <row r="1208" spans="1:12" ht="22.95" customHeight="1">
      <c r="A1208" s="5">
        <v>8</v>
      </c>
      <c r="B1208" s="7" t="s">
        <v>102</v>
      </c>
      <c r="C1208" s="7" t="s">
        <v>296</v>
      </c>
      <c r="D1208" s="5">
        <v>2049</v>
      </c>
      <c r="E1208" s="5">
        <v>3335</v>
      </c>
      <c r="F1208" s="5">
        <v>0</v>
      </c>
      <c r="G1208" s="5">
        <v>0</v>
      </c>
      <c r="H1208" s="6">
        <f t="shared" si="90"/>
        <v>8.6576720960566391E-4</v>
      </c>
      <c r="I1208" s="6">
        <f t="shared" si="91"/>
        <v>0</v>
      </c>
      <c r="J1208" s="6">
        <f t="shared" si="92"/>
        <v>0</v>
      </c>
      <c r="K1208" s="6">
        <f t="shared" si="93"/>
        <v>0</v>
      </c>
      <c r="L1208" s="6">
        <f t="shared" si="94"/>
        <v>0</v>
      </c>
    </row>
    <row r="1209" spans="1:12" ht="22.95" customHeight="1">
      <c r="A1209" s="5">
        <v>8</v>
      </c>
      <c r="B1209" s="7" t="s">
        <v>131</v>
      </c>
      <c r="C1209" s="7" t="s">
        <v>291</v>
      </c>
      <c r="D1209" s="5">
        <v>104</v>
      </c>
      <c r="E1209" s="5">
        <v>97</v>
      </c>
      <c r="F1209" s="5">
        <v>61</v>
      </c>
      <c r="G1209" s="5">
        <v>60</v>
      </c>
      <c r="H1209" s="6">
        <f t="shared" si="90"/>
        <v>4.3943284430936577E-5</v>
      </c>
      <c r="I1209" s="6">
        <f t="shared" si="91"/>
        <v>0.58653846153846156</v>
      </c>
      <c r="J1209" s="6">
        <f t="shared" si="92"/>
        <v>0.61855670103092786</v>
      </c>
      <c r="K1209" s="6">
        <f t="shared" si="93"/>
        <v>2.5774426445068569E-5</v>
      </c>
      <c r="L1209" s="6">
        <f t="shared" si="94"/>
        <v>2.7181413050063861E-5</v>
      </c>
    </row>
    <row r="1210" spans="1:12" ht="22.95" customHeight="1">
      <c r="A1210" s="5">
        <v>8</v>
      </c>
      <c r="B1210" s="7" t="s">
        <v>177</v>
      </c>
      <c r="C1210" s="7" t="s">
        <v>291</v>
      </c>
      <c r="D1210" s="5">
        <v>23</v>
      </c>
      <c r="E1210" s="5">
        <v>37</v>
      </c>
      <c r="F1210" s="5">
        <v>20</v>
      </c>
      <c r="G1210" s="5">
        <v>26</v>
      </c>
      <c r="H1210" s="6">
        <f t="shared" si="90"/>
        <v>9.7182263645340516E-6</v>
      </c>
      <c r="I1210" s="6">
        <f t="shared" si="91"/>
        <v>0.86956521739130432</v>
      </c>
      <c r="J1210" s="6">
        <f t="shared" si="92"/>
        <v>0.70270270270270274</v>
      </c>
      <c r="K1210" s="6">
        <f t="shared" si="93"/>
        <v>8.4506316213339574E-6</v>
      </c>
      <c r="L1210" s="6">
        <f t="shared" si="94"/>
        <v>6.829023931834739E-6</v>
      </c>
    </row>
    <row r="1211" spans="1:12" ht="22.95" customHeight="1">
      <c r="A1211" s="5">
        <v>8</v>
      </c>
      <c r="B1211" s="7" t="s">
        <v>258</v>
      </c>
      <c r="C1211" s="7" t="s">
        <v>292</v>
      </c>
      <c r="D1211" s="5">
        <v>135</v>
      </c>
      <c r="E1211" s="5">
        <v>164</v>
      </c>
      <c r="F1211" s="5">
        <v>51</v>
      </c>
      <c r="G1211" s="5">
        <v>96</v>
      </c>
      <c r="H1211" s="6">
        <f t="shared" si="90"/>
        <v>5.7041763444004214E-5</v>
      </c>
      <c r="I1211" s="6">
        <f t="shared" si="91"/>
        <v>0.37777777777777777</v>
      </c>
      <c r="J1211" s="6">
        <f t="shared" si="92"/>
        <v>0.58536585365853655</v>
      </c>
      <c r="K1211" s="6">
        <f t="shared" si="93"/>
        <v>2.1549110634401593E-5</v>
      </c>
      <c r="L1211" s="6">
        <f t="shared" si="94"/>
        <v>3.3390300552587833E-5</v>
      </c>
    </row>
    <row r="1212" spans="1:12" ht="22.95" customHeight="1">
      <c r="A1212" s="5">
        <v>8</v>
      </c>
      <c r="B1212" s="7" t="s">
        <v>183</v>
      </c>
      <c r="C1212" s="7" t="s">
        <v>303</v>
      </c>
      <c r="D1212" s="5">
        <v>112</v>
      </c>
      <c r="E1212" s="5">
        <v>122</v>
      </c>
      <c r="F1212" s="5">
        <v>81</v>
      </c>
      <c r="G1212" s="5">
        <v>80</v>
      </c>
      <c r="H1212" s="6">
        <f t="shared" si="90"/>
        <v>4.7323537079470166E-5</v>
      </c>
      <c r="I1212" s="6">
        <f t="shared" si="91"/>
        <v>0.7232142857142857</v>
      </c>
      <c r="J1212" s="6">
        <f t="shared" si="92"/>
        <v>0.65573770491803274</v>
      </c>
      <c r="K1212" s="6">
        <f t="shared" si="93"/>
        <v>3.4225058066402528E-5</v>
      </c>
      <c r="L1212" s="6">
        <f t="shared" si="94"/>
        <v>3.1031827593095191E-5</v>
      </c>
    </row>
    <row r="1213" spans="1:12" ht="22.95" customHeight="1">
      <c r="A1213" s="5">
        <v>8</v>
      </c>
      <c r="B1213" s="7" t="s">
        <v>118</v>
      </c>
      <c r="C1213" s="7" t="s">
        <v>299</v>
      </c>
      <c r="D1213" s="5">
        <v>1753</v>
      </c>
      <c r="E1213" s="5">
        <v>2044</v>
      </c>
      <c r="F1213" s="5">
        <v>941</v>
      </c>
      <c r="G1213" s="5">
        <v>1158</v>
      </c>
      <c r="H1213" s="6">
        <f t="shared" si="90"/>
        <v>7.4069786160992134E-4</v>
      </c>
      <c r="I1213" s="6">
        <f t="shared" si="91"/>
        <v>0.53679406731317736</v>
      </c>
      <c r="J1213" s="6">
        <f t="shared" si="92"/>
        <v>0.56653620352250489</v>
      </c>
      <c r="K1213" s="6">
        <f t="shared" si="93"/>
        <v>3.9760221778376264E-4</v>
      </c>
      <c r="L1213" s="6">
        <f t="shared" si="94"/>
        <v>4.1963215447372257E-4</v>
      </c>
    </row>
    <row r="1214" spans="1:12" ht="22.95" customHeight="1">
      <c r="A1214" s="5">
        <v>8</v>
      </c>
      <c r="B1214" s="7" t="s">
        <v>178</v>
      </c>
      <c r="C1214" s="7" t="s">
        <v>303</v>
      </c>
      <c r="D1214" s="5">
        <v>11</v>
      </c>
      <c r="E1214" s="5">
        <v>8</v>
      </c>
      <c r="F1214" s="5">
        <v>6</v>
      </c>
      <c r="G1214" s="5">
        <v>7</v>
      </c>
      <c r="H1214" s="6">
        <f t="shared" si="90"/>
        <v>4.6478473917336765E-6</v>
      </c>
      <c r="I1214" s="6">
        <f t="shared" si="91"/>
        <v>0.54545454545454541</v>
      </c>
      <c r="J1214" s="6">
        <f t="shared" si="92"/>
        <v>0.875</v>
      </c>
      <c r="K1214" s="6">
        <f t="shared" si="93"/>
        <v>2.5351894864001871E-6</v>
      </c>
      <c r="L1214" s="6">
        <f t="shared" si="94"/>
        <v>4.0668664677669667E-6</v>
      </c>
    </row>
    <row r="1215" spans="1:12" ht="22.95" customHeight="1">
      <c r="A1215" s="5">
        <v>8</v>
      </c>
      <c r="B1215" s="7" t="s">
        <v>223</v>
      </c>
      <c r="C1215" s="7" t="s">
        <v>296</v>
      </c>
      <c r="D1215" s="5">
        <v>2</v>
      </c>
      <c r="E1215" s="5">
        <v>7</v>
      </c>
      <c r="F1215" s="5">
        <v>0</v>
      </c>
      <c r="G1215" s="5">
        <v>0</v>
      </c>
      <c r="H1215" s="6">
        <f t="shared" si="90"/>
        <v>8.4506316213339578E-7</v>
      </c>
      <c r="I1215" s="6">
        <f t="shared" si="91"/>
        <v>0</v>
      </c>
      <c r="J1215" s="6">
        <f t="shared" si="92"/>
        <v>0</v>
      </c>
      <c r="K1215" s="6">
        <f t="shared" si="93"/>
        <v>0</v>
      </c>
      <c r="L1215" s="6">
        <f t="shared" si="94"/>
        <v>0</v>
      </c>
    </row>
    <row r="1216" spans="1:12" ht="22.95" customHeight="1">
      <c r="A1216" s="5">
        <v>8</v>
      </c>
      <c r="B1216" s="7" t="s">
        <v>129</v>
      </c>
      <c r="C1216" s="7" t="s">
        <v>291</v>
      </c>
      <c r="D1216" s="5">
        <v>657</v>
      </c>
      <c r="E1216" s="5">
        <v>850</v>
      </c>
      <c r="F1216" s="5">
        <v>351</v>
      </c>
      <c r="G1216" s="5">
        <v>556</v>
      </c>
      <c r="H1216" s="6">
        <f t="shared" si="90"/>
        <v>2.776032487608205E-4</v>
      </c>
      <c r="I1216" s="6">
        <f t="shared" si="91"/>
        <v>0.53424657534246578</v>
      </c>
      <c r="J1216" s="6">
        <f t="shared" si="92"/>
        <v>0.65411764705882358</v>
      </c>
      <c r="K1216" s="6">
        <f t="shared" si="93"/>
        <v>1.4830858495441096E-4</v>
      </c>
      <c r="L1216" s="6">
        <f t="shared" si="94"/>
        <v>1.8158518389531318E-4</v>
      </c>
    </row>
    <row r="1217" spans="1:12" ht="22.95" customHeight="1">
      <c r="A1217" s="5">
        <v>8</v>
      </c>
      <c r="B1217" s="7" t="s">
        <v>100</v>
      </c>
      <c r="C1217" s="7" t="s">
        <v>290</v>
      </c>
      <c r="D1217" s="5">
        <v>3297</v>
      </c>
      <c r="E1217" s="5">
        <v>4392</v>
      </c>
      <c r="F1217" s="5">
        <v>890</v>
      </c>
      <c r="G1217" s="5">
        <v>2484</v>
      </c>
      <c r="H1217" s="6">
        <f t="shared" si="90"/>
        <v>1.3930866227769029E-3</v>
      </c>
      <c r="I1217" s="6">
        <f t="shared" si="91"/>
        <v>0.26994237185319986</v>
      </c>
      <c r="J1217" s="6">
        <f t="shared" si="92"/>
        <v>0.56557377049180324</v>
      </c>
      <c r="K1217" s="6">
        <f t="shared" si="93"/>
        <v>3.7605310714936111E-4</v>
      </c>
      <c r="L1217" s="6">
        <f t="shared" si="94"/>
        <v>7.8789325386562537E-4</v>
      </c>
    </row>
    <row r="1218" spans="1:12" ht="22.95" customHeight="1">
      <c r="A1218" s="5">
        <v>8</v>
      </c>
      <c r="B1218" s="7" t="s">
        <v>92</v>
      </c>
      <c r="C1218" s="7" t="s">
        <v>293</v>
      </c>
      <c r="D1218" s="5">
        <v>3300</v>
      </c>
      <c r="E1218" s="5">
        <v>4814</v>
      </c>
      <c r="F1218" s="5">
        <v>588</v>
      </c>
      <c r="G1218" s="5">
        <v>1461</v>
      </c>
      <c r="H1218" s="6">
        <f t="shared" si="90"/>
        <v>1.3943542175201031E-3</v>
      </c>
      <c r="I1218" s="6">
        <f t="shared" si="91"/>
        <v>0.17818181818181819</v>
      </c>
      <c r="J1218" s="6">
        <f t="shared" si="92"/>
        <v>0.30348982135438307</v>
      </c>
      <c r="K1218" s="6">
        <f t="shared" si="93"/>
        <v>2.4844856966721836E-4</v>
      </c>
      <c r="L1218" s="6">
        <f t="shared" si="94"/>
        <v>4.2317231237990664E-4</v>
      </c>
    </row>
    <row r="1219" spans="1:12" ht="22.95" customHeight="1">
      <c r="A1219" s="5">
        <v>8</v>
      </c>
      <c r="B1219" s="7" t="s">
        <v>173</v>
      </c>
      <c r="C1219" s="7" t="s">
        <v>303</v>
      </c>
      <c r="D1219" s="5">
        <v>180</v>
      </c>
      <c r="E1219" s="5">
        <v>141</v>
      </c>
      <c r="F1219" s="5">
        <v>109</v>
      </c>
      <c r="G1219" s="5">
        <v>79</v>
      </c>
      <c r="H1219" s="6">
        <f t="shared" si="90"/>
        <v>7.6055684592005618E-5</v>
      </c>
      <c r="I1219" s="6">
        <f t="shared" si="91"/>
        <v>0.60555555555555551</v>
      </c>
      <c r="J1219" s="6">
        <f t="shared" si="92"/>
        <v>0.56028368794326244</v>
      </c>
      <c r="K1219" s="6">
        <f t="shared" si="93"/>
        <v>4.6055942336270063E-5</v>
      </c>
      <c r="L1219" s="6">
        <f t="shared" si="94"/>
        <v>4.2612759452258471E-5</v>
      </c>
    </row>
    <row r="1220" spans="1:12" ht="22.95" customHeight="1">
      <c r="A1220" s="5">
        <v>8</v>
      </c>
      <c r="B1220" s="7" t="s">
        <v>233</v>
      </c>
      <c r="C1220" s="7" t="s">
        <v>292</v>
      </c>
      <c r="D1220" s="5">
        <v>1095</v>
      </c>
      <c r="E1220" s="5">
        <v>1074</v>
      </c>
      <c r="F1220" s="5">
        <v>396</v>
      </c>
      <c r="G1220" s="5">
        <v>414</v>
      </c>
      <c r="H1220" s="6">
        <f t="shared" si="90"/>
        <v>4.6267208126803415E-4</v>
      </c>
      <c r="I1220" s="6">
        <f t="shared" si="91"/>
        <v>0.36164383561643837</v>
      </c>
      <c r="J1220" s="6">
        <f t="shared" si="92"/>
        <v>0.38547486033519551</v>
      </c>
      <c r="K1220" s="6">
        <f t="shared" si="93"/>
        <v>1.6732250610241236E-4</v>
      </c>
      <c r="L1220" s="6">
        <f t="shared" si="94"/>
        <v>1.783484559077897E-4</v>
      </c>
    </row>
    <row r="1221" spans="1:12" ht="22.95" customHeight="1">
      <c r="A1221" s="5">
        <v>8</v>
      </c>
      <c r="B1221" s="7" t="s">
        <v>133</v>
      </c>
      <c r="C1221" s="7" t="s">
        <v>293</v>
      </c>
      <c r="D1221" s="5">
        <v>1329</v>
      </c>
      <c r="E1221" s="5">
        <v>1419</v>
      </c>
      <c r="F1221" s="5">
        <v>444</v>
      </c>
      <c r="G1221" s="5">
        <v>619</v>
      </c>
      <c r="H1221" s="6">
        <f t="shared" si="90"/>
        <v>5.6154447123764144E-4</v>
      </c>
      <c r="I1221" s="6">
        <f t="shared" si="91"/>
        <v>0.3340857787810384</v>
      </c>
      <c r="J1221" s="6">
        <f t="shared" si="92"/>
        <v>0.43622269203664554</v>
      </c>
      <c r="K1221" s="6">
        <f t="shared" si="93"/>
        <v>1.8760402199361387E-4</v>
      </c>
      <c r="L1221" s="6">
        <f t="shared" si="94"/>
        <v>2.4495844094157864E-4</v>
      </c>
    </row>
    <row r="1222" spans="1:12" ht="22.95" customHeight="1">
      <c r="A1222" s="5">
        <v>8</v>
      </c>
      <c r="B1222" s="7" t="s">
        <v>210</v>
      </c>
      <c r="C1222" s="7" t="s">
        <v>296</v>
      </c>
      <c r="D1222" s="5">
        <v>3</v>
      </c>
      <c r="E1222" s="5">
        <v>6</v>
      </c>
      <c r="F1222" s="5">
        <v>0</v>
      </c>
      <c r="G1222" s="5">
        <v>0</v>
      </c>
      <c r="H1222" s="6">
        <f t="shared" si="90"/>
        <v>1.2675947432000936E-6</v>
      </c>
      <c r="I1222" s="6">
        <f t="shared" si="91"/>
        <v>0</v>
      </c>
      <c r="J1222" s="6">
        <f t="shared" si="92"/>
        <v>0</v>
      </c>
      <c r="K1222" s="6">
        <f t="shared" si="93"/>
        <v>0</v>
      </c>
      <c r="L1222" s="6">
        <f t="shared" si="94"/>
        <v>0</v>
      </c>
    </row>
    <row r="1223" spans="1:12" ht="22.95" customHeight="1">
      <c r="A1223" s="5">
        <v>8</v>
      </c>
      <c r="B1223" s="7" t="s">
        <v>280</v>
      </c>
      <c r="C1223" s="7" t="s">
        <v>292</v>
      </c>
      <c r="D1223" s="5">
        <v>3836</v>
      </c>
      <c r="E1223" s="5">
        <v>3124</v>
      </c>
      <c r="F1223" s="5">
        <v>0</v>
      </c>
      <c r="G1223" s="5">
        <v>0</v>
      </c>
      <c r="H1223" s="6">
        <f t="shared" si="90"/>
        <v>1.620831144971853E-3</v>
      </c>
      <c r="I1223" s="6">
        <f t="shared" si="91"/>
        <v>0</v>
      </c>
      <c r="J1223" s="6">
        <f t="shared" si="92"/>
        <v>0</v>
      </c>
      <c r="K1223" s="6">
        <f t="shared" si="93"/>
        <v>0</v>
      </c>
      <c r="L1223" s="6">
        <f t="shared" si="94"/>
        <v>0</v>
      </c>
    </row>
    <row r="1224" spans="1:12" ht="22.95" customHeight="1">
      <c r="A1224" s="5">
        <v>8</v>
      </c>
      <c r="B1224" s="7" t="s">
        <v>98</v>
      </c>
      <c r="C1224" s="7" t="s">
        <v>292</v>
      </c>
      <c r="D1224" s="5">
        <v>6414</v>
      </c>
      <c r="E1224" s="5">
        <v>7153</v>
      </c>
      <c r="F1224" s="5">
        <v>2376</v>
      </c>
      <c r="G1224" s="5">
        <v>2844</v>
      </c>
      <c r="H1224" s="6">
        <f t="shared" si="90"/>
        <v>2.7101175609618002E-3</v>
      </c>
      <c r="I1224" s="6">
        <f t="shared" si="91"/>
        <v>0.37043966323666977</v>
      </c>
      <c r="J1224" s="6">
        <f t="shared" si="92"/>
        <v>0.3975954145113938</v>
      </c>
      <c r="K1224" s="6">
        <f t="shared" si="93"/>
        <v>1.0039350366144741E-3</v>
      </c>
      <c r="L1224" s="6">
        <f t="shared" si="94"/>
        <v>1.0775303150252144E-3</v>
      </c>
    </row>
    <row r="1225" spans="1:12" ht="22.95" customHeight="1">
      <c r="A1225" s="5">
        <v>8</v>
      </c>
      <c r="B1225" s="7" t="s">
        <v>231</v>
      </c>
      <c r="C1225" s="7" t="s">
        <v>295</v>
      </c>
      <c r="D1225" s="5">
        <v>18</v>
      </c>
      <c r="E1225" s="5">
        <v>17</v>
      </c>
      <c r="F1225" s="5">
        <v>15</v>
      </c>
      <c r="G1225" s="5">
        <v>15</v>
      </c>
      <c r="H1225" s="6">
        <f t="shared" si="90"/>
        <v>7.6055684592005618E-6</v>
      </c>
      <c r="I1225" s="6">
        <f t="shared" si="91"/>
        <v>0.83333333333333337</v>
      </c>
      <c r="J1225" s="6">
        <f t="shared" si="92"/>
        <v>0.88235294117647056</v>
      </c>
      <c r="K1225" s="6">
        <f t="shared" si="93"/>
        <v>6.3379737160004685E-6</v>
      </c>
      <c r="L1225" s="6">
        <f t="shared" si="94"/>
        <v>6.7107956992946132E-6</v>
      </c>
    </row>
    <row r="1226" spans="1:12" ht="22.95" customHeight="1">
      <c r="A1226" s="5">
        <v>8</v>
      </c>
      <c r="B1226" s="7" t="s">
        <v>263</v>
      </c>
      <c r="C1226" s="7" t="s">
        <v>295</v>
      </c>
      <c r="D1226" s="5">
        <v>662</v>
      </c>
      <c r="E1226" s="5">
        <v>590</v>
      </c>
      <c r="F1226" s="5">
        <v>527</v>
      </c>
      <c r="G1226" s="5">
        <v>478</v>
      </c>
      <c r="H1226" s="6">
        <f t="shared" si="90"/>
        <v>2.7971590666615398E-4</v>
      </c>
      <c r="I1226" s="6">
        <f t="shared" si="91"/>
        <v>0.79607250755287007</v>
      </c>
      <c r="J1226" s="6">
        <f t="shared" si="92"/>
        <v>0.81016949152542372</v>
      </c>
      <c r="K1226" s="6">
        <f t="shared" si="93"/>
        <v>2.2267414322214976E-4</v>
      </c>
      <c r="L1226" s="6">
        <f t="shared" si="94"/>
        <v>2.2661729387529086E-4</v>
      </c>
    </row>
    <row r="1227" spans="1:12" ht="22.95" customHeight="1">
      <c r="A1227" s="5">
        <v>8</v>
      </c>
      <c r="B1227" s="7" t="s">
        <v>242</v>
      </c>
      <c r="C1227" s="7" t="s">
        <v>303</v>
      </c>
      <c r="D1227" s="5">
        <v>26</v>
      </c>
      <c r="E1227" s="5">
        <v>38</v>
      </c>
      <c r="F1227" s="5">
        <v>4</v>
      </c>
      <c r="G1227" s="5">
        <v>12</v>
      </c>
      <c r="H1227" s="6">
        <f t="shared" si="90"/>
        <v>1.0985821107734144E-5</v>
      </c>
      <c r="I1227" s="6">
        <f t="shared" si="91"/>
        <v>0.15384615384615385</v>
      </c>
      <c r="J1227" s="6">
        <f t="shared" si="92"/>
        <v>0.31578947368421051</v>
      </c>
      <c r="K1227" s="6">
        <f t="shared" si="93"/>
        <v>1.6901263242667916E-6</v>
      </c>
      <c r="L1227" s="6">
        <f t="shared" si="94"/>
        <v>3.4692066656002559E-6</v>
      </c>
    </row>
    <row r="1228" spans="1:12" ht="22.95" customHeight="1">
      <c r="A1228" s="5">
        <v>8</v>
      </c>
      <c r="B1228" s="7" t="s">
        <v>283</v>
      </c>
      <c r="C1228" s="7" t="s">
        <v>295</v>
      </c>
      <c r="D1228" s="5">
        <v>5447</v>
      </c>
      <c r="E1228" s="5">
        <v>947</v>
      </c>
      <c r="F1228" s="5">
        <v>5326</v>
      </c>
      <c r="G1228" s="5">
        <v>853</v>
      </c>
      <c r="H1228" s="6">
        <f t="shared" si="90"/>
        <v>2.3015295220703033E-3</v>
      </c>
      <c r="I1228" s="6">
        <f t="shared" si="91"/>
        <v>0.97778593721314488</v>
      </c>
      <c r="J1228" s="6">
        <f t="shared" si="92"/>
        <v>0.90073917634635692</v>
      </c>
      <c r="K1228" s="6">
        <f t="shared" si="93"/>
        <v>2.2504032007612329E-3</v>
      </c>
      <c r="L1228" s="6">
        <f t="shared" si="94"/>
        <v>2.0730778060464297E-3</v>
      </c>
    </row>
    <row r="1229" spans="1:12" ht="22.95" customHeight="1">
      <c r="A1229" s="5">
        <v>8</v>
      </c>
      <c r="B1229" s="7" t="s">
        <v>147</v>
      </c>
      <c r="C1229" s="7" t="s">
        <v>292</v>
      </c>
      <c r="D1229" s="5">
        <v>169</v>
      </c>
      <c r="E1229" s="5">
        <v>276</v>
      </c>
      <c r="F1229" s="5">
        <v>101</v>
      </c>
      <c r="G1229" s="5">
        <v>198</v>
      </c>
      <c r="H1229" s="6">
        <f t="shared" si="90"/>
        <v>7.1407837200271947E-5</v>
      </c>
      <c r="I1229" s="6">
        <f t="shared" si="91"/>
        <v>0.59763313609467461</v>
      </c>
      <c r="J1229" s="6">
        <f t="shared" si="92"/>
        <v>0.71739130434782605</v>
      </c>
      <c r="K1229" s="6">
        <f t="shared" si="93"/>
        <v>4.2675689687736494E-5</v>
      </c>
      <c r="L1229" s="6">
        <f t="shared" si="94"/>
        <v>5.1227361469760309E-5</v>
      </c>
    </row>
    <row r="1230" spans="1:12" ht="22.95" customHeight="1">
      <c r="A1230" s="5">
        <v>8</v>
      </c>
      <c r="B1230" s="7" t="s">
        <v>252</v>
      </c>
      <c r="C1230" s="7" t="s">
        <v>291</v>
      </c>
      <c r="D1230" s="5">
        <v>52</v>
      </c>
      <c r="E1230" s="5">
        <v>46</v>
      </c>
      <c r="F1230" s="5">
        <v>23</v>
      </c>
      <c r="G1230" s="5">
        <v>20</v>
      </c>
      <c r="H1230" s="6">
        <f t="shared" si="90"/>
        <v>2.1971642215468288E-5</v>
      </c>
      <c r="I1230" s="6">
        <f t="shared" si="91"/>
        <v>0.44230769230769229</v>
      </c>
      <c r="J1230" s="6">
        <f t="shared" si="92"/>
        <v>0.43478260869565216</v>
      </c>
      <c r="K1230" s="6">
        <f t="shared" si="93"/>
        <v>9.7182263645340499E-6</v>
      </c>
      <c r="L1230" s="6">
        <f t="shared" si="94"/>
        <v>9.5528879197688208E-6</v>
      </c>
    </row>
    <row r="1231" spans="1:12" ht="22.95" customHeight="1">
      <c r="A1231" s="5">
        <v>8</v>
      </c>
      <c r="B1231" s="7" t="s">
        <v>103</v>
      </c>
      <c r="C1231" s="7" t="s">
        <v>290</v>
      </c>
      <c r="D1231" s="5">
        <v>2360</v>
      </c>
      <c r="E1231" s="5">
        <v>3127</v>
      </c>
      <c r="F1231" s="5">
        <v>672</v>
      </c>
      <c r="G1231" s="5">
        <v>1673</v>
      </c>
      <c r="H1231" s="6">
        <f t="shared" si="90"/>
        <v>9.9717453131740693E-4</v>
      </c>
      <c r="I1231" s="6">
        <f t="shared" si="91"/>
        <v>0.28474576271186441</v>
      </c>
      <c r="J1231" s="6">
        <f t="shared" si="92"/>
        <v>0.53501758874320438</v>
      </c>
      <c r="K1231" s="6">
        <f t="shared" si="93"/>
        <v>2.8394122247682094E-4</v>
      </c>
      <c r="L1231" s="6">
        <f t="shared" si="94"/>
        <v>5.33505913301574E-4</v>
      </c>
    </row>
    <row r="1232" spans="1:12" ht="22.95" customHeight="1">
      <c r="A1232" s="5">
        <v>8</v>
      </c>
      <c r="B1232" s="7" t="s">
        <v>140</v>
      </c>
      <c r="C1232" s="7" t="s">
        <v>290</v>
      </c>
      <c r="D1232" s="5">
        <v>140</v>
      </c>
      <c r="E1232" s="5">
        <v>241</v>
      </c>
      <c r="F1232" s="5">
        <v>85</v>
      </c>
      <c r="G1232" s="5">
        <v>171</v>
      </c>
      <c r="H1232" s="6">
        <f t="shared" si="90"/>
        <v>5.91544213493377E-5</v>
      </c>
      <c r="I1232" s="6">
        <f t="shared" si="91"/>
        <v>0.6071428571428571</v>
      </c>
      <c r="J1232" s="6">
        <f t="shared" si="92"/>
        <v>0.70954356846473032</v>
      </c>
      <c r="K1232" s="6">
        <f t="shared" si="93"/>
        <v>3.5915184390669316E-5</v>
      </c>
      <c r="L1232" s="6">
        <f t="shared" si="94"/>
        <v>4.1972639214675302E-5</v>
      </c>
    </row>
    <row r="1233" spans="1:12" ht="22.95" customHeight="1">
      <c r="A1233" s="5">
        <v>8</v>
      </c>
      <c r="B1233" s="7" t="s">
        <v>144</v>
      </c>
      <c r="C1233" s="7" t="s">
        <v>296</v>
      </c>
      <c r="D1233" s="5">
        <v>164</v>
      </c>
      <c r="E1233" s="5">
        <v>201</v>
      </c>
      <c r="F1233" s="5">
        <v>0</v>
      </c>
      <c r="G1233" s="5">
        <v>0</v>
      </c>
      <c r="H1233" s="6">
        <f t="shared" si="90"/>
        <v>6.9295179294938454E-5</v>
      </c>
      <c r="I1233" s="6">
        <f t="shared" si="91"/>
        <v>0</v>
      </c>
      <c r="J1233" s="6">
        <f t="shared" si="92"/>
        <v>0</v>
      </c>
      <c r="K1233" s="6">
        <f t="shared" si="93"/>
        <v>0</v>
      </c>
      <c r="L1233" s="6">
        <f t="shared" si="94"/>
        <v>0</v>
      </c>
    </row>
    <row r="1234" spans="1:12" ht="22.95" customHeight="1">
      <c r="A1234" s="5">
        <v>8</v>
      </c>
      <c r="B1234" s="7" t="s">
        <v>107</v>
      </c>
      <c r="C1234" s="7" t="s">
        <v>296</v>
      </c>
      <c r="D1234" s="5">
        <v>1797</v>
      </c>
      <c r="E1234" s="5">
        <v>2646</v>
      </c>
      <c r="F1234" s="5">
        <v>0</v>
      </c>
      <c r="G1234" s="5">
        <v>0</v>
      </c>
      <c r="H1234" s="6">
        <f t="shared" si="90"/>
        <v>7.5928925117685613E-4</v>
      </c>
      <c r="I1234" s="6">
        <f t="shared" si="91"/>
        <v>0</v>
      </c>
      <c r="J1234" s="6">
        <f t="shared" si="92"/>
        <v>0</v>
      </c>
      <c r="K1234" s="6">
        <f t="shared" si="93"/>
        <v>0</v>
      </c>
      <c r="L1234" s="6">
        <f t="shared" si="94"/>
        <v>0</v>
      </c>
    </row>
    <row r="1235" spans="1:12" ht="22.95" customHeight="1">
      <c r="A1235" s="5">
        <v>8</v>
      </c>
      <c r="B1235" s="7" t="s">
        <v>146</v>
      </c>
      <c r="C1235" s="7" t="s">
        <v>296</v>
      </c>
      <c r="D1235" s="5">
        <v>305</v>
      </c>
      <c r="E1235" s="5">
        <v>311</v>
      </c>
      <c r="F1235" s="5">
        <v>0</v>
      </c>
      <c r="G1235" s="5">
        <v>0</v>
      </c>
      <c r="H1235" s="6">
        <f t="shared" si="90"/>
        <v>1.2887213222534285E-4</v>
      </c>
      <c r="I1235" s="6">
        <f t="shared" si="91"/>
        <v>0</v>
      </c>
      <c r="J1235" s="6">
        <f t="shared" si="92"/>
        <v>0</v>
      </c>
      <c r="K1235" s="6">
        <f t="shared" si="93"/>
        <v>0</v>
      </c>
      <c r="L1235" s="6">
        <f t="shared" si="94"/>
        <v>0</v>
      </c>
    </row>
    <row r="1236" spans="1:12" ht="22.95" customHeight="1">
      <c r="A1236" s="5">
        <v>8</v>
      </c>
      <c r="B1236" s="7" t="s">
        <v>143</v>
      </c>
      <c r="C1236" s="7" t="s">
        <v>304</v>
      </c>
      <c r="D1236" s="5">
        <v>1437</v>
      </c>
      <c r="E1236" s="5">
        <v>792</v>
      </c>
      <c r="F1236" s="5">
        <v>496</v>
      </c>
      <c r="G1236" s="5">
        <v>285</v>
      </c>
      <c r="H1236" s="6">
        <f t="shared" si="90"/>
        <v>6.0717788199284484E-4</v>
      </c>
      <c r="I1236" s="6">
        <f t="shared" si="91"/>
        <v>0.3451635351426583</v>
      </c>
      <c r="J1236" s="6">
        <f t="shared" si="92"/>
        <v>0.35984848484848486</v>
      </c>
      <c r="K1236" s="6">
        <f t="shared" si="93"/>
        <v>2.0957566420908214E-4</v>
      </c>
      <c r="L1236" s="6">
        <f t="shared" si="94"/>
        <v>2.1849204086863737E-4</v>
      </c>
    </row>
    <row r="1237" spans="1:12" ht="22.95" customHeight="1">
      <c r="A1237" s="5">
        <v>8</v>
      </c>
      <c r="B1237" s="7" t="s">
        <v>143</v>
      </c>
      <c r="C1237" s="7" t="s">
        <v>295</v>
      </c>
      <c r="D1237" s="5">
        <v>3581</v>
      </c>
      <c r="E1237" s="5">
        <v>4198</v>
      </c>
      <c r="F1237" s="5">
        <v>1294</v>
      </c>
      <c r="G1237" s="5">
        <v>1521</v>
      </c>
      <c r="H1237" s="6">
        <f t="shared" si="90"/>
        <v>1.5130855917998452E-3</v>
      </c>
      <c r="I1237" s="6">
        <f t="shared" si="91"/>
        <v>0.36135157777157217</v>
      </c>
      <c r="J1237" s="6">
        <f t="shared" si="92"/>
        <v>0.36231538828013338</v>
      </c>
      <c r="K1237" s="6">
        <f t="shared" si="93"/>
        <v>5.4675586590030708E-4</v>
      </c>
      <c r="L1237" s="6">
        <f t="shared" si="94"/>
        <v>5.4821419369403628E-4</v>
      </c>
    </row>
    <row r="1238" spans="1:12" ht="22.95" customHeight="1">
      <c r="A1238" s="5">
        <v>8</v>
      </c>
      <c r="B1238" s="7" t="s">
        <v>106</v>
      </c>
      <c r="C1238" s="7" t="s">
        <v>290</v>
      </c>
      <c r="D1238" s="5">
        <v>2136</v>
      </c>
      <c r="E1238" s="5">
        <v>2718</v>
      </c>
      <c r="F1238" s="5">
        <v>609</v>
      </c>
      <c r="G1238" s="5">
        <v>1561</v>
      </c>
      <c r="H1238" s="6">
        <f t="shared" si="90"/>
        <v>9.0252745715846665E-4</v>
      </c>
      <c r="I1238" s="6">
        <f t="shared" si="91"/>
        <v>0.2851123595505618</v>
      </c>
      <c r="J1238" s="6">
        <f t="shared" si="92"/>
        <v>0.57431935246504784</v>
      </c>
      <c r="K1238" s="6">
        <f t="shared" si="93"/>
        <v>2.5732173286961902E-4</v>
      </c>
      <c r="L1238" s="6">
        <f t="shared" si="94"/>
        <v>5.1833898477717682E-4</v>
      </c>
    </row>
    <row r="1239" spans="1:12" ht="22.95" customHeight="1">
      <c r="A1239" s="5">
        <v>8</v>
      </c>
      <c r="B1239" s="7" t="s">
        <v>186</v>
      </c>
      <c r="C1239" s="7" t="s">
        <v>291</v>
      </c>
      <c r="D1239" s="5">
        <v>12</v>
      </c>
      <c r="E1239" s="5">
        <v>17</v>
      </c>
      <c r="F1239" s="5">
        <v>10</v>
      </c>
      <c r="G1239" s="5">
        <v>13</v>
      </c>
      <c r="H1239" s="6">
        <f t="shared" si="90"/>
        <v>5.0703789728003743E-6</v>
      </c>
      <c r="I1239" s="6">
        <f t="shared" si="91"/>
        <v>0.83333333333333337</v>
      </c>
      <c r="J1239" s="6">
        <f t="shared" si="92"/>
        <v>0.76470588235294112</v>
      </c>
      <c r="K1239" s="6">
        <f t="shared" si="93"/>
        <v>4.2253158106669787E-6</v>
      </c>
      <c r="L1239" s="6">
        <f t="shared" si="94"/>
        <v>3.8773486262591092E-6</v>
      </c>
    </row>
    <row r="1240" spans="1:12" ht="22.95" customHeight="1">
      <c r="A1240" s="5">
        <v>8</v>
      </c>
      <c r="B1240" s="7" t="s">
        <v>190</v>
      </c>
      <c r="C1240" s="7" t="s">
        <v>291</v>
      </c>
      <c r="D1240" s="5">
        <v>31</v>
      </c>
      <c r="E1240" s="5">
        <v>30</v>
      </c>
      <c r="F1240" s="5">
        <v>17</v>
      </c>
      <c r="G1240" s="5">
        <v>18</v>
      </c>
      <c r="H1240" s="6">
        <f t="shared" si="90"/>
        <v>1.3098479013067634E-5</v>
      </c>
      <c r="I1240" s="6">
        <f t="shared" si="91"/>
        <v>0.54838709677419351</v>
      </c>
      <c r="J1240" s="6">
        <f t="shared" si="92"/>
        <v>0.6</v>
      </c>
      <c r="K1240" s="6">
        <f t="shared" si="93"/>
        <v>7.1830368781338632E-6</v>
      </c>
      <c r="L1240" s="6">
        <f t="shared" si="94"/>
        <v>7.8590874078405807E-6</v>
      </c>
    </row>
    <row r="1241" spans="1:12" ht="22.95" customHeight="1">
      <c r="A1241" s="5">
        <v>8</v>
      </c>
      <c r="B1241" s="7" t="s">
        <v>124</v>
      </c>
      <c r="C1241" s="7" t="s">
        <v>303</v>
      </c>
      <c r="D1241" s="5">
        <v>1238</v>
      </c>
      <c r="E1241" s="5">
        <v>1452</v>
      </c>
      <c r="F1241" s="5">
        <v>609</v>
      </c>
      <c r="G1241" s="5">
        <v>740</v>
      </c>
      <c r="H1241" s="6">
        <f t="shared" si="90"/>
        <v>5.2309409736057196E-4</v>
      </c>
      <c r="I1241" s="6">
        <f t="shared" si="91"/>
        <v>0.49192245557350567</v>
      </c>
      <c r="J1241" s="6">
        <f t="shared" si="92"/>
        <v>0.50964187327823696</v>
      </c>
      <c r="K1241" s="6">
        <f t="shared" si="93"/>
        <v>2.5732173286961902E-4</v>
      </c>
      <c r="L1241" s="6">
        <f t="shared" si="94"/>
        <v>2.6659065567963036E-4</v>
      </c>
    </row>
    <row r="1242" spans="1:12" ht="22.95" customHeight="1">
      <c r="A1242" s="5">
        <v>8</v>
      </c>
      <c r="B1242" s="7" t="s">
        <v>170</v>
      </c>
      <c r="C1242" s="7" t="s">
        <v>303</v>
      </c>
      <c r="D1242" s="5">
        <v>248</v>
      </c>
      <c r="E1242" s="5">
        <v>279</v>
      </c>
      <c r="F1242" s="5">
        <v>141</v>
      </c>
      <c r="G1242" s="5">
        <v>175</v>
      </c>
      <c r="H1242" s="6">
        <f t="shared" si="90"/>
        <v>1.0478783210454107E-4</v>
      </c>
      <c r="I1242" s="6">
        <f t="shared" si="91"/>
        <v>0.56854838709677424</v>
      </c>
      <c r="J1242" s="6">
        <f t="shared" si="92"/>
        <v>0.62724014336917566</v>
      </c>
      <c r="K1242" s="6">
        <f t="shared" si="93"/>
        <v>5.9576952930404406E-5</v>
      </c>
      <c r="L1242" s="6">
        <f t="shared" si="94"/>
        <v>6.5727134832597455E-5</v>
      </c>
    </row>
    <row r="1243" spans="1:12" ht="22.95" customHeight="1">
      <c r="A1243" s="5">
        <v>8</v>
      </c>
      <c r="B1243" s="7" t="s">
        <v>125</v>
      </c>
      <c r="C1243" s="7" t="s">
        <v>298</v>
      </c>
      <c r="D1243" s="5">
        <v>1400</v>
      </c>
      <c r="E1243" s="5">
        <v>1649</v>
      </c>
      <c r="F1243" s="5">
        <v>960</v>
      </c>
      <c r="G1243" s="5">
        <v>1265</v>
      </c>
      <c r="H1243" s="6">
        <f t="shared" si="90"/>
        <v>5.91544213493377E-4</v>
      </c>
      <c r="I1243" s="6">
        <f t="shared" si="91"/>
        <v>0.68571428571428572</v>
      </c>
      <c r="J1243" s="6">
        <f t="shared" si="92"/>
        <v>0.76713159490600369</v>
      </c>
      <c r="K1243" s="6">
        <f t="shared" si="93"/>
        <v>4.0563031782402993E-4</v>
      </c>
      <c r="L1243" s="6">
        <f t="shared" si="94"/>
        <v>4.5379225595459184E-4</v>
      </c>
    </row>
    <row r="1244" spans="1:12" ht="22.95" customHeight="1">
      <c r="A1244" s="5">
        <v>8</v>
      </c>
      <c r="B1244" s="7" t="s">
        <v>154</v>
      </c>
      <c r="C1244" s="7" t="s">
        <v>298</v>
      </c>
      <c r="D1244" s="5">
        <v>25</v>
      </c>
      <c r="E1244" s="5">
        <v>113</v>
      </c>
      <c r="F1244" s="5">
        <v>1</v>
      </c>
      <c r="G1244" s="5">
        <v>85</v>
      </c>
      <c r="H1244" s="6">
        <f t="shared" si="90"/>
        <v>1.0563289526667447E-5</v>
      </c>
      <c r="I1244" s="6">
        <f t="shared" si="91"/>
        <v>0.04</v>
      </c>
      <c r="J1244" s="6">
        <f t="shared" si="92"/>
        <v>0.75221238938053092</v>
      </c>
      <c r="K1244" s="6">
        <f t="shared" si="93"/>
        <v>4.2253158106669789E-7</v>
      </c>
      <c r="L1244" s="6">
        <f t="shared" si="94"/>
        <v>7.9458372545728577E-6</v>
      </c>
    </row>
    <row r="1245" spans="1:12" ht="22.95" customHeight="1">
      <c r="A1245" s="5">
        <v>8</v>
      </c>
      <c r="B1245" s="7" t="s">
        <v>246</v>
      </c>
      <c r="C1245" s="7" t="s">
        <v>298</v>
      </c>
      <c r="D1245" s="5">
        <v>6</v>
      </c>
      <c r="E1245" s="5">
        <v>6</v>
      </c>
      <c r="F1245" s="5">
        <v>2</v>
      </c>
      <c r="G1245" s="5">
        <v>1</v>
      </c>
      <c r="H1245" s="6">
        <f t="shared" si="90"/>
        <v>2.5351894864001871E-6</v>
      </c>
      <c r="I1245" s="6">
        <f t="shared" si="91"/>
        <v>0.33333333333333331</v>
      </c>
      <c r="J1245" s="6">
        <f t="shared" si="92"/>
        <v>0.16666666666666666</v>
      </c>
      <c r="K1245" s="6">
        <f t="shared" si="93"/>
        <v>8.4506316213339568E-7</v>
      </c>
      <c r="L1245" s="6">
        <f t="shared" si="94"/>
        <v>4.2253158106669784E-7</v>
      </c>
    </row>
    <row r="1246" spans="1:12" ht="22.95" customHeight="1">
      <c r="A1246" s="5">
        <v>8</v>
      </c>
      <c r="B1246" s="7" t="s">
        <v>95</v>
      </c>
      <c r="C1246" s="7" t="s">
        <v>290</v>
      </c>
      <c r="D1246" s="5">
        <v>2684</v>
      </c>
      <c r="E1246" s="5">
        <v>4460</v>
      </c>
      <c r="F1246" s="5">
        <v>879</v>
      </c>
      <c r="G1246" s="5">
        <v>2947</v>
      </c>
      <c r="H1246" s="6">
        <f t="shared" ref="H1246:H1309" si="95">D1246/$B$16</f>
        <v>1.134074763583017E-3</v>
      </c>
      <c r="I1246" s="6">
        <f t="shared" ref="I1246:I1309" si="96">F1246/D1246</f>
        <v>0.3274962742175857</v>
      </c>
      <c r="J1246" s="6">
        <f t="shared" ref="J1246:J1309" si="97">G1246/E1246</f>
        <v>0.66076233183856503</v>
      </c>
      <c r="K1246" s="6">
        <f t="shared" ref="K1246:K1309" si="98">H1246*I1246</f>
        <v>3.7140525975762741E-4</v>
      </c>
      <c r="L1246" s="6">
        <f t="shared" ref="L1246:L1309" si="99">H1246*J1246</f>
        <v>7.4935388526438363E-4</v>
      </c>
    </row>
    <row r="1247" spans="1:12" ht="22.95" customHeight="1">
      <c r="A1247" s="5">
        <v>8</v>
      </c>
      <c r="B1247" s="7" t="s">
        <v>105</v>
      </c>
      <c r="C1247" s="7" t="s">
        <v>296</v>
      </c>
      <c r="D1247" s="5">
        <v>3238</v>
      </c>
      <c r="E1247" s="5">
        <v>3940</v>
      </c>
      <c r="F1247" s="5">
        <v>0</v>
      </c>
      <c r="G1247" s="5">
        <v>0</v>
      </c>
      <c r="H1247" s="6">
        <f t="shared" si="95"/>
        <v>1.3681572594939678E-3</v>
      </c>
      <c r="I1247" s="6">
        <f t="shared" si="96"/>
        <v>0</v>
      </c>
      <c r="J1247" s="6">
        <f t="shared" si="97"/>
        <v>0</v>
      </c>
      <c r="K1247" s="6">
        <f t="shared" si="98"/>
        <v>0</v>
      </c>
      <c r="L1247" s="6">
        <f t="shared" si="99"/>
        <v>0</v>
      </c>
    </row>
    <row r="1248" spans="1:12" ht="22.95" customHeight="1">
      <c r="A1248" s="5">
        <v>8</v>
      </c>
      <c r="B1248" s="7" t="s">
        <v>268</v>
      </c>
      <c r="C1248" s="7" t="s">
        <v>292</v>
      </c>
      <c r="D1248" s="5">
        <v>1351</v>
      </c>
      <c r="E1248" s="5">
        <v>1552</v>
      </c>
      <c r="F1248" s="5">
        <v>0</v>
      </c>
      <c r="G1248" s="5">
        <v>0</v>
      </c>
      <c r="H1248" s="6">
        <f t="shared" si="95"/>
        <v>5.7084016602110884E-4</v>
      </c>
      <c r="I1248" s="6">
        <f t="shared" si="96"/>
        <v>0</v>
      </c>
      <c r="J1248" s="6">
        <f t="shared" si="97"/>
        <v>0</v>
      </c>
      <c r="K1248" s="6">
        <f t="shared" si="98"/>
        <v>0</v>
      </c>
      <c r="L1248" s="6">
        <f t="shared" si="99"/>
        <v>0</v>
      </c>
    </row>
    <row r="1249" spans="1:12" ht="22.95" customHeight="1">
      <c r="A1249" s="5">
        <v>8</v>
      </c>
      <c r="B1249" s="7" t="s">
        <v>268</v>
      </c>
      <c r="C1249" s="7" t="s">
        <v>295</v>
      </c>
      <c r="D1249" s="5">
        <v>63</v>
      </c>
      <c r="E1249" s="5">
        <v>100</v>
      </c>
      <c r="F1249" s="5">
        <v>47</v>
      </c>
      <c r="G1249" s="5">
        <v>90</v>
      </c>
      <c r="H1249" s="6">
        <f t="shared" si="95"/>
        <v>2.6619489607201966E-5</v>
      </c>
      <c r="I1249" s="6">
        <f t="shared" si="96"/>
        <v>0.74603174603174605</v>
      </c>
      <c r="J1249" s="6">
        <f t="shared" si="97"/>
        <v>0.9</v>
      </c>
      <c r="K1249" s="6">
        <f t="shared" si="98"/>
        <v>1.9858984310134802E-5</v>
      </c>
      <c r="L1249" s="6">
        <f t="shared" si="99"/>
        <v>2.3957540646481771E-5</v>
      </c>
    </row>
    <row r="1250" spans="1:12" ht="22.95" customHeight="1">
      <c r="A1250" s="5">
        <v>8</v>
      </c>
      <c r="B1250" s="7" t="s">
        <v>203</v>
      </c>
      <c r="C1250" s="7" t="s">
        <v>298</v>
      </c>
      <c r="D1250" s="5">
        <v>57</v>
      </c>
      <c r="E1250" s="5">
        <v>37</v>
      </c>
      <c r="F1250" s="5">
        <v>22</v>
      </c>
      <c r="G1250" s="5">
        <v>24</v>
      </c>
      <c r="H1250" s="6">
        <f t="shared" si="95"/>
        <v>2.4084300120801778E-5</v>
      </c>
      <c r="I1250" s="6">
        <f t="shared" si="96"/>
        <v>0.38596491228070173</v>
      </c>
      <c r="J1250" s="6">
        <f t="shared" si="97"/>
        <v>0.64864864864864868</v>
      </c>
      <c r="K1250" s="6">
        <f t="shared" si="98"/>
        <v>9.295694783467353E-6</v>
      </c>
      <c r="L1250" s="6">
        <f t="shared" si="99"/>
        <v>1.5622248727006558E-5</v>
      </c>
    </row>
    <row r="1251" spans="1:12" ht="22.95" customHeight="1">
      <c r="A1251" s="5">
        <v>8</v>
      </c>
      <c r="B1251" s="7" t="s">
        <v>244</v>
      </c>
      <c r="C1251" s="7" t="s">
        <v>298</v>
      </c>
      <c r="D1251" s="5">
        <v>4</v>
      </c>
      <c r="E1251" s="5">
        <v>3</v>
      </c>
      <c r="F1251" s="5">
        <v>1</v>
      </c>
      <c r="G1251" s="5">
        <v>0</v>
      </c>
      <c r="H1251" s="6">
        <f t="shared" si="95"/>
        <v>1.6901263242667916E-6</v>
      </c>
      <c r="I1251" s="6">
        <f t="shared" si="96"/>
        <v>0.25</v>
      </c>
      <c r="J1251" s="6">
        <f t="shared" si="97"/>
        <v>0</v>
      </c>
      <c r="K1251" s="6">
        <f t="shared" si="98"/>
        <v>4.2253158106669789E-7</v>
      </c>
      <c r="L1251" s="6">
        <f t="shared" si="99"/>
        <v>0</v>
      </c>
    </row>
    <row r="1252" spans="1:12" ht="22.95" customHeight="1">
      <c r="A1252" s="5">
        <v>8</v>
      </c>
      <c r="B1252" s="7" t="s">
        <v>87</v>
      </c>
      <c r="C1252" s="7" t="s">
        <v>290</v>
      </c>
      <c r="D1252" s="5">
        <v>2929</v>
      </c>
      <c r="E1252" s="5">
        <v>3682</v>
      </c>
      <c r="F1252" s="5">
        <v>1063</v>
      </c>
      <c r="G1252" s="5">
        <v>1485</v>
      </c>
      <c r="H1252" s="6">
        <f t="shared" si="95"/>
        <v>1.2375950009443581E-3</v>
      </c>
      <c r="I1252" s="6">
        <f t="shared" si="96"/>
        <v>0.36292249914646635</v>
      </c>
      <c r="J1252" s="6">
        <f t="shared" si="97"/>
        <v>0.40331341662140141</v>
      </c>
      <c r="K1252" s="6">
        <f t="shared" si="98"/>
        <v>4.4915107067389979E-4</v>
      </c>
      <c r="L1252" s="6">
        <f t="shared" si="99"/>
        <v>4.9913866822443552E-4</v>
      </c>
    </row>
    <row r="1253" spans="1:12" ht="22.95" customHeight="1">
      <c r="A1253" s="5">
        <v>8</v>
      </c>
      <c r="B1253" s="7" t="s">
        <v>255</v>
      </c>
      <c r="C1253" s="7" t="s">
        <v>303</v>
      </c>
      <c r="D1253" s="5">
        <v>87</v>
      </c>
      <c r="E1253" s="5">
        <v>66</v>
      </c>
      <c r="F1253" s="5">
        <v>48</v>
      </c>
      <c r="G1253" s="5">
        <v>30</v>
      </c>
      <c r="H1253" s="6">
        <f t="shared" si="95"/>
        <v>3.6760247552802713E-5</v>
      </c>
      <c r="I1253" s="6">
        <f t="shared" si="96"/>
        <v>0.55172413793103448</v>
      </c>
      <c r="J1253" s="6">
        <f t="shared" si="97"/>
        <v>0.45454545454545453</v>
      </c>
      <c r="K1253" s="6">
        <f t="shared" si="98"/>
        <v>2.0281515891201497E-5</v>
      </c>
      <c r="L1253" s="6">
        <f t="shared" si="99"/>
        <v>1.6709203433092141E-5</v>
      </c>
    </row>
    <row r="1254" spans="1:12" ht="22.95" customHeight="1">
      <c r="A1254" s="5">
        <v>8</v>
      </c>
      <c r="B1254" s="7" t="s">
        <v>114</v>
      </c>
      <c r="C1254" s="7" t="s">
        <v>291</v>
      </c>
      <c r="D1254" s="5">
        <v>165</v>
      </c>
      <c r="E1254" s="5">
        <v>299</v>
      </c>
      <c r="F1254" s="5">
        <v>85</v>
      </c>
      <c r="G1254" s="5">
        <v>224</v>
      </c>
      <c r="H1254" s="6">
        <f t="shared" si="95"/>
        <v>6.9717710876005153E-5</v>
      </c>
      <c r="I1254" s="6">
        <f t="shared" si="96"/>
        <v>0.51515151515151514</v>
      </c>
      <c r="J1254" s="6">
        <f t="shared" si="97"/>
        <v>0.74916387959866215</v>
      </c>
      <c r="K1254" s="6">
        <f t="shared" si="98"/>
        <v>3.5915184390669323E-5</v>
      </c>
      <c r="L1254" s="6">
        <f t="shared" si="99"/>
        <v>5.2229990756605864E-5</v>
      </c>
    </row>
    <row r="1255" spans="1:12" ht="22.95" customHeight="1">
      <c r="A1255" s="5">
        <v>8</v>
      </c>
      <c r="B1255" s="7" t="s">
        <v>114</v>
      </c>
      <c r="C1255" s="7" t="s">
        <v>292</v>
      </c>
      <c r="D1255" s="5">
        <v>77</v>
      </c>
      <c r="E1255" s="5">
        <v>63</v>
      </c>
      <c r="F1255" s="5">
        <v>44</v>
      </c>
      <c r="G1255" s="5">
        <v>48</v>
      </c>
      <c r="H1255" s="6">
        <f t="shared" si="95"/>
        <v>3.2534931742135734E-5</v>
      </c>
      <c r="I1255" s="6">
        <f t="shared" si="96"/>
        <v>0.5714285714285714</v>
      </c>
      <c r="J1255" s="6">
        <f t="shared" si="97"/>
        <v>0.76190476190476186</v>
      </c>
      <c r="K1255" s="6">
        <f t="shared" si="98"/>
        <v>1.8591389566934703E-5</v>
      </c>
      <c r="L1255" s="6">
        <f t="shared" si="99"/>
        <v>2.4788519422579605E-5</v>
      </c>
    </row>
    <row r="1256" spans="1:12" ht="22.95" customHeight="1">
      <c r="A1256" s="5">
        <v>8</v>
      </c>
      <c r="B1256" s="7" t="s">
        <v>249</v>
      </c>
      <c r="C1256" s="7" t="s">
        <v>291</v>
      </c>
      <c r="D1256" s="5">
        <v>11</v>
      </c>
      <c r="E1256" s="5">
        <v>2</v>
      </c>
      <c r="F1256" s="5">
        <v>5</v>
      </c>
      <c r="G1256" s="5">
        <v>2</v>
      </c>
      <c r="H1256" s="6">
        <f t="shared" si="95"/>
        <v>4.6478473917336765E-6</v>
      </c>
      <c r="I1256" s="6">
        <f t="shared" si="96"/>
        <v>0.45454545454545453</v>
      </c>
      <c r="J1256" s="6">
        <f t="shared" si="97"/>
        <v>1</v>
      </c>
      <c r="K1256" s="6">
        <f t="shared" si="98"/>
        <v>2.1126579053334894E-6</v>
      </c>
      <c r="L1256" s="6">
        <f t="shared" si="99"/>
        <v>4.6478473917336765E-6</v>
      </c>
    </row>
    <row r="1257" spans="1:12" ht="22.95" customHeight="1">
      <c r="A1257" s="5">
        <v>8</v>
      </c>
      <c r="B1257" s="7" t="s">
        <v>224</v>
      </c>
      <c r="C1257" s="7" t="s">
        <v>291</v>
      </c>
      <c r="D1257" s="5">
        <v>2</v>
      </c>
      <c r="E1257" s="5">
        <v>2</v>
      </c>
      <c r="F1257" s="5">
        <v>1</v>
      </c>
      <c r="G1257" s="5">
        <v>0</v>
      </c>
      <c r="H1257" s="6">
        <f t="shared" si="95"/>
        <v>8.4506316213339578E-7</v>
      </c>
      <c r="I1257" s="6">
        <f t="shared" si="96"/>
        <v>0.5</v>
      </c>
      <c r="J1257" s="6">
        <f t="shared" si="97"/>
        <v>0</v>
      </c>
      <c r="K1257" s="6">
        <f t="shared" si="98"/>
        <v>4.2253158106669789E-7</v>
      </c>
      <c r="L1257" s="6">
        <f t="shared" si="99"/>
        <v>0</v>
      </c>
    </row>
    <row r="1258" spans="1:12" ht="22.95" customHeight="1">
      <c r="A1258" s="5">
        <v>8</v>
      </c>
      <c r="B1258" s="7" t="s">
        <v>209</v>
      </c>
      <c r="C1258" s="7" t="s">
        <v>291</v>
      </c>
      <c r="D1258" s="5">
        <v>10</v>
      </c>
      <c r="E1258" s="5">
        <v>4</v>
      </c>
      <c r="F1258" s="5">
        <v>4</v>
      </c>
      <c r="G1258" s="5">
        <v>1</v>
      </c>
      <c r="H1258" s="6">
        <f t="shared" si="95"/>
        <v>4.2253158106669787E-6</v>
      </c>
      <c r="I1258" s="6">
        <f t="shared" si="96"/>
        <v>0.4</v>
      </c>
      <c r="J1258" s="6">
        <f t="shared" si="97"/>
        <v>0.25</v>
      </c>
      <c r="K1258" s="6">
        <f t="shared" si="98"/>
        <v>1.6901263242667916E-6</v>
      </c>
      <c r="L1258" s="6">
        <f t="shared" si="99"/>
        <v>1.0563289526667447E-6</v>
      </c>
    </row>
    <row r="1259" spans="1:12" ht="22.95" customHeight="1">
      <c r="A1259" s="5">
        <v>8</v>
      </c>
      <c r="B1259" s="7" t="s">
        <v>272</v>
      </c>
      <c r="C1259" s="7" t="s">
        <v>304</v>
      </c>
      <c r="D1259" s="5">
        <v>4646</v>
      </c>
      <c r="E1259" s="5">
        <v>3396</v>
      </c>
      <c r="F1259" s="5">
        <v>1406</v>
      </c>
      <c r="G1259" s="5">
        <v>2249</v>
      </c>
      <c r="H1259" s="6">
        <f t="shared" si="95"/>
        <v>1.9630817256358784E-3</v>
      </c>
      <c r="I1259" s="6">
        <f t="shared" si="96"/>
        <v>0.30262591476538958</v>
      </c>
      <c r="J1259" s="6">
        <f t="shared" si="97"/>
        <v>0.66224970553592466</v>
      </c>
      <c r="K1259" s="6">
        <f t="shared" si="98"/>
        <v>5.9407940297977722E-4</v>
      </c>
      <c r="L1259" s="6">
        <f t="shared" si="99"/>
        <v>1.3000502947453153E-3</v>
      </c>
    </row>
    <row r="1260" spans="1:12" ht="22.95" customHeight="1">
      <c r="A1260" s="5">
        <v>8</v>
      </c>
      <c r="B1260" s="7" t="s">
        <v>253</v>
      </c>
      <c r="C1260" s="7" t="s">
        <v>303</v>
      </c>
      <c r="D1260" s="5">
        <v>92</v>
      </c>
      <c r="E1260" s="5">
        <v>72</v>
      </c>
      <c r="F1260" s="5">
        <v>63</v>
      </c>
      <c r="G1260" s="5">
        <v>52</v>
      </c>
      <c r="H1260" s="6">
        <f t="shared" si="95"/>
        <v>3.8872905458136207E-5</v>
      </c>
      <c r="I1260" s="6">
        <f t="shared" si="96"/>
        <v>0.68478260869565222</v>
      </c>
      <c r="J1260" s="6">
        <f t="shared" si="97"/>
        <v>0.72222222222222221</v>
      </c>
      <c r="K1260" s="6">
        <f t="shared" si="98"/>
        <v>2.661948960720197E-5</v>
      </c>
      <c r="L1260" s="6">
        <f t="shared" si="99"/>
        <v>2.8074876164209482E-5</v>
      </c>
    </row>
    <row r="1261" spans="1:12" ht="22.95" customHeight="1">
      <c r="A1261" s="5">
        <v>8</v>
      </c>
      <c r="B1261" s="7" t="s">
        <v>241</v>
      </c>
      <c r="C1261" s="7" t="s">
        <v>303</v>
      </c>
      <c r="D1261" s="5">
        <v>13</v>
      </c>
      <c r="E1261" s="5">
        <v>21</v>
      </c>
      <c r="F1261" s="5">
        <v>8</v>
      </c>
      <c r="G1261" s="5">
        <v>15</v>
      </c>
      <c r="H1261" s="6">
        <f t="shared" si="95"/>
        <v>5.4929105538670721E-6</v>
      </c>
      <c r="I1261" s="6">
        <f t="shared" si="96"/>
        <v>0.61538461538461542</v>
      </c>
      <c r="J1261" s="6">
        <f t="shared" si="97"/>
        <v>0.7142857142857143</v>
      </c>
      <c r="K1261" s="6">
        <f t="shared" si="98"/>
        <v>3.3802526485335831E-6</v>
      </c>
      <c r="L1261" s="6">
        <f t="shared" si="99"/>
        <v>3.9235075384764804E-6</v>
      </c>
    </row>
    <row r="1262" spans="1:12" ht="22.95" customHeight="1">
      <c r="A1262" s="5">
        <v>8</v>
      </c>
      <c r="B1262" s="7" t="s">
        <v>271</v>
      </c>
      <c r="C1262" s="7" t="s">
        <v>292</v>
      </c>
      <c r="D1262" s="5">
        <v>3919</v>
      </c>
      <c r="E1262" s="5">
        <v>4042</v>
      </c>
      <c r="F1262" s="5">
        <v>1108</v>
      </c>
      <c r="G1262" s="5">
        <v>1242</v>
      </c>
      <c r="H1262" s="6">
        <f t="shared" si="95"/>
        <v>1.655901266200389E-3</v>
      </c>
      <c r="I1262" s="6">
        <f t="shared" si="96"/>
        <v>0.2827251849961725</v>
      </c>
      <c r="J1262" s="6">
        <f t="shared" si="97"/>
        <v>0.30727362691736765</v>
      </c>
      <c r="K1262" s="6">
        <f t="shared" si="98"/>
        <v>4.6816499182190127E-4</v>
      </c>
      <c r="L1262" s="6">
        <f t="shared" si="99"/>
        <v>5.0881478788245504E-4</v>
      </c>
    </row>
    <row r="1263" spans="1:12" ht="22.95" customHeight="1">
      <c r="A1263" s="5">
        <v>8</v>
      </c>
      <c r="B1263" s="7" t="s">
        <v>261</v>
      </c>
      <c r="C1263" s="7" t="s">
        <v>295</v>
      </c>
      <c r="D1263" s="5">
        <v>499</v>
      </c>
      <c r="E1263" s="5">
        <v>515</v>
      </c>
      <c r="F1263" s="5">
        <v>433</v>
      </c>
      <c r="G1263" s="5">
        <v>443</v>
      </c>
      <c r="H1263" s="6">
        <f t="shared" si="95"/>
        <v>2.1084325895228225E-4</v>
      </c>
      <c r="I1263" s="6">
        <f t="shared" si="96"/>
        <v>0.86773547094188375</v>
      </c>
      <c r="J1263" s="6">
        <f t="shared" si="97"/>
        <v>0.86019417475728155</v>
      </c>
      <c r="K1263" s="6">
        <f t="shared" si="98"/>
        <v>1.829561746018802E-4</v>
      </c>
      <c r="L1263" s="6">
        <f t="shared" si="99"/>
        <v>1.8136614313759425E-4</v>
      </c>
    </row>
    <row r="1264" spans="1:12" ht="22.95" customHeight="1">
      <c r="A1264" s="5">
        <v>8</v>
      </c>
      <c r="B1264" s="7" t="s">
        <v>88</v>
      </c>
      <c r="C1264" s="7" t="s">
        <v>295</v>
      </c>
      <c r="D1264" s="5">
        <v>47243</v>
      </c>
      <c r="E1264" s="5">
        <v>51216</v>
      </c>
      <c r="F1264" s="5">
        <v>20993</v>
      </c>
      <c r="G1264" s="5">
        <v>25027</v>
      </c>
      <c r="H1264" s="6">
        <f t="shared" si="95"/>
        <v>1.9961659484334007E-2</v>
      </c>
      <c r="I1264" s="6">
        <f t="shared" si="96"/>
        <v>0.44436212772262557</v>
      </c>
      <c r="J1264" s="6">
        <f t="shared" si="97"/>
        <v>0.48865588878475474</v>
      </c>
      <c r="K1264" s="6">
        <f t="shared" si="98"/>
        <v>8.8702054813331876E-3</v>
      </c>
      <c r="L1264" s="6">
        <f t="shared" si="99"/>
        <v>9.7543824569358631E-3</v>
      </c>
    </row>
    <row r="1265" spans="1:12" ht="22.95" customHeight="1">
      <c r="A1265" s="5">
        <v>8</v>
      </c>
      <c r="B1265" s="7" t="s">
        <v>153</v>
      </c>
      <c r="C1265" s="7" t="s">
        <v>292</v>
      </c>
      <c r="D1265" s="5">
        <v>417</v>
      </c>
      <c r="E1265" s="5">
        <v>387</v>
      </c>
      <c r="F1265" s="5">
        <v>388</v>
      </c>
      <c r="G1265" s="5">
        <v>366</v>
      </c>
      <c r="H1265" s="6">
        <f t="shared" si="95"/>
        <v>1.7619566930481302E-4</v>
      </c>
      <c r="I1265" s="6">
        <f t="shared" si="96"/>
        <v>0.9304556354916067</v>
      </c>
      <c r="J1265" s="6">
        <f t="shared" si="97"/>
        <v>0.94573643410852715</v>
      </c>
      <c r="K1265" s="6">
        <f t="shared" si="98"/>
        <v>1.6394225345387877E-4</v>
      </c>
      <c r="L1265" s="6">
        <f t="shared" si="99"/>
        <v>1.6663466399369914E-4</v>
      </c>
    </row>
    <row r="1266" spans="1:12" ht="22.95" customHeight="1">
      <c r="A1266" s="5">
        <v>8</v>
      </c>
      <c r="B1266" s="7" t="s">
        <v>137</v>
      </c>
      <c r="C1266" s="7" t="s">
        <v>293</v>
      </c>
      <c r="D1266" s="5">
        <v>606</v>
      </c>
      <c r="E1266" s="5">
        <v>594</v>
      </c>
      <c r="F1266" s="5">
        <v>129</v>
      </c>
      <c r="G1266" s="5">
        <v>151</v>
      </c>
      <c r="H1266" s="6">
        <f t="shared" si="95"/>
        <v>2.5605413812641891E-4</v>
      </c>
      <c r="I1266" s="6">
        <f t="shared" si="96"/>
        <v>0.21287128712871287</v>
      </c>
      <c r="J1266" s="6">
        <f t="shared" si="97"/>
        <v>0.25420875420875422</v>
      </c>
      <c r="K1266" s="6">
        <f t="shared" si="98"/>
        <v>5.4506573957604022E-5</v>
      </c>
      <c r="L1266" s="6">
        <f t="shared" si="99"/>
        <v>6.5091203463113224E-5</v>
      </c>
    </row>
    <row r="1267" spans="1:12" ht="22.95" customHeight="1">
      <c r="A1267" s="5">
        <v>8</v>
      </c>
      <c r="B1267" s="7" t="s">
        <v>247</v>
      </c>
      <c r="C1267" s="7" t="s">
        <v>292</v>
      </c>
      <c r="D1267" s="5">
        <v>3</v>
      </c>
      <c r="E1267" s="5">
        <v>3</v>
      </c>
      <c r="F1267" s="5">
        <v>0</v>
      </c>
      <c r="G1267" s="5">
        <v>0</v>
      </c>
      <c r="H1267" s="6">
        <f t="shared" si="95"/>
        <v>1.2675947432000936E-6</v>
      </c>
      <c r="I1267" s="6">
        <f t="shared" si="96"/>
        <v>0</v>
      </c>
      <c r="J1267" s="6">
        <f t="shared" si="97"/>
        <v>0</v>
      </c>
      <c r="K1267" s="6">
        <f t="shared" si="98"/>
        <v>0</v>
      </c>
      <c r="L1267" s="6">
        <f t="shared" si="99"/>
        <v>0</v>
      </c>
    </row>
    <row r="1268" spans="1:12" ht="22.95" customHeight="1">
      <c r="A1268" s="5">
        <v>8</v>
      </c>
      <c r="B1268" s="7" t="s">
        <v>119</v>
      </c>
      <c r="C1268" s="7" t="s">
        <v>303</v>
      </c>
      <c r="D1268" s="5">
        <v>697</v>
      </c>
      <c r="E1268" s="5">
        <v>946</v>
      </c>
      <c r="F1268" s="5">
        <v>254</v>
      </c>
      <c r="G1268" s="5">
        <v>448</v>
      </c>
      <c r="H1268" s="6">
        <f t="shared" si="95"/>
        <v>2.9450451200348845E-4</v>
      </c>
      <c r="I1268" s="6">
        <f t="shared" si="96"/>
        <v>0.36441893830703015</v>
      </c>
      <c r="J1268" s="6">
        <f t="shared" si="97"/>
        <v>0.47357293868921774</v>
      </c>
      <c r="K1268" s="6">
        <f t="shared" si="98"/>
        <v>1.0732302159094128E-4</v>
      </c>
      <c r="L1268" s="6">
        <f t="shared" si="99"/>
        <v>1.3946936720672602E-4</v>
      </c>
    </row>
    <row r="1269" spans="1:12" ht="22.95" customHeight="1">
      <c r="A1269" s="5">
        <v>8</v>
      </c>
      <c r="B1269" s="7" t="s">
        <v>159</v>
      </c>
      <c r="C1269" s="7" t="s">
        <v>303</v>
      </c>
      <c r="D1269" s="5">
        <v>47</v>
      </c>
      <c r="E1269" s="5">
        <v>79</v>
      </c>
      <c r="F1269" s="5">
        <v>18</v>
      </c>
      <c r="G1269" s="5">
        <v>43</v>
      </c>
      <c r="H1269" s="6">
        <f t="shared" si="95"/>
        <v>1.9858984310134802E-5</v>
      </c>
      <c r="I1269" s="6">
        <f t="shared" si="96"/>
        <v>0.38297872340425532</v>
      </c>
      <c r="J1269" s="6">
        <f t="shared" si="97"/>
        <v>0.54430379746835444</v>
      </c>
      <c r="K1269" s="6">
        <f t="shared" si="98"/>
        <v>7.6055684592005627E-6</v>
      </c>
      <c r="L1269" s="6">
        <f t="shared" si="99"/>
        <v>1.0809320573870842E-5</v>
      </c>
    </row>
    <row r="1270" spans="1:12" ht="22.95" customHeight="1">
      <c r="A1270" s="5">
        <v>8</v>
      </c>
      <c r="B1270" s="7" t="s">
        <v>145</v>
      </c>
      <c r="C1270" s="7" t="s">
        <v>294</v>
      </c>
      <c r="D1270" s="5">
        <v>74</v>
      </c>
      <c r="E1270" s="5">
        <v>127</v>
      </c>
      <c r="F1270" s="5">
        <v>30</v>
      </c>
      <c r="G1270" s="5">
        <v>79</v>
      </c>
      <c r="H1270" s="6">
        <f t="shared" si="95"/>
        <v>3.1267336998935645E-5</v>
      </c>
      <c r="I1270" s="6">
        <f t="shared" si="96"/>
        <v>0.40540540540540543</v>
      </c>
      <c r="J1270" s="6">
        <f t="shared" si="97"/>
        <v>0.62204724409448819</v>
      </c>
      <c r="K1270" s="6">
        <f t="shared" si="98"/>
        <v>1.2675947432000937E-5</v>
      </c>
      <c r="L1270" s="6">
        <f t="shared" si="99"/>
        <v>1.9449760810361542E-5</v>
      </c>
    </row>
    <row r="1271" spans="1:12" ht="22.95" customHeight="1">
      <c r="A1271" s="5">
        <v>8</v>
      </c>
      <c r="B1271" s="7" t="s">
        <v>232</v>
      </c>
      <c r="C1271" s="7" t="s">
        <v>292</v>
      </c>
      <c r="D1271" s="5">
        <v>4</v>
      </c>
      <c r="E1271" s="5">
        <v>6</v>
      </c>
      <c r="F1271" s="5">
        <v>1</v>
      </c>
      <c r="G1271" s="5">
        <v>4</v>
      </c>
      <c r="H1271" s="6">
        <f t="shared" si="95"/>
        <v>1.6901263242667916E-6</v>
      </c>
      <c r="I1271" s="6">
        <f t="shared" si="96"/>
        <v>0.25</v>
      </c>
      <c r="J1271" s="6">
        <f t="shared" si="97"/>
        <v>0.66666666666666663</v>
      </c>
      <c r="K1271" s="6">
        <f t="shared" si="98"/>
        <v>4.2253158106669789E-7</v>
      </c>
      <c r="L1271" s="6">
        <f t="shared" si="99"/>
        <v>1.1267508828445277E-6</v>
      </c>
    </row>
    <row r="1272" spans="1:12" ht="22.95" customHeight="1">
      <c r="A1272" s="5">
        <v>8</v>
      </c>
      <c r="B1272" s="7" t="s">
        <v>174</v>
      </c>
      <c r="C1272" s="7" t="s">
        <v>296</v>
      </c>
      <c r="D1272" s="5">
        <v>59</v>
      </c>
      <c r="E1272" s="5">
        <v>88</v>
      </c>
      <c r="F1272" s="5">
        <v>0</v>
      </c>
      <c r="G1272" s="5">
        <v>0</v>
      </c>
      <c r="H1272" s="6">
        <f t="shared" si="95"/>
        <v>2.4929363282935175E-5</v>
      </c>
      <c r="I1272" s="6">
        <f t="shared" si="96"/>
        <v>0</v>
      </c>
      <c r="J1272" s="6">
        <f t="shared" si="97"/>
        <v>0</v>
      </c>
      <c r="K1272" s="6">
        <f t="shared" si="98"/>
        <v>0</v>
      </c>
      <c r="L1272" s="6">
        <f t="shared" si="99"/>
        <v>0</v>
      </c>
    </row>
    <row r="1273" spans="1:12" ht="22.95" customHeight="1">
      <c r="A1273" s="5">
        <v>8</v>
      </c>
      <c r="B1273" s="7" t="s">
        <v>273</v>
      </c>
      <c r="C1273" s="7" t="s">
        <v>294</v>
      </c>
      <c r="D1273" s="5">
        <v>2780</v>
      </c>
      <c r="E1273" s="5">
        <v>1505</v>
      </c>
      <c r="F1273" s="5">
        <v>2181</v>
      </c>
      <c r="G1273" s="5">
        <v>1243</v>
      </c>
      <c r="H1273" s="6">
        <f t="shared" si="95"/>
        <v>1.1746377953654201E-3</v>
      </c>
      <c r="I1273" s="6">
        <f t="shared" si="96"/>
        <v>0.78453237410071941</v>
      </c>
      <c r="J1273" s="6">
        <f t="shared" si="97"/>
        <v>0.82591362126245849</v>
      </c>
      <c r="K1273" s="6">
        <f t="shared" si="98"/>
        <v>9.2154137830646808E-4</v>
      </c>
      <c r="L1273" s="6">
        <f t="shared" si="99"/>
        <v>9.7014935524200477E-4</v>
      </c>
    </row>
    <row r="1274" spans="1:12" ht="22.95" customHeight="1">
      <c r="A1274" s="5">
        <v>8</v>
      </c>
      <c r="B1274" s="7" t="s">
        <v>236</v>
      </c>
      <c r="C1274" s="7" t="s">
        <v>303</v>
      </c>
      <c r="D1274" s="5">
        <v>4</v>
      </c>
      <c r="E1274" s="5">
        <v>5</v>
      </c>
      <c r="F1274" s="5">
        <v>3</v>
      </c>
      <c r="G1274" s="5">
        <v>4</v>
      </c>
      <c r="H1274" s="6">
        <f t="shared" si="95"/>
        <v>1.6901263242667916E-6</v>
      </c>
      <c r="I1274" s="6">
        <f t="shared" si="96"/>
        <v>0.75</v>
      </c>
      <c r="J1274" s="6">
        <f t="shared" si="97"/>
        <v>0.8</v>
      </c>
      <c r="K1274" s="6">
        <f t="shared" si="98"/>
        <v>1.2675947432000938E-6</v>
      </c>
      <c r="L1274" s="6">
        <f t="shared" si="99"/>
        <v>1.3521010594134333E-6</v>
      </c>
    </row>
    <row r="1275" spans="1:12" ht="22.95" customHeight="1">
      <c r="A1275" s="5">
        <v>8</v>
      </c>
      <c r="B1275" s="7" t="s">
        <v>176</v>
      </c>
      <c r="C1275" s="7" t="s">
        <v>301</v>
      </c>
      <c r="D1275" s="5">
        <v>14</v>
      </c>
      <c r="E1275" s="5">
        <v>20</v>
      </c>
      <c r="F1275" s="5">
        <v>6</v>
      </c>
      <c r="G1275" s="5">
        <v>8</v>
      </c>
      <c r="H1275" s="6">
        <f t="shared" si="95"/>
        <v>5.9154421349337707E-6</v>
      </c>
      <c r="I1275" s="6">
        <f t="shared" si="96"/>
        <v>0.42857142857142855</v>
      </c>
      <c r="J1275" s="6">
        <f t="shared" si="97"/>
        <v>0.4</v>
      </c>
      <c r="K1275" s="6">
        <f t="shared" si="98"/>
        <v>2.5351894864001871E-6</v>
      </c>
      <c r="L1275" s="6">
        <f t="shared" si="99"/>
        <v>2.3661768539735086E-6</v>
      </c>
    </row>
    <row r="1276" spans="1:12" ht="22.95" customHeight="1">
      <c r="A1276" s="5">
        <v>8</v>
      </c>
      <c r="B1276" s="7" t="s">
        <v>169</v>
      </c>
      <c r="C1276" s="7" t="s">
        <v>292</v>
      </c>
      <c r="D1276" s="5">
        <v>162</v>
      </c>
      <c r="E1276" s="5">
        <v>184</v>
      </c>
      <c r="F1276" s="5">
        <v>106</v>
      </c>
      <c r="G1276" s="5">
        <v>135</v>
      </c>
      <c r="H1276" s="6">
        <f t="shared" si="95"/>
        <v>6.8450116132805057E-5</v>
      </c>
      <c r="I1276" s="6">
        <f t="shared" si="96"/>
        <v>0.65432098765432101</v>
      </c>
      <c r="J1276" s="6">
        <f t="shared" si="97"/>
        <v>0.73369565217391308</v>
      </c>
      <c r="K1276" s="6">
        <f t="shared" si="98"/>
        <v>4.4788347593069974E-5</v>
      </c>
      <c r="L1276" s="6">
        <f t="shared" si="99"/>
        <v>5.0221552597438497E-5</v>
      </c>
    </row>
    <row r="1277" spans="1:12" ht="22.95" customHeight="1">
      <c r="A1277" s="5">
        <v>8</v>
      </c>
      <c r="B1277" s="7" t="s">
        <v>234</v>
      </c>
      <c r="C1277" s="7" t="s">
        <v>292</v>
      </c>
      <c r="D1277" s="5">
        <v>349</v>
      </c>
      <c r="E1277" s="5">
        <v>467</v>
      </c>
      <c r="F1277" s="5">
        <v>213</v>
      </c>
      <c r="G1277" s="5">
        <v>309</v>
      </c>
      <c r="H1277" s="6">
        <f t="shared" si="95"/>
        <v>1.4746352179227757E-4</v>
      </c>
      <c r="I1277" s="6">
        <f t="shared" si="96"/>
        <v>0.61031518624641834</v>
      </c>
      <c r="J1277" s="6">
        <f t="shared" si="97"/>
        <v>0.66167023554603854</v>
      </c>
      <c r="K1277" s="6">
        <f t="shared" si="98"/>
        <v>8.9999226767206646E-5</v>
      </c>
      <c r="L1277" s="6">
        <f t="shared" si="99"/>
        <v>9.7572223198744691E-5</v>
      </c>
    </row>
    <row r="1278" spans="1:12" ht="22.95" customHeight="1">
      <c r="A1278" s="5">
        <v>8</v>
      </c>
      <c r="B1278" s="7" t="s">
        <v>141</v>
      </c>
      <c r="C1278" s="7" t="s">
        <v>298</v>
      </c>
      <c r="D1278" s="5">
        <v>498</v>
      </c>
      <c r="E1278" s="5">
        <v>546</v>
      </c>
      <c r="F1278" s="5">
        <v>91</v>
      </c>
      <c r="G1278" s="5">
        <v>178</v>
      </c>
      <c r="H1278" s="6">
        <f t="shared" si="95"/>
        <v>2.1042072737121554E-4</v>
      </c>
      <c r="I1278" s="6">
        <f t="shared" si="96"/>
        <v>0.18273092369477911</v>
      </c>
      <c r="J1278" s="6">
        <f t="shared" si="97"/>
        <v>0.32600732600732601</v>
      </c>
      <c r="K1278" s="6">
        <f t="shared" si="98"/>
        <v>3.8450373877069508E-5</v>
      </c>
      <c r="L1278" s="6">
        <f t="shared" si="99"/>
        <v>6.8598698666806534E-5</v>
      </c>
    </row>
    <row r="1279" spans="1:12" ht="22.95" customHeight="1">
      <c r="A1279" s="5">
        <v>8</v>
      </c>
      <c r="B1279" s="7" t="s">
        <v>166</v>
      </c>
      <c r="C1279" s="7" t="s">
        <v>292</v>
      </c>
      <c r="D1279" s="5">
        <v>204</v>
      </c>
      <c r="E1279" s="5">
        <v>250</v>
      </c>
      <c r="F1279" s="5">
        <v>62</v>
      </c>
      <c r="G1279" s="5">
        <v>110</v>
      </c>
      <c r="H1279" s="6">
        <f t="shared" si="95"/>
        <v>8.6196442537606372E-5</v>
      </c>
      <c r="I1279" s="6">
        <f t="shared" si="96"/>
        <v>0.30392156862745096</v>
      </c>
      <c r="J1279" s="6">
        <f t="shared" si="97"/>
        <v>0.44</v>
      </c>
      <c r="K1279" s="6">
        <f t="shared" si="98"/>
        <v>2.6196958026135268E-5</v>
      </c>
      <c r="L1279" s="6">
        <f t="shared" si="99"/>
        <v>3.7926434716546806E-5</v>
      </c>
    </row>
    <row r="1280" spans="1:12" ht="22.95" customHeight="1">
      <c r="A1280" s="5">
        <v>8</v>
      </c>
      <c r="B1280" s="7" t="s">
        <v>104</v>
      </c>
      <c r="C1280" s="7" t="s">
        <v>293</v>
      </c>
      <c r="D1280" s="5">
        <v>2935</v>
      </c>
      <c r="E1280" s="5">
        <v>3400</v>
      </c>
      <c r="F1280" s="5">
        <v>917</v>
      </c>
      <c r="G1280" s="5">
        <v>2060</v>
      </c>
      <c r="H1280" s="6">
        <f t="shared" si="95"/>
        <v>1.2401301904307583E-3</v>
      </c>
      <c r="I1280" s="6">
        <f t="shared" si="96"/>
        <v>0.31243611584327086</v>
      </c>
      <c r="J1280" s="6">
        <f t="shared" si="97"/>
        <v>0.60588235294117643</v>
      </c>
      <c r="K1280" s="6">
        <f t="shared" si="98"/>
        <v>3.8746145983816193E-4</v>
      </c>
      <c r="L1280" s="6">
        <f t="shared" si="99"/>
        <v>7.5137299773157698E-4</v>
      </c>
    </row>
    <row r="1281" spans="1:12" ht="22.95" customHeight="1">
      <c r="A1281" s="5">
        <v>8</v>
      </c>
      <c r="B1281" s="7" t="s">
        <v>282</v>
      </c>
      <c r="C1281" s="7" t="s">
        <v>292</v>
      </c>
      <c r="D1281" s="5">
        <v>4444</v>
      </c>
      <c r="E1281" s="5">
        <v>3723</v>
      </c>
      <c r="F1281" s="5">
        <v>3743</v>
      </c>
      <c r="G1281" s="5">
        <v>3049</v>
      </c>
      <c r="H1281" s="6">
        <f t="shared" si="95"/>
        <v>1.8777303462604053E-3</v>
      </c>
      <c r="I1281" s="6">
        <f t="shared" si="96"/>
        <v>0.84225922592259228</v>
      </c>
      <c r="J1281" s="6">
        <f t="shared" si="97"/>
        <v>0.8189632017190438</v>
      </c>
      <c r="K1281" s="6">
        <f t="shared" si="98"/>
        <v>1.5815357079326502E-3</v>
      </c>
      <c r="L1281" s="6">
        <f t="shared" si="99"/>
        <v>1.5377920563384303E-3</v>
      </c>
    </row>
    <row r="1282" spans="1:12" ht="22.95" customHeight="1">
      <c r="A1282" s="5">
        <v>8</v>
      </c>
      <c r="B1282" s="7" t="s">
        <v>270</v>
      </c>
      <c r="C1282" s="7" t="s">
        <v>303</v>
      </c>
      <c r="D1282" s="5">
        <v>485</v>
      </c>
      <c r="E1282" s="5">
        <v>267</v>
      </c>
      <c r="F1282" s="5">
        <v>100</v>
      </c>
      <c r="G1282" s="5">
        <v>86</v>
      </c>
      <c r="H1282" s="6">
        <f t="shared" si="95"/>
        <v>2.0492781681734847E-4</v>
      </c>
      <c r="I1282" s="6">
        <f t="shared" si="96"/>
        <v>0.20618556701030927</v>
      </c>
      <c r="J1282" s="6">
        <f t="shared" si="97"/>
        <v>0.32209737827715357</v>
      </c>
      <c r="K1282" s="6">
        <f t="shared" si="98"/>
        <v>4.2253158106669789E-5</v>
      </c>
      <c r="L1282" s="6">
        <f t="shared" si="99"/>
        <v>6.6006712532928728E-5</v>
      </c>
    </row>
    <row r="1283" spans="1:12" ht="22.95" customHeight="1">
      <c r="A1283" s="5">
        <v>8</v>
      </c>
      <c r="B1283" s="7" t="s">
        <v>250</v>
      </c>
      <c r="C1283" s="7" t="s">
        <v>303</v>
      </c>
      <c r="D1283" s="5">
        <v>31</v>
      </c>
      <c r="E1283" s="5">
        <v>52</v>
      </c>
      <c r="F1283" s="5">
        <v>20</v>
      </c>
      <c r="G1283" s="5">
        <v>39</v>
      </c>
      <c r="H1283" s="6">
        <f t="shared" si="95"/>
        <v>1.3098479013067634E-5</v>
      </c>
      <c r="I1283" s="6">
        <f t="shared" si="96"/>
        <v>0.64516129032258063</v>
      </c>
      <c r="J1283" s="6">
        <f t="shared" si="97"/>
        <v>0.75</v>
      </c>
      <c r="K1283" s="6">
        <f t="shared" si="98"/>
        <v>8.4506316213339574E-6</v>
      </c>
      <c r="L1283" s="6">
        <f t="shared" si="99"/>
        <v>9.8238592598007263E-6</v>
      </c>
    </row>
    <row r="1284" spans="1:12" ht="22.95" customHeight="1">
      <c r="A1284" s="5">
        <v>8</v>
      </c>
      <c r="B1284" s="7" t="s">
        <v>156</v>
      </c>
      <c r="C1284" s="7" t="s">
        <v>303</v>
      </c>
      <c r="D1284" s="5">
        <v>79</v>
      </c>
      <c r="E1284" s="5">
        <v>224</v>
      </c>
      <c r="F1284" s="5">
        <v>41</v>
      </c>
      <c r="G1284" s="5">
        <v>107</v>
      </c>
      <c r="H1284" s="6">
        <f t="shared" si="95"/>
        <v>3.3379994904269131E-5</v>
      </c>
      <c r="I1284" s="6">
        <f t="shared" si="96"/>
        <v>0.51898734177215189</v>
      </c>
      <c r="J1284" s="6">
        <f t="shared" si="97"/>
        <v>0.47767857142857145</v>
      </c>
      <c r="K1284" s="6">
        <f t="shared" si="98"/>
        <v>1.7323794823734613E-5</v>
      </c>
      <c r="L1284" s="6">
        <f t="shared" si="99"/>
        <v>1.5944908280164274E-5</v>
      </c>
    </row>
    <row r="1285" spans="1:12" ht="22.95" customHeight="1">
      <c r="A1285" s="5">
        <v>8</v>
      </c>
      <c r="B1285" s="7" t="s">
        <v>182</v>
      </c>
      <c r="C1285" s="7" t="s">
        <v>291</v>
      </c>
      <c r="D1285" s="5">
        <v>4</v>
      </c>
      <c r="E1285" s="5">
        <v>11</v>
      </c>
      <c r="F1285" s="5">
        <v>1</v>
      </c>
      <c r="G1285" s="5">
        <v>3</v>
      </c>
      <c r="H1285" s="6">
        <f t="shared" si="95"/>
        <v>1.6901263242667916E-6</v>
      </c>
      <c r="I1285" s="6">
        <f t="shared" si="96"/>
        <v>0.25</v>
      </c>
      <c r="J1285" s="6">
        <f t="shared" si="97"/>
        <v>0.27272727272727271</v>
      </c>
      <c r="K1285" s="6">
        <f t="shared" si="98"/>
        <v>4.2253158106669789E-7</v>
      </c>
      <c r="L1285" s="6">
        <f t="shared" si="99"/>
        <v>4.609435429818522E-7</v>
      </c>
    </row>
    <row r="1286" spans="1:12" ht="22.95" customHeight="1">
      <c r="A1286" s="5">
        <v>8</v>
      </c>
      <c r="B1286" s="7" t="s">
        <v>245</v>
      </c>
      <c r="C1286" s="7" t="s">
        <v>293</v>
      </c>
      <c r="D1286" s="5">
        <v>55</v>
      </c>
      <c r="E1286" s="5">
        <v>64</v>
      </c>
      <c r="F1286" s="5">
        <v>17</v>
      </c>
      <c r="G1286" s="5">
        <v>38</v>
      </c>
      <c r="H1286" s="6">
        <f t="shared" si="95"/>
        <v>2.3239236958668384E-5</v>
      </c>
      <c r="I1286" s="6">
        <f t="shared" si="96"/>
        <v>0.30909090909090908</v>
      </c>
      <c r="J1286" s="6">
        <f t="shared" si="97"/>
        <v>0.59375</v>
      </c>
      <c r="K1286" s="6">
        <f t="shared" si="98"/>
        <v>7.1830368781338641E-6</v>
      </c>
      <c r="L1286" s="6">
        <f t="shared" si="99"/>
        <v>1.3798296944209353E-5</v>
      </c>
    </row>
    <row r="1287" spans="1:12" ht="22.95" customHeight="1">
      <c r="A1287" s="5">
        <v>8</v>
      </c>
      <c r="B1287" s="7" t="s">
        <v>108</v>
      </c>
      <c r="C1287" s="7" t="s">
        <v>294</v>
      </c>
      <c r="D1287" s="5">
        <v>4809</v>
      </c>
      <c r="E1287" s="5">
        <v>4581</v>
      </c>
      <c r="F1287" s="5">
        <v>4088</v>
      </c>
      <c r="G1287" s="5">
        <v>3941</v>
      </c>
      <c r="H1287" s="6">
        <f t="shared" si="95"/>
        <v>2.0319543733497503E-3</v>
      </c>
      <c r="I1287" s="6">
        <f t="shared" si="96"/>
        <v>0.85007278020378452</v>
      </c>
      <c r="J1287" s="6">
        <f t="shared" si="97"/>
        <v>0.86029251255184458</v>
      </c>
      <c r="K1287" s="6">
        <f t="shared" si="98"/>
        <v>1.7273091034006611E-3</v>
      </c>
      <c r="L1287" s="6">
        <f t="shared" si="99"/>
        <v>1.7480751332397656E-3</v>
      </c>
    </row>
    <row r="1288" spans="1:12" ht="22.95" customHeight="1">
      <c r="A1288" s="5">
        <v>8</v>
      </c>
      <c r="B1288" s="7" t="s">
        <v>276</v>
      </c>
      <c r="C1288" s="7" t="s">
        <v>295</v>
      </c>
      <c r="D1288" s="5">
        <v>5812</v>
      </c>
      <c r="E1288" s="5">
        <v>4955</v>
      </c>
      <c r="F1288" s="5">
        <v>2634</v>
      </c>
      <c r="G1288" s="5">
        <v>2321</v>
      </c>
      <c r="H1288" s="6">
        <f t="shared" si="95"/>
        <v>2.4557535491596481E-3</v>
      </c>
      <c r="I1288" s="6">
        <f t="shared" si="96"/>
        <v>0.45320027529249829</v>
      </c>
      <c r="J1288" s="6">
        <f t="shared" si="97"/>
        <v>0.46841574167507566</v>
      </c>
      <c r="K1288" s="6">
        <f t="shared" si="98"/>
        <v>1.1129481845296822E-3</v>
      </c>
      <c r="L1288" s="6">
        <f t="shared" si="99"/>
        <v>1.150313620100816E-3</v>
      </c>
    </row>
    <row r="1289" spans="1:12" ht="22.95" customHeight="1">
      <c r="A1289" s="5">
        <v>8</v>
      </c>
      <c r="B1289" s="7" t="s">
        <v>281</v>
      </c>
      <c r="C1289" s="7" t="s">
        <v>305</v>
      </c>
      <c r="D1289" s="5">
        <v>1842</v>
      </c>
      <c r="E1289" s="5">
        <v>229</v>
      </c>
      <c r="F1289" s="5">
        <v>1823</v>
      </c>
      <c r="G1289" s="5">
        <v>219</v>
      </c>
      <c r="H1289" s="6">
        <f t="shared" si="95"/>
        <v>7.7830317232485745E-4</v>
      </c>
      <c r="I1289" s="6">
        <f t="shared" si="96"/>
        <v>0.98968512486427795</v>
      </c>
      <c r="J1289" s="6">
        <f t="shared" si="97"/>
        <v>0.95633187772925765</v>
      </c>
      <c r="K1289" s="6">
        <f t="shared" si="98"/>
        <v>7.7027507228459016E-4</v>
      </c>
      <c r="L1289" s="6">
        <f t="shared" si="99"/>
        <v>7.4431613423206889E-4</v>
      </c>
    </row>
    <row r="1290" spans="1:12" ht="22.95" customHeight="1">
      <c r="A1290" s="5">
        <v>8</v>
      </c>
      <c r="B1290" s="7" t="s">
        <v>207</v>
      </c>
      <c r="C1290" s="7" t="s">
        <v>295</v>
      </c>
      <c r="D1290" s="5">
        <v>429</v>
      </c>
      <c r="E1290" s="5">
        <v>105</v>
      </c>
      <c r="F1290" s="5">
        <v>426</v>
      </c>
      <c r="G1290" s="5">
        <v>100</v>
      </c>
      <c r="H1290" s="6">
        <f t="shared" si="95"/>
        <v>1.812660482776134E-4</v>
      </c>
      <c r="I1290" s="6">
        <f t="shared" si="96"/>
        <v>0.99300699300699302</v>
      </c>
      <c r="J1290" s="6">
        <f t="shared" si="97"/>
        <v>0.95238095238095233</v>
      </c>
      <c r="K1290" s="6">
        <f t="shared" si="98"/>
        <v>1.7999845353441332E-4</v>
      </c>
      <c r="L1290" s="6">
        <f t="shared" si="99"/>
        <v>1.7263433169296513E-4</v>
      </c>
    </row>
    <row r="1291" spans="1:12" ht="22.95" customHeight="1">
      <c r="A1291" s="5">
        <v>8</v>
      </c>
      <c r="B1291" s="7" t="s">
        <v>269</v>
      </c>
      <c r="C1291" s="7" t="s">
        <v>295</v>
      </c>
      <c r="D1291" s="5">
        <v>1700</v>
      </c>
      <c r="E1291" s="5">
        <v>1238</v>
      </c>
      <c r="F1291" s="5">
        <v>1481</v>
      </c>
      <c r="G1291" s="5">
        <v>1077</v>
      </c>
      <c r="H1291" s="6">
        <f t="shared" si="95"/>
        <v>7.1830368781338643E-4</v>
      </c>
      <c r="I1291" s="6">
        <f t="shared" si="96"/>
        <v>0.87117647058823533</v>
      </c>
      <c r="J1291" s="6">
        <f t="shared" si="97"/>
        <v>0.869951534733441</v>
      </c>
      <c r="K1291" s="6">
        <f t="shared" si="98"/>
        <v>6.2576927155977963E-4</v>
      </c>
      <c r="L1291" s="6">
        <f t="shared" si="99"/>
        <v>6.2488939561794596E-4</v>
      </c>
    </row>
    <row r="1292" spans="1:12" ht="22.95" customHeight="1">
      <c r="A1292" s="5">
        <v>8</v>
      </c>
      <c r="B1292" s="7" t="s">
        <v>284</v>
      </c>
      <c r="C1292" s="7" t="s">
        <v>295</v>
      </c>
      <c r="D1292" s="5">
        <v>32756</v>
      </c>
      <c r="E1292" s="5">
        <v>30622</v>
      </c>
      <c r="F1292" s="5">
        <v>21519</v>
      </c>
      <c r="G1292" s="5">
        <v>20037</v>
      </c>
      <c r="H1292" s="6">
        <f t="shared" si="95"/>
        <v>1.3840444469420756E-2</v>
      </c>
      <c r="I1292" s="6">
        <f t="shared" si="96"/>
        <v>0.65694834534131152</v>
      </c>
      <c r="J1292" s="6">
        <f t="shared" si="97"/>
        <v>0.65433348572921424</v>
      </c>
      <c r="K1292" s="6">
        <f t="shared" si="98"/>
        <v>9.0924570929742723E-3</v>
      </c>
      <c r="L1292" s="6">
        <f t="shared" si="99"/>
        <v>9.0562662737177085E-3</v>
      </c>
    </row>
    <row r="1293" spans="1:12" ht="22.95" customHeight="1">
      <c r="A1293" s="5">
        <v>8</v>
      </c>
      <c r="B1293" s="7" t="s">
        <v>117</v>
      </c>
      <c r="C1293" s="7" t="s">
        <v>295</v>
      </c>
      <c r="D1293" s="5">
        <v>25205</v>
      </c>
      <c r="E1293" s="5">
        <v>23644</v>
      </c>
      <c r="F1293" s="5">
        <v>12671</v>
      </c>
      <c r="G1293" s="5">
        <v>12567</v>
      </c>
      <c r="H1293" s="6">
        <f t="shared" si="95"/>
        <v>1.0649908500786121E-2</v>
      </c>
      <c r="I1293" s="6">
        <f t="shared" si="96"/>
        <v>0.50271771473913907</v>
      </c>
      <c r="J1293" s="6">
        <f t="shared" si="97"/>
        <v>0.53150905092200984</v>
      </c>
      <c r="K1293" s="6">
        <f t="shared" si="98"/>
        <v>5.3538976636961291E-3</v>
      </c>
      <c r="L1293" s="6">
        <f t="shared" si="99"/>
        <v>5.6605227596590755E-3</v>
      </c>
    </row>
    <row r="1294" spans="1:12" ht="22.95" customHeight="1">
      <c r="A1294" s="5">
        <v>8</v>
      </c>
      <c r="B1294" s="7" t="s">
        <v>99</v>
      </c>
      <c r="C1294" s="7" t="s">
        <v>295</v>
      </c>
      <c r="D1294" s="5">
        <v>4288</v>
      </c>
      <c r="E1294" s="5">
        <v>5030</v>
      </c>
      <c r="F1294" s="5">
        <v>1880</v>
      </c>
      <c r="G1294" s="5">
        <v>2809</v>
      </c>
      <c r="H1294" s="6">
        <f t="shared" si="95"/>
        <v>1.8118154196140005E-3</v>
      </c>
      <c r="I1294" s="6">
        <f t="shared" si="96"/>
        <v>0.43843283582089554</v>
      </c>
      <c r="J1294" s="6">
        <f t="shared" si="97"/>
        <v>0.55844930417495031</v>
      </c>
      <c r="K1294" s="6">
        <f t="shared" si="98"/>
        <v>7.9435937240539202E-4</v>
      </c>
      <c r="L1294" s="6">
        <f t="shared" si="99"/>
        <v>1.0118070603768842E-3</v>
      </c>
    </row>
    <row r="1295" spans="1:12" ht="22.95" customHeight="1">
      <c r="A1295" s="5">
        <v>8</v>
      </c>
      <c r="B1295" s="7" t="s">
        <v>181</v>
      </c>
      <c r="C1295" s="7" t="s">
        <v>295</v>
      </c>
      <c r="D1295" s="5">
        <v>2365</v>
      </c>
      <c r="E1295" s="5">
        <v>2071</v>
      </c>
      <c r="F1295" s="5">
        <v>1926</v>
      </c>
      <c r="G1295" s="5">
        <v>1632</v>
      </c>
      <c r="H1295" s="6">
        <f t="shared" si="95"/>
        <v>9.9928718922274052E-4</v>
      </c>
      <c r="I1295" s="6">
        <f t="shared" si="96"/>
        <v>0.81437632135306559</v>
      </c>
      <c r="J1295" s="6">
        <f t="shared" si="97"/>
        <v>0.78802510864316755</v>
      </c>
      <c r="K1295" s="6">
        <f t="shared" si="98"/>
        <v>8.1379582513446019E-4</v>
      </c>
      <c r="L1295" s="6">
        <f t="shared" si="99"/>
        <v>7.8746339585297558E-4</v>
      </c>
    </row>
    <row r="1296" spans="1:12" ht="22.95" customHeight="1">
      <c r="A1296" s="5">
        <v>8</v>
      </c>
      <c r="B1296" s="7" t="s">
        <v>152</v>
      </c>
      <c r="C1296" s="7" t="s">
        <v>290</v>
      </c>
      <c r="D1296" s="5">
        <v>97</v>
      </c>
      <c r="E1296" s="5">
        <v>119</v>
      </c>
      <c r="F1296" s="5">
        <v>39</v>
      </c>
      <c r="G1296" s="5">
        <v>68</v>
      </c>
      <c r="H1296" s="6">
        <f t="shared" si="95"/>
        <v>4.0985563363469693E-5</v>
      </c>
      <c r="I1296" s="6">
        <f t="shared" si="96"/>
        <v>0.40206185567010311</v>
      </c>
      <c r="J1296" s="6">
        <f t="shared" si="97"/>
        <v>0.5714285714285714</v>
      </c>
      <c r="K1296" s="6">
        <f t="shared" si="98"/>
        <v>1.6478731661601216E-5</v>
      </c>
      <c r="L1296" s="6">
        <f t="shared" si="99"/>
        <v>2.3420321921982679E-5</v>
      </c>
    </row>
    <row r="1297" spans="1:12" ht="22.95" customHeight="1">
      <c r="A1297" s="5">
        <v>8</v>
      </c>
      <c r="B1297" s="7" t="s">
        <v>122</v>
      </c>
      <c r="C1297" s="7" t="s">
        <v>292</v>
      </c>
      <c r="D1297" s="5">
        <v>2109</v>
      </c>
      <c r="E1297" s="5">
        <v>2745</v>
      </c>
      <c r="F1297" s="5">
        <v>1380</v>
      </c>
      <c r="G1297" s="5">
        <v>1842</v>
      </c>
      <c r="H1297" s="6">
        <f t="shared" si="95"/>
        <v>8.9111910446966578E-4</v>
      </c>
      <c r="I1297" s="6">
        <f t="shared" si="96"/>
        <v>0.65433854907539113</v>
      </c>
      <c r="J1297" s="6">
        <f t="shared" si="97"/>
        <v>0.67103825136612016</v>
      </c>
      <c r="K1297" s="6">
        <f t="shared" si="98"/>
        <v>5.8309358187204298E-4</v>
      </c>
      <c r="L1297" s="6">
        <f t="shared" si="99"/>
        <v>5.9797500562226746E-4</v>
      </c>
    </row>
    <row r="1298" spans="1:12" ht="22.95" customHeight="1">
      <c r="A1298" s="5">
        <v>8</v>
      </c>
      <c r="B1298" s="7" t="s">
        <v>265</v>
      </c>
      <c r="C1298" s="7" t="s">
        <v>291</v>
      </c>
      <c r="D1298" s="5">
        <v>385</v>
      </c>
      <c r="E1298" s="5">
        <v>268</v>
      </c>
      <c r="F1298" s="5">
        <v>310</v>
      </c>
      <c r="G1298" s="5">
        <v>234</v>
      </c>
      <c r="H1298" s="6">
        <f t="shared" si="95"/>
        <v>1.6267465871067869E-4</v>
      </c>
      <c r="I1298" s="6">
        <f t="shared" si="96"/>
        <v>0.80519480519480524</v>
      </c>
      <c r="J1298" s="6">
        <f t="shared" si="97"/>
        <v>0.87313432835820892</v>
      </c>
      <c r="K1298" s="6">
        <f t="shared" si="98"/>
        <v>1.3098479013067636E-4</v>
      </c>
      <c r="L1298" s="6">
        <f t="shared" si="99"/>
        <v>1.420368288742493E-4</v>
      </c>
    </row>
    <row r="1299" spans="1:12" ht="22.95" customHeight="1">
      <c r="A1299" s="5">
        <v>8</v>
      </c>
      <c r="B1299" s="7" t="s">
        <v>109</v>
      </c>
      <c r="C1299" s="7" t="s">
        <v>293</v>
      </c>
      <c r="D1299" s="5">
        <v>2476</v>
      </c>
      <c r="E1299" s="5">
        <v>3004</v>
      </c>
      <c r="F1299" s="5">
        <v>614</v>
      </c>
      <c r="G1299" s="5">
        <v>923</v>
      </c>
      <c r="H1299" s="6">
        <f t="shared" si="95"/>
        <v>1.0461881947211439E-3</v>
      </c>
      <c r="I1299" s="6">
        <f t="shared" si="96"/>
        <v>0.24798061389337642</v>
      </c>
      <c r="J1299" s="6">
        <f t="shared" si="97"/>
        <v>0.30725699067909457</v>
      </c>
      <c r="K1299" s="6">
        <f t="shared" si="98"/>
        <v>2.594343907749525E-4</v>
      </c>
      <c r="L1299" s="6">
        <f t="shared" si="99"/>
        <v>3.2144863639401328E-4</v>
      </c>
    </row>
    <row r="1300" spans="1:12" ht="22.95" customHeight="1">
      <c r="A1300" s="5">
        <v>8</v>
      </c>
      <c r="B1300" s="7" t="s">
        <v>97</v>
      </c>
      <c r="C1300" s="7" t="s">
        <v>290</v>
      </c>
      <c r="D1300" s="5">
        <v>4765</v>
      </c>
      <c r="E1300" s="5">
        <v>6573</v>
      </c>
      <c r="F1300" s="5">
        <v>1297</v>
      </c>
      <c r="G1300" s="5">
        <v>3793</v>
      </c>
      <c r="H1300" s="6">
        <f t="shared" si="95"/>
        <v>2.0133629837828155E-3</v>
      </c>
      <c r="I1300" s="6">
        <f t="shared" si="96"/>
        <v>0.27219307450157398</v>
      </c>
      <c r="J1300" s="6">
        <f t="shared" si="97"/>
        <v>0.57705766012475279</v>
      </c>
      <c r="K1300" s="6">
        <f t="shared" si="98"/>
        <v>5.4802346064350719E-4</v>
      </c>
      <c r="L1300" s="6">
        <f t="shared" si="99"/>
        <v>1.1618265324035021E-3</v>
      </c>
    </row>
    <row r="1301" spans="1:12" ht="22.95" customHeight="1">
      <c r="A1301" s="5">
        <v>8</v>
      </c>
      <c r="B1301" s="7" t="s">
        <v>91</v>
      </c>
      <c r="C1301" s="7" t="s">
        <v>290</v>
      </c>
      <c r="D1301" s="5">
        <v>4747</v>
      </c>
      <c r="E1301" s="5">
        <v>6635</v>
      </c>
      <c r="F1301" s="5">
        <v>1229</v>
      </c>
      <c r="G1301" s="5">
        <v>3414</v>
      </c>
      <c r="H1301" s="6">
        <f t="shared" si="95"/>
        <v>2.0057574153236148E-3</v>
      </c>
      <c r="I1301" s="6">
        <f t="shared" si="96"/>
        <v>0.25890035812091849</v>
      </c>
      <c r="J1301" s="6">
        <f t="shared" si="97"/>
        <v>0.51454408440090427</v>
      </c>
      <c r="K1301" s="6">
        <f t="shared" si="98"/>
        <v>5.1929131313097174E-4</v>
      </c>
      <c r="L1301" s="6">
        <f t="shared" si="99"/>
        <v>1.0320506127980136E-3</v>
      </c>
    </row>
    <row r="1302" spans="1:12" ht="22.95" customHeight="1">
      <c r="A1302" s="5">
        <v>8</v>
      </c>
      <c r="B1302" s="7" t="s">
        <v>266</v>
      </c>
      <c r="C1302" s="7" t="s">
        <v>295</v>
      </c>
      <c r="D1302" s="5">
        <v>1428</v>
      </c>
      <c r="E1302" s="5">
        <v>1160</v>
      </c>
      <c r="F1302" s="5">
        <v>137</v>
      </c>
      <c r="G1302" s="5">
        <v>127</v>
      </c>
      <c r="H1302" s="6">
        <f t="shared" si="95"/>
        <v>6.0337509776324462E-4</v>
      </c>
      <c r="I1302" s="6">
        <f t="shared" si="96"/>
        <v>9.5938375350140062E-2</v>
      </c>
      <c r="J1302" s="6">
        <f t="shared" si="97"/>
        <v>0.10948275862068965</v>
      </c>
      <c r="K1302" s="6">
        <f t="shared" si="98"/>
        <v>5.7886826606137618E-5</v>
      </c>
      <c r="L1302" s="6">
        <f t="shared" si="99"/>
        <v>6.6059170186148335E-5</v>
      </c>
    </row>
    <row r="1303" spans="1:12" ht="22.95" customHeight="1">
      <c r="A1303" s="5">
        <v>8</v>
      </c>
      <c r="B1303" s="7" t="s">
        <v>171</v>
      </c>
      <c r="C1303" s="7" t="s">
        <v>303</v>
      </c>
      <c r="D1303" s="5">
        <v>30</v>
      </c>
      <c r="E1303" s="5">
        <v>28</v>
      </c>
      <c r="F1303" s="5">
        <v>18</v>
      </c>
      <c r="G1303" s="5">
        <v>21</v>
      </c>
      <c r="H1303" s="6">
        <f t="shared" si="95"/>
        <v>1.2675947432000937E-5</v>
      </c>
      <c r="I1303" s="6">
        <f t="shared" si="96"/>
        <v>0.6</v>
      </c>
      <c r="J1303" s="6">
        <f t="shared" si="97"/>
        <v>0.75</v>
      </c>
      <c r="K1303" s="6">
        <f t="shared" si="98"/>
        <v>7.6055684592005618E-6</v>
      </c>
      <c r="L1303" s="6">
        <f t="shared" si="99"/>
        <v>9.5069605740007023E-6</v>
      </c>
    </row>
    <row r="1304" spans="1:12" ht="22.95" customHeight="1">
      <c r="A1304" s="5">
        <v>8</v>
      </c>
      <c r="B1304" s="7" t="s">
        <v>134</v>
      </c>
      <c r="C1304" s="7" t="s">
        <v>296</v>
      </c>
      <c r="D1304" s="5">
        <v>288</v>
      </c>
      <c r="E1304" s="5">
        <v>452</v>
      </c>
      <c r="F1304" s="5">
        <v>0</v>
      </c>
      <c r="G1304" s="5">
        <v>0</v>
      </c>
      <c r="H1304" s="6">
        <f t="shared" si="95"/>
        <v>1.2168909534720899E-4</v>
      </c>
      <c r="I1304" s="6">
        <f t="shared" si="96"/>
        <v>0</v>
      </c>
      <c r="J1304" s="6">
        <f t="shared" si="97"/>
        <v>0</v>
      </c>
      <c r="K1304" s="6">
        <f t="shared" si="98"/>
        <v>0</v>
      </c>
      <c r="L1304" s="6">
        <f t="shared" si="99"/>
        <v>0</v>
      </c>
    </row>
    <row r="1305" spans="1:12" ht="22.95" customHeight="1">
      <c r="A1305" s="5">
        <v>8</v>
      </c>
      <c r="B1305" s="7" t="s">
        <v>184</v>
      </c>
      <c r="C1305" s="7" t="s">
        <v>303</v>
      </c>
      <c r="D1305" s="5">
        <v>20</v>
      </c>
      <c r="E1305" s="5">
        <v>21</v>
      </c>
      <c r="F1305" s="5">
        <v>12</v>
      </c>
      <c r="G1305" s="5">
        <v>11</v>
      </c>
      <c r="H1305" s="6">
        <f t="shared" si="95"/>
        <v>8.4506316213339574E-6</v>
      </c>
      <c r="I1305" s="6">
        <f t="shared" si="96"/>
        <v>0.6</v>
      </c>
      <c r="J1305" s="6">
        <f t="shared" si="97"/>
        <v>0.52380952380952384</v>
      </c>
      <c r="K1305" s="6">
        <f t="shared" si="98"/>
        <v>5.0703789728003743E-6</v>
      </c>
      <c r="L1305" s="6">
        <f t="shared" si="99"/>
        <v>4.4265213254606445E-6</v>
      </c>
    </row>
    <row r="1306" spans="1:12" ht="22.95" customHeight="1">
      <c r="A1306" s="5">
        <v>8</v>
      </c>
      <c r="B1306" s="7" t="s">
        <v>248</v>
      </c>
      <c r="C1306" s="7" t="s">
        <v>295</v>
      </c>
      <c r="D1306" s="5">
        <v>23</v>
      </c>
      <c r="E1306" s="5">
        <v>16</v>
      </c>
      <c r="F1306" s="5">
        <v>15</v>
      </c>
      <c r="G1306" s="5">
        <v>15</v>
      </c>
      <c r="H1306" s="6">
        <f t="shared" si="95"/>
        <v>9.7182263645340516E-6</v>
      </c>
      <c r="I1306" s="6">
        <f t="shared" si="96"/>
        <v>0.65217391304347827</v>
      </c>
      <c r="J1306" s="6">
        <f t="shared" si="97"/>
        <v>0.9375</v>
      </c>
      <c r="K1306" s="6">
        <f t="shared" si="98"/>
        <v>6.3379737160004685E-6</v>
      </c>
      <c r="L1306" s="6">
        <f t="shared" si="99"/>
        <v>9.1108372167506732E-6</v>
      </c>
    </row>
    <row r="1307" spans="1:12" ht="22.95" customHeight="1">
      <c r="A1307" s="5">
        <v>8</v>
      </c>
      <c r="B1307" s="7" t="s">
        <v>195</v>
      </c>
      <c r="C1307" s="7" t="s">
        <v>291</v>
      </c>
      <c r="D1307" s="5">
        <v>5</v>
      </c>
      <c r="E1307" s="5">
        <v>9</v>
      </c>
      <c r="F1307" s="5">
        <v>1</v>
      </c>
      <c r="G1307" s="5">
        <v>3</v>
      </c>
      <c r="H1307" s="6">
        <f t="shared" si="95"/>
        <v>2.1126579053334894E-6</v>
      </c>
      <c r="I1307" s="6">
        <f t="shared" si="96"/>
        <v>0.2</v>
      </c>
      <c r="J1307" s="6">
        <f t="shared" si="97"/>
        <v>0.33333333333333331</v>
      </c>
      <c r="K1307" s="6">
        <f t="shared" si="98"/>
        <v>4.2253158106669789E-7</v>
      </c>
      <c r="L1307" s="6">
        <f t="shared" si="99"/>
        <v>7.0421930177782971E-7</v>
      </c>
    </row>
    <row r="1308" spans="1:12" ht="22.95" customHeight="1">
      <c r="A1308" s="5">
        <v>8</v>
      </c>
      <c r="B1308" s="7" t="s">
        <v>235</v>
      </c>
      <c r="C1308" s="7" t="s">
        <v>303</v>
      </c>
      <c r="D1308" s="5">
        <v>1</v>
      </c>
      <c r="E1308" s="5">
        <v>3</v>
      </c>
      <c r="F1308" s="5">
        <v>1</v>
      </c>
      <c r="G1308" s="5">
        <v>1</v>
      </c>
      <c r="H1308" s="6">
        <f t="shared" si="95"/>
        <v>4.2253158106669789E-7</v>
      </c>
      <c r="I1308" s="6">
        <f t="shared" si="96"/>
        <v>1</v>
      </c>
      <c r="J1308" s="6">
        <f t="shared" si="97"/>
        <v>0.33333333333333331</v>
      </c>
      <c r="K1308" s="6">
        <f t="shared" si="98"/>
        <v>4.2253158106669789E-7</v>
      </c>
      <c r="L1308" s="6">
        <f t="shared" si="99"/>
        <v>1.4084386035556596E-7</v>
      </c>
    </row>
    <row r="1309" spans="1:12" ht="22.95" customHeight="1">
      <c r="A1309" s="5">
        <v>8</v>
      </c>
      <c r="B1309" s="7" t="s">
        <v>136</v>
      </c>
      <c r="C1309" s="7" t="s">
        <v>296</v>
      </c>
      <c r="D1309" s="5">
        <v>520</v>
      </c>
      <c r="E1309" s="5">
        <v>670</v>
      </c>
      <c r="F1309" s="5">
        <v>0</v>
      </c>
      <c r="G1309" s="5">
        <v>0</v>
      </c>
      <c r="H1309" s="6">
        <f t="shared" si="95"/>
        <v>2.1971642215468291E-4</v>
      </c>
      <c r="I1309" s="6">
        <f t="shared" si="96"/>
        <v>0</v>
      </c>
      <c r="J1309" s="6">
        <f t="shared" si="97"/>
        <v>0</v>
      </c>
      <c r="K1309" s="6">
        <f t="shared" si="98"/>
        <v>0</v>
      </c>
      <c r="L1309" s="6">
        <f t="shared" si="99"/>
        <v>0</v>
      </c>
    </row>
    <row r="1310" spans="1:12" ht="22.95" customHeight="1">
      <c r="A1310" s="5">
        <v>8</v>
      </c>
      <c r="B1310" s="7" t="s">
        <v>243</v>
      </c>
      <c r="C1310" s="7" t="s">
        <v>292</v>
      </c>
      <c r="D1310" s="5">
        <v>18</v>
      </c>
      <c r="E1310" s="5">
        <v>8</v>
      </c>
      <c r="F1310" s="5">
        <v>17</v>
      </c>
      <c r="G1310" s="5">
        <v>8</v>
      </c>
      <c r="H1310" s="6">
        <f t="shared" ref="H1310:H1350" si="100">D1310/$B$16</f>
        <v>7.6055684592005618E-6</v>
      </c>
      <c r="I1310" s="6">
        <f t="shared" ref="I1310:I1350" si="101">F1310/D1310</f>
        <v>0.94444444444444442</v>
      </c>
      <c r="J1310" s="6">
        <f t="shared" ref="J1310:J1350" si="102">G1310/E1310</f>
        <v>1</v>
      </c>
      <c r="K1310" s="6">
        <f t="shared" ref="K1310:K1350" si="103">H1310*I1310</f>
        <v>7.1830368781338641E-6</v>
      </c>
      <c r="L1310" s="6">
        <f t="shared" ref="L1310:L1350" si="104">H1310*J1310</f>
        <v>7.6055684592005618E-6</v>
      </c>
    </row>
    <row r="1311" spans="1:12" ht="22.95" customHeight="1">
      <c r="A1311" s="5">
        <v>8</v>
      </c>
      <c r="B1311" s="7" t="s">
        <v>274</v>
      </c>
      <c r="C1311" s="7" t="s">
        <v>292</v>
      </c>
      <c r="D1311" s="5">
        <v>1318</v>
      </c>
      <c r="E1311" s="5">
        <v>1290</v>
      </c>
      <c r="F1311" s="5">
        <v>848</v>
      </c>
      <c r="G1311" s="5">
        <v>866</v>
      </c>
      <c r="H1311" s="6">
        <f t="shared" si="100"/>
        <v>5.5689662384590785E-4</v>
      </c>
      <c r="I1311" s="6">
        <f t="shared" si="101"/>
        <v>0.64339908952959024</v>
      </c>
      <c r="J1311" s="6">
        <f t="shared" si="102"/>
        <v>0.67131782945736429</v>
      </c>
      <c r="K1311" s="6">
        <f t="shared" si="103"/>
        <v>3.5830678074455979E-4</v>
      </c>
      <c r="L1311" s="6">
        <f t="shared" si="104"/>
        <v>3.7385463275236913E-4</v>
      </c>
    </row>
    <row r="1312" spans="1:12" ht="22.95" customHeight="1">
      <c r="A1312" s="5">
        <v>8</v>
      </c>
      <c r="B1312" s="7" t="s">
        <v>279</v>
      </c>
      <c r="C1312" s="7" t="s">
        <v>303</v>
      </c>
      <c r="D1312" s="5">
        <v>3388</v>
      </c>
      <c r="E1312" s="5">
        <v>3253</v>
      </c>
      <c r="F1312" s="5">
        <v>892</v>
      </c>
      <c r="G1312" s="5">
        <v>1358</v>
      </c>
      <c r="H1312" s="6">
        <f t="shared" si="100"/>
        <v>1.4315369966539724E-3</v>
      </c>
      <c r="I1312" s="6">
        <f t="shared" si="101"/>
        <v>0.26328217237308149</v>
      </c>
      <c r="J1312" s="6">
        <f t="shared" si="102"/>
        <v>0.41746080541039043</v>
      </c>
      <c r="K1312" s="6">
        <f t="shared" si="103"/>
        <v>3.7689817031149453E-4</v>
      </c>
      <c r="L1312" s="6">
        <f t="shared" si="104"/>
        <v>5.9761058759793878E-4</v>
      </c>
    </row>
    <row r="1313" spans="1:12" ht="22.95" customHeight="1">
      <c r="A1313" s="5">
        <v>8</v>
      </c>
      <c r="B1313" s="7" t="s">
        <v>257</v>
      </c>
      <c r="C1313" s="7" t="s">
        <v>293</v>
      </c>
      <c r="D1313" s="5">
        <v>1088</v>
      </c>
      <c r="E1313" s="5">
        <v>1031</v>
      </c>
      <c r="F1313" s="5">
        <v>286</v>
      </c>
      <c r="G1313" s="5">
        <v>345</v>
      </c>
      <c r="H1313" s="6">
        <f t="shared" si="100"/>
        <v>4.597143602005673E-4</v>
      </c>
      <c r="I1313" s="6">
        <f t="shared" si="101"/>
        <v>0.26286764705882354</v>
      </c>
      <c r="J1313" s="6">
        <f t="shared" si="102"/>
        <v>0.33462657613967023</v>
      </c>
      <c r="K1313" s="6">
        <f t="shared" si="103"/>
        <v>1.2084403218507561E-4</v>
      </c>
      <c r="L1313" s="6">
        <f t="shared" si="104"/>
        <v>1.5383264235615491E-4</v>
      </c>
    </row>
    <row r="1314" spans="1:12" ht="22.95" customHeight="1">
      <c r="A1314" s="5">
        <v>8</v>
      </c>
      <c r="B1314" s="7" t="s">
        <v>121</v>
      </c>
      <c r="C1314" s="7" t="s">
        <v>290</v>
      </c>
      <c r="D1314" s="5">
        <v>1040</v>
      </c>
      <c r="E1314" s="5">
        <v>1280</v>
      </c>
      <c r="F1314" s="5">
        <v>516</v>
      </c>
      <c r="G1314" s="5">
        <v>897</v>
      </c>
      <c r="H1314" s="6">
        <f t="shared" si="100"/>
        <v>4.3943284430936582E-4</v>
      </c>
      <c r="I1314" s="6">
        <f t="shared" si="101"/>
        <v>0.49615384615384617</v>
      </c>
      <c r="J1314" s="6">
        <f t="shared" si="102"/>
        <v>0.70078125000000002</v>
      </c>
      <c r="K1314" s="6">
        <f t="shared" si="103"/>
        <v>2.1802629583041612E-4</v>
      </c>
      <c r="L1314" s="6">
        <f t="shared" si="104"/>
        <v>3.079462979261728E-4</v>
      </c>
    </row>
    <row r="1315" spans="1:12" ht="22.95" customHeight="1">
      <c r="A1315" s="5">
        <v>8</v>
      </c>
      <c r="B1315" s="7" t="s">
        <v>160</v>
      </c>
      <c r="C1315" s="7" t="s">
        <v>292</v>
      </c>
      <c r="D1315" s="5">
        <v>253</v>
      </c>
      <c r="E1315" s="5">
        <v>289</v>
      </c>
      <c r="F1315" s="5">
        <v>69</v>
      </c>
      <c r="G1315" s="5">
        <v>79</v>
      </c>
      <c r="H1315" s="6">
        <f t="shared" si="100"/>
        <v>1.0690049000987456E-4</v>
      </c>
      <c r="I1315" s="6">
        <f t="shared" si="101"/>
        <v>0.27272727272727271</v>
      </c>
      <c r="J1315" s="6">
        <f t="shared" si="102"/>
        <v>0.27335640138408307</v>
      </c>
      <c r="K1315" s="6">
        <f t="shared" si="103"/>
        <v>2.9154679093602151E-5</v>
      </c>
      <c r="L1315" s="6">
        <f t="shared" si="104"/>
        <v>2.9221933255294435E-5</v>
      </c>
    </row>
    <row r="1316" spans="1:12" ht="22.95" customHeight="1">
      <c r="A1316" s="5">
        <v>8</v>
      </c>
      <c r="B1316" s="7" t="s">
        <v>240</v>
      </c>
      <c r="C1316" s="7" t="s">
        <v>296</v>
      </c>
      <c r="D1316" s="5">
        <v>16</v>
      </c>
      <c r="E1316" s="5">
        <v>8</v>
      </c>
      <c r="F1316" s="5">
        <v>0</v>
      </c>
      <c r="G1316" s="5">
        <v>0</v>
      </c>
      <c r="H1316" s="6">
        <f t="shared" si="100"/>
        <v>6.7605052970671663E-6</v>
      </c>
      <c r="I1316" s="6">
        <f t="shared" si="101"/>
        <v>0</v>
      </c>
      <c r="J1316" s="6">
        <f t="shared" si="102"/>
        <v>0</v>
      </c>
      <c r="K1316" s="6">
        <f t="shared" si="103"/>
        <v>0</v>
      </c>
      <c r="L1316" s="6">
        <f t="shared" si="104"/>
        <v>0</v>
      </c>
    </row>
    <row r="1317" spans="1:12" ht="22.95" customHeight="1">
      <c r="A1317" s="5">
        <v>8</v>
      </c>
      <c r="B1317" s="7" t="s">
        <v>101</v>
      </c>
      <c r="C1317" s="7" t="s">
        <v>294</v>
      </c>
      <c r="D1317" s="5">
        <v>2</v>
      </c>
      <c r="E1317" s="5">
        <v>5060</v>
      </c>
      <c r="F1317" s="5">
        <v>2</v>
      </c>
      <c r="G1317" s="5">
        <v>2945</v>
      </c>
      <c r="H1317" s="6">
        <f t="shared" si="100"/>
        <v>8.4506316213339578E-7</v>
      </c>
      <c r="I1317" s="6">
        <f t="shared" si="101"/>
        <v>1</v>
      </c>
      <c r="J1317" s="6">
        <f t="shared" si="102"/>
        <v>0.58201581027667981</v>
      </c>
      <c r="K1317" s="6">
        <f t="shared" si="103"/>
        <v>8.4506316213339578E-7</v>
      </c>
      <c r="L1317" s="6">
        <f t="shared" si="104"/>
        <v>4.9184012104404164E-7</v>
      </c>
    </row>
    <row r="1318" spans="1:12" ht="22.95" customHeight="1">
      <c r="A1318" s="5">
        <v>8</v>
      </c>
      <c r="B1318" s="7" t="s">
        <v>135</v>
      </c>
      <c r="C1318" s="7" t="s">
        <v>291</v>
      </c>
      <c r="D1318" s="5">
        <v>2515</v>
      </c>
      <c r="E1318" s="5">
        <v>2543</v>
      </c>
      <c r="F1318" s="5">
        <v>913</v>
      </c>
      <c r="G1318" s="5">
        <v>1149</v>
      </c>
      <c r="H1318" s="6">
        <f t="shared" si="100"/>
        <v>1.0626669263827451E-3</v>
      </c>
      <c r="I1318" s="6">
        <f t="shared" si="101"/>
        <v>0.36302186878727633</v>
      </c>
      <c r="J1318" s="6">
        <f t="shared" si="102"/>
        <v>0.45182854895792374</v>
      </c>
      <c r="K1318" s="6">
        <f t="shared" si="103"/>
        <v>3.8577133351389513E-4</v>
      </c>
      <c r="L1318" s="6">
        <f t="shared" si="104"/>
        <v>4.8014325537309251E-4</v>
      </c>
    </row>
    <row r="1319" spans="1:12" ht="22.95" customHeight="1">
      <c r="A1319" s="5">
        <v>8</v>
      </c>
      <c r="B1319" s="7" t="s">
        <v>120</v>
      </c>
      <c r="C1319" s="7" t="s">
        <v>303</v>
      </c>
      <c r="D1319" s="5">
        <v>421</v>
      </c>
      <c r="E1319" s="5">
        <v>553</v>
      </c>
      <c r="F1319" s="5">
        <v>273</v>
      </c>
      <c r="G1319" s="5">
        <v>416</v>
      </c>
      <c r="H1319" s="6">
        <f t="shared" si="100"/>
        <v>1.7788579562907981E-4</v>
      </c>
      <c r="I1319" s="6">
        <f t="shared" si="101"/>
        <v>0.64845605700712594</v>
      </c>
      <c r="J1319" s="6">
        <f t="shared" si="102"/>
        <v>0.75226039783001808</v>
      </c>
      <c r="K1319" s="6">
        <f t="shared" si="103"/>
        <v>1.1535112163120854E-4</v>
      </c>
      <c r="L1319" s="6">
        <f t="shared" si="104"/>
        <v>1.3381643938824086E-4</v>
      </c>
    </row>
    <row r="1320" spans="1:12" ht="22.95" customHeight="1">
      <c r="A1320" s="5">
        <v>8</v>
      </c>
      <c r="B1320" s="7" t="s">
        <v>239</v>
      </c>
      <c r="C1320" s="7" t="s">
        <v>296</v>
      </c>
      <c r="D1320" s="5">
        <v>2</v>
      </c>
      <c r="E1320" s="5">
        <v>4</v>
      </c>
      <c r="F1320" s="5">
        <v>0</v>
      </c>
      <c r="G1320" s="5">
        <v>0</v>
      </c>
      <c r="H1320" s="6">
        <f t="shared" si="100"/>
        <v>8.4506316213339578E-7</v>
      </c>
      <c r="I1320" s="6">
        <f t="shared" si="101"/>
        <v>0</v>
      </c>
      <c r="J1320" s="6">
        <f t="shared" si="102"/>
        <v>0</v>
      </c>
      <c r="K1320" s="6">
        <f t="shared" si="103"/>
        <v>0</v>
      </c>
      <c r="L1320" s="6">
        <f t="shared" si="104"/>
        <v>0</v>
      </c>
    </row>
    <row r="1321" spans="1:12" ht="22.95" customHeight="1">
      <c r="A1321" s="5">
        <v>8</v>
      </c>
      <c r="B1321" s="7" t="s">
        <v>175</v>
      </c>
      <c r="C1321" s="7" t="s">
        <v>296</v>
      </c>
      <c r="D1321" s="5">
        <v>355</v>
      </c>
      <c r="E1321" s="5">
        <v>342</v>
      </c>
      <c r="F1321" s="5">
        <v>0</v>
      </c>
      <c r="G1321" s="5">
        <v>0</v>
      </c>
      <c r="H1321" s="6">
        <f t="shared" si="100"/>
        <v>1.4999871127867776E-4</v>
      </c>
      <c r="I1321" s="6">
        <f t="shared" si="101"/>
        <v>0</v>
      </c>
      <c r="J1321" s="6">
        <f t="shared" si="102"/>
        <v>0</v>
      </c>
      <c r="K1321" s="6">
        <f t="shared" si="103"/>
        <v>0</v>
      </c>
      <c r="L1321" s="6">
        <f t="shared" si="104"/>
        <v>0</v>
      </c>
    </row>
    <row r="1322" spans="1:12" ht="22.95" customHeight="1">
      <c r="A1322" s="5">
        <v>8</v>
      </c>
      <c r="B1322" s="7" t="s">
        <v>155</v>
      </c>
      <c r="C1322" s="7" t="s">
        <v>303</v>
      </c>
      <c r="D1322" s="5">
        <v>209</v>
      </c>
      <c r="E1322" s="5">
        <v>386</v>
      </c>
      <c r="F1322" s="5">
        <v>115</v>
      </c>
      <c r="G1322" s="5">
        <v>236</v>
      </c>
      <c r="H1322" s="6">
        <f t="shared" si="100"/>
        <v>8.8309100442939852E-5</v>
      </c>
      <c r="I1322" s="6">
        <f t="shared" si="101"/>
        <v>0.55023923444976075</v>
      </c>
      <c r="J1322" s="6">
        <f t="shared" si="102"/>
        <v>0.6113989637305699</v>
      </c>
      <c r="K1322" s="6">
        <f t="shared" si="103"/>
        <v>4.8591131822670255E-5</v>
      </c>
      <c r="L1322" s="6">
        <f t="shared" si="104"/>
        <v>5.3992092498792237E-5</v>
      </c>
    </row>
    <row r="1323" spans="1:12" ht="22.95" customHeight="1">
      <c r="A1323" s="5">
        <v>8</v>
      </c>
      <c r="B1323" s="7" t="s">
        <v>85</v>
      </c>
      <c r="C1323" s="7" t="s">
        <v>291</v>
      </c>
      <c r="D1323" s="5">
        <v>5590</v>
      </c>
      <c r="E1323" s="5">
        <v>9552</v>
      </c>
      <c r="F1323" s="5">
        <v>1453</v>
      </c>
      <c r="G1323" s="5">
        <v>3467</v>
      </c>
      <c r="H1323" s="6">
        <f t="shared" si="100"/>
        <v>2.3619515381628413E-3</v>
      </c>
      <c r="I1323" s="6">
        <f t="shared" si="101"/>
        <v>0.2599284436493739</v>
      </c>
      <c r="J1323" s="6">
        <f t="shared" si="102"/>
        <v>0.36296063651591287</v>
      </c>
      <c r="K1323" s="6">
        <f t="shared" si="103"/>
        <v>6.1393838728991213E-4</v>
      </c>
      <c r="L1323" s="6">
        <f t="shared" si="104"/>
        <v>8.5729543371132434E-4</v>
      </c>
    </row>
    <row r="1324" spans="1:12" ht="22.95" customHeight="1">
      <c r="A1324" s="5">
        <v>8</v>
      </c>
      <c r="B1324" s="7" t="s">
        <v>110</v>
      </c>
      <c r="C1324" s="7" t="s">
        <v>291</v>
      </c>
      <c r="D1324" s="5">
        <v>3026</v>
      </c>
      <c r="E1324" s="5">
        <v>3690</v>
      </c>
      <c r="F1324" s="5">
        <v>0</v>
      </c>
      <c r="G1324" s="5">
        <v>0</v>
      </c>
      <c r="H1324" s="6">
        <f t="shared" si="100"/>
        <v>1.2785805643078278E-3</v>
      </c>
      <c r="I1324" s="6">
        <f t="shared" si="101"/>
        <v>0</v>
      </c>
      <c r="J1324" s="6">
        <f t="shared" si="102"/>
        <v>0</v>
      </c>
      <c r="K1324" s="6">
        <f t="shared" si="103"/>
        <v>0</v>
      </c>
      <c r="L1324" s="6">
        <f t="shared" si="104"/>
        <v>0</v>
      </c>
    </row>
    <row r="1325" spans="1:12" ht="22.95" customHeight="1">
      <c r="A1325" s="5">
        <v>8</v>
      </c>
      <c r="B1325" s="7" t="s">
        <v>151</v>
      </c>
      <c r="C1325" s="7" t="s">
        <v>291</v>
      </c>
      <c r="D1325" s="5">
        <v>363</v>
      </c>
      <c r="E1325" s="5">
        <v>436</v>
      </c>
      <c r="F1325" s="5">
        <v>100</v>
      </c>
      <c r="G1325" s="5">
        <v>136</v>
      </c>
      <c r="H1325" s="6">
        <f t="shared" si="100"/>
        <v>1.5337896392721132E-4</v>
      </c>
      <c r="I1325" s="6">
        <f t="shared" si="101"/>
        <v>0.27548209366391185</v>
      </c>
      <c r="J1325" s="6">
        <f t="shared" si="102"/>
        <v>0.31192660550458717</v>
      </c>
      <c r="K1325" s="6">
        <f t="shared" si="103"/>
        <v>4.2253158106669789E-5</v>
      </c>
      <c r="L1325" s="6">
        <f t="shared" si="104"/>
        <v>4.784297957362555E-5</v>
      </c>
    </row>
    <row r="1326" spans="1:12" ht="22.95" customHeight="1">
      <c r="A1326" s="5">
        <v>8</v>
      </c>
      <c r="B1326" s="7" t="s">
        <v>161</v>
      </c>
      <c r="C1326" s="7" t="s">
        <v>291</v>
      </c>
      <c r="D1326" s="5">
        <v>212</v>
      </c>
      <c r="E1326" s="5">
        <v>248</v>
      </c>
      <c r="F1326" s="5">
        <v>75</v>
      </c>
      <c r="G1326" s="5">
        <v>92</v>
      </c>
      <c r="H1326" s="6">
        <f t="shared" si="100"/>
        <v>8.9576695186139948E-5</v>
      </c>
      <c r="I1326" s="6">
        <f t="shared" si="101"/>
        <v>0.35377358490566035</v>
      </c>
      <c r="J1326" s="6">
        <f t="shared" si="102"/>
        <v>0.37096774193548387</v>
      </c>
      <c r="K1326" s="6">
        <f t="shared" si="103"/>
        <v>3.1689868580002337E-5</v>
      </c>
      <c r="L1326" s="6">
        <f t="shared" si="104"/>
        <v>3.3230064343245466E-5</v>
      </c>
    </row>
    <row r="1327" spans="1:12" ht="22.95" customHeight="1">
      <c r="A1327" s="5">
        <v>8</v>
      </c>
      <c r="B1327" s="7" t="s">
        <v>162</v>
      </c>
      <c r="C1327" s="7" t="s">
        <v>291</v>
      </c>
      <c r="D1327" s="5">
        <v>293</v>
      </c>
      <c r="E1327" s="5">
        <v>281</v>
      </c>
      <c r="F1327" s="5">
        <v>73</v>
      </c>
      <c r="G1327" s="5">
        <v>81</v>
      </c>
      <c r="H1327" s="6">
        <f t="shared" si="100"/>
        <v>1.2380175325254247E-4</v>
      </c>
      <c r="I1327" s="6">
        <f t="shared" si="101"/>
        <v>0.24914675767918087</v>
      </c>
      <c r="J1327" s="6">
        <f t="shared" si="102"/>
        <v>0.28825622775800713</v>
      </c>
      <c r="K1327" s="6">
        <f t="shared" si="103"/>
        <v>3.0844805417868939E-5</v>
      </c>
      <c r="L1327" s="6">
        <f t="shared" si="104"/>
        <v>3.5686626382405481E-5</v>
      </c>
    </row>
    <row r="1328" spans="1:12" ht="22.95" customHeight="1">
      <c r="A1328" s="5">
        <v>8</v>
      </c>
      <c r="B1328" s="7" t="s">
        <v>130</v>
      </c>
      <c r="C1328" s="7" t="s">
        <v>292</v>
      </c>
      <c r="D1328" s="5">
        <v>804</v>
      </c>
      <c r="E1328" s="5">
        <v>702</v>
      </c>
      <c r="F1328" s="5">
        <v>467</v>
      </c>
      <c r="G1328" s="5">
        <v>449</v>
      </c>
      <c r="H1328" s="6">
        <f t="shared" si="100"/>
        <v>3.397153911776251E-4</v>
      </c>
      <c r="I1328" s="6">
        <f t="shared" si="101"/>
        <v>0.5808457711442786</v>
      </c>
      <c r="J1328" s="6">
        <f t="shared" si="102"/>
        <v>0.63960113960113962</v>
      </c>
      <c r="K1328" s="6">
        <f t="shared" si="103"/>
        <v>1.9732224835814792E-4</v>
      </c>
      <c r="L1328" s="6">
        <f t="shared" si="104"/>
        <v>2.1728235133725596E-4</v>
      </c>
    </row>
    <row r="1329" spans="1:12" ht="22.95" customHeight="1">
      <c r="A1329" s="5">
        <v>8</v>
      </c>
      <c r="B1329" s="7" t="s">
        <v>192</v>
      </c>
      <c r="C1329" s="7" t="s">
        <v>303</v>
      </c>
      <c r="D1329" s="5">
        <v>9</v>
      </c>
      <c r="E1329" s="5">
        <v>26</v>
      </c>
      <c r="F1329" s="5">
        <v>6</v>
      </c>
      <c r="G1329" s="5">
        <v>23</v>
      </c>
      <c r="H1329" s="6">
        <f t="shared" si="100"/>
        <v>3.8027842296002809E-6</v>
      </c>
      <c r="I1329" s="6">
        <f t="shared" si="101"/>
        <v>0.66666666666666663</v>
      </c>
      <c r="J1329" s="6">
        <f t="shared" si="102"/>
        <v>0.88461538461538458</v>
      </c>
      <c r="K1329" s="6">
        <f t="shared" si="103"/>
        <v>2.5351894864001871E-6</v>
      </c>
      <c r="L1329" s="6">
        <f t="shared" si="104"/>
        <v>3.3640014338771716E-6</v>
      </c>
    </row>
    <row r="1330" spans="1:12" ht="22.95" customHeight="1">
      <c r="A1330" s="5">
        <v>8</v>
      </c>
      <c r="B1330" s="7" t="s">
        <v>126</v>
      </c>
      <c r="C1330" s="7" t="s">
        <v>298</v>
      </c>
      <c r="D1330" s="5">
        <v>926</v>
      </c>
      <c r="E1330" s="5">
        <v>787</v>
      </c>
      <c r="F1330" s="5">
        <v>513</v>
      </c>
      <c r="G1330" s="5">
        <v>401</v>
      </c>
      <c r="H1330" s="6">
        <f t="shared" si="100"/>
        <v>3.9126424406776226E-4</v>
      </c>
      <c r="I1330" s="6">
        <f t="shared" si="101"/>
        <v>0.55399568034557234</v>
      </c>
      <c r="J1330" s="6">
        <f t="shared" si="102"/>
        <v>0.5095298602287166</v>
      </c>
      <c r="K1330" s="6">
        <f t="shared" si="103"/>
        <v>2.1675870108721601E-4</v>
      </c>
      <c r="L1330" s="6">
        <f t="shared" si="104"/>
        <v>1.9936081559234137E-4</v>
      </c>
    </row>
    <row r="1331" spans="1:12" ht="22.95" customHeight="1">
      <c r="A1331" s="5">
        <v>8</v>
      </c>
      <c r="B1331" s="7" t="s">
        <v>197</v>
      </c>
      <c r="C1331" s="7" t="s">
        <v>298</v>
      </c>
      <c r="D1331" s="5">
        <v>9</v>
      </c>
      <c r="E1331" s="5">
        <v>11</v>
      </c>
      <c r="F1331" s="5">
        <v>6</v>
      </c>
      <c r="G1331" s="5">
        <v>10</v>
      </c>
      <c r="H1331" s="6">
        <f t="shared" si="100"/>
        <v>3.8027842296002809E-6</v>
      </c>
      <c r="I1331" s="6">
        <f t="shared" si="101"/>
        <v>0.66666666666666663</v>
      </c>
      <c r="J1331" s="6">
        <f t="shared" si="102"/>
        <v>0.90909090909090906</v>
      </c>
      <c r="K1331" s="6">
        <f t="shared" si="103"/>
        <v>2.5351894864001871E-6</v>
      </c>
      <c r="L1331" s="6">
        <f t="shared" si="104"/>
        <v>3.4570765723638917E-6</v>
      </c>
    </row>
    <row r="1332" spans="1:12" ht="22.95" customHeight="1">
      <c r="A1332" s="5">
        <v>8</v>
      </c>
      <c r="B1332" s="7" t="s">
        <v>189</v>
      </c>
      <c r="C1332" s="7" t="s">
        <v>298</v>
      </c>
      <c r="D1332" s="5">
        <v>81</v>
      </c>
      <c r="E1332" s="5">
        <v>81</v>
      </c>
      <c r="F1332" s="5">
        <v>24</v>
      </c>
      <c r="G1332" s="5">
        <v>33</v>
      </c>
      <c r="H1332" s="6">
        <f t="shared" si="100"/>
        <v>3.4225058066402528E-5</v>
      </c>
      <c r="I1332" s="6">
        <f t="shared" si="101"/>
        <v>0.29629629629629628</v>
      </c>
      <c r="J1332" s="6">
        <f t="shared" si="102"/>
        <v>0.40740740740740738</v>
      </c>
      <c r="K1332" s="6">
        <f t="shared" si="103"/>
        <v>1.0140757945600749E-5</v>
      </c>
      <c r="L1332" s="6">
        <f t="shared" si="104"/>
        <v>1.3943542175201029E-5</v>
      </c>
    </row>
    <row r="1333" spans="1:12" ht="22.95" customHeight="1">
      <c r="A1333" s="5">
        <v>8</v>
      </c>
      <c r="B1333" s="7" t="s">
        <v>194</v>
      </c>
      <c r="C1333" s="7" t="s">
        <v>303</v>
      </c>
      <c r="D1333" s="5">
        <v>15</v>
      </c>
      <c r="E1333" s="5">
        <v>11</v>
      </c>
      <c r="F1333" s="5">
        <v>5</v>
      </c>
      <c r="G1333" s="5">
        <v>4</v>
      </c>
      <c r="H1333" s="6">
        <f t="shared" si="100"/>
        <v>6.3379737160004685E-6</v>
      </c>
      <c r="I1333" s="6">
        <f t="shared" si="101"/>
        <v>0.33333333333333331</v>
      </c>
      <c r="J1333" s="6">
        <f t="shared" si="102"/>
        <v>0.36363636363636365</v>
      </c>
      <c r="K1333" s="6">
        <f t="shared" si="103"/>
        <v>2.1126579053334894E-6</v>
      </c>
      <c r="L1333" s="6">
        <f t="shared" si="104"/>
        <v>2.3047177149092613E-6</v>
      </c>
    </row>
    <row r="1334" spans="1:12" ht="22.95" customHeight="1">
      <c r="A1334" s="5">
        <v>8</v>
      </c>
      <c r="B1334" s="7" t="s">
        <v>275</v>
      </c>
      <c r="C1334" s="7" t="s">
        <v>295</v>
      </c>
      <c r="D1334" s="5">
        <v>1619</v>
      </c>
      <c r="E1334" s="5">
        <v>474</v>
      </c>
      <c r="F1334" s="5">
        <v>1410</v>
      </c>
      <c r="G1334" s="5">
        <v>333</v>
      </c>
      <c r="H1334" s="6">
        <f t="shared" si="100"/>
        <v>6.8407862974698391E-4</v>
      </c>
      <c r="I1334" s="6">
        <f t="shared" si="101"/>
        <v>0.87090796788140823</v>
      </c>
      <c r="J1334" s="6">
        <f t="shared" si="102"/>
        <v>0.70253164556962022</v>
      </c>
      <c r="K1334" s="6">
        <f t="shared" si="103"/>
        <v>5.9576952930404396E-4</v>
      </c>
      <c r="L1334" s="6">
        <f t="shared" si="104"/>
        <v>4.8058688545515958E-4</v>
      </c>
    </row>
    <row r="1335" spans="1:12" ht="22.95" customHeight="1">
      <c r="A1335" s="5">
        <v>8</v>
      </c>
      <c r="B1335" s="7" t="s">
        <v>94</v>
      </c>
      <c r="C1335" s="7" t="s">
        <v>291</v>
      </c>
      <c r="D1335" s="5">
        <v>3495</v>
      </c>
      <c r="E1335" s="5">
        <v>4534</v>
      </c>
      <c r="F1335" s="5">
        <v>0</v>
      </c>
      <c r="G1335" s="5">
        <v>0</v>
      </c>
      <c r="H1335" s="6">
        <f t="shared" si="100"/>
        <v>1.4767478758281091E-3</v>
      </c>
      <c r="I1335" s="6">
        <f t="shared" si="101"/>
        <v>0</v>
      </c>
      <c r="J1335" s="6">
        <f t="shared" si="102"/>
        <v>0</v>
      </c>
      <c r="K1335" s="6">
        <f t="shared" si="103"/>
        <v>0</v>
      </c>
      <c r="L1335" s="6">
        <f t="shared" si="104"/>
        <v>0</v>
      </c>
    </row>
    <row r="1336" spans="1:12" ht="22.95" customHeight="1">
      <c r="A1336" s="5">
        <v>8</v>
      </c>
      <c r="B1336" s="7" t="s">
        <v>226</v>
      </c>
      <c r="C1336" s="7" t="s">
        <v>292</v>
      </c>
      <c r="D1336" s="5">
        <v>1</v>
      </c>
      <c r="E1336" s="5">
        <v>2</v>
      </c>
      <c r="F1336" s="5">
        <v>0</v>
      </c>
      <c r="G1336" s="5">
        <v>0</v>
      </c>
      <c r="H1336" s="6">
        <f t="shared" si="100"/>
        <v>4.2253158106669789E-7</v>
      </c>
      <c r="I1336" s="6">
        <f t="shared" si="101"/>
        <v>0</v>
      </c>
      <c r="J1336" s="6">
        <f t="shared" si="102"/>
        <v>0</v>
      </c>
      <c r="K1336" s="6">
        <f t="shared" si="103"/>
        <v>0</v>
      </c>
      <c r="L1336" s="6">
        <f t="shared" si="104"/>
        <v>0</v>
      </c>
    </row>
    <row r="1337" spans="1:12" ht="22.95" customHeight="1">
      <c r="A1337" s="5">
        <v>8</v>
      </c>
      <c r="B1337" s="7" t="s">
        <v>90</v>
      </c>
      <c r="C1337" s="7" t="s">
        <v>290</v>
      </c>
      <c r="D1337" s="5">
        <v>10842</v>
      </c>
      <c r="E1337" s="5">
        <v>14577</v>
      </c>
      <c r="F1337" s="5">
        <v>3875</v>
      </c>
      <c r="G1337" s="5">
        <v>8672</v>
      </c>
      <c r="H1337" s="6">
        <f t="shared" si="100"/>
        <v>4.5810874019251383E-3</v>
      </c>
      <c r="I1337" s="6">
        <f t="shared" si="101"/>
        <v>0.35740638258623869</v>
      </c>
      <c r="J1337" s="6">
        <f t="shared" si="102"/>
        <v>0.59490978939425121</v>
      </c>
      <c r="K1337" s="6">
        <f t="shared" si="103"/>
        <v>1.6373098766334542E-3</v>
      </c>
      <c r="L1337" s="6">
        <f t="shared" si="104"/>
        <v>2.7253337414759413E-3</v>
      </c>
    </row>
    <row r="1338" spans="1:12" ht="22.95" customHeight="1">
      <c r="A1338" s="5">
        <v>8</v>
      </c>
      <c r="B1338" s="7" t="s">
        <v>163</v>
      </c>
      <c r="C1338" s="7" t="s">
        <v>303</v>
      </c>
      <c r="D1338" s="5">
        <v>157</v>
      </c>
      <c r="E1338" s="5">
        <v>218</v>
      </c>
      <c r="F1338" s="5">
        <v>101</v>
      </c>
      <c r="G1338" s="5">
        <v>145</v>
      </c>
      <c r="H1338" s="6">
        <f t="shared" si="100"/>
        <v>6.6337458227471563E-5</v>
      </c>
      <c r="I1338" s="6">
        <f t="shared" si="101"/>
        <v>0.64331210191082799</v>
      </c>
      <c r="J1338" s="6">
        <f t="shared" si="102"/>
        <v>0.66513761467889909</v>
      </c>
      <c r="K1338" s="6">
        <f t="shared" si="103"/>
        <v>4.2675689687736481E-5</v>
      </c>
      <c r="L1338" s="6">
        <f t="shared" si="104"/>
        <v>4.4123538729281547E-5</v>
      </c>
    </row>
    <row r="1339" spans="1:12" ht="22.95" customHeight="1">
      <c r="A1339" s="5">
        <v>8</v>
      </c>
      <c r="B1339" s="7" t="s">
        <v>214</v>
      </c>
      <c r="C1339" s="7" t="s">
        <v>303</v>
      </c>
      <c r="D1339" s="5">
        <v>5</v>
      </c>
      <c r="E1339" s="5">
        <v>9</v>
      </c>
      <c r="F1339" s="5">
        <v>4</v>
      </c>
      <c r="G1339" s="5">
        <v>7</v>
      </c>
      <c r="H1339" s="6">
        <f t="shared" si="100"/>
        <v>2.1126579053334894E-6</v>
      </c>
      <c r="I1339" s="6">
        <f t="shared" si="101"/>
        <v>0.8</v>
      </c>
      <c r="J1339" s="6">
        <f t="shared" si="102"/>
        <v>0.77777777777777779</v>
      </c>
      <c r="K1339" s="6">
        <f t="shared" si="103"/>
        <v>1.6901263242667916E-6</v>
      </c>
      <c r="L1339" s="6">
        <f t="shared" si="104"/>
        <v>1.6431783708149362E-6</v>
      </c>
    </row>
    <row r="1340" spans="1:12" ht="22.95" customHeight="1">
      <c r="A1340" s="5">
        <v>8</v>
      </c>
      <c r="B1340" s="7" t="s">
        <v>138</v>
      </c>
      <c r="C1340" s="7" t="s">
        <v>303</v>
      </c>
      <c r="D1340" s="5">
        <v>250</v>
      </c>
      <c r="E1340" s="5">
        <v>306</v>
      </c>
      <c r="F1340" s="5">
        <v>141</v>
      </c>
      <c r="G1340" s="5">
        <v>184</v>
      </c>
      <c r="H1340" s="6">
        <f t="shared" si="100"/>
        <v>1.0563289526667447E-4</v>
      </c>
      <c r="I1340" s="6">
        <f t="shared" si="101"/>
        <v>0.56399999999999995</v>
      </c>
      <c r="J1340" s="6">
        <f t="shared" si="102"/>
        <v>0.60130718954248363</v>
      </c>
      <c r="K1340" s="6">
        <f t="shared" si="103"/>
        <v>5.9576952930404392E-5</v>
      </c>
      <c r="L1340" s="6">
        <f t="shared" si="104"/>
        <v>6.3517819376039547E-5</v>
      </c>
    </row>
    <row r="1341" spans="1:12" ht="22.95" customHeight="1">
      <c r="A1341" s="5">
        <v>8</v>
      </c>
      <c r="B1341" s="7" t="s">
        <v>168</v>
      </c>
      <c r="C1341" s="7" t="s">
        <v>303</v>
      </c>
      <c r="D1341" s="5">
        <v>207</v>
      </c>
      <c r="E1341" s="5">
        <v>204</v>
      </c>
      <c r="F1341" s="5">
        <v>132</v>
      </c>
      <c r="G1341" s="5">
        <v>142</v>
      </c>
      <c r="H1341" s="6">
        <f t="shared" si="100"/>
        <v>8.7464037280806454E-5</v>
      </c>
      <c r="I1341" s="6">
        <f t="shared" si="101"/>
        <v>0.6376811594202898</v>
      </c>
      <c r="J1341" s="6">
        <f t="shared" si="102"/>
        <v>0.69607843137254899</v>
      </c>
      <c r="K1341" s="6">
        <f t="shared" si="103"/>
        <v>5.5774168700804111E-5</v>
      </c>
      <c r="L1341" s="6">
        <f t="shared" si="104"/>
        <v>6.0881829871933903E-5</v>
      </c>
    </row>
    <row r="1342" spans="1:12" ht="22.95" customHeight="1">
      <c r="A1342" s="5">
        <v>8</v>
      </c>
      <c r="B1342" s="7" t="s">
        <v>165</v>
      </c>
      <c r="C1342" s="7" t="s">
        <v>293</v>
      </c>
      <c r="D1342" s="5">
        <v>29</v>
      </c>
      <c r="E1342" s="5">
        <v>46</v>
      </c>
      <c r="F1342" s="5">
        <v>9</v>
      </c>
      <c r="G1342" s="5">
        <v>28</v>
      </c>
      <c r="H1342" s="6">
        <f t="shared" si="100"/>
        <v>1.2253415850934238E-5</v>
      </c>
      <c r="I1342" s="6">
        <f t="shared" si="101"/>
        <v>0.31034482758620691</v>
      </c>
      <c r="J1342" s="6">
        <f t="shared" si="102"/>
        <v>0.60869565217391308</v>
      </c>
      <c r="K1342" s="6">
        <f t="shared" si="103"/>
        <v>3.8027842296002809E-6</v>
      </c>
      <c r="L1342" s="6">
        <f t="shared" si="104"/>
        <v>7.4586009527425803E-6</v>
      </c>
    </row>
    <row r="1343" spans="1:12" ht="22.95" customHeight="1">
      <c r="A1343" s="5">
        <v>8</v>
      </c>
      <c r="B1343" s="7" t="s">
        <v>149</v>
      </c>
      <c r="C1343" s="7" t="s">
        <v>295</v>
      </c>
      <c r="D1343" s="5">
        <v>177</v>
      </c>
      <c r="E1343" s="5">
        <v>205</v>
      </c>
      <c r="F1343" s="5">
        <v>131</v>
      </c>
      <c r="G1343" s="5">
        <v>146</v>
      </c>
      <c r="H1343" s="6">
        <f t="shared" si="100"/>
        <v>7.4788089848805523E-5</v>
      </c>
      <c r="I1343" s="6">
        <f t="shared" si="101"/>
        <v>0.74011299435028244</v>
      </c>
      <c r="J1343" s="6">
        <f t="shared" si="102"/>
        <v>0.71219512195121948</v>
      </c>
      <c r="K1343" s="6">
        <f t="shared" si="103"/>
        <v>5.5351637119737419E-5</v>
      </c>
      <c r="L1343" s="6">
        <f t="shared" si="104"/>
        <v>5.3263712770368811E-5</v>
      </c>
    </row>
    <row r="1344" spans="1:12" ht="22.95" customHeight="1">
      <c r="A1344" s="5">
        <v>8</v>
      </c>
      <c r="B1344" s="7" t="s">
        <v>278</v>
      </c>
      <c r="C1344" s="7" t="s">
        <v>292</v>
      </c>
      <c r="D1344" s="5">
        <v>3020</v>
      </c>
      <c r="E1344" s="5">
        <v>2515</v>
      </c>
      <c r="F1344" s="5">
        <v>2273</v>
      </c>
      <c r="G1344" s="5">
        <v>1936</v>
      </c>
      <c r="H1344" s="6">
        <f t="shared" si="100"/>
        <v>1.2760453748214275E-3</v>
      </c>
      <c r="I1344" s="6">
        <f t="shared" si="101"/>
        <v>0.75264900662251655</v>
      </c>
      <c r="J1344" s="6">
        <f t="shared" si="102"/>
        <v>0.76978131212723655</v>
      </c>
      <c r="K1344" s="6">
        <f t="shared" si="103"/>
        <v>9.6041428376460419E-4</v>
      </c>
      <c r="L1344" s="6">
        <f t="shared" si="104"/>
        <v>9.8227588296392995E-4</v>
      </c>
    </row>
    <row r="1345" spans="1:12" ht="22.95" customHeight="1">
      <c r="A1345" s="5">
        <v>8</v>
      </c>
      <c r="B1345" s="7" t="s">
        <v>127</v>
      </c>
      <c r="C1345" s="7" t="s">
        <v>293</v>
      </c>
      <c r="D1345" s="5">
        <v>552</v>
      </c>
      <c r="E1345" s="5">
        <v>674</v>
      </c>
      <c r="F1345" s="5">
        <v>265</v>
      </c>
      <c r="G1345" s="5">
        <v>456</v>
      </c>
      <c r="H1345" s="6">
        <f t="shared" si="100"/>
        <v>2.3323743274881724E-4</v>
      </c>
      <c r="I1345" s="6">
        <f t="shared" si="101"/>
        <v>0.48007246376811596</v>
      </c>
      <c r="J1345" s="6">
        <f t="shared" si="102"/>
        <v>0.67655786350148372</v>
      </c>
      <c r="K1345" s="6">
        <f t="shared" si="103"/>
        <v>1.1197086898267495E-4</v>
      </c>
      <c r="L1345" s="6">
        <f t="shared" si="104"/>
        <v>1.5779861918911077E-4</v>
      </c>
    </row>
    <row r="1346" spans="1:12" ht="22.95" customHeight="1">
      <c r="A1346" s="5">
        <v>8</v>
      </c>
      <c r="B1346" s="7" t="s">
        <v>96</v>
      </c>
      <c r="C1346" s="7" t="s">
        <v>290</v>
      </c>
      <c r="D1346" s="5">
        <v>3125</v>
      </c>
      <c r="E1346" s="5">
        <v>5448</v>
      </c>
      <c r="F1346" s="5">
        <v>1076</v>
      </c>
      <c r="G1346" s="5">
        <v>3655</v>
      </c>
      <c r="H1346" s="6">
        <f t="shared" si="100"/>
        <v>1.3204111908334309E-3</v>
      </c>
      <c r="I1346" s="6">
        <f t="shared" si="101"/>
        <v>0.34432000000000001</v>
      </c>
      <c r="J1346" s="6">
        <f t="shared" si="102"/>
        <v>0.67088839941262846</v>
      </c>
      <c r="K1346" s="6">
        <f t="shared" si="103"/>
        <v>4.5464398122776697E-4</v>
      </c>
      <c r="L1346" s="6">
        <f t="shared" si="104"/>
        <v>8.8584855038476322E-4</v>
      </c>
    </row>
    <row r="1347" spans="1:12" ht="22.95" customHeight="1">
      <c r="A1347" s="5">
        <v>8</v>
      </c>
      <c r="B1347" s="7" t="s">
        <v>115</v>
      </c>
      <c r="C1347" s="7" t="s">
        <v>294</v>
      </c>
      <c r="D1347" s="5">
        <v>422</v>
      </c>
      <c r="E1347" s="5">
        <v>414</v>
      </c>
      <c r="F1347" s="5">
        <v>231</v>
      </c>
      <c r="G1347" s="5">
        <v>191</v>
      </c>
      <c r="H1347" s="6">
        <f t="shared" si="100"/>
        <v>1.783083272101465E-4</v>
      </c>
      <c r="I1347" s="6">
        <f t="shared" si="101"/>
        <v>0.54739336492891</v>
      </c>
      <c r="J1347" s="6">
        <f t="shared" si="102"/>
        <v>0.46135265700483091</v>
      </c>
      <c r="K1347" s="6">
        <f t="shared" si="103"/>
        <v>9.7604795226407208E-5</v>
      </c>
      <c r="L1347" s="6">
        <f t="shared" si="104"/>
        <v>8.2263020524487879E-5</v>
      </c>
    </row>
    <row r="1348" spans="1:12" ht="22.95" customHeight="1">
      <c r="A1348" s="5">
        <v>8</v>
      </c>
      <c r="B1348" s="7" t="s">
        <v>256</v>
      </c>
      <c r="C1348" s="7" t="s">
        <v>294</v>
      </c>
      <c r="D1348" s="5">
        <v>105</v>
      </c>
      <c r="E1348" s="5">
        <v>109</v>
      </c>
      <c r="F1348" s="5">
        <v>35</v>
      </c>
      <c r="G1348" s="5">
        <v>33</v>
      </c>
      <c r="H1348" s="6">
        <f t="shared" si="100"/>
        <v>4.4365816012003275E-5</v>
      </c>
      <c r="I1348" s="6">
        <f t="shared" si="101"/>
        <v>0.33333333333333331</v>
      </c>
      <c r="J1348" s="6">
        <f t="shared" si="102"/>
        <v>0.30275229357798167</v>
      </c>
      <c r="K1348" s="6">
        <f t="shared" si="103"/>
        <v>1.4788605337334425E-5</v>
      </c>
      <c r="L1348" s="6">
        <f t="shared" si="104"/>
        <v>1.3431852554092736E-5</v>
      </c>
    </row>
    <row r="1349" spans="1:12" ht="22.95" customHeight="1">
      <c r="A1349" s="5">
        <v>8</v>
      </c>
      <c r="B1349" s="7" t="s">
        <v>225</v>
      </c>
      <c r="C1349" s="7" t="s">
        <v>291</v>
      </c>
      <c r="D1349" s="5">
        <v>1</v>
      </c>
      <c r="E1349" s="5">
        <v>2</v>
      </c>
      <c r="F1349" s="5">
        <v>1</v>
      </c>
      <c r="G1349" s="5">
        <v>2</v>
      </c>
      <c r="H1349" s="6">
        <f t="shared" si="100"/>
        <v>4.2253158106669789E-7</v>
      </c>
      <c r="I1349" s="6">
        <f t="shared" si="101"/>
        <v>1</v>
      </c>
      <c r="J1349" s="6">
        <f t="shared" si="102"/>
        <v>1</v>
      </c>
      <c r="K1349" s="6">
        <f t="shared" si="103"/>
        <v>4.2253158106669789E-7</v>
      </c>
      <c r="L1349" s="6">
        <f t="shared" si="104"/>
        <v>4.2253158106669789E-7</v>
      </c>
    </row>
    <row r="1350" spans="1:12" ht="22.95" customHeight="1">
      <c r="A1350" s="5">
        <v>8</v>
      </c>
      <c r="B1350" s="7" t="s">
        <v>128</v>
      </c>
      <c r="C1350" s="7" t="s">
        <v>293</v>
      </c>
      <c r="D1350" s="5">
        <v>85</v>
      </c>
      <c r="E1350" s="5">
        <v>223</v>
      </c>
      <c r="F1350" s="5">
        <v>27</v>
      </c>
      <c r="G1350" s="5">
        <v>85</v>
      </c>
      <c r="H1350" s="6">
        <f t="shared" si="100"/>
        <v>3.5915184390669323E-5</v>
      </c>
      <c r="I1350" s="6">
        <f t="shared" si="101"/>
        <v>0.31764705882352939</v>
      </c>
      <c r="J1350" s="6">
        <f t="shared" si="102"/>
        <v>0.3811659192825112</v>
      </c>
      <c r="K1350" s="6">
        <f t="shared" si="103"/>
        <v>1.1408352688800843E-5</v>
      </c>
      <c r="L1350" s="6">
        <f t="shared" si="104"/>
        <v>1.368964427447037E-5</v>
      </c>
    </row>
  </sheetData>
  <autoFilter ref="A29:L1350" xr:uid="{00000000-0009-0000-0000-000004000000}"/>
  <phoneticPr fontId="8" type="noConversion"/>
  <pageMargins left="0.3" right="0.3" top="0.4" bottom="0.4" header="0.3" footer="0.3"/>
  <pageSetup paperSize="9" fitToHeight="0" orientation="landscape"/>
  <headerFooter>
    <oddFooter>&amp;LNYC 311 数据分析&amp;R&amp;P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L70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2.95" customHeight="1"/>
  <cols>
    <col min="1" max="1" width="43.6640625" customWidth="1"/>
    <col min="2" max="2" width="18.6640625" customWidth="1"/>
    <col min="3" max="3" width="15.6640625" customWidth="1"/>
    <col min="4" max="4" width="83.6640625" customWidth="1"/>
    <col min="5" max="12" width="16.6640625" style="7" customWidth="1"/>
  </cols>
  <sheetData>
    <row r="2" spans="1:4" ht="28.95" customHeight="1">
      <c r="A2" s="1" t="s">
        <v>5</v>
      </c>
    </row>
    <row r="4" spans="1:4" ht="22.95" customHeight="1">
      <c r="A4" s="2" t="s">
        <v>625</v>
      </c>
    </row>
    <row r="5" spans="1:4" ht="34.049999999999997" customHeight="1">
      <c r="A5" s="3" t="s">
        <v>626</v>
      </c>
      <c r="B5" s="3" t="s">
        <v>627</v>
      </c>
      <c r="C5" s="3" t="s">
        <v>628</v>
      </c>
      <c r="D5" s="3" t="s">
        <v>629</v>
      </c>
    </row>
    <row r="6" spans="1:4" ht="34.950000000000003" customHeight="1">
      <c r="A6" t="s">
        <v>630</v>
      </c>
      <c r="B6" s="5">
        <v>7525498</v>
      </c>
      <c r="C6" s="6">
        <f t="shared" ref="C6:C18" si="0">B6/$B$6</f>
        <v>1</v>
      </c>
      <c r="D6" s="11" t="s">
        <v>631</v>
      </c>
    </row>
    <row r="7" spans="1:4" ht="34.950000000000003" customHeight="1">
      <c r="A7" t="s">
        <v>632</v>
      </c>
      <c r="B7" s="5">
        <v>7525498</v>
      </c>
      <c r="C7" s="6">
        <f t="shared" si="0"/>
        <v>1</v>
      </c>
      <c r="D7" s="11" t="s">
        <v>633</v>
      </c>
    </row>
    <row r="8" spans="1:4" ht="34.950000000000003" customHeight="1">
      <c r="A8" t="s">
        <v>634</v>
      </c>
      <c r="B8" s="5">
        <v>0</v>
      </c>
      <c r="C8" s="6">
        <f t="shared" si="0"/>
        <v>0</v>
      </c>
      <c r="D8" s="11" t="s">
        <v>635</v>
      </c>
    </row>
    <row r="9" spans="1:4" ht="34.950000000000003" customHeight="1">
      <c r="A9" t="s">
        <v>636</v>
      </c>
      <c r="B9" s="5">
        <v>0</v>
      </c>
      <c r="C9" s="6">
        <f t="shared" si="0"/>
        <v>0</v>
      </c>
      <c r="D9" s="11" t="s">
        <v>637</v>
      </c>
    </row>
    <row r="10" spans="1:4" ht="34.950000000000003" customHeight="1">
      <c r="A10" t="s">
        <v>638</v>
      </c>
      <c r="B10" s="5">
        <v>0</v>
      </c>
      <c r="C10" s="6">
        <f t="shared" si="0"/>
        <v>0</v>
      </c>
      <c r="D10" s="11" t="s">
        <v>639</v>
      </c>
    </row>
    <row r="11" spans="1:4" ht="34.950000000000003" customHeight="1">
      <c r="A11" t="s">
        <v>640</v>
      </c>
      <c r="B11" s="5">
        <v>240304</v>
      </c>
      <c r="C11" s="6">
        <f t="shared" si="0"/>
        <v>3.1931973139850675E-2</v>
      </c>
      <c r="D11" s="11" t="s">
        <v>641</v>
      </c>
    </row>
    <row r="12" spans="1:4" ht="34.950000000000003" customHeight="1">
      <c r="A12" t="s">
        <v>642</v>
      </c>
      <c r="B12" s="5">
        <v>1877</v>
      </c>
      <c r="C12" s="6">
        <f t="shared" si="0"/>
        <v>2.4941870956579886E-4</v>
      </c>
      <c r="D12" s="11" t="s">
        <v>643</v>
      </c>
    </row>
    <row r="13" spans="1:4" ht="34.950000000000003" customHeight="1">
      <c r="A13" t="s">
        <v>644</v>
      </c>
      <c r="B13" s="5">
        <v>135189</v>
      </c>
      <c r="C13" s="6">
        <f t="shared" si="0"/>
        <v>1.7964126759451665E-2</v>
      </c>
      <c r="D13" s="11" t="s">
        <v>645</v>
      </c>
    </row>
    <row r="14" spans="1:4" ht="34.950000000000003" customHeight="1">
      <c r="A14" t="s">
        <v>646</v>
      </c>
      <c r="B14" s="5">
        <v>15543</v>
      </c>
      <c r="C14" s="6">
        <f t="shared" si="0"/>
        <v>2.0653782646676672E-3</v>
      </c>
      <c r="D14" s="11" t="s">
        <v>647</v>
      </c>
    </row>
    <row r="15" spans="1:4" ht="34.950000000000003" customHeight="1">
      <c r="A15" t="s">
        <v>648</v>
      </c>
      <c r="B15" s="5">
        <v>25388</v>
      </c>
      <c r="C15" s="6">
        <f t="shared" si="0"/>
        <v>3.3735973353524245E-3</v>
      </c>
      <c r="D15" s="11" t="s">
        <v>649</v>
      </c>
    </row>
    <row r="16" spans="1:4" ht="34.950000000000003" customHeight="1">
      <c r="A16" t="s">
        <v>650</v>
      </c>
      <c r="B16" s="5">
        <v>1</v>
      </c>
      <c r="C16" s="6">
        <f t="shared" si="0"/>
        <v>1.3288157142557211E-7</v>
      </c>
      <c r="D16" s="11" t="s">
        <v>651</v>
      </c>
    </row>
    <row r="17" spans="1:4" ht="34.950000000000003" customHeight="1">
      <c r="A17" t="s">
        <v>652</v>
      </c>
      <c r="B17" s="5">
        <v>6331</v>
      </c>
      <c r="C17" s="6">
        <f t="shared" si="0"/>
        <v>8.4127322869529699E-4</v>
      </c>
      <c r="D17" s="11" t="s">
        <v>653</v>
      </c>
    </row>
    <row r="18" spans="1:4" ht="34.950000000000003" customHeight="1">
      <c r="A18" t="s">
        <v>654</v>
      </c>
      <c r="B18" s="5">
        <v>590822</v>
      </c>
      <c r="C18" s="6">
        <f t="shared" si="0"/>
        <v>7.8509355792799357E-2</v>
      </c>
      <c r="D18" s="11" t="s">
        <v>655</v>
      </c>
    </row>
    <row r="21" spans="1:4" ht="22.95" customHeight="1">
      <c r="A21" s="4" t="s">
        <v>656</v>
      </c>
    </row>
    <row r="22" spans="1:4" ht="22.95" customHeight="1">
      <c r="A22" s="2" t="s">
        <v>657</v>
      </c>
    </row>
    <row r="23" spans="1:4" ht="22.95" customHeight="1">
      <c r="A23" s="2" t="s">
        <v>658</v>
      </c>
    </row>
    <row r="26" spans="1:4" ht="34.049999999999997" customHeight="1">
      <c r="A26" s="3" t="s">
        <v>659</v>
      </c>
      <c r="B26" s="3" t="s">
        <v>660</v>
      </c>
      <c r="C26" s="3" t="s">
        <v>661</v>
      </c>
      <c r="D26" s="3" t="s">
        <v>662</v>
      </c>
    </row>
    <row r="27" spans="1:4" ht="28.95" customHeight="1">
      <c r="A27" t="s">
        <v>663</v>
      </c>
      <c r="B27" s="5">
        <v>0</v>
      </c>
      <c r="C27" s="6">
        <f t="shared" ref="C27:C70" si="1">B27/$B$6</f>
        <v>0</v>
      </c>
      <c r="D27" s="11" t="s">
        <v>664</v>
      </c>
    </row>
    <row r="28" spans="1:4" ht="28.95" customHeight="1">
      <c r="A28" t="s">
        <v>665</v>
      </c>
      <c r="B28" s="5">
        <v>0</v>
      </c>
      <c r="C28" s="6">
        <f t="shared" si="1"/>
        <v>0</v>
      </c>
      <c r="D28" s="11" t="s">
        <v>666</v>
      </c>
    </row>
    <row r="29" spans="1:4" ht="28.95" customHeight="1">
      <c r="A29" t="s">
        <v>667</v>
      </c>
      <c r="B29" s="5">
        <v>240304</v>
      </c>
      <c r="C29" s="6">
        <f t="shared" si="1"/>
        <v>3.1931973139850675E-2</v>
      </c>
      <c r="D29" s="11" t="s">
        <v>668</v>
      </c>
    </row>
    <row r="30" spans="1:4" ht="28.95" customHeight="1">
      <c r="A30" t="s">
        <v>669</v>
      </c>
      <c r="B30" s="5">
        <v>0</v>
      </c>
      <c r="C30" s="6">
        <f t="shared" si="1"/>
        <v>0</v>
      </c>
      <c r="D30" s="11" t="s">
        <v>670</v>
      </c>
    </row>
    <row r="31" spans="1:4" ht="28.95" customHeight="1">
      <c r="A31" t="s">
        <v>671</v>
      </c>
      <c r="B31" s="5">
        <v>0</v>
      </c>
      <c r="C31" s="6">
        <f t="shared" si="1"/>
        <v>0</v>
      </c>
      <c r="D31" s="11" t="s">
        <v>672</v>
      </c>
    </row>
    <row r="32" spans="1:4" ht="28.95" customHeight="1">
      <c r="A32" t="s">
        <v>673</v>
      </c>
      <c r="B32" s="5">
        <v>0</v>
      </c>
      <c r="C32" s="6">
        <f t="shared" si="1"/>
        <v>0</v>
      </c>
      <c r="D32" s="11" t="s">
        <v>674</v>
      </c>
    </row>
    <row r="33" spans="1:4" ht="28.95" customHeight="1">
      <c r="A33" t="s">
        <v>675</v>
      </c>
      <c r="B33" s="5">
        <v>21828</v>
      </c>
      <c r="C33" s="6">
        <f t="shared" si="1"/>
        <v>2.9005389410773877E-3</v>
      </c>
      <c r="D33" s="11" t="s">
        <v>676</v>
      </c>
    </row>
    <row r="34" spans="1:4" ht="28.95" customHeight="1">
      <c r="A34" t="s">
        <v>677</v>
      </c>
      <c r="B34" s="5">
        <v>925173</v>
      </c>
      <c r="C34" s="6">
        <f t="shared" si="1"/>
        <v>0.12293844208051082</v>
      </c>
      <c r="D34" s="11" t="s">
        <v>678</v>
      </c>
    </row>
    <row r="35" spans="1:4" ht="28.95" customHeight="1">
      <c r="A35" t="s">
        <v>679</v>
      </c>
      <c r="B35" s="5">
        <v>65559</v>
      </c>
      <c r="C35" s="6">
        <f t="shared" si="1"/>
        <v>8.7115829410890806E-3</v>
      </c>
      <c r="D35" s="11" t="s">
        <v>680</v>
      </c>
    </row>
    <row r="36" spans="1:4" ht="28.95" customHeight="1">
      <c r="A36" t="s">
        <v>681</v>
      </c>
      <c r="B36" s="5">
        <v>270483</v>
      </c>
      <c r="C36" s="6">
        <f t="shared" si="1"/>
        <v>3.5942206083903021E-2</v>
      </c>
      <c r="D36" s="11" t="s">
        <v>682</v>
      </c>
    </row>
    <row r="37" spans="1:4" ht="28.95" customHeight="1">
      <c r="A37" t="s">
        <v>683</v>
      </c>
      <c r="B37" s="5">
        <v>270674</v>
      </c>
      <c r="C37" s="6">
        <f t="shared" si="1"/>
        <v>3.5967586464045305E-2</v>
      </c>
      <c r="D37" s="11" t="s">
        <v>678</v>
      </c>
    </row>
    <row r="38" spans="1:4" ht="28.95" customHeight="1">
      <c r="A38" t="s">
        <v>684</v>
      </c>
      <c r="B38" s="5">
        <v>2174860</v>
      </c>
      <c r="C38" s="6">
        <f t="shared" si="1"/>
        <v>0.28899881443061975</v>
      </c>
      <c r="D38" s="11" t="s">
        <v>678</v>
      </c>
    </row>
    <row r="39" spans="1:4" ht="28.95" customHeight="1">
      <c r="A39" t="s">
        <v>685</v>
      </c>
      <c r="B39" s="5">
        <v>2174123</v>
      </c>
      <c r="C39" s="6">
        <f t="shared" si="1"/>
        <v>0.2889008807124791</v>
      </c>
      <c r="D39" s="11" t="s">
        <v>678</v>
      </c>
    </row>
    <row r="40" spans="1:4" ht="28.95" customHeight="1">
      <c r="A40" t="s">
        <v>686</v>
      </c>
      <c r="B40" s="5">
        <v>2445572</v>
      </c>
      <c r="C40" s="6">
        <f t="shared" si="1"/>
        <v>0.32497145039437919</v>
      </c>
      <c r="D40" s="11" t="s">
        <v>678</v>
      </c>
    </row>
    <row r="41" spans="1:4" ht="28.95" customHeight="1">
      <c r="A41" t="s">
        <v>687</v>
      </c>
      <c r="B41" s="5">
        <v>2443099</v>
      </c>
      <c r="C41" s="6">
        <f t="shared" si="1"/>
        <v>0.32464283426824375</v>
      </c>
      <c r="D41" s="11" t="s">
        <v>678</v>
      </c>
    </row>
    <row r="42" spans="1:4" ht="28.95" customHeight="1">
      <c r="A42" t="s">
        <v>688</v>
      </c>
      <c r="B42" s="5">
        <v>34337</v>
      </c>
      <c r="C42" s="6">
        <f t="shared" si="1"/>
        <v>4.5627545180398693E-3</v>
      </c>
      <c r="D42" s="11" t="s">
        <v>678</v>
      </c>
    </row>
    <row r="43" spans="1:4" ht="28.95" customHeight="1">
      <c r="A43" t="s">
        <v>689</v>
      </c>
      <c r="B43" s="5">
        <v>354849</v>
      </c>
      <c r="C43" s="6">
        <f t="shared" si="1"/>
        <v>4.7152892738792834E-2</v>
      </c>
      <c r="D43" s="11" t="s">
        <v>678</v>
      </c>
    </row>
    <row r="44" spans="1:4" ht="28.95" customHeight="1">
      <c r="A44" t="s">
        <v>690</v>
      </c>
      <c r="B44" s="5">
        <v>2993250</v>
      </c>
      <c r="C44" s="6">
        <f t="shared" si="1"/>
        <v>0.39774776366959369</v>
      </c>
      <c r="D44" s="11" t="s">
        <v>678</v>
      </c>
    </row>
    <row r="45" spans="1:4" ht="28.95" customHeight="1">
      <c r="A45" t="s">
        <v>691</v>
      </c>
      <c r="B45" s="5">
        <v>6971776</v>
      </c>
      <c r="C45" s="6">
        <f t="shared" si="1"/>
        <v>0.92642055050708938</v>
      </c>
      <c r="D45" s="11" t="s">
        <v>678</v>
      </c>
    </row>
    <row r="46" spans="1:4" ht="28.95" customHeight="1">
      <c r="A46" t="s">
        <v>692</v>
      </c>
      <c r="B46" s="5">
        <v>0</v>
      </c>
      <c r="C46" s="6">
        <f t="shared" si="1"/>
        <v>0</v>
      </c>
      <c r="D46" s="11" t="s">
        <v>693</v>
      </c>
    </row>
    <row r="47" spans="1:4" ht="28.95" customHeight="1">
      <c r="A47" t="s">
        <v>694</v>
      </c>
      <c r="B47" s="5">
        <v>7492053</v>
      </c>
      <c r="C47" s="6">
        <f t="shared" si="1"/>
        <v>0.99555577584367172</v>
      </c>
      <c r="D47" s="11" t="s">
        <v>695</v>
      </c>
    </row>
    <row r="48" spans="1:4" ht="28.95" customHeight="1">
      <c r="A48" t="s">
        <v>696</v>
      </c>
      <c r="B48" s="5">
        <v>111987</v>
      </c>
      <c r="C48" s="6">
        <f t="shared" si="1"/>
        <v>1.4881008539235543E-2</v>
      </c>
      <c r="D48" s="11" t="s">
        <v>678</v>
      </c>
    </row>
    <row r="49" spans="1:4" ht="28.95" customHeight="1">
      <c r="A49" t="s">
        <v>697</v>
      </c>
      <c r="B49" s="5">
        <v>87983</v>
      </c>
      <c r="C49" s="6">
        <f t="shared" si="1"/>
        <v>1.1691319298736111E-2</v>
      </c>
      <c r="D49" s="11" t="s">
        <v>678</v>
      </c>
    </row>
    <row r="50" spans="1:4" ht="28.95" customHeight="1">
      <c r="A50" t="s">
        <v>698</v>
      </c>
      <c r="B50" s="5">
        <v>0</v>
      </c>
      <c r="C50" s="6">
        <f t="shared" si="1"/>
        <v>0</v>
      </c>
      <c r="D50" s="11" t="s">
        <v>678</v>
      </c>
    </row>
    <row r="51" spans="1:4" ht="28.95" customHeight="1">
      <c r="A51" t="s">
        <v>699</v>
      </c>
      <c r="B51" s="5">
        <v>846896</v>
      </c>
      <c r="C51" s="6">
        <f t="shared" si="1"/>
        <v>0.11253687131403131</v>
      </c>
      <c r="D51" s="11" t="s">
        <v>678</v>
      </c>
    </row>
    <row r="52" spans="1:4" ht="28.95" customHeight="1">
      <c r="A52" t="s">
        <v>700</v>
      </c>
      <c r="B52" s="5">
        <v>0</v>
      </c>
      <c r="C52" s="6">
        <f t="shared" si="1"/>
        <v>0</v>
      </c>
      <c r="D52" s="11" t="s">
        <v>701</v>
      </c>
    </row>
    <row r="53" spans="1:4" ht="28.95" customHeight="1">
      <c r="A53" t="s">
        <v>702</v>
      </c>
      <c r="B53" s="5">
        <v>164171</v>
      </c>
      <c r="C53" s="6">
        <f t="shared" si="1"/>
        <v>2.1815300462507597E-2</v>
      </c>
      <c r="D53" s="11" t="s">
        <v>678</v>
      </c>
    </row>
    <row r="54" spans="1:4" ht="28.95" customHeight="1">
      <c r="A54" t="s">
        <v>703</v>
      </c>
      <c r="B54" s="5">
        <v>0</v>
      </c>
      <c r="C54" s="6">
        <f t="shared" si="1"/>
        <v>0</v>
      </c>
      <c r="D54" s="11" t="s">
        <v>678</v>
      </c>
    </row>
    <row r="55" spans="1:4" ht="28.95" customHeight="1">
      <c r="A55" t="s">
        <v>704</v>
      </c>
      <c r="B55" s="5">
        <v>3970301</v>
      </c>
      <c r="C55" s="6">
        <f t="shared" si="1"/>
        <v>0.52757983591252033</v>
      </c>
      <c r="D55" s="11" t="s">
        <v>678</v>
      </c>
    </row>
    <row r="56" spans="1:4" ht="28.95" customHeight="1">
      <c r="A56" t="s">
        <v>705</v>
      </c>
      <c r="B56" s="5">
        <v>129622</v>
      </c>
      <c r="C56" s="6">
        <f t="shared" si="1"/>
        <v>1.7224375051325506E-2</v>
      </c>
      <c r="D56" s="11" t="s">
        <v>678</v>
      </c>
    </row>
    <row r="57" spans="1:4" ht="28.95" customHeight="1">
      <c r="A57" t="s">
        <v>706</v>
      </c>
      <c r="B57" s="5">
        <v>129268</v>
      </c>
      <c r="C57" s="6">
        <f t="shared" si="1"/>
        <v>1.7177334975040856E-2</v>
      </c>
      <c r="D57" s="11" t="s">
        <v>678</v>
      </c>
    </row>
    <row r="58" spans="1:4" ht="28.95" customHeight="1">
      <c r="A58" t="s">
        <v>707</v>
      </c>
      <c r="B58" s="5">
        <v>0</v>
      </c>
      <c r="C58" s="6">
        <f t="shared" si="1"/>
        <v>0</v>
      </c>
      <c r="D58" s="11" t="s">
        <v>708</v>
      </c>
    </row>
    <row r="59" spans="1:4" ht="28.95" customHeight="1">
      <c r="A59" t="s">
        <v>709</v>
      </c>
      <c r="B59" s="5">
        <v>0</v>
      </c>
      <c r="C59" s="6">
        <f t="shared" si="1"/>
        <v>0</v>
      </c>
      <c r="D59" s="11" t="s">
        <v>678</v>
      </c>
    </row>
    <row r="60" spans="1:4" ht="28.95" customHeight="1">
      <c r="A60" t="s">
        <v>710</v>
      </c>
      <c r="B60" s="5">
        <v>0</v>
      </c>
      <c r="C60" s="6">
        <f t="shared" si="1"/>
        <v>0</v>
      </c>
      <c r="D60" s="11" t="s">
        <v>678</v>
      </c>
    </row>
    <row r="61" spans="1:4" ht="28.95" customHeight="1">
      <c r="A61" t="s">
        <v>711</v>
      </c>
      <c r="B61" s="5">
        <v>7195669</v>
      </c>
      <c r="C61" s="6">
        <f t="shared" si="1"/>
        <v>0.95617180417827496</v>
      </c>
      <c r="D61" s="11" t="s">
        <v>678</v>
      </c>
    </row>
    <row r="62" spans="1:4" ht="28.95" customHeight="1">
      <c r="A62" t="s">
        <v>712</v>
      </c>
      <c r="B62" s="5">
        <v>7520366</v>
      </c>
      <c r="C62" s="6">
        <f t="shared" si="1"/>
        <v>0.99931805177544397</v>
      </c>
      <c r="D62" s="11" t="s">
        <v>678</v>
      </c>
    </row>
    <row r="63" spans="1:4" ht="28.95" customHeight="1">
      <c r="A63" t="s">
        <v>713</v>
      </c>
      <c r="B63" s="5">
        <v>7451522</v>
      </c>
      <c r="C63" s="6">
        <f t="shared" si="1"/>
        <v>0.99016995287222187</v>
      </c>
      <c r="D63" s="11" t="s">
        <v>678</v>
      </c>
    </row>
    <row r="64" spans="1:4" ht="28.95" customHeight="1">
      <c r="A64" t="s">
        <v>714</v>
      </c>
      <c r="B64" s="5">
        <v>7484954</v>
      </c>
      <c r="C64" s="6">
        <f t="shared" si="1"/>
        <v>0.99461244956812156</v>
      </c>
      <c r="D64" s="11" t="s">
        <v>678</v>
      </c>
    </row>
    <row r="65" spans="1:4" ht="28.95" customHeight="1">
      <c r="A65" t="s">
        <v>715</v>
      </c>
      <c r="B65" s="5">
        <v>7502639</v>
      </c>
      <c r="C65" s="6">
        <f t="shared" si="1"/>
        <v>0.99696246015878287</v>
      </c>
      <c r="D65" s="11" t="s">
        <v>678</v>
      </c>
    </row>
    <row r="66" spans="1:4" ht="28.95" customHeight="1">
      <c r="A66" t="s">
        <v>716</v>
      </c>
      <c r="B66" s="5">
        <v>7505306</v>
      </c>
      <c r="C66" s="6">
        <f t="shared" si="1"/>
        <v>0.99731685530977487</v>
      </c>
      <c r="D66" s="11" t="s">
        <v>678</v>
      </c>
    </row>
    <row r="67" spans="1:4" ht="28.95" customHeight="1">
      <c r="A67" t="s">
        <v>717</v>
      </c>
      <c r="B67" s="5">
        <v>7484942</v>
      </c>
      <c r="C67" s="6">
        <f t="shared" si="1"/>
        <v>0.99461085498926449</v>
      </c>
      <c r="D67" s="11" t="s">
        <v>678</v>
      </c>
    </row>
    <row r="68" spans="1:4" ht="28.95" customHeight="1">
      <c r="A68" t="s">
        <v>718</v>
      </c>
      <c r="B68" s="5">
        <v>129696</v>
      </c>
      <c r="C68" s="6">
        <f t="shared" si="1"/>
        <v>1.7234208287610998E-2</v>
      </c>
      <c r="D68" s="11" t="s">
        <v>719</v>
      </c>
    </row>
    <row r="69" spans="1:4" ht="28.95" customHeight="1">
      <c r="A69" t="s">
        <v>720</v>
      </c>
      <c r="B69" s="5">
        <v>129696</v>
      </c>
      <c r="C69" s="6">
        <f t="shared" si="1"/>
        <v>1.7234208287610998E-2</v>
      </c>
      <c r="D69" s="11" t="s">
        <v>721</v>
      </c>
    </row>
    <row r="70" spans="1:4" ht="28.95" customHeight="1">
      <c r="A70" t="s">
        <v>722</v>
      </c>
      <c r="B70" s="5">
        <v>129696</v>
      </c>
      <c r="C70" s="6">
        <f t="shared" si="1"/>
        <v>1.7234208287610998E-2</v>
      </c>
      <c r="D70" s="11" t="s">
        <v>678</v>
      </c>
    </row>
  </sheetData>
  <autoFilter ref="A26:D70" xr:uid="{00000000-0009-0000-0000-000005000000}"/>
  <phoneticPr fontId="8" type="noConversion"/>
  <pageMargins left="0.3" right="0.3" top="0.4" bottom="0.4" header="0.3" footer="0.3"/>
  <pageSetup paperSize="9" fitToHeight="0" orientation="landscape"/>
  <headerFooter>
    <oddFooter>&amp;LNYC 311 数据分析&amp;R&amp;P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23"/>
  <sheetViews>
    <sheetView showGridLines="0" zoomScale="85" zoomScaleNormal="85" workbookViewId="0"/>
  </sheetViews>
  <sheetFormatPr defaultRowHeight="22.95" customHeight="1"/>
  <cols>
    <col min="1" max="1" width="27.6640625" customWidth="1"/>
    <col min="2" max="2" width="111.6640625" customWidth="1"/>
    <col min="3" max="12" width="16.6640625" style="7" customWidth="1"/>
  </cols>
  <sheetData>
    <row r="2" spans="1:2" ht="28.95" customHeight="1">
      <c r="A2" s="1" t="s">
        <v>6</v>
      </c>
    </row>
    <row r="5" spans="1:2" ht="34.049999999999997" customHeight="1">
      <c r="A5" s="3" t="s">
        <v>723</v>
      </c>
      <c r="B5" s="3" t="s">
        <v>724</v>
      </c>
    </row>
    <row r="6" spans="1:2" ht="48" customHeight="1">
      <c r="A6" s="4" t="s">
        <v>725</v>
      </c>
      <c r="B6" s="11" t="s">
        <v>726</v>
      </c>
    </row>
    <row r="7" spans="1:2" ht="40.049999999999997" customHeight="1">
      <c r="A7" s="4" t="s">
        <v>727</v>
      </c>
      <c r="B7" s="11" t="s">
        <v>728</v>
      </c>
    </row>
    <row r="8" spans="1:2" ht="48" customHeight="1">
      <c r="A8" s="4" t="s">
        <v>729</v>
      </c>
      <c r="B8" s="11" t="s">
        <v>730</v>
      </c>
    </row>
    <row r="9" spans="1:2" ht="40.049999999999997" customHeight="1">
      <c r="A9" s="4" t="s">
        <v>731</v>
      </c>
      <c r="B9" s="11" t="s">
        <v>732</v>
      </c>
    </row>
    <row r="10" spans="1:2" ht="48" customHeight="1">
      <c r="A10" s="4" t="s">
        <v>733</v>
      </c>
      <c r="B10" s="11" t="s">
        <v>734</v>
      </c>
    </row>
    <row r="11" spans="1:2" ht="40.049999999999997" customHeight="1">
      <c r="A11" s="4" t="s">
        <v>735</v>
      </c>
      <c r="B11" s="11" t="s">
        <v>736</v>
      </c>
    </row>
    <row r="12" spans="1:2" ht="40.049999999999997" customHeight="1">
      <c r="A12" s="4" t="s">
        <v>737</v>
      </c>
      <c r="B12" s="11" t="s">
        <v>738</v>
      </c>
    </row>
    <row r="13" spans="1:2" ht="40.049999999999997" customHeight="1">
      <c r="A13" s="4" t="s">
        <v>739</v>
      </c>
      <c r="B13" s="11" t="s">
        <v>740</v>
      </c>
    </row>
    <row r="14" spans="1:2" ht="48" customHeight="1">
      <c r="A14" s="4" t="s">
        <v>741</v>
      </c>
      <c r="B14" s="11" t="s">
        <v>742</v>
      </c>
    </row>
    <row r="15" spans="1:2" ht="40.049999999999997" customHeight="1">
      <c r="A15" s="4" t="s">
        <v>743</v>
      </c>
      <c r="B15" s="11" t="s">
        <v>744</v>
      </c>
    </row>
    <row r="16" spans="1:2" ht="40.049999999999997" customHeight="1">
      <c r="A16" s="4" t="s">
        <v>745</v>
      </c>
      <c r="B16" s="11" t="s">
        <v>746</v>
      </c>
    </row>
    <row r="17" spans="1:2" ht="40.049999999999997" customHeight="1">
      <c r="A17" s="4" t="s">
        <v>747</v>
      </c>
      <c r="B17" s="11" t="s">
        <v>748</v>
      </c>
    </row>
    <row r="18" spans="1:2" ht="48" customHeight="1">
      <c r="A18" s="4" t="s">
        <v>749</v>
      </c>
      <c r="B18" s="11" t="s">
        <v>750</v>
      </c>
    </row>
    <row r="19" spans="1:2" ht="40.049999999999997" customHeight="1">
      <c r="A19" s="4" t="s">
        <v>751</v>
      </c>
      <c r="B19" s="11" t="s">
        <v>752</v>
      </c>
    </row>
    <row r="20" spans="1:2" ht="48" customHeight="1">
      <c r="A20" s="4" t="s">
        <v>753</v>
      </c>
      <c r="B20" s="11" t="s">
        <v>754</v>
      </c>
    </row>
    <row r="21" spans="1:2" ht="48" customHeight="1">
      <c r="A21" s="4" t="s">
        <v>755</v>
      </c>
      <c r="B21" s="11" t="s">
        <v>756</v>
      </c>
    </row>
    <row r="22" spans="1:2" ht="48" customHeight="1">
      <c r="A22" s="4" t="s">
        <v>757</v>
      </c>
      <c r="B22" s="11" t="s">
        <v>758</v>
      </c>
    </row>
    <row r="23" spans="1:2" ht="48" customHeight="1">
      <c r="A23" s="4" t="s">
        <v>759</v>
      </c>
      <c r="B23" s="11" t="s">
        <v>760</v>
      </c>
    </row>
  </sheetData>
  <phoneticPr fontId="8" type="noConversion"/>
  <pageMargins left="0.3" right="0.3" top="0.4" bottom="0.4" header="0.3" footer="0.3"/>
  <pageSetup paperSize="9" fitToHeight="0" orientation="landscape"/>
  <headerFooter>
    <oddFooter>&amp;LNYC 311 数据分析&amp;R&amp;P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14</vt:i4>
      </vt:variant>
    </vt:vector>
  </HeadingPairs>
  <TitlesOfParts>
    <vt:vector size="21" baseType="lpstr">
      <vt:lpstr>总览</vt:lpstr>
      <vt:lpstr>月度趋势</vt:lpstr>
      <vt:lpstr>同比拆解</vt:lpstr>
      <vt:lpstr>峰值核查</vt:lpstr>
      <vt:lpstr>渠道变化</vt:lpstr>
      <vt:lpstr>数据质量</vt:lpstr>
      <vt:lpstr>口径与复现</vt:lpstr>
      <vt:lpstr>峰值核查!Print_Area</vt:lpstr>
      <vt:lpstr>口径与复现!Print_Area</vt:lpstr>
      <vt:lpstr>渠道变化!Print_Area</vt:lpstr>
      <vt:lpstr>数据质量!Print_Area</vt:lpstr>
      <vt:lpstr>同比拆解!Print_Area</vt:lpstr>
      <vt:lpstr>月度趋势!Print_Area</vt:lpstr>
      <vt:lpstr>总览!Print_Area</vt:lpstr>
      <vt:lpstr>峰值核查!Print_Titles</vt:lpstr>
      <vt:lpstr>口径与复现!Print_Titles</vt:lpstr>
      <vt:lpstr>渠道变化!Print_Titles</vt:lpstr>
      <vt:lpstr>数据质量!Print_Titles</vt:lpstr>
      <vt:lpstr>同比拆解!Print_Titles</vt:lpstr>
      <vt:lpstr>月度趋势!Print_Titles</vt:lpstr>
      <vt:lpstr>总览!Print_Titles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NYC 311 服务请求：增长、集中与渠道变化</dc:title>
  <dc:subject>2025 与 2026 年 1—8 月同窗比较</dc:subject>
  <dc:creator>GPT</dc:creator>
  <dc:description>仅使用指定 Parquet 与输入清单；静态源汇总配合 Excel 计算公式。</dc:description>
  <cp:lastModifiedBy>尚鹏 张</cp:lastModifiedBy>
  <dcterms:created xsi:type="dcterms:W3CDTF">2026-09-17T03:02:14Z</dcterms:created>
  <dcterms:modified xsi:type="dcterms:W3CDTF">2026-09-17T03:02:19Z</dcterms:modified>
</cp:coreProperties>
</file>