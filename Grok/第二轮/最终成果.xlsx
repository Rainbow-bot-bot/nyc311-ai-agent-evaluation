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阅读说明" sheetId="1" state="visible" r:id="rId1"/>
    <sheet xmlns:r="http://schemas.openxmlformats.org/officeDocument/2006/relationships" name="01_数据概况" sheetId="2" state="visible" r:id="rId2"/>
    <sheet xmlns:r="http://schemas.openxmlformats.org/officeDocument/2006/relationships" name="02_量增分解" sheetId="3" state="visible" r:id="rId3"/>
    <sheet xmlns:r="http://schemas.openxmlformats.org/officeDocument/2006/relationships" name="03_积雪与坑洞" sheetId="4" state="visible" r:id="rId4"/>
    <sheet xmlns:r="http://schemas.openxmlformats.org/officeDocument/2006/relationships" name="04_供暖" sheetId="5" state="visible" r:id="rId5"/>
    <sheet xmlns:r="http://schemas.openxmlformats.org/officeDocument/2006/relationships" name="05_关闭时长与删失" sheetId="6" state="visible" r:id="rId6"/>
    <sheet xmlns:r="http://schemas.openxmlformats.org/officeDocument/2006/relationships" name="06_分类口径变化" sheetId="7" state="visible" r:id="rId7"/>
    <sheet xmlns:r="http://schemas.openxmlformats.org/officeDocument/2006/relationships" name="07_方法与限制" sheetId="8" state="visible" r:id="rId8"/>
    <sheet xmlns:r="http://schemas.openxmlformats.org/officeDocument/2006/relationships" name="附录_类型同比全表" sheetId="9" state="visible" r:id="rId9"/>
    <sheet xmlns:r="http://schemas.openxmlformats.org/officeDocument/2006/relationships" name="附录_重复文案切片" sheetId="10" state="visible" r:id="rId10"/>
  </sheets>
  <definedNames>
    <definedName name="_xlnm.Print_Titles" localSheetId="0">'00_阅读说明'!$1:$1</definedName>
    <definedName name="_xlnm.Print_Titles" localSheetId="1">'01_数据概况'!$1:$1</definedName>
    <definedName name="_xlnm.Print_Titles" localSheetId="2">'02_量增分解'!$1:$1</definedName>
    <definedName name="_xlnm.Print_Titles" localSheetId="3">'03_积雪与坑洞'!$1:$1</definedName>
    <definedName name="_xlnm.Print_Titles" localSheetId="4">'04_供暖'!$1:$1</definedName>
    <definedName name="_xlnm.Print_Titles" localSheetId="5">'05_关闭时长与删失'!$1:$1</definedName>
    <definedName name="_xlnm.Print_Titles" localSheetId="6">'06_分类口径变化'!$1:$1</definedName>
    <definedName name="_xlnm.Print_Titles" localSheetId="7">'07_方法与限制'!$1:$1</definedName>
    <definedName name="_xlnm.Print_Titles" localSheetId="8">'附录_类型同比全表'!$1:$1</definedName>
    <definedName name="_xlnm.Print_Titles" localSheetId="9">'附录_重复文案切片'!$1:$1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sz val="14"/>
    </font>
    <font>
      <name val="Calibri"/>
      <i val="1"/>
      <color rgb="00475569"/>
      <sz val="9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5" fillId="7" borderId="0" pivotButton="0" quotePrefix="0" xfId="0"/>
    <xf numFmtId="0" fontId="6" fillId="7" borderId="0" applyAlignment="1" pivotButton="0" quotePrefix="0" xfId="0">
      <alignment vertical="top" wrapText="1"/>
    </xf>
    <xf numFmtId="0" fontId="7" fillId="0" borderId="1" pivotButton="0" quotePrefix="0" xfId="0"/>
    <xf numFmtId="0" fontId="7" fillId="8" borderId="1" pivotButton="0" quotePrefix="0" xfId="0"/>
    <xf numFmtId="0" fontId="0" fillId="4" borderId="0" applyAlignment="1" pivotButton="0" quotePrefix="0" xfId="0">
      <alignment vertical="top" wrapText="1"/>
    </xf>
    <xf numFmtId="164" fontId="7" fillId="0" borderId="1" pivotButton="0" quotePrefix="0" xfId="0"/>
    <xf numFmtId="164" fontId="7" fillId="8" borderId="1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月度创建条数（不完整月未按日折算，见日均列）</a:t>
            </a:r>
          </a:p>
        </rich>
      </tx>
    </title>
    <plotArea>
      <lineChart>
        <grouping val="standard"/>
        <ser>
          <idx val="0"/>
          <order val="0"/>
          <tx>
            <strRef>
              <f>'01_数据概况'!B8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'01_数据概况'!$A$9:$A$33</f>
            </numRef>
          </cat>
          <val>
            <numRef>
              <f>'01_数据概况'!$B$9:$B$33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条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各互斥桶对增量的贡献（条）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'02_量增分解'!D9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'02_量增分解'!$A$10:$A$15</f>
            </numRef>
          </cat>
          <val>
            <numRef>
              <f>'02_量增分解'!$D$10:$D$15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增量（条）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Street Condition：UNKNOWN 坑洞 vs 其余</a:t>
            </a:r>
          </a:p>
        </rich>
      </tx>
    </title>
    <plotArea>
      <lineChart>
        <grouping val="standard"/>
        <ser>
          <idx val="0"/>
          <order val="0"/>
          <tx>
            <strRef>
              <f>'03_积雪与坑洞'!B24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'03_积雪与坑洞'!$A$25:$A$49</f>
            </numRef>
          </cat>
          <val>
            <numRef>
              <f>'03_积雪与坑洞'!$B$25:$B$49</f>
            </numRef>
          </val>
        </ser>
        <ser>
          <idx val="1"/>
          <order val="1"/>
          <tx>
            <strRef>
              <f>'03_积雪与坑洞'!C24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'03_积雪与坑洞'!$A$25:$A$49</f>
            </numRef>
          </cat>
          <val>
            <numRef>
              <f>'03_积雪与坑洞'!$C$25:$C$49</f>
            </numRef>
          </val>
        </ser>
        <ser>
          <idx val="2"/>
          <order val="2"/>
          <tx>
            <strRef>
              <f>'03_积雪与坑洞'!D24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'03_积雪与坑洞'!$A$25:$A$49</f>
            </numRef>
          </cat>
          <val>
            <numRef>
              <f>'03_积雪与坑洞'!$D$25:$D$49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HEAT/HOT WATER 月度条数</a:t>
            </a:r>
          </a:p>
        </rich>
      </tx>
    </title>
    <plotArea>
      <lineChart>
        <grouping val="standard"/>
        <ser>
          <idx val="0"/>
          <order val="0"/>
          <tx>
            <strRef>
              <f>'04_供暖'!B38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'04_供暖'!$A$39:$A$63</f>
            </numRef>
          </cat>
          <val>
            <numRef>
              <f>'04_供暖'!$B$39:$B$63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创建月的状态非Closed占比%</a:t>
            </a:r>
          </a:p>
        </rich>
      </tx>
    </title>
    <plotArea>
      <lineChart>
        <grouping val="standard"/>
        <ser>
          <idx val="0"/>
          <order val="0"/>
          <tx>
            <strRef>
              <f>'05_关闭时长与删失'!D9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'05_关闭时长与删失'!$A$10:$A$34</f>
            </numRef>
          </cat>
          <val>
            <numRef>
              <f>'05_关闭时长与删失'!$D$10:$D$34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水务四类合计 vs 分项</a:t>
            </a:r>
          </a:p>
        </rich>
      </tx>
    </title>
    <plotArea>
      <lineChart>
        <grouping val="standard"/>
        <ser>
          <idx val="0"/>
          <order val="0"/>
          <tx>
            <strRef>
              <f>'06_分类口径变化'!B5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'06_分类口径变化'!$A$6:$A$30</f>
            </numRef>
          </cat>
          <val>
            <numRef>
              <f>'06_分类口径变化'!$B$6:$B$30</f>
            </numRef>
          </val>
        </ser>
        <ser>
          <idx val="1"/>
          <order val="1"/>
          <tx>
            <strRef>
              <f>'06_分类口径变化'!C5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'06_分类口径变化'!$A$6:$A$30</f>
            </numRef>
          </cat>
          <val>
            <numRef>
              <f>'06_分类口径变化'!$C$6:$C$30</f>
            </numRef>
          </val>
        </ser>
        <ser>
          <idx val="2"/>
          <order val="2"/>
          <tx>
            <strRef>
              <f>'06_分类口径变化'!D5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'06_分类口径变化'!$A$6:$A$30</f>
            </numRef>
          </cat>
          <val>
            <numRef>
              <f>'06_分类口径变化'!$D$6:$D$30</f>
            </numRef>
          </val>
        </ser>
        <ser>
          <idx val="3"/>
          <order val="3"/>
          <tx>
            <strRef>
              <f>'06_分类口径变化'!E5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'06_分类口径变化'!$A$6:$A$30</f>
            </numRef>
          </cat>
          <val>
            <numRef>
              <f>'06_分类口径变化'!$E$6:$E$30</f>
            </numRef>
          </val>
        </ser>
        <ser>
          <idx val="4"/>
          <order val="4"/>
          <tx>
            <strRef>
              <f>'06_分类口径变化'!F5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'06_分类口径变化'!$A$6:$A$30</f>
            </numRef>
          </cat>
          <val>
            <numRef>
              <f>'06_分类口径变化'!$F$6:$F$30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51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36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7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  <col width="22" customWidth="1" min="3" max="3"/>
    <col width="22" customWidth="1" min="4" max="4"/>
  </cols>
  <sheetData>
    <row r="1" ht="28" customHeight="1">
      <c r="A1" s="1" t="inlineStr">
        <is>
          <t>NYC 311 服务请求：证据导向分析看板（2024-09-07 至 2026-09-05 创建记录）</t>
        </is>
      </c>
    </row>
    <row r="2" ht="36" customHeight="1">
      <c r="A2" s="2" t="inlineStr">
        <is>
          <t>记录粒度=一条 unique_key 对应一条 311 服务请求，不等于一次独立现实事件。本表只描述该导出样本中的创建量、构成与关闭字段；不推断机构绩效或外部天气/政策原因。</t>
        </is>
      </c>
    </row>
    <row r="4">
      <c r="A4" s="3" t="inlineStr">
        <is>
          <t>建议阅读顺序</t>
        </is>
      </c>
    </row>
    <row r="5" ht="32" customHeight="1">
      <c r="A5" s="2" t="inlineStr">
        <is>
          <t>1) 本页口径 → 2) 数据概况 → 3) 核心发现（量增分解）→ 4) 积雪/坑洞集中来源 → 5) 供暖 → 6) 关闭时长与右删失 → 7) 分类口径变化 → 8) 方法与限制。灰色附录为完整明细。</t>
        </is>
      </c>
    </row>
    <row r="7">
      <c r="A7" s="3" t="inlineStr">
        <is>
          <t>证据分层（全文通用）</t>
        </is>
      </c>
    </row>
    <row r="8">
      <c r="A8" s="4" t="inlineStr">
        <is>
          <t>层次</t>
        </is>
      </c>
      <c r="B8" s="4" t="inlineStr">
        <is>
          <t>含义</t>
        </is>
      </c>
      <c r="C8" s="4" t="inlineStr">
        <is>
          <t>本看板如何使用</t>
        </is>
      </c>
    </row>
    <row r="9" ht="28" customHeight="1">
      <c r="A9" s="5" t="inlineStr">
        <is>
          <t>事实</t>
        </is>
      </c>
      <c r="B9" s="5" t="inlineStr">
        <is>
          <t>可从原始字段直接计数或复算的结果</t>
        </is>
      </c>
      <c r="C9" s="5" t="inlineStr">
        <is>
          <t>绿色标注的数字；均给出窗口、筛选、分母</t>
        </is>
      </c>
    </row>
    <row r="10" ht="32" customHeight="1">
      <c r="A10" s="6" t="inlineStr">
        <is>
          <t>推断</t>
        </is>
      </c>
      <c r="B10" s="6" t="inlineStr">
        <is>
          <t>在事实之上、仍可用本数据检验的解释（例如构成驱动而非全面上升）</t>
        </is>
      </c>
      <c r="C10" s="6" t="inlineStr">
        <is>
          <t>黄色；已做分解、对照或剔除检验</t>
        </is>
      </c>
    </row>
    <row r="11" ht="32" customHeight="1">
      <c r="A11" s="7" t="inlineStr">
        <is>
          <t>未验证解释</t>
        </is>
      </c>
      <c r="B11" s="7" t="inlineStr">
        <is>
          <t>需要天气、政策、巡检计划、居民行为等本数据没有的材料</t>
        </is>
      </c>
      <c r="C11" s="7" t="inlineStr">
        <is>
          <t>粉色；明确不作为结论</t>
        </is>
      </c>
    </row>
    <row r="13">
      <c r="A13" s="3" t="inlineStr">
        <is>
          <t>分析窗口（项目定义，不是源系统官方报告期）</t>
        </is>
      </c>
    </row>
    <row r="14">
      <c r="A14" s="4" t="inlineStr">
        <is>
          <t>窗口</t>
        </is>
      </c>
      <c r="B14" s="4" t="inlineStr">
        <is>
          <t>定义</t>
        </is>
      </c>
      <c r="C14" s="4" t="inlineStr">
        <is>
          <t>用途</t>
        </is>
      </c>
    </row>
    <row r="15" ht="28" customHeight="1">
      <c r="A15" s="8" t="inlineStr">
        <is>
          <t>全样本</t>
        </is>
      </c>
      <c r="B15" s="8" t="inlineStr">
        <is>
          <t>created_date 解析后 ∈ [2024-09-07, 2026-09-05 01:50:33]；25 个 parquet 分片全量</t>
        </is>
      </c>
      <c r="C15" s="8" t="inlineStr">
        <is>
          <t>概况、构成</t>
        </is>
      </c>
    </row>
    <row r="16" ht="28" customHeight="1">
      <c r="A16" s="8" t="inlineStr">
        <is>
          <t>可比 11 个月 A</t>
        </is>
      </c>
      <c r="B16" s="8" t="inlineStr">
        <is>
          <t>创建年月 2024-10 至 2025-08（含）</t>
        </is>
      </c>
      <c r="C16" s="8" t="inlineStr">
        <is>
          <t>量增对照基期；两端完整月</t>
        </is>
      </c>
    </row>
    <row r="17" ht="28" customHeight="1">
      <c r="A17" s="8" t="inlineStr">
        <is>
          <t>可比 11 个月 B</t>
        </is>
      </c>
      <c r="B17" s="8" t="inlineStr">
        <is>
          <t>创建年月 2025-10 至 2026-08（含）</t>
        </is>
      </c>
      <c r="C17" s="8" t="inlineStr">
        <is>
          <t>对照报告期；不含不完整的 2024-09 与 2026-09</t>
        </is>
      </c>
    </row>
    <row r="18" ht="28" customHeight="1">
      <c r="A18" s="8" t="inlineStr">
        <is>
          <t>供暖季 W1/W2</t>
        </is>
      </c>
      <c r="B18" s="8" t="inlineStr">
        <is>
          <t>创建年月 10–04：W1=2024-10..2025-04，W2=2025-10..2026-04</t>
        </is>
      </c>
      <c r="C18" s="8" t="inlineStr">
        <is>
          <t>跨冬对照；未使用 5 月</t>
        </is>
      </c>
    </row>
    <row r="19" ht="28" customHeight="1">
      <c r="A19" s="8" t="inlineStr">
        <is>
          <t>关闭时长子集</t>
        </is>
      </c>
      <c r="B19" s="8" t="inlineStr">
        <is>
          <t>创建时间 &lt; 2026-06-01，且 closed_date 可解析且 ≥ created_date</t>
        </is>
      </c>
      <c r="C19" s="8" t="inlineStr">
        <is>
          <t>给长周期类型留出观察窗；仍可能右删失</t>
        </is>
      </c>
    </row>
    <row r="21">
      <c r="A21" s="3" t="inlineStr">
        <is>
          <t>五个核心问题（收缩后）</t>
        </is>
      </c>
    </row>
    <row r="22" ht="20" customHeight="1">
      <c r="A22" s="2" t="inlineStr">
        <is>
          <t>Q1 可比 11 个月创建量增加了多少？增量主要来自哪些互斥类型桶？</t>
        </is>
      </c>
    </row>
    <row r="23" ht="20" customHeight="1">
      <c r="A23" s="2" t="inlineStr">
        <is>
          <t>Q2 增量是否被少数事件日或单一渠道（UNKNOWN 坑洞）驱动？剔除后结论是否还在？</t>
        </is>
      </c>
    </row>
    <row r="24" ht="20" customHeight="1">
      <c r="A24" s="2" t="inlineStr">
        <is>
          <t>Q3 HEAT/HOT WATER 跨冬增加，是更多楼宇还是少数地址堆积？重复关闭文案占比多少？</t>
        </is>
      </c>
    </row>
    <row r="25" ht="20" customHeight="1">
      <c r="A25" s="2" t="inlineStr">
        <is>
          <t>Q4 关闭时长能否当作处理快慢？近期未关闭比例上升是不是绩效变化？</t>
        </is>
      </c>
    </row>
    <row r="26" ht="20" customHeight="1">
      <c r="A26" s="2" t="inlineStr">
        <is>
          <t>Q5 哪些类型名称在样本后期发生切换，直接做类型同比会误读？</t>
        </is>
      </c>
    </row>
    <row r="28">
      <c r="A28" s="3" t="inlineStr">
        <is>
          <t>数据不能代表什么</t>
        </is>
      </c>
    </row>
    <row r="29">
      <c r="A29" s="9" t="inlineStr">
        <is>
          <t>没有人口/道路里程分母，不能比较行政区“严重程度”。没有 SLA 目标，不能把中位关闭小时写成履约好坏。closed_date 最大值为 2026-12-14，晚于最大创建时间 2026-09-05，说明导出时点晚于创建窗口，但未关闭工单仍被右删失。天气、DOT 巡检计划、供暖法规、铅试剂发放活动等均未出现在授权数据中，不得写成事实。</t>
        </is>
      </c>
    </row>
    <row r="30"/>
    <row r="31"/>
    <row r="33">
      <c r="A33" s="3" t="inlineStr">
        <is>
          <t>复现</t>
        </is>
      </c>
    </row>
    <row r="34">
      <c r="A34" t="inlineStr">
        <is>
          <t>脚本 build_workbook.py；中间 CSV 在 中间汇总/；原始 parquet 只读自 D:\项目1\原始数据。</t>
        </is>
      </c>
    </row>
  </sheetData>
  <mergeCells count="10">
    <mergeCell ref="A1:D1"/>
    <mergeCell ref="A5:D5"/>
    <mergeCell ref="A25:C25"/>
    <mergeCell ref="A23:C23"/>
    <mergeCell ref="A22:C22"/>
    <mergeCell ref="A2:D2"/>
    <mergeCell ref="A34:C34"/>
    <mergeCell ref="A26:C26"/>
    <mergeCell ref="A24:C24"/>
    <mergeCell ref="A29:C3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8" customWidth="1" min="9" max="9"/>
    <col width="18" customWidth="1" min="10" max="10"/>
  </cols>
  <sheetData>
    <row r="1">
      <c r="A1" s="1" t="inlineStr">
        <is>
          <t>数据概况：全量 25 个分片</t>
        </is>
      </c>
    </row>
    <row r="3">
      <c r="A3" s="10" t="inlineStr">
        <is>
          <t>服务请求条数</t>
        </is>
      </c>
      <c r="B3" s="10" t="inlineStr">
        <is>
          <t>unique_key 去重</t>
        </is>
      </c>
      <c r="C3" s="10" t="inlineStr">
        <is>
          <t>创建时间范围</t>
        </is>
      </c>
      <c r="D3" s="10" t="inlineStr">
        <is>
          <t>状态非 Closed</t>
        </is>
      </c>
      <c r="E3" s="10" t="inlineStr">
        <is>
          <t>无 closed_date</t>
        </is>
      </c>
      <c r="F3" s="10" t="inlineStr">
        <is>
          <t>closed_date 早于创建</t>
        </is>
      </c>
    </row>
    <row r="4">
      <c r="A4" s="11" t="inlineStr">
        <is>
          <t>7,525,498</t>
        </is>
      </c>
      <c r="B4" s="11" t="inlineStr">
        <is>
          <t>7,525,498</t>
        </is>
      </c>
      <c r="C4" s="11" t="inlineStr">
        <is>
          <t>2024-09-07 ～ 2026-09-05</t>
        </is>
      </c>
      <c r="D4" s="11" t="inlineStr">
        <is>
          <t>250,149</t>
        </is>
      </c>
      <c r="E4" s="11" t="inlineStr">
        <is>
          <t>240,304</t>
        </is>
      </c>
      <c r="F4" s="11" t="inlineStr">
        <is>
          <t>1,877</t>
        </is>
      </c>
    </row>
    <row r="5">
      <c r="A5" s="12" t="inlineStr">
        <is>
          <t>分母：全部分片</t>
        </is>
      </c>
      <c r="B5" s="12" t="inlineStr">
        <is>
          <t>与条数相等，无重复键</t>
        </is>
      </c>
      <c r="C5" s="12" t="inlineStr">
        <is>
          <t>2024-09 与 2026-09 不完整</t>
        </is>
      </c>
      <c r="D5" s="12" t="inlineStr">
        <is>
          <t>含 Open/In Progress 等</t>
        </is>
      </c>
      <c r="E5" s="12" t="inlineStr">
        <is>
          <t>与状态不完全等同</t>
        </is>
      </c>
      <c r="F5" s="12" t="inlineStr">
        <is>
          <t>质量瑕疵，占比&lt;0.03%</t>
        </is>
      </c>
    </row>
    <row r="7">
      <c r="A7" s="3" t="inlineStr">
        <is>
          <t>事实：月度创建量（单位=条；2024-09 从 7 日起，2026-09 仅到 5 日）</t>
        </is>
      </c>
    </row>
    <row r="8">
      <c r="A8" s="4" t="inlineStr">
        <is>
          <t>年月</t>
        </is>
      </c>
      <c r="B8" s="4" t="inlineStr">
        <is>
          <t>创建条数</t>
        </is>
      </c>
      <c r="C8" s="4" t="inlineStr">
        <is>
          <t>有创建的天数</t>
        </is>
      </c>
      <c r="D8" s="4" t="inlineStr">
        <is>
          <t>活跃日均条数</t>
        </is>
      </c>
      <c r="E8" s="4" t="inlineStr">
        <is>
          <t>状态非Closed</t>
        </is>
      </c>
      <c r="F8" s="4" t="inlineStr">
        <is>
          <t>非Closed占比%</t>
        </is>
      </c>
      <c r="G8" s="4" t="inlineStr">
        <is>
          <t>HEAT/HOT WATER</t>
        </is>
      </c>
      <c r="H8" s="4" t="inlineStr">
        <is>
          <t>Snow or Ice</t>
        </is>
      </c>
      <c r="I8" s="4" t="inlineStr">
        <is>
          <t>Illegal Parking</t>
        </is>
      </c>
      <c r="J8" s="4" t="inlineStr">
        <is>
          <t>UNKNOWN渠道坑洞</t>
        </is>
      </c>
    </row>
    <row r="9">
      <c r="A9" s="13" t="inlineStr">
        <is>
          <t>2024-09</t>
        </is>
      </c>
      <c r="B9" s="13" t="n">
        <v>248139</v>
      </c>
      <c r="C9" s="13" t="n">
        <v>24</v>
      </c>
      <c r="D9" s="13" t="n">
        <v>10339.1</v>
      </c>
      <c r="E9" s="13" t="n">
        <v>2072</v>
      </c>
      <c r="F9" s="13" t="n">
        <v>0.84</v>
      </c>
      <c r="G9" s="13" t="n">
        <v>2696</v>
      </c>
      <c r="H9" s="13" t="n">
        <v>0</v>
      </c>
      <c r="I9" s="13" t="n">
        <v>37255</v>
      </c>
      <c r="J9" s="13" t="n">
        <v>1672</v>
      </c>
    </row>
    <row r="10">
      <c r="A10" s="14" t="inlineStr">
        <is>
          <t>2024-10</t>
        </is>
      </c>
      <c r="B10" s="14" t="n">
        <v>306803</v>
      </c>
      <c r="C10" s="14" t="n">
        <v>31</v>
      </c>
      <c r="D10" s="14" t="n">
        <v>9896.9</v>
      </c>
      <c r="E10" s="14" t="n">
        <v>4546</v>
      </c>
      <c r="F10" s="14" t="n">
        <v>1.48</v>
      </c>
      <c r="G10" s="14" t="n">
        <v>19650</v>
      </c>
      <c r="H10" s="14" t="n">
        <v>0</v>
      </c>
      <c r="I10" s="14" t="n">
        <v>42959</v>
      </c>
      <c r="J10" s="14" t="n">
        <v>1796</v>
      </c>
    </row>
    <row r="11">
      <c r="A11" s="13" t="inlineStr">
        <is>
          <t>2024-11</t>
        </is>
      </c>
      <c r="B11" s="13" t="n">
        <v>293515</v>
      </c>
      <c r="C11" s="13" t="n">
        <v>30</v>
      </c>
      <c r="D11" s="13" t="n">
        <v>9783.799999999999</v>
      </c>
      <c r="E11" s="13" t="n">
        <v>4268</v>
      </c>
      <c r="F11" s="13" t="n">
        <v>1.45</v>
      </c>
      <c r="G11" s="13" t="n">
        <v>39368</v>
      </c>
      <c r="H11" s="13" t="n">
        <v>2</v>
      </c>
      <c r="I11" s="13" t="n">
        <v>39784</v>
      </c>
      <c r="J11" s="13" t="n">
        <v>1823</v>
      </c>
    </row>
    <row r="12">
      <c r="A12" s="14" t="inlineStr">
        <is>
          <t>2024-12</t>
        </is>
      </c>
      <c r="B12" s="14" t="n">
        <v>313949</v>
      </c>
      <c r="C12" s="14" t="n">
        <v>31</v>
      </c>
      <c r="D12" s="14" t="n">
        <v>10127.4</v>
      </c>
      <c r="E12" s="14" t="n">
        <v>2786</v>
      </c>
      <c r="F12" s="14" t="n">
        <v>0.89</v>
      </c>
      <c r="G12" s="14" t="n">
        <v>62918</v>
      </c>
      <c r="H12" s="14" t="n">
        <v>816</v>
      </c>
      <c r="I12" s="14" t="n">
        <v>39971</v>
      </c>
      <c r="J12" s="14" t="n">
        <v>3476</v>
      </c>
    </row>
    <row r="13">
      <c r="A13" s="13" t="inlineStr">
        <is>
          <t>2025-01</t>
        </is>
      </c>
      <c r="B13" s="13" t="n">
        <v>348180</v>
      </c>
      <c r="C13" s="13" t="n">
        <v>31</v>
      </c>
      <c r="D13" s="13" t="n">
        <v>11231.6</v>
      </c>
      <c r="E13" s="13" t="n">
        <v>1868</v>
      </c>
      <c r="F13" s="13" t="n">
        <v>0.54</v>
      </c>
      <c r="G13" s="13" t="n">
        <v>67229</v>
      </c>
      <c r="H13" s="13" t="n">
        <v>5161</v>
      </c>
      <c r="I13" s="13" t="n">
        <v>43139</v>
      </c>
      <c r="J13" s="13" t="n">
        <v>3693</v>
      </c>
    </row>
    <row r="14">
      <c r="A14" s="14" t="inlineStr">
        <is>
          <t>2025-02</t>
        </is>
      </c>
      <c r="B14" s="14" t="n">
        <v>255364</v>
      </c>
      <c r="C14" s="14" t="n">
        <v>28</v>
      </c>
      <c r="D14" s="14" t="n">
        <v>9120.1</v>
      </c>
      <c r="E14" s="14" t="n">
        <v>3002</v>
      </c>
      <c r="F14" s="14" t="n">
        <v>1.18</v>
      </c>
      <c r="G14" s="14" t="n">
        <v>40699</v>
      </c>
      <c r="H14" s="14" t="n">
        <v>2817</v>
      </c>
      <c r="I14" s="14" t="n">
        <v>42267</v>
      </c>
      <c r="J14" s="14" t="n">
        <v>3560</v>
      </c>
    </row>
    <row r="15">
      <c r="A15" s="13" t="inlineStr">
        <is>
          <t>2025-03</t>
        </is>
      </c>
      <c r="B15" s="13" t="n">
        <v>281221</v>
      </c>
      <c r="C15" s="13" t="n">
        <v>31</v>
      </c>
      <c r="D15" s="13" t="n">
        <v>9071.6</v>
      </c>
      <c r="E15" s="13" t="n">
        <v>2667</v>
      </c>
      <c r="F15" s="13" t="n">
        <v>0.95</v>
      </c>
      <c r="G15" s="13" t="n">
        <v>26276</v>
      </c>
      <c r="H15" s="13" t="n">
        <v>12</v>
      </c>
      <c r="I15" s="13" t="n">
        <v>53740</v>
      </c>
      <c r="J15" s="13" t="n">
        <v>4313</v>
      </c>
    </row>
    <row r="16">
      <c r="A16" s="14" t="inlineStr">
        <is>
          <t>2025-04</t>
        </is>
      </c>
      <c r="B16" s="14" t="n">
        <v>272549</v>
      </c>
      <c r="C16" s="14" t="n">
        <v>30</v>
      </c>
      <c r="D16" s="14" t="n">
        <v>9085</v>
      </c>
      <c r="E16" s="14" t="n">
        <v>3188</v>
      </c>
      <c r="F16" s="14" t="n">
        <v>1.17</v>
      </c>
      <c r="G16" s="14" t="n">
        <v>16824</v>
      </c>
      <c r="H16" s="14" t="n">
        <v>0</v>
      </c>
      <c r="I16" s="14" t="n">
        <v>47358</v>
      </c>
      <c r="J16" s="14" t="n">
        <v>3881</v>
      </c>
    </row>
    <row r="17">
      <c r="A17" s="13" t="inlineStr">
        <is>
          <t>2025-05</t>
        </is>
      </c>
      <c r="B17" s="13" t="n">
        <v>295058</v>
      </c>
      <c r="C17" s="13" t="n">
        <v>31</v>
      </c>
      <c r="D17" s="13" t="n">
        <v>9518</v>
      </c>
      <c r="E17" s="13" t="n">
        <v>4298</v>
      </c>
      <c r="F17" s="13" t="n">
        <v>1.46</v>
      </c>
      <c r="G17" s="13" t="n">
        <v>7463</v>
      </c>
      <c r="H17" s="13" t="n">
        <v>0</v>
      </c>
      <c r="I17" s="13" t="n">
        <v>51557</v>
      </c>
      <c r="J17" s="13" t="n">
        <v>4163</v>
      </c>
    </row>
    <row r="18">
      <c r="A18" s="14" t="inlineStr">
        <is>
          <t>2025-06</t>
        </is>
      </c>
      <c r="B18" s="14" t="n">
        <v>306442</v>
      </c>
      <c r="C18" s="14" t="n">
        <v>30</v>
      </c>
      <c r="D18" s="14" t="n">
        <v>10214.7</v>
      </c>
      <c r="E18" s="14" t="n">
        <v>3957</v>
      </c>
      <c r="F18" s="14" t="n">
        <v>1.29</v>
      </c>
      <c r="G18" s="14" t="n">
        <v>4217</v>
      </c>
      <c r="H18" s="14" t="n">
        <v>0</v>
      </c>
      <c r="I18" s="14" t="n">
        <v>48032</v>
      </c>
      <c r="J18" s="14" t="n">
        <v>4063</v>
      </c>
    </row>
    <row r="19">
      <c r="A19" s="13" t="inlineStr">
        <is>
          <t>2025-07</t>
        </is>
      </c>
      <c r="B19" s="13" t="n">
        <v>315883</v>
      </c>
      <c r="C19" s="13" t="n">
        <v>31</v>
      </c>
      <c r="D19" s="13" t="n">
        <v>10189.8</v>
      </c>
      <c r="E19" s="13" t="n">
        <v>4503</v>
      </c>
      <c r="F19" s="13" t="n">
        <v>1.43</v>
      </c>
      <c r="G19" s="13" t="n">
        <v>3008</v>
      </c>
      <c r="H19" s="13" t="n">
        <v>0</v>
      </c>
      <c r="I19" s="13" t="n">
        <v>47001</v>
      </c>
      <c r="J19" s="13" t="n">
        <v>2724</v>
      </c>
    </row>
    <row r="20">
      <c r="A20" s="14" t="inlineStr">
        <is>
          <t>2025-08</t>
        </is>
      </c>
      <c r="B20" s="14" t="n">
        <v>304039</v>
      </c>
      <c r="C20" s="14" t="n">
        <v>31</v>
      </c>
      <c r="D20" s="14" t="n">
        <v>9807.700000000001</v>
      </c>
      <c r="E20" s="14" t="n">
        <v>5866</v>
      </c>
      <c r="F20" s="14" t="n">
        <v>1.93</v>
      </c>
      <c r="G20" s="14" t="n">
        <v>2929</v>
      </c>
      <c r="H20" s="14" t="n">
        <v>0</v>
      </c>
      <c r="I20" s="14" t="n">
        <v>47243</v>
      </c>
      <c r="J20" s="14" t="n">
        <v>2521</v>
      </c>
    </row>
    <row r="21">
      <c r="A21" s="13" t="inlineStr">
        <is>
          <t>2025-09</t>
        </is>
      </c>
      <c r="B21" s="13" t="n">
        <v>302684</v>
      </c>
      <c r="C21" s="13" t="n">
        <v>30</v>
      </c>
      <c r="D21" s="13" t="n">
        <v>10089.5</v>
      </c>
      <c r="E21" s="13" t="n">
        <v>7158</v>
      </c>
      <c r="F21" s="13" t="n">
        <v>2.36</v>
      </c>
      <c r="G21" s="13" t="n">
        <v>3595</v>
      </c>
      <c r="H21" s="13" t="n">
        <v>0</v>
      </c>
      <c r="I21" s="13" t="n">
        <v>54313</v>
      </c>
      <c r="J21" s="13" t="n">
        <v>2398</v>
      </c>
    </row>
    <row r="22">
      <c r="A22" s="14" t="inlineStr">
        <is>
          <t>2025-10</t>
        </is>
      </c>
      <c r="B22" s="14" t="n">
        <v>336612</v>
      </c>
      <c r="C22" s="14" t="n">
        <v>31</v>
      </c>
      <c r="D22" s="14" t="n">
        <v>10858.5</v>
      </c>
      <c r="E22" s="14" t="n">
        <v>7541</v>
      </c>
      <c r="F22" s="14" t="n">
        <v>2.24</v>
      </c>
      <c r="G22" s="14" t="n">
        <v>31858</v>
      </c>
      <c r="H22" s="14" t="n">
        <v>0</v>
      </c>
      <c r="I22" s="14" t="n">
        <v>51073</v>
      </c>
      <c r="J22" s="14" t="n">
        <v>2321</v>
      </c>
    </row>
    <row r="23">
      <c r="A23" s="13" t="inlineStr">
        <is>
          <t>2025-11</t>
        </is>
      </c>
      <c r="B23" s="13" t="n">
        <v>304905</v>
      </c>
      <c r="C23" s="13" t="n">
        <v>30</v>
      </c>
      <c r="D23" s="13" t="n">
        <v>10163.5</v>
      </c>
      <c r="E23" s="13" t="n">
        <v>4891</v>
      </c>
      <c r="F23" s="13" t="n">
        <v>1.6</v>
      </c>
      <c r="G23" s="13" t="n">
        <v>47946</v>
      </c>
      <c r="H23" s="13" t="n">
        <v>8</v>
      </c>
      <c r="I23" s="13" t="n">
        <v>47373</v>
      </c>
      <c r="J23" s="13" t="n">
        <v>1891</v>
      </c>
    </row>
    <row r="24">
      <c r="A24" s="14" t="inlineStr">
        <is>
          <t>2025-12</t>
        </is>
      </c>
      <c r="B24" s="14" t="n">
        <v>332103</v>
      </c>
      <c r="C24" s="14" t="n">
        <v>31</v>
      </c>
      <c r="D24" s="14" t="n">
        <v>10713</v>
      </c>
      <c r="E24" s="14" t="n">
        <v>5399</v>
      </c>
      <c r="F24" s="14" t="n">
        <v>1.63</v>
      </c>
      <c r="G24" s="14" t="n">
        <v>63902</v>
      </c>
      <c r="H24" s="14" t="n">
        <v>8700</v>
      </c>
      <c r="I24" s="14" t="n">
        <v>44161</v>
      </c>
      <c r="J24" s="14" t="n">
        <v>2910</v>
      </c>
    </row>
    <row r="25">
      <c r="A25" s="13" t="inlineStr">
        <is>
          <t>2026-01</t>
        </is>
      </c>
      <c r="B25" s="13" t="n">
        <v>348511</v>
      </c>
      <c r="C25" s="13" t="n">
        <v>31</v>
      </c>
      <c r="D25" s="13" t="n">
        <v>11242.3</v>
      </c>
      <c r="E25" s="13" t="n">
        <v>9331</v>
      </c>
      <c r="F25" s="13" t="n">
        <v>2.68</v>
      </c>
      <c r="G25" s="13" t="n">
        <v>79928</v>
      </c>
      <c r="H25" s="13" t="n">
        <v>24079</v>
      </c>
      <c r="I25" s="13" t="n">
        <v>48717</v>
      </c>
      <c r="J25" s="13" t="n">
        <v>3218</v>
      </c>
    </row>
    <row r="26">
      <c r="A26" s="14" t="inlineStr">
        <is>
          <t>2026-02</t>
        </is>
      </c>
      <c r="B26" s="14" t="n">
        <v>334690</v>
      </c>
      <c r="C26" s="14" t="n">
        <v>28</v>
      </c>
      <c r="D26" s="14" t="n">
        <v>11953.2</v>
      </c>
      <c r="E26" s="14" t="n">
        <v>13102</v>
      </c>
      <c r="F26" s="14" t="n">
        <v>3.91</v>
      </c>
      <c r="G26" s="14" t="n">
        <v>59031</v>
      </c>
      <c r="H26" s="14" t="n">
        <v>30943</v>
      </c>
      <c r="I26" s="14" t="n">
        <v>47781</v>
      </c>
      <c r="J26" s="14" t="n">
        <v>4618</v>
      </c>
    </row>
    <row r="27">
      <c r="A27" s="13" t="inlineStr">
        <is>
          <t>2026-03</t>
        </is>
      </c>
      <c r="B27" s="13" t="n">
        <v>342387</v>
      </c>
      <c r="C27" s="13" t="n">
        <v>31</v>
      </c>
      <c r="D27" s="13" t="n">
        <v>11044.7</v>
      </c>
      <c r="E27" s="13" t="n">
        <v>12921</v>
      </c>
      <c r="F27" s="13" t="n">
        <v>3.77</v>
      </c>
      <c r="G27" s="13" t="n">
        <v>29783</v>
      </c>
      <c r="H27" s="13" t="n">
        <v>208</v>
      </c>
      <c r="I27" s="13" t="n">
        <v>54104</v>
      </c>
      <c r="J27" s="13" t="n">
        <v>22790</v>
      </c>
    </row>
    <row r="28">
      <c r="A28" s="14" t="inlineStr">
        <is>
          <t>2026-04</t>
        </is>
      </c>
      <c r="B28" s="14" t="n">
        <v>302190</v>
      </c>
      <c r="C28" s="14" t="n">
        <v>30</v>
      </c>
      <c r="D28" s="14" t="n">
        <v>10073</v>
      </c>
      <c r="E28" s="14" t="n">
        <v>12104</v>
      </c>
      <c r="F28" s="14" t="n">
        <v>4.01</v>
      </c>
      <c r="G28" s="14" t="n">
        <v>19553</v>
      </c>
      <c r="H28" s="14" t="n">
        <v>0</v>
      </c>
      <c r="I28" s="14" t="n">
        <v>51438</v>
      </c>
      <c r="J28" s="14" t="n">
        <v>11421</v>
      </c>
    </row>
    <row r="29">
      <c r="A29" s="13" t="inlineStr">
        <is>
          <t>2026-05</t>
        </is>
      </c>
      <c r="B29" s="13" t="n">
        <v>331978</v>
      </c>
      <c r="C29" s="13" t="n">
        <v>31</v>
      </c>
      <c r="D29" s="13" t="n">
        <v>10709</v>
      </c>
      <c r="E29" s="13" t="n">
        <v>15469</v>
      </c>
      <c r="F29" s="13" t="n">
        <v>4.66</v>
      </c>
      <c r="G29" s="13" t="n">
        <v>9823</v>
      </c>
      <c r="H29" s="13" t="n">
        <v>0</v>
      </c>
      <c r="I29" s="13" t="n">
        <v>56372</v>
      </c>
      <c r="J29" s="13" t="n">
        <v>7150</v>
      </c>
    </row>
    <row r="30">
      <c r="A30" s="14" t="inlineStr">
        <is>
          <t>2026-06</t>
        </is>
      </c>
      <c r="B30" s="14" t="n">
        <v>334833</v>
      </c>
      <c r="C30" s="14" t="n">
        <v>30</v>
      </c>
      <c r="D30" s="14" t="n">
        <v>11161.1</v>
      </c>
      <c r="E30" s="14" t="n">
        <v>18663</v>
      </c>
      <c r="F30" s="14" t="n">
        <v>5.57</v>
      </c>
      <c r="G30" s="14" t="n">
        <v>4388</v>
      </c>
      <c r="H30" s="14" t="n">
        <v>0</v>
      </c>
      <c r="I30" s="14" t="n">
        <v>56689</v>
      </c>
      <c r="J30" s="14" t="n">
        <v>6077</v>
      </c>
    </row>
    <row r="31">
      <c r="A31" s="13" t="inlineStr">
        <is>
          <t>2026-07</t>
        </is>
      </c>
      <c r="B31" s="13" t="n">
        <v>343043</v>
      </c>
      <c r="C31" s="13" t="n">
        <v>31</v>
      </c>
      <c r="D31" s="13" t="n">
        <v>11065.9</v>
      </c>
      <c r="E31" s="13" t="n">
        <v>29955</v>
      </c>
      <c r="F31" s="13" t="n">
        <v>8.73</v>
      </c>
      <c r="G31" s="13" t="n">
        <v>4331</v>
      </c>
      <c r="H31" s="13" t="n">
        <v>0</v>
      </c>
      <c r="I31" s="13" t="n">
        <v>49082</v>
      </c>
      <c r="J31" s="13" t="n">
        <v>4661</v>
      </c>
    </row>
    <row r="32">
      <c r="A32" s="14" t="inlineStr">
        <is>
          <t>2026-08</t>
        </is>
      </c>
      <c r="B32" s="14" t="n">
        <v>328446</v>
      </c>
      <c r="C32" s="14" t="n">
        <v>31</v>
      </c>
      <c r="D32" s="14" t="n">
        <v>10595</v>
      </c>
      <c r="E32" s="14" t="n">
        <v>53179</v>
      </c>
      <c r="F32" s="14" t="n">
        <v>16.19</v>
      </c>
      <c r="G32" s="14" t="n">
        <v>3682</v>
      </c>
      <c r="H32" s="14" t="n">
        <v>0</v>
      </c>
      <c r="I32" s="14" t="n">
        <v>51216</v>
      </c>
      <c r="J32" s="14" t="n">
        <v>4293</v>
      </c>
    </row>
    <row r="33">
      <c r="A33" s="13" t="inlineStr">
        <is>
          <t>2026-09</t>
        </is>
      </c>
      <c r="B33" s="13" t="n">
        <v>41974</v>
      </c>
      <c r="C33" s="13" t="n">
        <v>5</v>
      </c>
      <c r="D33" s="13" t="n">
        <v>8394.799999999999</v>
      </c>
      <c r="E33" s="13" t="n">
        <v>17415</v>
      </c>
      <c r="F33" s="13" t="n">
        <v>41.49</v>
      </c>
      <c r="G33" s="13" t="n">
        <v>497</v>
      </c>
      <c r="H33" s="13" t="n">
        <v>0</v>
      </c>
      <c r="I33" s="13" t="n">
        <v>6428</v>
      </c>
      <c r="J33" s="13" t="n">
        <v>596</v>
      </c>
    </row>
    <row r="35">
      <c r="A35" s="3" t="inlineStr">
        <is>
          <t>构成（全样本）</t>
        </is>
      </c>
    </row>
    <row r="36">
      <c r="A36" t="inlineStr">
        <is>
          <t>按机构</t>
        </is>
      </c>
      <c r="E36" t="inlineStr">
        <is>
          <t>按行政区</t>
        </is>
      </c>
      <c r="I36" t="inlineStr">
        <is>
          <t>按渠道</t>
        </is>
      </c>
    </row>
    <row r="37">
      <c r="A37" s="4" t="inlineStr">
        <is>
          <t>机构</t>
        </is>
      </c>
      <c r="B37" s="4" t="inlineStr">
        <is>
          <t>条数</t>
        </is>
      </c>
      <c r="C37" s="4" t="inlineStr">
        <is>
          <t>占比%</t>
        </is>
      </c>
      <c r="D37" s="4" t="n"/>
      <c r="E37" s="4" t="inlineStr">
        <is>
          <t>行政区</t>
        </is>
      </c>
      <c r="F37" s="4" t="inlineStr">
        <is>
          <t>条数</t>
        </is>
      </c>
      <c r="G37" s="4" t="inlineStr">
        <is>
          <t>占比%</t>
        </is>
      </c>
      <c r="H37" s="4" t="n"/>
      <c r="I37" s="4" t="inlineStr">
        <is>
          <t>渠道</t>
        </is>
      </c>
      <c r="J37" s="4" t="inlineStr">
        <is>
          <t>条数</t>
        </is>
      </c>
      <c r="K37" s="4" t="inlineStr">
        <is>
          <t>占比%</t>
        </is>
      </c>
    </row>
    <row r="38">
      <c r="A38" s="13" t="inlineStr">
        <is>
          <t>NYPD</t>
        </is>
      </c>
      <c r="B38" s="13" t="n">
        <v>3403951</v>
      </c>
      <c r="C38" s="13" t="n">
        <v>45.23</v>
      </c>
      <c r="E38" s="13" t="inlineStr">
        <is>
          <t>BROOKLYN</t>
        </is>
      </c>
      <c r="F38" s="13" t="n">
        <v>2259561</v>
      </c>
      <c r="G38" s="13" t="n">
        <v>30.03</v>
      </c>
      <c r="I38" s="13" t="inlineStr">
        <is>
          <t>ONLINE</t>
        </is>
      </c>
      <c r="J38" s="13" t="n">
        <v>3332605</v>
      </c>
      <c r="K38" s="13" t="n">
        <v>44.28</v>
      </c>
    </row>
    <row r="39">
      <c r="A39" s="14" t="inlineStr">
        <is>
          <t>HPD</t>
        </is>
      </c>
      <c r="B39" s="14" t="n">
        <v>1633583</v>
      </c>
      <c r="C39" s="14" t="n">
        <v>21.71</v>
      </c>
      <c r="E39" s="14" t="inlineStr">
        <is>
          <t>QUEENS</t>
        </is>
      </c>
      <c r="F39" s="14" t="n">
        <v>1818742</v>
      </c>
      <c r="G39" s="14" t="n">
        <v>24.17</v>
      </c>
      <c r="I39" s="14" t="inlineStr">
        <is>
          <t>PHONE</t>
        </is>
      </c>
      <c r="J39" s="14" t="n">
        <v>1933637</v>
      </c>
      <c r="K39" s="14" t="n">
        <v>25.69</v>
      </c>
    </row>
    <row r="40">
      <c r="A40" s="13" t="inlineStr">
        <is>
          <t>DSNY</t>
        </is>
      </c>
      <c r="B40" s="13" t="n">
        <v>686438</v>
      </c>
      <c r="C40" s="13" t="n">
        <v>9.119999999999999</v>
      </c>
      <c r="E40" s="13" t="inlineStr">
        <is>
          <t>BRONX</t>
        </is>
      </c>
      <c r="F40" s="13" t="n">
        <v>1664397</v>
      </c>
      <c r="G40" s="13" t="n">
        <v>22.12</v>
      </c>
      <c r="I40" s="13" t="inlineStr">
        <is>
          <t>MOBILE</t>
        </is>
      </c>
      <c r="J40" s="13" t="n">
        <v>1666474</v>
      </c>
      <c r="K40" s="13" t="n">
        <v>22.14</v>
      </c>
    </row>
    <row r="41">
      <c r="A41" s="14" t="inlineStr">
        <is>
          <t>DOT</t>
        </is>
      </c>
      <c r="B41" s="14" t="n">
        <v>485140</v>
      </c>
      <c r="C41" s="14" t="n">
        <v>6.45</v>
      </c>
      <c r="E41" s="14" t="inlineStr">
        <is>
          <t>MANHATTAN</t>
        </is>
      </c>
      <c r="F41" s="14" t="n">
        <v>1487092</v>
      </c>
      <c r="G41" s="14" t="n">
        <v>19.76</v>
      </c>
      <c r="I41" s="14" t="inlineStr">
        <is>
          <t>UNKNOWN</t>
        </is>
      </c>
      <c r="J41" s="14" t="n">
        <v>590822</v>
      </c>
      <c r="K41" s="14" t="n">
        <v>7.85</v>
      </c>
    </row>
    <row r="42">
      <c r="A42" s="13" t="inlineStr">
        <is>
          <t>DEP</t>
        </is>
      </c>
      <c r="B42" s="13" t="n">
        <v>424101</v>
      </c>
      <c r="C42" s="13" t="n">
        <v>5.64</v>
      </c>
      <c r="E42" s="13" t="inlineStr">
        <is>
          <t>STATEN ISLAND</t>
        </is>
      </c>
      <c r="F42" s="13" t="n">
        <v>289375</v>
      </c>
      <c r="G42" s="13" t="n">
        <v>3.85</v>
      </c>
      <c r="I42" s="13" t="inlineStr">
        <is>
          <t>OTHER</t>
        </is>
      </c>
      <c r="J42" s="13" t="n">
        <v>1960</v>
      </c>
      <c r="K42" s="13" t="n">
        <v>0.03</v>
      </c>
    </row>
    <row r="43">
      <c r="A43" s="14" t="inlineStr">
        <is>
          <t>DPR</t>
        </is>
      </c>
      <c r="B43" s="14" t="n">
        <v>244023</v>
      </c>
      <c r="C43" s="14" t="n">
        <v>3.24</v>
      </c>
      <c r="E43" s="14" t="inlineStr">
        <is>
          <t>Unspecified</t>
        </is>
      </c>
      <c r="F43" s="14" t="n">
        <v>6331</v>
      </c>
      <c r="G43" s="14" t="n">
        <v>0.08</v>
      </c>
    </row>
    <row r="44">
      <c r="A44" s="13" t="inlineStr">
        <is>
          <t>DOB</t>
        </is>
      </c>
      <c r="B44" s="13" t="n">
        <v>218945</v>
      </c>
      <c r="C44" s="13" t="n">
        <v>2.91</v>
      </c>
    </row>
    <row r="45">
      <c r="A45" s="14" t="inlineStr">
        <is>
          <t>DOHMH</t>
        </is>
      </c>
      <c r="B45" s="14" t="n">
        <v>169118</v>
      </c>
      <c r="C45" s="14" t="n">
        <v>2.25</v>
      </c>
    </row>
    <row r="46">
      <c r="A46" s="13" t="inlineStr">
        <is>
          <t>DHS</t>
        </is>
      </c>
      <c r="B46" s="13" t="n">
        <v>101425</v>
      </c>
      <c r="C46" s="13" t="n">
        <v>1.35</v>
      </c>
    </row>
    <row r="47">
      <c r="A47" s="14" t="inlineStr">
        <is>
          <t>TLC</t>
        </is>
      </c>
      <c r="B47" s="14" t="n">
        <v>75453</v>
      </c>
      <c r="C47" s="14" t="n">
        <v>1</v>
      </c>
    </row>
    <row r="48">
      <c r="A48" s="13" t="inlineStr">
        <is>
          <t>DCWP</t>
        </is>
      </c>
      <c r="B48" s="13" t="n">
        <v>38580</v>
      </c>
      <c r="C48" s="13" t="n">
        <v>0.51</v>
      </c>
    </row>
    <row r="49">
      <c r="A49" s="14" t="inlineStr">
        <is>
          <t>EDC</t>
        </is>
      </c>
      <c r="B49" s="14" t="n">
        <v>36776</v>
      </c>
      <c r="C49" s="14" t="n">
        <v>0.49</v>
      </c>
    </row>
    <row r="50">
      <c r="A50" s="13" t="inlineStr">
        <is>
          <t>OOS</t>
        </is>
      </c>
      <c r="B50" s="13" t="n">
        <v>4196</v>
      </c>
      <c r="C50" s="13" t="n">
        <v>0.06</v>
      </c>
    </row>
    <row r="51">
      <c r="A51" s="14" t="inlineStr">
        <is>
          <t>DOE</t>
        </is>
      </c>
      <c r="B51" s="14" t="n">
        <v>2962</v>
      </c>
      <c r="C51" s="14" t="n">
        <v>0.04</v>
      </c>
    </row>
    <row r="52">
      <c r="A52" s="13" t="inlineStr">
        <is>
          <t>OTI</t>
        </is>
      </c>
      <c r="B52" s="13" t="n">
        <v>436</v>
      </c>
      <c r="C52" s="13" t="n">
        <v>0.01</v>
      </c>
    </row>
    <row r="53">
      <c r="A53" s="14" t="inlineStr">
        <is>
          <t>NYC311-PRD</t>
        </is>
      </c>
      <c r="B53" s="14" t="n">
        <v>371</v>
      </c>
      <c r="C53" s="14" t="n">
        <v>0</v>
      </c>
    </row>
    <row r="64">
      <c r="A64" t="inlineStr">
        <is>
          <t>状态分布</t>
        </is>
      </c>
      <c r="E64" t="inlineStr">
        <is>
          <t>创建量最多的投诉类型（及主机构）</t>
        </is>
      </c>
    </row>
    <row r="65">
      <c r="A65" s="4" t="inlineStr">
        <is>
          <t>状态</t>
        </is>
      </c>
      <c r="B65" s="4" t="inlineStr">
        <is>
          <t>条数</t>
        </is>
      </c>
      <c r="C65" s="4" t="inlineStr">
        <is>
          <t>占比%</t>
        </is>
      </c>
      <c r="D65" s="4" t="n"/>
      <c r="E65" s="4" t="inlineStr">
        <is>
          <t>投诉类型</t>
        </is>
      </c>
      <c r="F65" s="4" t="inlineStr">
        <is>
          <t>机构</t>
        </is>
      </c>
      <c r="G65" s="4" t="inlineStr">
        <is>
          <t>条数</t>
        </is>
      </c>
      <c r="H65" s="4" t="inlineStr">
        <is>
          <t>占比%</t>
        </is>
      </c>
    </row>
    <row r="66">
      <c r="A66" s="13" t="inlineStr">
        <is>
          <t>Closed</t>
        </is>
      </c>
      <c r="B66" s="13" t="n">
        <v>7275349</v>
      </c>
      <c r="C66" s="13" t="n">
        <v>96.68000000000001</v>
      </c>
      <c r="E66" s="13" t="inlineStr">
        <is>
          <t>Illegal Parking</t>
        </is>
      </c>
      <c r="F66" s="13" t="inlineStr">
        <is>
          <t>NYPD</t>
        </is>
      </c>
      <c r="G66" s="13" t="n">
        <v>1159053</v>
      </c>
      <c r="H66" s="13" t="n">
        <v>15.4</v>
      </c>
    </row>
    <row r="67">
      <c r="A67" s="14" t="inlineStr">
        <is>
          <t>In Progress</t>
        </is>
      </c>
      <c r="B67" s="14" t="n">
        <v>140752</v>
      </c>
      <c r="C67" s="14" t="n">
        <v>1.87</v>
      </c>
      <c r="E67" s="14" t="inlineStr">
        <is>
          <t>Noise - Residential</t>
        </is>
      </c>
      <c r="F67" s="14" t="inlineStr">
        <is>
          <t>NYPD</t>
        </is>
      </c>
      <c r="G67" s="14" t="n">
        <v>881548</v>
      </c>
      <c r="H67" s="14" t="n">
        <v>11.71</v>
      </c>
    </row>
    <row r="68">
      <c r="A68" s="13" t="inlineStr">
        <is>
          <t>Open</t>
        </is>
      </c>
      <c r="B68" s="13" t="n">
        <v>81247</v>
      </c>
      <c r="C68" s="13" t="n">
        <v>1.08</v>
      </c>
      <c r="E68" s="13" t="inlineStr">
        <is>
          <t>HEAT/HOT WATER</t>
        </is>
      </c>
      <c r="F68" s="13" t="inlineStr">
        <is>
          <t>HPD</t>
        </is>
      </c>
      <c r="G68" s="13" t="n">
        <v>651594</v>
      </c>
      <c r="H68" s="13" t="n">
        <v>8.66</v>
      </c>
    </row>
    <row r="69">
      <c r="A69" s="14" t="inlineStr">
        <is>
          <t>Assigned</t>
        </is>
      </c>
      <c r="B69" s="14" t="n">
        <v>15753</v>
      </c>
      <c r="C69" s="14" t="n">
        <v>0.21</v>
      </c>
      <c r="E69" s="14" t="inlineStr">
        <is>
          <t>Blocked Driveway</t>
        </is>
      </c>
      <c r="F69" s="14" t="inlineStr">
        <is>
          <t>NYPD</t>
        </is>
      </c>
      <c r="G69" s="14" t="n">
        <v>362642</v>
      </c>
      <c r="H69" s="14" t="n">
        <v>4.82</v>
      </c>
    </row>
    <row r="70">
      <c r="A70" s="13" t="inlineStr">
        <is>
          <t>Pending</t>
        </is>
      </c>
      <c r="B70" s="13" t="n">
        <v>9475</v>
      </c>
      <c r="C70" s="13" t="n">
        <v>0.13</v>
      </c>
      <c r="E70" s="13" t="inlineStr">
        <is>
          <t>Noise - Street/Sidewalk</t>
        </is>
      </c>
      <c r="F70" s="13" t="inlineStr">
        <is>
          <t>NYPD</t>
        </is>
      </c>
      <c r="G70" s="13" t="n">
        <v>349299</v>
      </c>
      <c r="H70" s="13" t="n">
        <v>4.64</v>
      </c>
    </row>
    <row r="71">
      <c r="A71" s="14" t="inlineStr">
        <is>
          <t>Started</t>
        </is>
      </c>
      <c r="B71" s="14" t="n">
        <v>2620</v>
      </c>
      <c r="C71" s="14" t="n">
        <v>0.03</v>
      </c>
      <c r="E71" s="14" t="inlineStr">
        <is>
          <t>UNSANITARY CONDITION</t>
        </is>
      </c>
      <c r="F71" s="14" t="inlineStr">
        <is>
          <t>HPD</t>
        </is>
      </c>
      <c r="G71" s="14" t="n">
        <v>249446</v>
      </c>
      <c r="H71" s="14" t="n">
        <v>3.31</v>
      </c>
    </row>
    <row r="72">
      <c r="A72" s="13" t="inlineStr">
        <is>
          <t>Unspecified</t>
        </is>
      </c>
      <c r="B72" s="13" t="n">
        <v>302</v>
      </c>
      <c r="C72" s="13" t="n">
        <v>0</v>
      </c>
      <c r="E72" s="13" t="inlineStr">
        <is>
          <t>Street Condition</t>
        </is>
      </c>
      <c r="F72" s="13" t="inlineStr">
        <is>
          <t>DOT</t>
        </is>
      </c>
      <c r="G72" s="13" t="n">
        <v>187361</v>
      </c>
      <c r="H72" s="13" t="n">
        <v>2.49</v>
      </c>
    </row>
    <row r="73">
      <c r="E73" s="14" t="inlineStr">
        <is>
          <t>Water System</t>
        </is>
      </c>
      <c r="F73" s="14" t="inlineStr">
        <is>
          <t>DEP</t>
        </is>
      </c>
      <c r="G73" s="14" t="n">
        <v>152736</v>
      </c>
      <c r="H73" s="14" t="n">
        <v>2.03</v>
      </c>
    </row>
    <row r="74">
      <c r="E74" s="13" t="inlineStr">
        <is>
          <t>PLUMBING</t>
        </is>
      </c>
      <c r="F74" s="13" t="inlineStr">
        <is>
          <t>HPD</t>
        </is>
      </c>
      <c r="G74" s="13" t="n">
        <v>150696</v>
      </c>
      <c r="H74" s="13" t="n">
        <v>2</v>
      </c>
    </row>
    <row r="75">
      <c r="E75" s="14" t="inlineStr">
        <is>
          <t>Abandoned Vehicle</t>
        </is>
      </c>
      <c r="F75" s="14" t="inlineStr">
        <is>
          <t>NYPD</t>
        </is>
      </c>
      <c r="G75" s="14" t="n">
        <v>139896</v>
      </c>
      <c r="H75" s="14" t="n">
        <v>1.86</v>
      </c>
    </row>
    <row r="76">
      <c r="E76" s="13" t="inlineStr">
        <is>
          <t>Dirty Condition</t>
        </is>
      </c>
      <c r="F76" s="13" t="inlineStr">
        <is>
          <t>DSNY</t>
        </is>
      </c>
      <c r="G76" s="13" t="n">
        <v>129570</v>
      </c>
      <c r="H76" s="13" t="n">
        <v>1.72</v>
      </c>
    </row>
    <row r="77">
      <c r="E77" s="14" t="inlineStr">
        <is>
          <t>Noise - Commercial</t>
        </is>
      </c>
      <c r="F77" s="14" t="inlineStr">
        <is>
          <t>NYPD</t>
        </is>
      </c>
      <c r="G77" s="14" t="n">
        <v>126247</v>
      </c>
      <c r="H77" s="14" t="n">
        <v>1.68</v>
      </c>
    </row>
    <row r="78">
      <c r="E78" s="13" t="inlineStr">
        <is>
          <t>PAINT/PLASTER</t>
        </is>
      </c>
      <c r="F78" s="13" t="inlineStr">
        <is>
          <t>HPD</t>
        </is>
      </c>
      <c r="G78" s="13" t="n">
        <v>125565</v>
      </c>
      <c r="H78" s="13" t="n">
        <v>1.67</v>
      </c>
    </row>
    <row r="79">
      <c r="E79" s="14" t="inlineStr">
        <is>
          <t>Noise</t>
        </is>
      </c>
      <c r="F79" s="14" t="inlineStr">
        <is>
          <t>DEP</t>
        </is>
      </c>
      <c r="G79" s="14" t="n">
        <v>114654</v>
      </c>
      <c r="H79" s="14" t="n">
        <v>1.52</v>
      </c>
    </row>
    <row r="80">
      <c r="E80" s="13" t="inlineStr">
        <is>
          <t>Traffic Signal Condition</t>
        </is>
      </c>
      <c r="F80" s="13" t="inlineStr">
        <is>
          <t>DOT</t>
        </is>
      </c>
      <c r="G80" s="13" t="n">
        <v>104791</v>
      </c>
      <c r="H80" s="13" t="n">
        <v>1.39</v>
      </c>
    </row>
    <row r="81">
      <c r="E81" s="14" t="inlineStr">
        <is>
          <t>DOOR/WINDOW</t>
        </is>
      </c>
      <c r="F81" s="14" t="inlineStr">
        <is>
          <t>HPD</t>
        </is>
      </c>
      <c r="G81" s="14" t="n">
        <v>96879</v>
      </c>
      <c r="H81" s="14" t="n">
        <v>1.29</v>
      </c>
    </row>
    <row r="82">
      <c r="E82" s="13" t="inlineStr">
        <is>
          <t>Noise - Vehicle</t>
        </is>
      </c>
      <c r="F82" s="13" t="inlineStr">
        <is>
          <t>NYPD</t>
        </is>
      </c>
      <c r="G82" s="13" t="n">
        <v>92971</v>
      </c>
      <c r="H82" s="13" t="n">
        <v>1.24</v>
      </c>
    </row>
    <row r="83">
      <c r="E83" s="14" t="inlineStr">
        <is>
          <t>WATER LEAK</t>
        </is>
      </c>
      <c r="F83" s="14" t="inlineStr">
        <is>
          <t>HPD</t>
        </is>
      </c>
      <c r="G83" s="14" t="n">
        <v>83895</v>
      </c>
      <c r="H83" s="14" t="n">
        <v>1.11</v>
      </c>
    </row>
    <row r="84">
      <c r="E84" s="13" t="inlineStr">
        <is>
          <t>Derelict Vehicles</t>
        </is>
      </c>
      <c r="F84" s="13" t="inlineStr">
        <is>
          <t>DSNY</t>
        </is>
      </c>
      <c r="G84" s="13" t="n">
        <v>82540</v>
      </c>
      <c r="H84" s="13" t="n">
        <v>1.1</v>
      </c>
    </row>
    <row r="85">
      <c r="E85" s="14" t="inlineStr">
        <is>
          <t>Missed Collection</t>
        </is>
      </c>
      <c r="F85" s="14" t="inlineStr">
        <is>
          <t>DSNY</t>
        </is>
      </c>
      <c r="G85" s="14" t="n">
        <v>79134</v>
      </c>
      <c r="H85" s="14" t="n">
        <v>1.05</v>
      </c>
    </row>
    <row r="86">
      <c r="E86" s="13" t="inlineStr">
        <is>
          <t>Illegal Dumping</t>
        </is>
      </c>
      <c r="F86" s="13" t="inlineStr">
        <is>
          <t>DSNY</t>
        </is>
      </c>
      <c r="G86" s="13" t="n">
        <v>77394</v>
      </c>
      <c r="H86" s="13" t="n">
        <v>1.03</v>
      </c>
    </row>
    <row r="87">
      <c r="E87" s="14" t="inlineStr">
        <is>
          <t>General Construction/Plumbing</t>
        </is>
      </c>
      <c r="F87" s="14" t="inlineStr">
        <is>
          <t>DOB</t>
        </is>
      </c>
      <c r="G87" s="14" t="n">
        <v>73848</v>
      </c>
      <c r="H87" s="14" t="n">
        <v>0.98</v>
      </c>
    </row>
    <row r="88">
      <c r="E88" s="13" t="inlineStr">
        <is>
          <t>GENERAL</t>
        </is>
      </c>
      <c r="F88" s="13" t="inlineStr">
        <is>
          <t>HPD</t>
        </is>
      </c>
      <c r="G88" s="13" t="n">
        <v>73738</v>
      </c>
      <c r="H88" s="13" t="n">
        <v>0.98</v>
      </c>
    </row>
    <row r="89">
      <c r="E89" s="14" t="inlineStr">
        <is>
          <t>Homeless Person Assistance</t>
        </is>
      </c>
      <c r="F89" s="14" t="inlineStr">
        <is>
          <t>DHS</t>
        </is>
      </c>
      <c r="G89" s="14" t="n">
        <v>73635</v>
      </c>
      <c r="H89" s="14" t="n">
        <v>0.98</v>
      </c>
    </row>
    <row r="90">
      <c r="A90" s="9" t="inlineStr">
        <is>
          <t>口径提示：NYPD 约占 45%、HPD 约占 22%。全市中位关闭时长会被 NYPD 大量短单拉低，见工作表 05。2026-09 仅 41,974 条且截止 9月5日，不能与完整月直接比总量。</t>
        </is>
      </c>
    </row>
    <row r="91"/>
  </sheetData>
  <mergeCells count="2">
    <mergeCell ref="A90:J91"/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8" customWidth="1" min="5" max="5"/>
    <col width="55" customWidth="1" min="6" max="6"/>
  </cols>
  <sheetData>
    <row r="1">
      <c r="A1" s="1" t="inlineStr">
        <is>
          <t>Q1 可比 11 个月创建量变化：互斥桶分解</t>
        </is>
      </c>
    </row>
    <row r="2" ht="32" customHeight="1">
      <c r="A2" s="2" t="inlineStr">
        <is>
          <t>窗口 A = 2024-10..2025-08 创建；窗口 B = 2025-10..2026-08 创建；单位=服务请求条数；分母=A 期 3,293,003 条。筛选=无（全部类型）。聚合=按创建年月落入窗口后计数。</t>
        </is>
      </c>
    </row>
    <row r="4">
      <c r="A4" s="10" t="inlineStr">
        <is>
          <t>A 期条数</t>
        </is>
      </c>
      <c r="B4" s="10" t="inlineStr">
        <is>
          <t>B 期条数</t>
        </is>
      </c>
      <c r="C4" s="10" t="inlineStr">
        <is>
          <t>增量</t>
        </is>
      </c>
      <c r="D4" s="10" t="inlineStr">
        <is>
          <t>日数是否对齐</t>
        </is>
      </c>
    </row>
    <row r="5">
      <c r="A5" s="11" t="inlineStr">
        <is>
          <t>3,293,003</t>
        </is>
      </c>
      <c r="B5" s="11" t="inlineStr">
        <is>
          <t>3,639,698</t>
        </is>
      </c>
      <c r="C5" s="11" t="inlineStr">
        <is>
          <t>346,695</t>
        </is>
      </c>
      <c r="D5" s="11" t="inlineStr">
        <is>
          <t>两端均为 10–08，各含一个非闰年 2 月</t>
        </is>
      </c>
    </row>
    <row r="6">
      <c r="A6" s="12" t="inlineStr">
        <is>
          <t>11 个完整月</t>
        </is>
      </c>
      <c r="B6" s="12" t="inlineStr">
        <is>
          <t>11 个完整月</t>
        </is>
      </c>
      <c r="C6" s="12" t="inlineStr">
        <is>
          <t>相对 A 期 +10.53%</t>
        </is>
      </c>
      <c r="D6" s="12" t="inlineStr">
        <is>
          <t>不按日历年</t>
        </is>
      </c>
    </row>
    <row r="8">
      <c r="A8" s="3" t="inlineStr">
        <is>
          <t>事实：互斥桶（每条请求只进一桶）对增量的贡献</t>
        </is>
      </c>
    </row>
    <row r="9">
      <c r="A9" s="4" t="inlineStr">
        <is>
          <t>互斥桶</t>
        </is>
      </c>
      <c r="B9" s="4" t="inlineStr">
        <is>
          <t>A期条数</t>
        </is>
      </c>
      <c r="C9" s="4" t="inlineStr">
        <is>
          <t>B期条数</t>
        </is>
      </c>
      <c r="D9" s="4" t="inlineStr">
        <is>
          <t>增量</t>
        </is>
      </c>
      <c r="E9" s="4" t="inlineStr">
        <is>
          <t>占全部增量%</t>
        </is>
      </c>
    </row>
    <row r="10">
      <c r="A10" s="13" t="inlineStr">
        <is>
          <t>All other types</t>
        </is>
      </c>
      <c r="B10" s="13" t="n">
        <v>2426237</v>
      </c>
      <c r="C10" s="13" t="n">
        <v>2550901</v>
      </c>
      <c r="D10" s="13" t="n">
        <v>124664</v>
      </c>
      <c r="E10" s="13" t="n">
        <v>35.96</v>
      </c>
    </row>
    <row r="11">
      <c r="A11" s="14" t="inlineStr">
        <is>
          <t>HEAT/HOT WATER</t>
        </is>
      </c>
      <c r="B11" s="14" t="n">
        <v>290581</v>
      </c>
      <c r="C11" s="14" t="n">
        <v>354225</v>
      </c>
      <c r="D11" s="14" t="n">
        <v>63644</v>
      </c>
      <c r="E11" s="14" t="n">
        <v>18.36</v>
      </c>
    </row>
    <row r="12">
      <c r="A12" s="13" t="inlineStr">
        <is>
          <t>Snow or Ice</t>
        </is>
      </c>
      <c r="B12" s="13" t="n">
        <v>8808</v>
      </c>
      <c r="C12" s="13" t="n">
        <v>63938</v>
      </c>
      <c r="D12" s="13" t="n">
        <v>55130</v>
      </c>
      <c r="E12" s="13" t="n">
        <v>15.9</v>
      </c>
    </row>
    <row r="13">
      <c r="A13" s="14" t="inlineStr">
        <is>
          <t>Illegal Parking</t>
        </is>
      </c>
      <c r="B13" s="14" t="n">
        <v>503051</v>
      </c>
      <c r="C13" s="14" t="n">
        <v>558006</v>
      </c>
      <c r="D13" s="14" t="n">
        <v>54955</v>
      </c>
      <c r="E13" s="14" t="n">
        <v>15.85</v>
      </c>
    </row>
    <row r="14">
      <c r="A14" s="13" t="inlineStr">
        <is>
          <t>UNKNOWN-channel pothole</t>
        </is>
      </c>
      <c r="B14" s="13" t="n">
        <v>36013</v>
      </c>
      <c r="C14" s="13" t="n">
        <v>71350</v>
      </c>
      <c r="D14" s="13" t="n">
        <v>35337</v>
      </c>
      <c r="E14" s="13" t="n">
        <v>10.19</v>
      </c>
    </row>
    <row r="15">
      <c r="A15" s="14" t="inlineStr">
        <is>
          <t>Other Street Condition</t>
        </is>
      </c>
      <c r="B15" s="14" t="n">
        <v>28313</v>
      </c>
      <c r="C15" s="14" t="n">
        <v>41278</v>
      </c>
      <c r="D15" s="14" t="n">
        <v>12965</v>
      </c>
      <c r="E15" s="14" t="n">
        <v>3.74</v>
      </c>
    </row>
    <row r="34">
      <c r="A34" s="3" t="inlineStr">
        <is>
          <t>推断（已用剔除检验）</t>
        </is>
      </c>
    </row>
    <row r="35">
      <c r="A35" s="15" t="inlineStr">
        <is>
          <t>全部增量 346,695 条中，Snow or Ice 55,130（15.9%）、HEAT/HOT WATER 63,644（18.4%）、Illegal Parking 54,955（15.9%）、UNKNOWN 渠道坑洞 35,337（10.2%）。四者合计 209,066 条，约占增量的 60.3%。剔除雪和 UNKNOWN 坑洞后，其余仍增加 256,228 条（相对 A 期其余部分仍为正）。因此：增量既不是“所有类型均匀变多”，也不是“只剩一个异常类型”。Illegal Parking 在月度序列上持续偏高，不像单日事故。</t>
        </is>
      </c>
    </row>
    <row r="36"/>
    <row r="37"/>
    <row r="39">
      <c r="A39" t="inlineStr">
        <is>
          <t>机构增量（非互斥于上表类型桶；HPD 增量大量与供暖重叠）</t>
        </is>
      </c>
    </row>
    <row r="40">
      <c r="A40" s="4" t="inlineStr">
        <is>
          <t>机构</t>
        </is>
      </c>
      <c r="B40" s="4" t="inlineStr">
        <is>
          <t>A期</t>
        </is>
      </c>
      <c r="C40" s="4" t="inlineStr">
        <is>
          <t>B期</t>
        </is>
      </c>
      <c r="D40" s="4" t="inlineStr">
        <is>
          <t>增量</t>
        </is>
      </c>
      <c r="E40" s="4" t="inlineStr">
        <is>
          <t>相对A期%</t>
        </is>
      </c>
    </row>
    <row r="41">
      <c r="A41" s="13" t="inlineStr">
        <is>
          <t>HPD</t>
        </is>
      </c>
      <c r="B41" s="13" t="n">
        <v>701073</v>
      </c>
      <c r="C41" s="13" t="n">
        <v>848019</v>
      </c>
      <c r="D41" s="13" t="n">
        <v>146946</v>
      </c>
      <c r="E41" s="13" t="n">
        <v>20.96</v>
      </c>
    </row>
    <row r="42">
      <c r="A42" s="14" t="inlineStr">
        <is>
          <t>DOT</t>
        </is>
      </c>
      <c r="B42" s="14" t="n">
        <v>192453</v>
      </c>
      <c r="C42" s="14" t="n">
        <v>259309</v>
      </c>
      <c r="D42" s="14" t="n">
        <v>66856</v>
      </c>
      <c r="E42" s="14" t="n">
        <v>34.74</v>
      </c>
    </row>
    <row r="43">
      <c r="A43" s="13" t="inlineStr">
        <is>
          <t>NYPD</t>
        </is>
      </c>
      <c r="B43" s="13" t="n">
        <v>1519410</v>
      </c>
      <c r="C43" s="13" t="n">
        <v>1577910</v>
      </c>
      <c r="D43" s="13" t="n">
        <v>58500</v>
      </c>
      <c r="E43" s="13" t="n">
        <v>3.85</v>
      </c>
    </row>
    <row r="44">
      <c r="A44" s="14" t="inlineStr">
        <is>
          <t>DSNY</t>
        </is>
      </c>
      <c r="B44" s="14" t="n">
        <v>297848</v>
      </c>
      <c r="C44" s="14" t="n">
        <v>330993</v>
      </c>
      <c r="D44" s="14" t="n">
        <v>33145</v>
      </c>
      <c r="E44" s="14" t="n">
        <v>11.13</v>
      </c>
    </row>
    <row r="45">
      <c r="A45" s="13" t="inlineStr">
        <is>
          <t>DPR</t>
        </is>
      </c>
      <c r="B45" s="13" t="n">
        <v>98166</v>
      </c>
      <c r="C45" s="13" t="n">
        <v>122517</v>
      </c>
      <c r="D45" s="13" t="n">
        <v>24351</v>
      </c>
      <c r="E45" s="13" t="n">
        <v>24.81</v>
      </c>
    </row>
    <row r="46">
      <c r="A46" s="14" t="inlineStr">
        <is>
          <t>DOB</t>
        </is>
      </c>
      <c r="B46" s="14" t="n">
        <v>92680</v>
      </c>
      <c r="C46" s="14" t="n">
        <v>109581</v>
      </c>
      <c r="D46" s="14" t="n">
        <v>16901</v>
      </c>
      <c r="E46" s="14" t="n">
        <v>18.24</v>
      </c>
    </row>
    <row r="47">
      <c r="A47" s="13" t="inlineStr">
        <is>
          <t>DEP</t>
        </is>
      </c>
      <c r="B47" s="13" t="n">
        <v>192648</v>
      </c>
      <c r="C47" s="13" t="n">
        <v>202049</v>
      </c>
      <c r="D47" s="13" t="n">
        <v>9401</v>
      </c>
      <c r="E47" s="13" t="n">
        <v>4.88</v>
      </c>
    </row>
    <row r="48">
      <c r="A48" s="14" t="inlineStr">
        <is>
          <t>EDC</t>
        </is>
      </c>
      <c r="B48" s="14" t="n">
        <v>21080</v>
      </c>
      <c r="C48" s="14" t="n">
        <v>12019</v>
      </c>
      <c r="D48" s="14" t="n">
        <v>-9061</v>
      </c>
      <c r="E48" s="14" t="n">
        <v>-42.98</v>
      </c>
    </row>
    <row r="49">
      <c r="A49" s="13" t="inlineStr">
        <is>
          <t>DHS</t>
        </is>
      </c>
      <c r="B49" s="13" t="n">
        <v>46832</v>
      </c>
      <c r="C49" s="13" t="n">
        <v>42530</v>
      </c>
      <c r="D49" s="13" t="n">
        <v>-4302</v>
      </c>
      <c r="E49" s="13" t="n">
        <v>-9.19</v>
      </c>
    </row>
    <row r="50">
      <c r="A50" s="14" t="inlineStr">
        <is>
          <t>DOHMH</t>
        </is>
      </c>
      <c r="B50" s="14" t="n">
        <v>79042</v>
      </c>
      <c r="C50" s="14" t="n">
        <v>74809</v>
      </c>
      <c r="D50" s="14" t="n">
        <v>-4233</v>
      </c>
      <c r="E50" s="14" t="n">
        <v>-5.36</v>
      </c>
    </row>
    <row r="51">
      <c r="A51" s="13" t="inlineStr">
        <is>
          <t>OOS</t>
        </is>
      </c>
      <c r="B51" s="13" t="n">
        <v>0</v>
      </c>
      <c r="C51" s="13" t="n">
        <v>3958</v>
      </c>
      <c r="D51" s="13" t="n">
        <v>3958</v>
      </c>
      <c r="E51" s="13" t="n"/>
    </row>
    <row r="52">
      <c r="A52" s="14" t="inlineStr">
        <is>
          <t>TLC</t>
        </is>
      </c>
      <c r="B52" s="14" t="n">
        <v>33209</v>
      </c>
      <c r="C52" s="14" t="n">
        <v>35741</v>
      </c>
      <c r="D52" s="14" t="n">
        <v>2532</v>
      </c>
      <c r="E52" s="14" t="n">
        <v>7.62</v>
      </c>
    </row>
    <row r="53">
      <c r="A53" s="13" t="inlineStr">
        <is>
          <t>DCWP</t>
        </is>
      </c>
      <c r="B53" s="13" t="n">
        <v>16692</v>
      </c>
      <c r="C53" s="13" t="n">
        <v>18609</v>
      </c>
      <c r="D53" s="13" t="n">
        <v>1917</v>
      </c>
      <c r="E53" s="13" t="n">
        <v>11.48</v>
      </c>
    </row>
    <row r="54">
      <c r="A54" s="14" t="inlineStr">
        <is>
          <t>DOE</t>
        </is>
      </c>
      <c r="B54" s="14" t="n">
        <v>1695</v>
      </c>
      <c r="C54" s="14" t="n">
        <v>1045</v>
      </c>
      <c r="D54" s="14" t="n">
        <v>-650</v>
      </c>
      <c r="E54" s="14" t="n">
        <v>-38.35</v>
      </c>
    </row>
    <row r="55">
      <c r="A55" s="13" t="inlineStr">
        <is>
          <t>NYC311-PRD</t>
        </is>
      </c>
      <c r="B55" s="13" t="n">
        <v>0</v>
      </c>
      <c r="C55" s="13" t="n">
        <v>371</v>
      </c>
      <c r="D55" s="13" t="n">
        <v>371</v>
      </c>
      <c r="E55" s="13" t="n"/>
    </row>
    <row r="56">
      <c r="A56" s="14" t="inlineStr">
        <is>
          <t>OTI</t>
        </is>
      </c>
      <c r="B56" s="14" t="n">
        <v>175</v>
      </c>
      <c r="C56" s="14" t="n">
        <v>238</v>
      </c>
      <c r="D56" s="14" t="n">
        <v>63</v>
      </c>
      <c r="E56" s="14" t="n">
        <v>36</v>
      </c>
    </row>
    <row r="60">
      <c r="A60" t="inlineStr">
        <is>
          <t>类型增量绝对值最大的 15 类（可与互斥桶对照；类型之间互斥）</t>
        </is>
      </c>
    </row>
    <row r="61">
      <c r="A61" s="4" t="inlineStr">
        <is>
          <t>投诉类型</t>
        </is>
      </c>
      <c r="B61" s="4" t="inlineStr">
        <is>
          <t>A期</t>
        </is>
      </c>
      <c r="C61" s="4" t="inlineStr">
        <is>
          <t>B期</t>
        </is>
      </c>
      <c r="D61" s="4" t="inlineStr">
        <is>
          <t>增量</t>
        </is>
      </c>
      <c r="E61" s="4" t="inlineStr">
        <is>
          <t>相对A期%</t>
        </is>
      </c>
    </row>
    <row r="62">
      <c r="A62" s="13" t="inlineStr">
        <is>
          <t>HEAT/HOT WATER</t>
        </is>
      </c>
      <c r="B62" s="13" t="n">
        <v>290581</v>
      </c>
      <c r="C62" s="13" t="n">
        <v>354225</v>
      </c>
      <c r="D62" s="13" t="n">
        <v>63644</v>
      </c>
      <c r="E62" s="13" t="n">
        <v>21.9</v>
      </c>
    </row>
    <row r="63">
      <c r="A63" s="14" t="inlineStr">
        <is>
          <t>Snow or Ice</t>
        </is>
      </c>
      <c r="B63" s="14" t="n">
        <v>8808</v>
      </c>
      <c r="C63" s="14" t="n">
        <v>63938</v>
      </c>
      <c r="D63" s="14" t="n">
        <v>55130</v>
      </c>
      <c r="E63" s="14" t="n">
        <v>625.91</v>
      </c>
    </row>
    <row r="64">
      <c r="A64" s="13" t="inlineStr">
        <is>
          <t>Illegal Parking</t>
        </is>
      </c>
      <c r="B64" s="13" t="n">
        <v>503051</v>
      </c>
      <c r="C64" s="13" t="n">
        <v>558006</v>
      </c>
      <c r="D64" s="13" t="n">
        <v>54955</v>
      </c>
      <c r="E64" s="13" t="n">
        <v>10.92</v>
      </c>
    </row>
    <row r="65">
      <c r="A65" s="14" t="inlineStr">
        <is>
          <t>Street Condition</t>
        </is>
      </c>
      <c r="B65" s="14" t="n">
        <v>64326</v>
      </c>
      <c r="C65" s="14" t="n">
        <v>112628</v>
      </c>
      <c r="D65" s="14" t="n">
        <v>48302</v>
      </c>
      <c r="E65" s="14" t="n">
        <v>75.09</v>
      </c>
    </row>
    <row r="66">
      <c r="A66" s="13" t="inlineStr">
        <is>
          <t>Blocked Driveway</t>
        </is>
      </c>
      <c r="B66" s="13" t="n">
        <v>154610</v>
      </c>
      <c r="C66" s="13" t="n">
        <v>178341</v>
      </c>
      <c r="D66" s="13" t="n">
        <v>23731</v>
      </c>
      <c r="E66" s="13" t="n">
        <v>15.35</v>
      </c>
    </row>
    <row r="67">
      <c r="A67" s="14" t="inlineStr">
        <is>
          <t>Drug Activity</t>
        </is>
      </c>
      <c r="B67" s="14" t="n">
        <v>27869</v>
      </c>
      <c r="C67" s="14" t="n">
        <v>8955</v>
      </c>
      <c r="D67" s="14" t="n">
        <v>-18914</v>
      </c>
      <c r="E67" s="14" t="n">
        <v>-67.87</v>
      </c>
    </row>
    <row r="68">
      <c r="A68" s="13" t="inlineStr">
        <is>
          <t>UNSANITARY CONDITION</t>
        </is>
      </c>
      <c r="B68" s="13" t="n">
        <v>104697</v>
      </c>
      <c r="C68" s="13" t="n">
        <v>122542</v>
      </c>
      <c r="D68" s="13" t="n">
        <v>17845</v>
      </c>
      <c r="E68" s="13" t="n">
        <v>17.04</v>
      </c>
    </row>
    <row r="69">
      <c r="A69" s="14" t="inlineStr">
        <is>
          <t>Damaged Tree</t>
        </is>
      </c>
      <c r="B69" s="14" t="n">
        <v>24306</v>
      </c>
      <c r="C69" s="14" t="n">
        <v>39803</v>
      </c>
      <c r="D69" s="14" t="n">
        <v>15497</v>
      </c>
      <c r="E69" s="14" t="n">
        <v>63.76</v>
      </c>
    </row>
    <row r="70">
      <c r="A70" s="13" t="inlineStr">
        <is>
          <t>PLUMBING</t>
        </is>
      </c>
      <c r="B70" s="13" t="n">
        <v>62476</v>
      </c>
      <c r="C70" s="13" t="n">
        <v>77795</v>
      </c>
      <c r="D70" s="13" t="n">
        <v>15319</v>
      </c>
      <c r="E70" s="13" t="n">
        <v>24.52</v>
      </c>
    </row>
    <row r="71">
      <c r="A71" s="14" t="inlineStr">
        <is>
          <t>Lead</t>
        </is>
      </c>
      <c r="B71" s="14" t="n">
        <v>27623</v>
      </c>
      <c r="C71" s="14" t="n">
        <v>13653</v>
      </c>
      <c r="D71" s="14" t="n">
        <v>-13970</v>
      </c>
      <c r="E71" s="14" t="n">
        <v>-50.57</v>
      </c>
    </row>
    <row r="72">
      <c r="A72" s="13" t="inlineStr">
        <is>
          <t>Water Maintenance</t>
        </is>
      </c>
      <c r="B72" s="13" t="n">
        <v>9</v>
      </c>
      <c r="C72" s="13" t="n">
        <v>11297</v>
      </c>
      <c r="D72" s="13" t="n">
        <v>11288</v>
      </c>
      <c r="E72" s="13" t="n">
        <v>125422.22</v>
      </c>
    </row>
    <row r="73">
      <c r="A73" s="14" t="inlineStr">
        <is>
          <t>GENERAL</t>
        </is>
      </c>
      <c r="B73" s="14" t="n">
        <v>29158</v>
      </c>
      <c r="C73" s="14" t="n">
        <v>39166</v>
      </c>
      <c r="D73" s="14" t="n">
        <v>10008</v>
      </c>
      <c r="E73" s="14" t="n">
        <v>34.32</v>
      </c>
    </row>
    <row r="74">
      <c r="A74" s="13" t="inlineStr">
        <is>
          <t>Traffic Signal Condition</t>
        </is>
      </c>
      <c r="B74" s="13" t="n">
        <v>44657</v>
      </c>
      <c r="C74" s="13" t="n">
        <v>54168</v>
      </c>
      <c r="D74" s="13" t="n">
        <v>9511</v>
      </c>
      <c r="E74" s="13" t="n">
        <v>21.3</v>
      </c>
    </row>
    <row r="75">
      <c r="A75" s="14" t="inlineStr">
        <is>
          <t>WATER LEAK</t>
        </is>
      </c>
      <c r="B75" s="14" t="n">
        <v>34224</v>
      </c>
      <c r="C75" s="14" t="n">
        <v>43364</v>
      </c>
      <c r="D75" s="14" t="n">
        <v>9140</v>
      </c>
      <c r="E75" s="14" t="n">
        <v>26.71</v>
      </c>
    </row>
    <row r="76">
      <c r="A76" s="13" t="inlineStr">
        <is>
          <t>Noise - Helicopter</t>
        </is>
      </c>
      <c r="B76" s="13" t="n">
        <v>21080</v>
      </c>
      <c r="C76" s="13" t="n">
        <v>12019</v>
      </c>
      <c r="D76" s="13" t="n">
        <v>-9061</v>
      </c>
      <c r="E76" s="13" t="n">
        <v>-42.98</v>
      </c>
    </row>
  </sheetData>
  <mergeCells count="3">
    <mergeCell ref="A2:F2"/>
    <mergeCell ref="A35:F37"/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55" customWidth="1" min="7" max="7"/>
  </cols>
  <sheetData>
    <row r="1">
      <c r="A1" s="1" t="inlineStr">
        <is>
          <t>Q2 增量是否被集中来源驱动：积雪日与 UNKNOWN 渠道坑洞</t>
        </is>
      </c>
    </row>
    <row r="2">
      <c r="A2" s="2" t="inlineStr">
        <is>
          <t>积雪：complaint_type='Snow or Ice'，单位=条。坑洞集中来源：complaint_type='Street Condition' 且 descriptor='Pothole' 且 open_data_channel_type='UNKNOWN'。</t>
        </is>
      </c>
    </row>
    <row r="4">
      <c r="A4" s="10" t="inlineStr">
        <is>
          <t>W2 积雪条数(11–03)</t>
        </is>
      </c>
      <c r="B4" s="10" t="inlineStr">
        <is>
          <t>≥1000条的天数</t>
        </is>
      </c>
      <c r="C4" s="10" t="inlineStr">
        <is>
          <t>占该窗积雪</t>
        </is>
      </c>
      <c r="D4" s="10" t="inlineStr">
        <is>
          <t>最高单日</t>
        </is>
      </c>
    </row>
    <row r="5">
      <c r="A5" s="11" t="inlineStr">
        <is>
          <t>63,938</t>
        </is>
      </c>
      <c r="B5" s="11" t="inlineStr">
        <is>
          <t>16</t>
        </is>
      </c>
      <c r="C5" s="11" t="inlineStr">
        <is>
          <t>81.2%</t>
        </is>
      </c>
      <c r="D5" s="11" t="inlineStr">
        <is>
          <t>11,370</t>
        </is>
      </c>
    </row>
    <row r="6">
      <c r="A6" s="12" t="inlineStr">
        <is>
          <t>2025-11..2026-03</t>
        </is>
      </c>
      <c r="B6" s="12" t="inlineStr">
        <is>
          <t>这 16 天合计 51,948 条</t>
        </is>
      </c>
      <c r="C6" s="12" t="inlineStr">
        <is>
          <t>集中而非均匀</t>
        </is>
      </c>
      <c r="D6" s="12" t="inlineStr">
        <is>
          <t>2026-02-24 00:00:00</t>
        </is>
      </c>
    </row>
    <row r="8">
      <c r="A8" t="inlineStr">
        <is>
          <t>事实：Snow or Ice 创建量最高的日期（全样本）</t>
        </is>
      </c>
    </row>
    <row r="9">
      <c r="A9" s="4" t="inlineStr">
        <is>
          <t>日期</t>
        </is>
      </c>
      <c r="B9" s="4" t="inlineStr">
        <is>
          <t>条数</t>
        </is>
      </c>
    </row>
    <row r="10">
      <c r="A10" s="16" t="n">
        <v>46077</v>
      </c>
      <c r="B10" s="13" t="n">
        <v>11370</v>
      </c>
    </row>
    <row r="11">
      <c r="A11" s="17" t="n">
        <v>46076</v>
      </c>
      <c r="B11" s="14" t="n">
        <v>6524</v>
      </c>
    </row>
    <row r="12">
      <c r="A12" s="16" t="n">
        <v>46049</v>
      </c>
      <c r="B12" s="13" t="n">
        <v>6048</v>
      </c>
    </row>
    <row r="13">
      <c r="A13" s="17" t="n">
        <v>46048</v>
      </c>
      <c r="B13" s="14" t="n">
        <v>4805</v>
      </c>
    </row>
    <row r="14">
      <c r="A14" s="16" t="n">
        <v>46050</v>
      </c>
      <c r="B14" s="13" t="n">
        <v>4072</v>
      </c>
    </row>
    <row r="15">
      <c r="A15" s="17" t="n">
        <v>46006</v>
      </c>
      <c r="B15" s="14" t="n">
        <v>3296</v>
      </c>
    </row>
    <row r="16">
      <c r="A16" s="16" t="n">
        <v>46078</v>
      </c>
      <c r="B16" s="13" t="n">
        <v>3012</v>
      </c>
    </row>
    <row r="17">
      <c r="A17" s="17" t="n">
        <v>46051</v>
      </c>
      <c r="B17" s="14" t="n">
        <v>2522</v>
      </c>
    </row>
    <row r="18">
      <c r="A18" s="16" t="n">
        <v>46007</v>
      </c>
      <c r="B18" s="13" t="n">
        <v>1833</v>
      </c>
    </row>
    <row r="19">
      <c r="A19" s="17" t="n">
        <v>46052</v>
      </c>
      <c r="B19" s="14" t="n">
        <v>1482</v>
      </c>
    </row>
    <row r="20">
      <c r="A20" s="16" t="n">
        <v>45678</v>
      </c>
      <c r="B20" s="13" t="n">
        <v>1386</v>
      </c>
    </row>
    <row r="21">
      <c r="A21" s="17" t="n">
        <v>46047</v>
      </c>
      <c r="B21" s="14" t="n">
        <v>1315</v>
      </c>
    </row>
    <row r="23">
      <c r="A23" t="inlineStr">
        <is>
          <t>事实：街道状况 vs UNKNOWN 渠道坑洞（月）</t>
        </is>
      </c>
    </row>
    <row r="24">
      <c r="A24" s="4" t="inlineStr">
        <is>
          <t>年月</t>
        </is>
      </c>
      <c r="B24" s="4" t="inlineStr">
        <is>
          <t>Street Condition</t>
        </is>
      </c>
      <c r="C24" s="4" t="inlineStr">
        <is>
          <t>UNKNOWN坑洞</t>
        </is>
      </c>
      <c r="D24" s="4" t="inlineStr">
        <is>
          <t>街道状况其余</t>
        </is>
      </c>
      <c r="E24" s="4" t="inlineStr">
        <is>
          <t>街道状况UNKNOWN渠道</t>
        </is>
      </c>
      <c r="F24" s="4" t="inlineStr">
        <is>
          <t>街道状况具名渠道</t>
        </is>
      </c>
    </row>
    <row r="25">
      <c r="A25" s="13" t="inlineStr">
        <is>
          <t>2024-09</t>
        </is>
      </c>
      <c r="B25" s="13" t="n">
        <v>4036</v>
      </c>
      <c r="C25" s="13" t="n">
        <v>1672</v>
      </c>
      <c r="D25" s="13" t="n">
        <v>2364</v>
      </c>
      <c r="E25" s="13" t="n">
        <v>1905</v>
      </c>
      <c r="F25" s="13" t="n">
        <v>2131</v>
      </c>
    </row>
    <row r="26">
      <c r="A26" s="14" t="inlineStr">
        <is>
          <t>2024-10</t>
        </is>
      </c>
      <c r="B26" s="14" t="n">
        <v>4260</v>
      </c>
      <c r="C26" s="14" t="n">
        <v>1796</v>
      </c>
      <c r="D26" s="14" t="n">
        <v>2464</v>
      </c>
      <c r="E26" s="14" t="n">
        <v>1988</v>
      </c>
      <c r="F26" s="14" t="n">
        <v>2272</v>
      </c>
    </row>
    <row r="27">
      <c r="A27" s="13" t="inlineStr">
        <is>
          <t>2024-11</t>
        </is>
      </c>
      <c r="B27" s="13" t="n">
        <v>3630</v>
      </c>
      <c r="C27" s="13" t="n">
        <v>1823</v>
      </c>
      <c r="D27" s="13" t="n">
        <v>1807</v>
      </c>
      <c r="E27" s="13" t="n">
        <v>1956</v>
      </c>
      <c r="F27" s="13" t="n">
        <v>1674</v>
      </c>
    </row>
    <row r="28">
      <c r="A28" s="14" t="inlineStr">
        <is>
          <t>2024-12</t>
        </is>
      </c>
      <c r="B28" s="14" t="n">
        <v>5225</v>
      </c>
      <c r="C28" s="14" t="n">
        <v>3476</v>
      </c>
      <c r="D28" s="14" t="n">
        <v>1749</v>
      </c>
      <c r="E28" s="14" t="n">
        <v>3670</v>
      </c>
      <c r="F28" s="14" t="n">
        <v>1555</v>
      </c>
    </row>
    <row r="29">
      <c r="A29" s="13" t="inlineStr">
        <is>
          <t>2025-01</t>
        </is>
      </c>
      <c r="B29" s="13" t="n">
        <v>5474</v>
      </c>
      <c r="C29" s="13" t="n">
        <v>3693</v>
      </c>
      <c r="D29" s="13" t="n">
        <v>1781</v>
      </c>
      <c r="E29" s="13" t="n">
        <v>3870</v>
      </c>
      <c r="F29" s="13" t="n">
        <v>1604</v>
      </c>
    </row>
    <row r="30">
      <c r="A30" s="14" t="inlineStr">
        <is>
          <t>2025-02</t>
        </is>
      </c>
      <c r="B30" s="14" t="n">
        <v>5623</v>
      </c>
      <c r="C30" s="14" t="n">
        <v>3560</v>
      </c>
      <c r="D30" s="14" t="n">
        <v>2063</v>
      </c>
      <c r="E30" s="14" t="n">
        <v>3720</v>
      </c>
      <c r="F30" s="14" t="n">
        <v>1903</v>
      </c>
    </row>
    <row r="31">
      <c r="A31" s="13" t="inlineStr">
        <is>
          <t>2025-03</t>
        </is>
      </c>
      <c r="B31" s="13" t="n">
        <v>7035</v>
      </c>
      <c r="C31" s="13" t="n">
        <v>4313</v>
      </c>
      <c r="D31" s="13" t="n">
        <v>2722</v>
      </c>
      <c r="E31" s="13" t="n">
        <v>4530</v>
      </c>
      <c r="F31" s="13" t="n">
        <v>2505</v>
      </c>
    </row>
    <row r="32">
      <c r="A32" s="14" t="inlineStr">
        <is>
          <t>2025-04</t>
        </is>
      </c>
      <c r="B32" s="14" t="n">
        <v>6659</v>
      </c>
      <c r="C32" s="14" t="n">
        <v>3881</v>
      </c>
      <c r="D32" s="14" t="n">
        <v>2778</v>
      </c>
      <c r="E32" s="14" t="n">
        <v>4075</v>
      </c>
      <c r="F32" s="14" t="n">
        <v>2584</v>
      </c>
    </row>
    <row r="33">
      <c r="A33" s="13" t="inlineStr">
        <is>
          <t>2025-05</t>
        </is>
      </c>
      <c r="B33" s="13" t="n">
        <v>7449</v>
      </c>
      <c r="C33" s="13" t="n">
        <v>4163</v>
      </c>
      <c r="D33" s="13" t="n">
        <v>3286</v>
      </c>
      <c r="E33" s="13" t="n">
        <v>4390</v>
      </c>
      <c r="F33" s="13" t="n">
        <v>3059</v>
      </c>
    </row>
    <row r="34">
      <c r="A34" s="14" t="inlineStr">
        <is>
          <t>2025-06</t>
        </is>
      </c>
      <c r="B34" s="14" t="n">
        <v>7243</v>
      </c>
      <c r="C34" s="14" t="n">
        <v>4063</v>
      </c>
      <c r="D34" s="14" t="n">
        <v>3180</v>
      </c>
      <c r="E34" s="14" t="n">
        <v>4330</v>
      </c>
      <c r="F34" s="14" t="n">
        <v>2913</v>
      </c>
    </row>
    <row r="35">
      <c r="A35" s="13" t="inlineStr">
        <is>
          <t>2025-07</t>
        </is>
      </c>
      <c r="B35" s="13" t="n">
        <v>6138</v>
      </c>
      <c r="C35" s="13" t="n">
        <v>2724</v>
      </c>
      <c r="D35" s="13" t="n">
        <v>3414</v>
      </c>
      <c r="E35" s="13" t="n">
        <v>3093</v>
      </c>
      <c r="F35" s="13" t="n">
        <v>3045</v>
      </c>
    </row>
    <row r="36">
      <c r="A36" s="14" t="inlineStr">
        <is>
          <t>2025-08</t>
        </is>
      </c>
      <c r="B36" s="14" t="n">
        <v>5590</v>
      </c>
      <c r="C36" s="14" t="n">
        <v>2521</v>
      </c>
      <c r="D36" s="14" t="n">
        <v>3069</v>
      </c>
      <c r="E36" s="14" t="n">
        <v>2810</v>
      </c>
      <c r="F36" s="14" t="n">
        <v>2780</v>
      </c>
    </row>
    <row r="37">
      <c r="A37" s="13" t="inlineStr">
        <is>
          <t>2025-09</t>
        </is>
      </c>
      <c r="B37" s="13" t="n">
        <v>5411</v>
      </c>
      <c r="C37" s="13" t="n">
        <v>2398</v>
      </c>
      <c r="D37" s="13" t="n">
        <v>3013</v>
      </c>
      <c r="E37" s="13" t="n">
        <v>2724</v>
      </c>
      <c r="F37" s="13" t="n">
        <v>2687</v>
      </c>
    </row>
    <row r="38">
      <c r="A38" s="14" t="inlineStr">
        <is>
          <t>2025-10</t>
        </is>
      </c>
      <c r="B38" s="14" t="n">
        <v>4829</v>
      </c>
      <c r="C38" s="14" t="n">
        <v>2321</v>
      </c>
      <c r="D38" s="14" t="n">
        <v>2508</v>
      </c>
      <c r="E38" s="14" t="n">
        <v>2566</v>
      </c>
      <c r="F38" s="14" t="n">
        <v>2263</v>
      </c>
    </row>
    <row r="39">
      <c r="A39" s="13" t="inlineStr">
        <is>
          <t>2025-11</t>
        </is>
      </c>
      <c r="B39" s="13" t="n">
        <v>4049</v>
      </c>
      <c r="C39" s="13" t="n">
        <v>1891</v>
      </c>
      <c r="D39" s="13" t="n">
        <v>2158</v>
      </c>
      <c r="E39" s="13" t="n">
        <v>2076</v>
      </c>
      <c r="F39" s="13" t="n">
        <v>1973</v>
      </c>
    </row>
    <row r="40">
      <c r="A40" s="14" t="inlineStr">
        <is>
          <t>2025-12</t>
        </is>
      </c>
      <c r="B40" s="14" t="n">
        <v>4830</v>
      </c>
      <c r="C40" s="14" t="n">
        <v>2910</v>
      </c>
      <c r="D40" s="14" t="n">
        <v>1920</v>
      </c>
      <c r="E40" s="14" t="n">
        <v>3112</v>
      </c>
      <c r="F40" s="14" t="n">
        <v>1718</v>
      </c>
    </row>
    <row r="41">
      <c r="A41" s="13" t="inlineStr">
        <is>
          <t>2026-01</t>
        </is>
      </c>
      <c r="B41" s="13" t="n">
        <v>5141</v>
      </c>
      <c r="C41" s="13" t="n">
        <v>3218</v>
      </c>
      <c r="D41" s="13" t="n">
        <v>1923</v>
      </c>
      <c r="E41" s="13" t="n">
        <v>3395</v>
      </c>
      <c r="F41" s="13" t="n">
        <v>1746</v>
      </c>
    </row>
    <row r="42">
      <c r="A42" s="14" t="inlineStr">
        <is>
          <t>2026-02</t>
        </is>
      </c>
      <c r="B42" s="14" t="n">
        <v>6913</v>
      </c>
      <c r="C42" s="14" t="n">
        <v>4618</v>
      </c>
      <c r="D42" s="14" t="n">
        <v>2295</v>
      </c>
      <c r="E42" s="14" t="n">
        <v>4791</v>
      </c>
      <c r="F42" s="14" t="n">
        <v>2122</v>
      </c>
    </row>
    <row r="43">
      <c r="A43" s="13" t="inlineStr">
        <is>
          <t>2026-03</t>
        </is>
      </c>
      <c r="B43" s="13" t="n">
        <v>28690</v>
      </c>
      <c r="C43" s="13" t="n">
        <v>22790</v>
      </c>
      <c r="D43" s="13" t="n">
        <v>5900</v>
      </c>
      <c r="E43" s="13" t="n">
        <v>23321</v>
      </c>
      <c r="F43" s="13" t="n">
        <v>5369</v>
      </c>
    </row>
    <row r="44">
      <c r="A44" s="14" t="inlineStr">
        <is>
          <t>2026-04</t>
        </is>
      </c>
      <c r="B44" s="14" t="n">
        <v>15850</v>
      </c>
      <c r="C44" s="14" t="n">
        <v>11421</v>
      </c>
      <c r="D44" s="14" t="n">
        <v>4429</v>
      </c>
      <c r="E44" s="14" t="n">
        <v>11876</v>
      </c>
      <c r="F44" s="14" t="n">
        <v>3974</v>
      </c>
    </row>
    <row r="45">
      <c r="A45" s="13" t="inlineStr">
        <is>
          <t>2026-05</t>
        </is>
      </c>
      <c r="B45" s="13" t="n">
        <v>11777</v>
      </c>
      <c r="C45" s="13" t="n">
        <v>7150</v>
      </c>
      <c r="D45" s="13" t="n">
        <v>4627</v>
      </c>
      <c r="E45" s="13" t="n">
        <v>7534</v>
      </c>
      <c r="F45" s="13" t="n">
        <v>4243</v>
      </c>
    </row>
    <row r="46">
      <c r="A46" s="14" t="inlineStr">
        <is>
          <t>2026-06</t>
        </is>
      </c>
      <c r="B46" s="14" t="n">
        <v>10852</v>
      </c>
      <c r="C46" s="14" t="n">
        <v>6077</v>
      </c>
      <c r="D46" s="14" t="n">
        <v>4775</v>
      </c>
      <c r="E46" s="14" t="n">
        <v>6573</v>
      </c>
      <c r="F46" s="14" t="n">
        <v>4279</v>
      </c>
    </row>
    <row r="47">
      <c r="A47" s="13" t="inlineStr">
        <is>
          <t>2026-07</t>
        </is>
      </c>
      <c r="B47" s="13" t="n">
        <v>10145</v>
      </c>
      <c r="C47" s="13" t="n">
        <v>4661</v>
      </c>
      <c r="D47" s="13" t="n">
        <v>5484</v>
      </c>
      <c r="E47" s="13" t="n">
        <v>5373</v>
      </c>
      <c r="F47" s="13" t="n">
        <v>4772</v>
      </c>
    </row>
    <row r="48">
      <c r="A48" s="14" t="inlineStr">
        <is>
          <t>2026-08</t>
        </is>
      </c>
      <c r="B48" s="14" t="n">
        <v>9552</v>
      </c>
      <c r="C48" s="14" t="n">
        <v>4293</v>
      </c>
      <c r="D48" s="14" t="n">
        <v>5259</v>
      </c>
      <c r="E48" s="14" t="n">
        <v>4928</v>
      </c>
      <c r="F48" s="14" t="n">
        <v>4624</v>
      </c>
    </row>
    <row r="49">
      <c r="A49" s="13" t="inlineStr">
        <is>
          <t>2026-09</t>
        </is>
      </c>
      <c r="B49" s="13" t="n">
        <v>1267</v>
      </c>
      <c r="C49" s="13" t="n">
        <v>596</v>
      </c>
      <c r="D49" s="13" t="n">
        <v>671</v>
      </c>
      <c r="E49" s="13" t="n">
        <v>675</v>
      </c>
      <c r="F49" s="13" t="n">
        <v>592</v>
      </c>
    </row>
    <row r="68">
      <c r="A68" t="inlineStr">
        <is>
          <t>事实：UNKNOWN 坑洞关闭说明中含 duplicate 的比例（文案匹配，非官方重复键）</t>
        </is>
      </c>
    </row>
    <row r="69">
      <c r="A69" s="4" t="inlineStr">
        <is>
          <t>年月</t>
        </is>
      </c>
      <c r="B69" s="4" t="inlineStr">
        <is>
          <t>UNKNOWN坑洞条数</t>
        </is>
      </c>
      <c r="C69" s="4" t="inlineStr">
        <is>
          <t>说明含duplicate</t>
        </is>
      </c>
      <c r="D69" s="4" t="inlineStr">
        <is>
          <t>占比%</t>
        </is>
      </c>
    </row>
    <row r="70">
      <c r="A70" s="13" t="inlineStr">
        <is>
          <t>2024-09</t>
        </is>
      </c>
      <c r="B70" s="13" t="n">
        <v>1672</v>
      </c>
      <c r="C70" s="13" t="n">
        <v>181</v>
      </c>
      <c r="D70" s="13" t="n">
        <v>10.8</v>
      </c>
    </row>
    <row r="71">
      <c r="A71" s="14" t="inlineStr">
        <is>
          <t>2024-10</t>
        </is>
      </c>
      <c r="B71" s="14" t="n">
        <v>1796</v>
      </c>
      <c r="C71" s="14" t="n">
        <v>202</v>
      </c>
      <c r="D71" s="14" t="n">
        <v>11.2</v>
      </c>
    </row>
    <row r="72">
      <c r="A72" s="13" t="inlineStr">
        <is>
          <t>2024-11</t>
        </is>
      </c>
      <c r="B72" s="13" t="n">
        <v>1823</v>
      </c>
      <c r="C72" s="13" t="n">
        <v>74</v>
      </c>
      <c r="D72" s="13" t="n">
        <v>4.1</v>
      </c>
    </row>
    <row r="73">
      <c r="A73" s="14" t="inlineStr">
        <is>
          <t>2024-12</t>
        </is>
      </c>
      <c r="B73" s="14" t="n">
        <v>3476</v>
      </c>
      <c r="C73" s="14" t="n">
        <v>105</v>
      </c>
      <c r="D73" s="14" t="n">
        <v>3</v>
      </c>
    </row>
    <row r="74">
      <c r="A74" s="13" t="inlineStr">
        <is>
          <t>2025-01</t>
        </is>
      </c>
      <c r="B74" s="13" t="n">
        <v>3693</v>
      </c>
      <c r="C74" s="13" t="n">
        <v>127</v>
      </c>
      <c r="D74" s="13" t="n">
        <v>3.4</v>
      </c>
    </row>
    <row r="75">
      <c r="A75" s="14" t="inlineStr">
        <is>
          <t>2025-02</t>
        </is>
      </c>
      <c r="B75" s="14" t="n">
        <v>3560</v>
      </c>
      <c r="C75" s="14" t="n">
        <v>270</v>
      </c>
      <c r="D75" s="14" t="n">
        <v>7.6</v>
      </c>
    </row>
    <row r="76">
      <c r="A76" s="13" t="inlineStr">
        <is>
          <t>2025-03</t>
        </is>
      </c>
      <c r="B76" s="13" t="n">
        <v>4313</v>
      </c>
      <c r="C76" s="13" t="n">
        <v>325</v>
      </c>
      <c r="D76" s="13" t="n">
        <v>7.5</v>
      </c>
    </row>
    <row r="77">
      <c r="A77" s="14" t="inlineStr">
        <is>
          <t>2025-04</t>
        </is>
      </c>
      <c r="B77" s="14" t="n">
        <v>3881</v>
      </c>
      <c r="C77" s="14" t="n">
        <v>401</v>
      </c>
      <c r="D77" s="14" t="n">
        <v>10.3</v>
      </c>
    </row>
    <row r="78">
      <c r="A78" s="13" t="inlineStr">
        <is>
          <t>2025-05</t>
        </is>
      </c>
      <c r="B78" s="13" t="n">
        <v>4163</v>
      </c>
      <c r="C78" s="13" t="n">
        <v>441</v>
      </c>
      <c r="D78" s="13" t="n">
        <v>10.6</v>
      </c>
    </row>
    <row r="79">
      <c r="A79" s="14" t="inlineStr">
        <is>
          <t>2025-06</t>
        </is>
      </c>
      <c r="B79" s="14" t="n">
        <v>4063</v>
      </c>
      <c r="C79" s="14" t="n">
        <v>453</v>
      </c>
      <c r="D79" s="14" t="n">
        <v>11.1</v>
      </c>
    </row>
    <row r="80">
      <c r="A80" s="13" t="inlineStr">
        <is>
          <t>2025-07</t>
        </is>
      </c>
      <c r="B80" s="13" t="n">
        <v>2724</v>
      </c>
      <c r="C80" s="13" t="n">
        <v>280</v>
      </c>
      <c r="D80" s="13" t="n">
        <v>10.3</v>
      </c>
    </row>
    <row r="81">
      <c r="A81" s="14" t="inlineStr">
        <is>
          <t>2025-08</t>
        </is>
      </c>
      <c r="B81" s="14" t="n">
        <v>2521</v>
      </c>
      <c r="C81" s="14" t="n">
        <v>237</v>
      </c>
      <c r="D81" s="14" t="n">
        <v>9.4</v>
      </c>
    </row>
    <row r="82">
      <c r="A82" s="13" t="inlineStr">
        <is>
          <t>2025-09</t>
        </is>
      </c>
      <c r="B82" s="13" t="n">
        <v>2398</v>
      </c>
      <c r="C82" s="13" t="n">
        <v>265</v>
      </c>
      <c r="D82" s="13" t="n">
        <v>11.1</v>
      </c>
    </row>
    <row r="83">
      <c r="A83" s="14" t="inlineStr">
        <is>
          <t>2025-10</t>
        </is>
      </c>
      <c r="B83" s="14" t="n">
        <v>2321</v>
      </c>
      <c r="C83" s="14" t="n">
        <v>201</v>
      </c>
      <c r="D83" s="14" t="n">
        <v>8.699999999999999</v>
      </c>
    </row>
    <row r="84">
      <c r="A84" s="13" t="inlineStr">
        <is>
          <t>2025-11</t>
        </is>
      </c>
      <c r="B84" s="13" t="n">
        <v>1891</v>
      </c>
      <c r="C84" s="13" t="n">
        <v>188</v>
      </c>
      <c r="D84" s="13" t="n">
        <v>9.9</v>
      </c>
    </row>
    <row r="85">
      <c r="A85" s="14" t="inlineStr">
        <is>
          <t>2025-12</t>
        </is>
      </c>
      <c r="B85" s="14" t="n">
        <v>2910</v>
      </c>
      <c r="C85" s="14" t="n">
        <v>209</v>
      </c>
      <c r="D85" s="14" t="n">
        <v>7.2</v>
      </c>
    </row>
    <row r="86">
      <c r="A86" s="13" t="inlineStr">
        <is>
          <t>2026-01</t>
        </is>
      </c>
      <c r="B86" s="13" t="n">
        <v>3218</v>
      </c>
      <c r="C86" s="13" t="n">
        <v>468</v>
      </c>
      <c r="D86" s="13" t="n">
        <v>14.5</v>
      </c>
    </row>
    <row r="87">
      <c r="A87" s="14" t="inlineStr">
        <is>
          <t>2026-02</t>
        </is>
      </c>
      <c r="B87" s="14" t="n">
        <v>4618</v>
      </c>
      <c r="C87" s="14" t="n">
        <v>777</v>
      </c>
      <c r="D87" s="14" t="n">
        <v>16.8</v>
      </c>
    </row>
    <row r="88">
      <c r="A88" s="13" t="inlineStr">
        <is>
          <t>2026-03</t>
        </is>
      </c>
      <c r="B88" s="13" t="n">
        <v>22790</v>
      </c>
      <c r="C88" s="13" t="n">
        <v>9786</v>
      </c>
      <c r="D88" s="13" t="n">
        <v>42.9</v>
      </c>
    </row>
    <row r="89">
      <c r="A89" s="14" t="inlineStr">
        <is>
          <t>2026-04</t>
        </is>
      </c>
      <c r="B89" s="14" t="n">
        <v>11421</v>
      </c>
      <c r="C89" s="14" t="n">
        <v>4826</v>
      </c>
      <c r="D89" s="14" t="n">
        <v>42.3</v>
      </c>
    </row>
    <row r="90">
      <c r="A90" s="13" t="inlineStr">
        <is>
          <t>2026-05</t>
        </is>
      </c>
      <c r="B90" s="13" t="n">
        <v>7150</v>
      </c>
      <c r="C90" s="13" t="n">
        <v>1451</v>
      </c>
      <c r="D90" s="13" t="n">
        <v>20.3</v>
      </c>
    </row>
    <row r="91">
      <c r="A91" s="14" t="inlineStr">
        <is>
          <t>2026-06</t>
        </is>
      </c>
      <c r="B91" s="14" t="n">
        <v>6077</v>
      </c>
      <c r="C91" s="14" t="n">
        <v>687</v>
      </c>
      <c r="D91" s="14" t="n">
        <v>11.3</v>
      </c>
    </row>
    <row r="92">
      <c r="A92" s="13" t="inlineStr">
        <is>
          <t>2026-07</t>
        </is>
      </c>
      <c r="B92" s="13" t="n">
        <v>4661</v>
      </c>
      <c r="C92" s="13" t="n">
        <v>595</v>
      </c>
      <c r="D92" s="13" t="n">
        <v>12.8</v>
      </c>
    </row>
    <row r="93">
      <c r="A93" s="14" t="inlineStr">
        <is>
          <t>2026-08</t>
        </is>
      </c>
      <c r="B93" s="14" t="n">
        <v>4293</v>
      </c>
      <c r="C93" s="14" t="n">
        <v>589</v>
      </c>
      <c r="D93" s="14" t="n">
        <v>13.7</v>
      </c>
    </row>
    <row r="94">
      <c r="A94" s="13" t="inlineStr">
        <is>
          <t>2026-09</t>
        </is>
      </c>
      <c r="B94" s="13" t="n">
        <v>596</v>
      </c>
      <c r="C94" s="13" t="n">
        <v>85</v>
      </c>
      <c r="D94" s="13" t="n">
        <v>14.3</v>
      </c>
    </row>
    <row r="97">
      <c r="A97" s="3" t="inlineStr">
        <is>
          <t>推断</t>
        </is>
      </c>
    </row>
    <row r="98">
      <c r="A98" s="15" t="inlineStr">
        <is>
          <t>2026-03 Street Condition 升至 28,690 条，其中 UNKNOWN 渠道 Pothole 为 22,790 条，且该月全部 Pothole 记录渠道均为 UNKNOWN。具名渠道（ONLINE/PHONE 等）的街道状况也上升，但幅度远小于 UNKNOWN 坑洞。2026-03 UNKNOWN 坑洞关闭说明中约 43% 含 duplicate，说明条数明显大于“待处理的独立坑洞事件”。积雪增量同样高度日度集中：第二冬 16 个高量日贡献约八成积雪单。因此把全市 311 “变忙了”写成普遍运营压力，会被这两类集中来源放大。</t>
        </is>
      </c>
    </row>
    <row r="99"/>
    <row r="100"/>
    <row r="102">
      <c r="A102" s="18" t="inlineStr">
        <is>
          <t>未验证解释</t>
        </is>
      </c>
    </row>
    <row r="103">
      <c r="A103" s="19" t="inlineStr">
        <is>
          <t>积雪单日高峰是否对应降雪过程、UNKNOWN 坑洞是否来自 DOT 巡检/批量导入、duplicate 文案是否等于同一地理坑洞，本数据没有天气表、巡检计划或官方重复组 ID，不能验证。</t>
        </is>
      </c>
    </row>
    <row r="104"/>
  </sheetData>
  <mergeCells count="4">
    <mergeCell ref="A103:G104"/>
    <mergeCell ref="A2:G2"/>
    <mergeCell ref="A98:G100"/>
    <mergeCell ref="A1:G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0" customWidth="1" min="7" max="7"/>
  </cols>
  <sheetData>
    <row r="1">
      <c r="A1" s="1" t="inlineStr">
        <is>
          <t>Q3 HEAT/HOT WATER：跨冬对照、楼宇数与重复文案</t>
        </is>
      </c>
    </row>
    <row r="2">
      <c r="A2" s="2" t="inlineStr">
        <is>
          <t>筛选：complaint_type='HEAT/HOT WATER'。供暖季窗口为项目定义的创建年月 10–04，不是法规供暖季证明。BBL 空值/0 不计入楼宇数。单位：条或去重 BBL。</t>
        </is>
      </c>
    </row>
    <row r="4">
      <c r="A4" s="10" t="inlineStr">
        <is>
          <t>W1 条数</t>
        </is>
      </c>
      <c r="B4" s="10" t="inlineStr">
        <is>
          <t>W2 条数</t>
        </is>
      </c>
      <c r="C4" s="10" t="inlineStr">
        <is>
          <t>W1 去重BBL</t>
        </is>
      </c>
      <c r="D4" s="10" t="inlineStr">
        <is>
          <t>W2 去重BBL</t>
        </is>
      </c>
      <c r="E4" s="10" t="inlineStr">
        <is>
          <t>W2 说明含duplicate</t>
        </is>
      </c>
    </row>
    <row r="5">
      <c r="A5" s="11" t="inlineStr">
        <is>
          <t>272,964</t>
        </is>
      </c>
      <c r="B5" s="11" t="inlineStr">
        <is>
          <t>332,001</t>
        </is>
      </c>
      <c r="C5" s="11" t="inlineStr">
        <is>
          <t>32,927</t>
        </is>
      </c>
      <c r="D5" s="11" t="inlineStr">
        <is>
          <t>37,594</t>
        </is>
      </c>
      <c r="E5" s="11" t="inlineStr">
        <is>
          <t>31.1%</t>
        </is>
      </c>
    </row>
    <row r="6">
      <c r="A6" s="12" t="inlineStr">
        <is>
          <t>W1_2024-10_to_2025-04</t>
        </is>
      </c>
      <c r="B6" s="12" t="inlineStr">
        <is>
          <t>W2_2025-10_to_2026-04</t>
        </is>
      </c>
      <c r="C6" s="12" t="inlineStr">
        <is>
          <t>非空有效 BBL</t>
        </is>
      </c>
      <c r="D6" s="12" t="inlineStr">
        <is>
          <t>楼宇数也增加</t>
        </is>
      </c>
      <c r="E6" s="12" t="inlineStr">
        <is>
          <t>103,200 条</t>
        </is>
      </c>
    </row>
    <row r="8">
      <c r="A8" t="inlineStr">
        <is>
          <t>事实：两个供暖季对照</t>
        </is>
      </c>
    </row>
    <row r="9">
      <c r="A9" s="4" t="inlineStr">
        <is>
          <t>供暖季窗口</t>
        </is>
      </c>
      <c r="B9" s="4" t="inlineStr">
        <is>
          <t>条数</t>
        </is>
      </c>
      <c r="C9" s="4" t="inlineStr">
        <is>
          <t>去重BBL</t>
        </is>
      </c>
      <c r="D9" s="4" t="inlineStr">
        <is>
          <t>去重地址文本</t>
        </is>
      </c>
      <c r="E9" s="4" t="inlineStr">
        <is>
          <t>说明含duplicate</t>
        </is>
      </c>
      <c r="F9" s="4" t="inlineStr">
        <is>
          <t>duplicate文案%</t>
        </is>
      </c>
    </row>
    <row r="10">
      <c r="A10" s="13" t="inlineStr">
        <is>
          <t>W1_2024-10_to_2025-04</t>
        </is>
      </c>
      <c r="B10" s="13" t="n">
        <v>272964</v>
      </c>
      <c r="C10" s="13" t="n">
        <v>32927</v>
      </c>
      <c r="D10" s="13" t="n">
        <v>35398</v>
      </c>
      <c r="E10" s="13" t="n">
        <v>77370</v>
      </c>
      <c r="F10" s="13" t="n">
        <v>28.3</v>
      </c>
    </row>
    <row r="11">
      <c r="A11" s="14" t="inlineStr">
        <is>
          <t>W2_2025-10_to_2026-04</t>
        </is>
      </c>
      <c r="B11" s="14" t="n">
        <v>332001</v>
      </c>
      <c r="C11" s="14" t="n">
        <v>37594</v>
      </c>
      <c r="D11" s="14" t="n">
        <v>40322</v>
      </c>
      <c r="E11" s="14" t="n">
        <v>103200</v>
      </c>
      <c r="F11" s="14" t="n">
        <v>31.1</v>
      </c>
    </row>
    <row r="13">
      <c r="A13" t="inlineStr">
        <is>
          <t>稳健性：剔除 W2 报修量最高的 10 个 BBL 后，两个冬天的条数仍上升</t>
        </is>
      </c>
    </row>
    <row r="14">
      <c r="A14" s="4" t="inlineStr">
        <is>
          <t>季</t>
        </is>
      </c>
      <c r="B14" s="4" t="inlineStr">
        <is>
          <t>全部条数</t>
        </is>
      </c>
      <c r="C14" s="4" t="inlineStr">
        <is>
          <t>落入W2前10 BBL</t>
        </is>
      </c>
      <c r="D14" s="4" t="inlineStr">
        <is>
          <t>剔除后条数</t>
        </is>
      </c>
    </row>
    <row r="15">
      <c r="A15" s="13" t="inlineStr">
        <is>
          <t>W1</t>
        </is>
      </c>
      <c r="B15" s="13" t="n">
        <v>272964</v>
      </c>
      <c r="C15" s="13" t="n">
        <v>9605</v>
      </c>
      <c r="D15" s="13" t="n">
        <v>263359</v>
      </c>
    </row>
    <row r="16">
      <c r="A16" s="14" t="inlineStr">
        <is>
          <t>W2</t>
        </is>
      </c>
      <c r="B16" s="14" t="n">
        <v>332001</v>
      </c>
      <c r="C16" s="14" t="n">
        <v>10813</v>
      </c>
      <c r="D16" s="14" t="n">
        <v>321188</v>
      </c>
    </row>
    <row r="18">
      <c r="A18" t="inlineStr">
        <is>
          <t>W2 条数最高的 BBL（说明高度右偏，中位楼宇只有约 2 条，见中间汇总）</t>
        </is>
      </c>
    </row>
    <row r="19">
      <c r="A19" s="4" t="inlineStr">
        <is>
          <t>BBL</t>
        </is>
      </c>
      <c r="B19" s="4" t="inlineStr">
        <is>
          <t>地址</t>
        </is>
      </c>
      <c r="C19" s="4" t="inlineStr">
        <is>
          <t>行政区</t>
        </is>
      </c>
      <c r="D19" s="4" t="inlineStr">
        <is>
          <t>条数</t>
        </is>
      </c>
    </row>
    <row r="20">
      <c r="A20" s="13" t="inlineStr">
        <is>
          <t>2046990051</t>
        </is>
      </c>
      <c r="B20" s="13" t="inlineStr">
        <is>
          <t>1040B EAST  217 STREET</t>
        </is>
      </c>
      <c r="C20" s="13" t="inlineStr">
        <is>
          <t>BRONX</t>
        </is>
      </c>
      <c r="D20" s="13" t="n">
        <v>2384</v>
      </c>
    </row>
    <row r="21">
      <c r="A21" s="14" t="inlineStr">
        <is>
          <t>2033150044</t>
        </is>
      </c>
      <c r="B21" s="14" t="inlineStr">
        <is>
          <t>2800 CRESTON AVENUE</t>
        </is>
      </c>
      <c r="C21" s="14" t="inlineStr">
        <is>
          <t>BRONX</t>
        </is>
      </c>
      <c r="D21" s="14" t="n">
        <v>1727</v>
      </c>
    </row>
    <row r="22">
      <c r="A22" s="13" t="inlineStr">
        <is>
          <t>2051150024</t>
        </is>
      </c>
      <c r="B22" s="13" t="inlineStr">
        <is>
          <t>707 EAST  242 STREET</t>
        </is>
      </c>
      <c r="C22" s="13" t="inlineStr">
        <is>
          <t>BRONX</t>
        </is>
      </c>
      <c r="D22" s="13" t="n">
        <v>1217</v>
      </c>
    </row>
    <row r="23">
      <c r="A23" s="14" t="inlineStr">
        <is>
          <t>1018260013</t>
        </is>
      </c>
      <c r="B23" s="14" t="inlineStr">
        <is>
          <t>225 CENTRAL PARK NORTH</t>
        </is>
      </c>
      <c r="C23" s="14" t="inlineStr">
        <is>
          <t>MANHATTAN</t>
        </is>
      </c>
      <c r="D23" s="14" t="n">
        <v>1141</v>
      </c>
    </row>
    <row r="24">
      <c r="A24" s="13" t="inlineStr">
        <is>
          <t>1021700112</t>
        </is>
      </c>
      <c r="B24" s="13" t="inlineStr">
        <is>
          <t>25 HILLSIDE AVENUE</t>
        </is>
      </c>
      <c r="C24" s="13" t="inlineStr">
        <is>
          <t>MANHATTAN</t>
        </is>
      </c>
      <c r="D24" s="13" t="n">
        <v>940</v>
      </c>
    </row>
    <row r="25">
      <c r="A25" s="14" t="inlineStr">
        <is>
          <t>2042850005</t>
        </is>
      </c>
      <c r="B25" s="14" t="inlineStr">
        <is>
          <t>2040 BRONXDALE AVENUE</t>
        </is>
      </c>
      <c r="C25" s="14" t="inlineStr">
        <is>
          <t>BRONX</t>
        </is>
      </c>
      <c r="D25" s="14" t="n">
        <v>722</v>
      </c>
    </row>
    <row r="26">
      <c r="A26" s="13" t="inlineStr">
        <is>
          <t>2030570011</t>
        </is>
      </c>
      <c r="B26" s="13" t="inlineStr">
        <is>
          <t>2410 WASHINGTON AVENUE</t>
        </is>
      </c>
      <c r="C26" s="13" t="inlineStr">
        <is>
          <t>BRONX</t>
        </is>
      </c>
      <c r="D26" s="13" t="n">
        <v>680</v>
      </c>
    </row>
    <row r="27">
      <c r="A27" s="14" t="inlineStr">
        <is>
          <t>3058700037</t>
        </is>
      </c>
      <c r="B27" s="14" t="inlineStr">
        <is>
          <t>6902 RIDGE BOULEVARD</t>
        </is>
      </c>
      <c r="C27" s="14" t="inlineStr">
        <is>
          <t>BROOKLYN</t>
        </is>
      </c>
      <c r="D27" s="14" t="n">
        <v>655</v>
      </c>
    </row>
    <row r="28">
      <c r="A28" s="13" t="inlineStr">
        <is>
          <t>2032580190</t>
        </is>
      </c>
      <c r="B28" s="13" t="inlineStr">
        <is>
          <t>3605 SEDGWICK AVENUE</t>
        </is>
      </c>
      <c r="C28" s="13" t="inlineStr">
        <is>
          <t>BRONX</t>
        </is>
      </c>
      <c r="D28" s="13" t="n">
        <v>643</v>
      </c>
    </row>
    <row r="29">
      <c r="A29" s="14" t="inlineStr">
        <is>
          <t>1012350042</t>
        </is>
      </c>
      <c r="B29" s="14" t="inlineStr">
        <is>
          <t>2380 BROADWAY</t>
        </is>
      </c>
      <c r="C29" s="14" t="inlineStr">
        <is>
          <t>MANHATTAN</t>
        </is>
      </c>
      <c r="D29" s="14" t="n">
        <v>641</v>
      </c>
    </row>
    <row r="30">
      <c r="A30" s="13" t="inlineStr">
        <is>
          <t>3088180043</t>
        </is>
      </c>
      <c r="B30" s="13" t="inlineStr">
        <is>
          <t>2265 GERRITSEN AVENUE</t>
        </is>
      </c>
      <c r="C30" s="13" t="inlineStr">
        <is>
          <t>BROOKLYN</t>
        </is>
      </c>
      <c r="D30" s="13" t="n">
        <v>571</v>
      </c>
    </row>
    <row r="31">
      <c r="A31" s="14" t="inlineStr">
        <is>
          <t>3042180010</t>
        </is>
      </c>
      <c r="B31" s="14" t="inlineStr">
        <is>
          <t>1120 GLENMORE AVENUE</t>
        </is>
      </c>
      <c r="C31" s="14" t="inlineStr">
        <is>
          <t>BROOKLYN</t>
        </is>
      </c>
      <c r="D31" s="14" t="n">
        <v>542</v>
      </c>
    </row>
    <row r="32">
      <c r="A32" s="13" t="inlineStr">
        <is>
          <t>1004290047</t>
        </is>
      </c>
      <c r="B32" s="13" t="inlineStr">
        <is>
          <t>110 EAST    1 STREET</t>
        </is>
      </c>
      <c r="C32" s="13" t="inlineStr">
        <is>
          <t>MANHATTAN</t>
        </is>
      </c>
      <c r="D32" s="13" t="n">
        <v>510</v>
      </c>
    </row>
    <row r="33">
      <c r="A33" s="14" t="inlineStr">
        <is>
          <t>4012640001</t>
        </is>
      </c>
      <c r="B33" s="14" t="inlineStr">
        <is>
          <t>77-10 34 AVENUE</t>
        </is>
      </c>
      <c r="C33" s="14" t="inlineStr">
        <is>
          <t>QUEENS</t>
        </is>
      </c>
      <c r="D33" s="14" t="n">
        <v>507</v>
      </c>
    </row>
    <row r="34">
      <c r="A34" s="13" t="inlineStr">
        <is>
          <t>2025240021</t>
        </is>
      </c>
      <c r="B34" s="13" t="inlineStr">
        <is>
          <t>917 OGDEN AVENUE</t>
        </is>
      </c>
      <c r="C34" s="13" t="inlineStr">
        <is>
          <t>BRONX</t>
        </is>
      </c>
      <c r="D34" s="13" t="n">
        <v>500</v>
      </c>
    </row>
    <row r="37">
      <c r="A37" t="inlineStr">
        <is>
          <t>月度 HEAT/HOT WATER 创建条数</t>
        </is>
      </c>
    </row>
    <row r="38">
      <c r="A38" s="4" t="inlineStr">
        <is>
          <t>年月</t>
        </is>
      </c>
      <c r="B38" s="4" t="inlineStr">
        <is>
          <t>HEAT/HOT WATER</t>
        </is>
      </c>
    </row>
    <row r="39">
      <c r="A39" s="13" t="inlineStr">
        <is>
          <t>2024-09</t>
        </is>
      </c>
      <c r="B39" s="13" t="n">
        <v>2696</v>
      </c>
    </row>
    <row r="40">
      <c r="A40" s="14" t="inlineStr">
        <is>
          <t>2024-10</t>
        </is>
      </c>
      <c r="B40" s="14" t="n">
        <v>19650</v>
      </c>
    </row>
    <row r="41">
      <c r="A41" s="13" t="inlineStr">
        <is>
          <t>2024-11</t>
        </is>
      </c>
      <c r="B41" s="13" t="n">
        <v>39368</v>
      </c>
    </row>
    <row r="42">
      <c r="A42" s="14" t="inlineStr">
        <is>
          <t>2024-12</t>
        </is>
      </c>
      <c r="B42" s="14" t="n">
        <v>62918</v>
      </c>
    </row>
    <row r="43">
      <c r="A43" s="13" t="inlineStr">
        <is>
          <t>2025-01</t>
        </is>
      </c>
      <c r="B43" s="13" t="n">
        <v>67229</v>
      </c>
    </row>
    <row r="44">
      <c r="A44" s="14" t="inlineStr">
        <is>
          <t>2025-02</t>
        </is>
      </c>
      <c r="B44" s="14" t="n">
        <v>40699</v>
      </c>
    </row>
    <row r="45">
      <c r="A45" s="13" t="inlineStr">
        <is>
          <t>2025-03</t>
        </is>
      </c>
      <c r="B45" s="13" t="n">
        <v>26276</v>
      </c>
    </row>
    <row r="46">
      <c r="A46" s="14" t="inlineStr">
        <is>
          <t>2025-04</t>
        </is>
      </c>
      <c r="B46" s="14" t="n">
        <v>16824</v>
      </c>
    </row>
    <row r="47">
      <c r="A47" s="13" t="inlineStr">
        <is>
          <t>2025-05</t>
        </is>
      </c>
      <c r="B47" s="13" t="n">
        <v>7463</v>
      </c>
    </row>
    <row r="48">
      <c r="A48" s="14" t="inlineStr">
        <is>
          <t>2025-06</t>
        </is>
      </c>
      <c r="B48" s="14" t="n">
        <v>4217</v>
      </c>
    </row>
    <row r="49">
      <c r="A49" s="13" t="inlineStr">
        <is>
          <t>2025-07</t>
        </is>
      </c>
      <c r="B49" s="13" t="n">
        <v>3008</v>
      </c>
    </row>
    <row r="50">
      <c r="A50" s="14" t="inlineStr">
        <is>
          <t>2025-08</t>
        </is>
      </c>
      <c r="B50" s="14" t="n">
        <v>2929</v>
      </c>
    </row>
    <row r="51">
      <c r="A51" s="13" t="inlineStr">
        <is>
          <t>2025-09</t>
        </is>
      </c>
      <c r="B51" s="13" t="n">
        <v>3595</v>
      </c>
    </row>
    <row r="52">
      <c r="A52" s="14" t="inlineStr">
        <is>
          <t>2025-10</t>
        </is>
      </c>
      <c r="B52" s="14" t="n">
        <v>31858</v>
      </c>
    </row>
    <row r="53">
      <c r="A53" s="13" t="inlineStr">
        <is>
          <t>2025-11</t>
        </is>
      </c>
      <c r="B53" s="13" t="n">
        <v>47946</v>
      </c>
    </row>
    <row r="54">
      <c r="A54" s="14" t="inlineStr">
        <is>
          <t>2025-12</t>
        </is>
      </c>
      <c r="B54" s="14" t="n">
        <v>63902</v>
      </c>
    </row>
    <row r="55">
      <c r="A55" s="13" t="inlineStr">
        <is>
          <t>2026-01</t>
        </is>
      </c>
      <c r="B55" s="13" t="n">
        <v>79928</v>
      </c>
    </row>
    <row r="56">
      <c r="A56" s="14" t="inlineStr">
        <is>
          <t>2026-02</t>
        </is>
      </c>
      <c r="B56" s="14" t="n">
        <v>59031</v>
      </c>
    </row>
    <row r="57">
      <c r="A57" s="13" t="inlineStr">
        <is>
          <t>2026-03</t>
        </is>
      </c>
      <c r="B57" s="13" t="n">
        <v>29783</v>
      </c>
    </row>
    <row r="58">
      <c r="A58" s="14" t="inlineStr">
        <is>
          <t>2026-04</t>
        </is>
      </c>
      <c r="B58" s="14" t="n">
        <v>19553</v>
      </c>
    </row>
    <row r="59">
      <c r="A59" s="13" t="inlineStr">
        <is>
          <t>2026-05</t>
        </is>
      </c>
      <c r="B59" s="13" t="n">
        <v>9823</v>
      </c>
    </row>
    <row r="60">
      <c r="A60" s="14" t="inlineStr">
        <is>
          <t>2026-06</t>
        </is>
      </c>
      <c r="B60" s="14" t="n">
        <v>4388</v>
      </c>
    </row>
    <row r="61">
      <c r="A61" s="13" t="inlineStr">
        <is>
          <t>2026-07</t>
        </is>
      </c>
      <c r="B61" s="13" t="n">
        <v>4331</v>
      </c>
    </row>
    <row r="62">
      <c r="A62" s="14" t="inlineStr">
        <is>
          <t>2026-08</t>
        </is>
      </c>
      <c r="B62" s="14" t="n">
        <v>3682</v>
      </c>
    </row>
    <row r="63">
      <c r="A63" s="13" t="inlineStr">
        <is>
          <t>2026-09</t>
        </is>
      </c>
      <c r="B63" s="13" t="n">
        <v>497</v>
      </c>
    </row>
    <row r="66">
      <c r="A66" t="inlineStr">
        <is>
          <t>推断</t>
        </is>
      </c>
    </row>
    <row r="67">
      <c r="A67" s="15" t="inlineStr">
        <is>
          <t>W2 相对 W1：条数 272,964 → 332,001 （21.6%），去重 BBL 32,927 → 37,594 （14.2%）。条数和楼宇数同时上升，且剔除 W2 最热 10 个 BBL 后方向不变，故不是“一两栋楼刷爆总量”。但单楼最高达两千余条，且约三成关闭说明含 duplicate，条数仍显著大于独立供暖事件数。</t>
        </is>
      </c>
    </row>
    <row r="68"/>
    <row r="69"/>
    <row r="71">
      <c r="A71" s="19" t="inlineStr">
        <is>
          <t>未验证解释：第二冬是否更冷、锅炉故障是否更多、居民是否更频繁催单，均无温度或工单线程数据。</t>
        </is>
      </c>
    </row>
    <row r="72"/>
  </sheetData>
  <mergeCells count="4">
    <mergeCell ref="A71:G72"/>
    <mergeCell ref="A2:G2"/>
    <mergeCell ref="A1:G1"/>
    <mergeCell ref="A67:G6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22" customWidth="1" min="4" max="4"/>
    <col width="26" customWidth="1" min="5" max="5"/>
    <col width="26" customWidth="1" min="6" max="6"/>
    <col width="50" customWidth="1" min="7" max="7"/>
  </cols>
  <sheetData>
    <row r="1">
      <c r="A1" s="1" t="inlineStr">
        <is>
          <t>Q4 关闭时长构成 vs 近期未关闭比例（右删失）</t>
        </is>
      </c>
    </row>
    <row r="2" ht="48" customHeight="1">
      <c r="A2" s="2" t="inlineStr">
        <is>
          <t>关闭小时：datediff(hour, created, closed)；仅 closed_date 可解析且 ≥ created。创建 &lt; 2026-06-01。中位数只在“已有关闭时间”的子集上计算，未关闭工单不进入中位数——这会让慢类型看起来更快。未关闭比例按创建月、分母=该月全部创建条数，分子=status&lt;&gt;'Closed'。</t>
        </is>
      </c>
    </row>
    <row r="4">
      <c r="A4" s="10" t="inlineStr">
        <is>
          <t>创建&lt;2026-06 中位关闭小时</t>
        </is>
      </c>
      <c r="B4" s="10" t="inlineStr">
        <is>
          <t>剔除 NYPD 后中位小时</t>
        </is>
      </c>
      <c r="C4" s="10" t="inlineStr">
        <is>
          <t>2024-10 非Closed%</t>
        </is>
      </c>
      <c r="D4" s="10" t="inlineStr">
        <is>
          <t>2026-08 非Closed%</t>
        </is>
      </c>
      <c r="E4" s="10" t="inlineStr">
        <is>
          <t>2026-09 非Closed%</t>
        </is>
      </c>
    </row>
    <row r="5">
      <c r="A5" s="11" t="inlineStr">
        <is>
          <t>8</t>
        </is>
      </c>
      <c r="B5" s="11" t="inlineStr">
        <is>
          <t>64</t>
        </is>
      </c>
      <c r="C5" s="11" t="inlineStr">
        <is>
          <t>1.48%</t>
        </is>
      </c>
      <c r="D5" s="11" t="inlineStr">
        <is>
          <t>16.19%</t>
        </is>
      </c>
      <c r="E5" s="11" t="inlineStr">
        <is>
          <t>41.49%</t>
        </is>
      </c>
    </row>
    <row r="6">
      <c r="A6" s="12" t="inlineStr">
        <is>
          <t>含 NYPD</t>
        </is>
      </c>
      <c r="B6" s="12" t="inlineStr">
        <is>
          <t>构成效应</t>
        </is>
      </c>
      <c r="C6" s="12" t="inlineStr">
        <is>
          <t>长观察窗</t>
        </is>
      </c>
      <c r="D6" s="12" t="inlineStr">
        <is>
          <t>观察窗短</t>
        </is>
      </c>
      <c r="E6" s="12" t="inlineStr">
        <is>
          <t>月不完整</t>
        </is>
      </c>
    </row>
    <row r="8">
      <c r="A8" t="inlineStr">
        <is>
          <t>事实：按创建月的未关闭比例（不要解读成“越来越慢”，除非先对齐观察窗）</t>
        </is>
      </c>
    </row>
    <row r="9">
      <c r="A9" s="4" t="inlineStr">
        <is>
          <t>年月</t>
        </is>
      </c>
      <c r="B9" s="4" t="inlineStr">
        <is>
          <t>创建条数</t>
        </is>
      </c>
      <c r="C9" s="4" t="inlineStr">
        <is>
          <t>状态非Closed</t>
        </is>
      </c>
      <c r="D9" s="4" t="inlineStr">
        <is>
          <t>非Closed%</t>
        </is>
      </c>
      <c r="E9" s="4" t="inlineStr">
        <is>
          <t>无closed_date</t>
        </is>
      </c>
    </row>
    <row r="10">
      <c r="A10" s="13" t="inlineStr">
        <is>
          <t>2024-09</t>
        </is>
      </c>
      <c r="B10" s="13" t="n">
        <v>248139</v>
      </c>
      <c r="C10" s="13" t="n">
        <v>2072</v>
      </c>
      <c r="D10" s="13" t="n">
        <v>0.84</v>
      </c>
      <c r="E10" s="13" t="n">
        <v>4609</v>
      </c>
    </row>
    <row r="11">
      <c r="A11" s="14" t="inlineStr">
        <is>
          <t>2024-10</t>
        </is>
      </c>
      <c r="B11" s="14" t="n">
        <v>306803</v>
      </c>
      <c r="C11" s="14" t="n">
        <v>4546</v>
      </c>
      <c r="D11" s="14" t="n">
        <v>1.48</v>
      </c>
      <c r="E11" s="14" t="n">
        <v>7656</v>
      </c>
    </row>
    <row r="12">
      <c r="A12" s="13" t="inlineStr">
        <is>
          <t>2024-11</t>
        </is>
      </c>
      <c r="B12" s="13" t="n">
        <v>293515</v>
      </c>
      <c r="C12" s="13" t="n">
        <v>4268</v>
      </c>
      <c r="D12" s="13" t="n">
        <v>1.45</v>
      </c>
      <c r="E12" s="13" t="n">
        <v>6239</v>
      </c>
    </row>
    <row r="13">
      <c r="A13" s="14" t="inlineStr">
        <is>
          <t>2024-12</t>
        </is>
      </c>
      <c r="B13" s="14" t="n">
        <v>313949</v>
      </c>
      <c r="C13" s="14" t="n">
        <v>2786</v>
      </c>
      <c r="D13" s="14" t="n">
        <v>0.89</v>
      </c>
      <c r="E13" s="14" t="n">
        <v>3740</v>
      </c>
    </row>
    <row r="14">
      <c r="A14" s="13" t="inlineStr">
        <is>
          <t>2025-01</t>
        </is>
      </c>
      <c r="B14" s="13" t="n">
        <v>348180</v>
      </c>
      <c r="C14" s="13" t="n">
        <v>1868</v>
      </c>
      <c r="D14" s="13" t="n">
        <v>0.54</v>
      </c>
      <c r="E14" s="13" t="n">
        <v>2609</v>
      </c>
    </row>
    <row r="15">
      <c r="A15" s="14" t="inlineStr">
        <is>
          <t>2025-02</t>
        </is>
      </c>
      <c r="B15" s="14" t="n">
        <v>255364</v>
      </c>
      <c r="C15" s="14" t="n">
        <v>3002</v>
      </c>
      <c r="D15" s="14" t="n">
        <v>1.18</v>
      </c>
      <c r="E15" s="14" t="n">
        <v>3562</v>
      </c>
    </row>
    <row r="16">
      <c r="A16" s="13" t="inlineStr">
        <is>
          <t>2025-03</t>
        </is>
      </c>
      <c r="B16" s="13" t="n">
        <v>281221</v>
      </c>
      <c r="C16" s="13" t="n">
        <v>2667</v>
      </c>
      <c r="D16" s="13" t="n">
        <v>0.95</v>
      </c>
      <c r="E16" s="13" t="n">
        <v>3979</v>
      </c>
    </row>
    <row r="17">
      <c r="A17" s="14" t="inlineStr">
        <is>
          <t>2025-04</t>
        </is>
      </c>
      <c r="B17" s="14" t="n">
        <v>272549</v>
      </c>
      <c r="C17" s="14" t="n">
        <v>3188</v>
      </c>
      <c r="D17" s="14" t="n">
        <v>1.17</v>
      </c>
      <c r="E17" s="14" t="n">
        <v>4943</v>
      </c>
    </row>
    <row r="18">
      <c r="A18" s="13" t="inlineStr">
        <is>
          <t>2025-05</t>
        </is>
      </c>
      <c r="B18" s="13" t="n">
        <v>295058</v>
      </c>
      <c r="C18" s="13" t="n">
        <v>4298</v>
      </c>
      <c r="D18" s="13" t="n">
        <v>1.46</v>
      </c>
      <c r="E18" s="13" t="n">
        <v>4453</v>
      </c>
    </row>
    <row r="19">
      <c r="A19" s="14" t="inlineStr">
        <is>
          <t>2025-06</t>
        </is>
      </c>
      <c r="B19" s="14" t="n">
        <v>306442</v>
      </c>
      <c r="C19" s="14" t="n">
        <v>3957</v>
      </c>
      <c r="D19" s="14" t="n">
        <v>1.29</v>
      </c>
      <c r="E19" s="14" t="n">
        <v>3652</v>
      </c>
    </row>
    <row r="20">
      <c r="A20" s="13" t="inlineStr">
        <is>
          <t>2025-07</t>
        </is>
      </c>
      <c r="B20" s="13" t="n">
        <v>315883</v>
      </c>
      <c r="C20" s="13" t="n">
        <v>4503</v>
      </c>
      <c r="D20" s="13" t="n">
        <v>1.43</v>
      </c>
      <c r="E20" s="13" t="n">
        <v>4120</v>
      </c>
    </row>
    <row r="21">
      <c r="A21" s="14" t="inlineStr">
        <is>
          <t>2025-08</t>
        </is>
      </c>
      <c r="B21" s="14" t="n">
        <v>304039</v>
      </c>
      <c r="C21" s="14" t="n">
        <v>5866</v>
      </c>
      <c r="D21" s="14" t="n">
        <v>1.93</v>
      </c>
      <c r="E21" s="14" t="n">
        <v>5496</v>
      </c>
    </row>
    <row r="22">
      <c r="A22" s="13" t="inlineStr">
        <is>
          <t>2025-09</t>
        </is>
      </c>
      <c r="B22" s="13" t="n">
        <v>302684</v>
      </c>
      <c r="C22" s="13" t="n">
        <v>7158</v>
      </c>
      <c r="D22" s="13" t="n">
        <v>2.36</v>
      </c>
      <c r="E22" s="13" t="n">
        <v>6693</v>
      </c>
    </row>
    <row r="23">
      <c r="A23" s="14" t="inlineStr">
        <is>
          <t>2025-10</t>
        </is>
      </c>
      <c r="B23" s="14" t="n">
        <v>336612</v>
      </c>
      <c r="C23" s="14" t="n">
        <v>7541</v>
      </c>
      <c r="D23" s="14" t="n">
        <v>2.24</v>
      </c>
      <c r="E23" s="14" t="n">
        <v>7098</v>
      </c>
    </row>
    <row r="24">
      <c r="A24" s="13" t="inlineStr">
        <is>
          <t>2025-11</t>
        </is>
      </c>
      <c r="B24" s="13" t="n">
        <v>304905</v>
      </c>
      <c r="C24" s="13" t="n">
        <v>4891</v>
      </c>
      <c r="D24" s="13" t="n">
        <v>1.6</v>
      </c>
      <c r="E24" s="13" t="n">
        <v>4557</v>
      </c>
    </row>
    <row r="25">
      <c r="A25" s="14" t="inlineStr">
        <is>
          <t>2025-12</t>
        </is>
      </c>
      <c r="B25" s="14" t="n">
        <v>332103</v>
      </c>
      <c r="C25" s="14" t="n">
        <v>5399</v>
      </c>
      <c r="D25" s="14" t="n">
        <v>1.63</v>
      </c>
      <c r="E25" s="14" t="n">
        <v>4925</v>
      </c>
    </row>
    <row r="26">
      <c r="A26" s="13" t="inlineStr">
        <is>
          <t>2026-01</t>
        </is>
      </c>
      <c r="B26" s="13" t="n">
        <v>348511</v>
      </c>
      <c r="C26" s="13" t="n">
        <v>9331</v>
      </c>
      <c r="D26" s="13" t="n">
        <v>2.68</v>
      </c>
      <c r="E26" s="13" t="n">
        <v>8502</v>
      </c>
    </row>
    <row r="27">
      <c r="A27" s="14" t="inlineStr">
        <is>
          <t>2026-02</t>
        </is>
      </c>
      <c r="B27" s="14" t="n">
        <v>334690</v>
      </c>
      <c r="C27" s="14" t="n">
        <v>13102</v>
      </c>
      <c r="D27" s="14" t="n">
        <v>3.91</v>
      </c>
      <c r="E27" s="14" t="n">
        <v>10855</v>
      </c>
    </row>
    <row r="28">
      <c r="A28" s="13" t="inlineStr">
        <is>
          <t>2026-03</t>
        </is>
      </c>
      <c r="B28" s="13" t="n">
        <v>342387</v>
      </c>
      <c r="C28" s="13" t="n">
        <v>12921</v>
      </c>
      <c r="D28" s="13" t="n">
        <v>3.77</v>
      </c>
      <c r="E28" s="13" t="n">
        <v>11647</v>
      </c>
    </row>
    <row r="29">
      <c r="A29" s="14" t="inlineStr">
        <is>
          <t>2026-04</t>
        </is>
      </c>
      <c r="B29" s="14" t="n">
        <v>302190</v>
      </c>
      <c r="C29" s="14" t="n">
        <v>12104</v>
      </c>
      <c r="D29" s="14" t="n">
        <v>4.01</v>
      </c>
      <c r="E29" s="14" t="n">
        <v>10786</v>
      </c>
    </row>
    <row r="30">
      <c r="A30" s="13" t="inlineStr">
        <is>
          <t>2026-05</t>
        </is>
      </c>
      <c r="B30" s="13" t="n">
        <v>331978</v>
      </c>
      <c r="C30" s="13" t="n">
        <v>15469</v>
      </c>
      <c r="D30" s="13" t="n">
        <v>4.66</v>
      </c>
      <c r="E30" s="13" t="n">
        <v>13880</v>
      </c>
    </row>
    <row r="31">
      <c r="A31" s="14" t="inlineStr">
        <is>
          <t>2026-06</t>
        </is>
      </c>
      <c r="B31" s="14" t="n">
        <v>334833</v>
      </c>
      <c r="C31" s="14" t="n">
        <v>18663</v>
      </c>
      <c r="D31" s="14" t="n">
        <v>5.57</v>
      </c>
      <c r="E31" s="14" t="n">
        <v>16708</v>
      </c>
    </row>
    <row r="32">
      <c r="A32" s="13" t="inlineStr">
        <is>
          <t>2026-07</t>
        </is>
      </c>
      <c r="B32" s="13" t="n">
        <v>343043</v>
      </c>
      <c r="C32" s="13" t="n">
        <v>29955</v>
      </c>
      <c r="D32" s="13" t="n">
        <v>8.73</v>
      </c>
      <c r="E32" s="13" t="n">
        <v>26570</v>
      </c>
    </row>
    <row r="33">
      <c r="A33" s="14" t="inlineStr">
        <is>
          <t>2026-08</t>
        </is>
      </c>
      <c r="B33" s="14" t="n">
        <v>328446</v>
      </c>
      <c r="C33" s="14" t="n">
        <v>53179</v>
      </c>
      <c r="D33" s="14" t="n">
        <v>16.19</v>
      </c>
      <c r="E33" s="14" t="n">
        <v>46856</v>
      </c>
    </row>
    <row r="34">
      <c r="A34" s="13" t="inlineStr">
        <is>
          <t>2026-09</t>
        </is>
      </c>
      <c r="B34" s="13" t="n">
        <v>41974</v>
      </c>
      <c r="C34" s="13" t="n">
        <v>17415</v>
      </c>
      <c r="D34" s="13" t="n">
        <v>41.49</v>
      </c>
      <c r="E34" s="13" t="n">
        <v>16169</v>
      </c>
    </row>
    <row r="37">
      <c r="A37" t="inlineStr">
        <is>
          <t>事实：机构关闭时长（创建&lt;2026-06-01）</t>
        </is>
      </c>
    </row>
    <row r="38">
      <c r="A38" s="4" t="inlineStr">
        <is>
          <t>机构</t>
        </is>
      </c>
      <c r="B38" s="4" t="inlineStr">
        <is>
          <t>创建条数</t>
        </is>
      </c>
      <c r="C38" s="4" t="inlineStr">
        <is>
          <t>状态Closed</t>
        </is>
      </c>
      <c r="D38" s="4" t="inlineStr">
        <is>
          <t>有closed_date</t>
        </is>
      </c>
      <c r="E38" s="4" t="inlineStr">
        <is>
          <t>已关闭中位小时</t>
        </is>
      </c>
      <c r="F38" s="4" t="inlineStr">
        <is>
          <t>已关闭P90小时</t>
        </is>
      </c>
    </row>
    <row r="39">
      <c r="A39" s="13" t="inlineStr">
        <is>
          <t>NYPD</t>
        </is>
      </c>
      <c r="B39" s="13" t="n">
        <v>2919337</v>
      </c>
      <c r="C39" s="13" t="n">
        <v>2919113</v>
      </c>
      <c r="D39" s="13" t="n">
        <v>2919336</v>
      </c>
      <c r="E39" s="13" t="n">
        <v>1</v>
      </c>
      <c r="F39" s="13" t="n">
        <v>7</v>
      </c>
    </row>
    <row r="40">
      <c r="A40" s="14" t="inlineStr">
        <is>
          <t>HPD</t>
        </is>
      </c>
      <c r="B40" s="14" t="n">
        <v>1468190</v>
      </c>
      <c r="C40" s="14" t="n">
        <v>1444824</v>
      </c>
      <c r="D40" s="14" t="n">
        <v>1444833</v>
      </c>
      <c r="E40" s="14" t="n">
        <v>80</v>
      </c>
      <c r="F40" s="14" t="n">
        <v>941</v>
      </c>
    </row>
    <row r="41">
      <c r="A41" s="13" t="inlineStr">
        <is>
          <t>DSNY</t>
        </is>
      </c>
      <c r="B41" s="13" t="n">
        <v>593233</v>
      </c>
      <c r="C41" s="13" t="n">
        <v>587938</v>
      </c>
      <c r="D41" s="13" t="n">
        <v>587906</v>
      </c>
      <c r="E41" s="13" t="n">
        <v>33</v>
      </c>
      <c r="F41" s="13" t="n">
        <v>175</v>
      </c>
    </row>
    <row r="42">
      <c r="A42" s="14" t="inlineStr">
        <is>
          <t>DOT</t>
        </is>
      </c>
      <c r="B42" s="14" t="n">
        <v>410025</v>
      </c>
      <c r="C42" s="14" t="n">
        <v>392869</v>
      </c>
      <c r="D42" s="14" t="n">
        <v>397232</v>
      </c>
      <c r="E42" s="14" t="n">
        <v>46</v>
      </c>
      <c r="F42" s="14" t="n">
        <v>406</v>
      </c>
    </row>
    <row r="43">
      <c r="A43" s="13" t="inlineStr">
        <is>
          <t>DEP</t>
        </is>
      </c>
      <c r="B43" s="13" t="n">
        <v>348633</v>
      </c>
      <c r="C43" s="13" t="n">
        <v>343671</v>
      </c>
      <c r="D43" s="13" t="n">
        <v>343790</v>
      </c>
      <c r="E43" s="13" t="n">
        <v>24</v>
      </c>
      <c r="F43" s="13" t="n">
        <v>254</v>
      </c>
    </row>
    <row r="44">
      <c r="A44" s="14" t="inlineStr">
        <is>
          <t>DPR</t>
        </is>
      </c>
      <c r="B44" s="14" t="n">
        <v>184653</v>
      </c>
      <c r="C44" s="14" t="n">
        <v>154780</v>
      </c>
      <c r="D44" s="14" t="n">
        <v>154788</v>
      </c>
      <c r="E44" s="14" t="n">
        <v>193</v>
      </c>
      <c r="F44" s="14" t="n">
        <v>4176</v>
      </c>
    </row>
    <row r="45">
      <c r="A45" s="13" t="inlineStr">
        <is>
          <t>DOB</t>
        </is>
      </c>
      <c r="B45" s="13" t="n">
        <v>183047</v>
      </c>
      <c r="C45" s="13" t="n">
        <v>175394</v>
      </c>
      <c r="D45" s="13" t="n">
        <v>183047</v>
      </c>
      <c r="E45" s="13" t="n">
        <v>244</v>
      </c>
      <c r="F45" s="13" t="n">
        <v>3945</v>
      </c>
    </row>
    <row r="46">
      <c r="A46" s="14" t="inlineStr">
        <is>
          <t>DOHMH</t>
        </is>
      </c>
      <c r="B46" s="14" t="n">
        <v>142809</v>
      </c>
      <c r="C46" s="14" t="n">
        <v>136519</v>
      </c>
      <c r="D46" s="14" t="n">
        <v>136586</v>
      </c>
      <c r="E46" s="14" t="n">
        <v>45</v>
      </c>
      <c r="F46" s="14" t="n">
        <v>1441</v>
      </c>
    </row>
    <row r="47">
      <c r="A47" s="13" t="inlineStr">
        <is>
          <t>DHS</t>
        </is>
      </c>
      <c r="B47" s="13" t="n">
        <v>87551</v>
      </c>
      <c r="C47" s="13" t="n">
        <v>87034</v>
      </c>
      <c r="D47" s="13" t="n">
        <v>71559</v>
      </c>
      <c r="E47" s="13" t="n">
        <v>8</v>
      </c>
      <c r="F47" s="13" t="n">
        <v>277</v>
      </c>
    </row>
    <row r="48">
      <c r="A48" s="14" t="inlineStr">
        <is>
          <t>TLC</t>
        </is>
      </c>
      <c r="B48" s="14" t="n">
        <v>65237</v>
      </c>
      <c r="C48" s="14" t="n">
        <v>47853</v>
      </c>
      <c r="D48" s="14" t="n">
        <v>47853</v>
      </c>
      <c r="E48" s="14" t="n">
        <v>1074</v>
      </c>
      <c r="F48" s="14" t="n">
        <v>4896</v>
      </c>
    </row>
    <row r="49">
      <c r="A49" s="13" t="inlineStr">
        <is>
          <t>EDC</t>
        </is>
      </c>
      <c r="B49" s="13" t="n">
        <v>35690</v>
      </c>
      <c r="C49" s="13" t="n">
        <v>17550</v>
      </c>
      <c r="D49" s="13" t="n">
        <v>17550</v>
      </c>
      <c r="E49" s="13" t="n">
        <v>6296.5</v>
      </c>
      <c r="F49" s="13" t="n">
        <v>8640</v>
      </c>
    </row>
    <row r="50">
      <c r="A50" s="14" t="inlineStr">
        <is>
          <t>DCWP</t>
        </is>
      </c>
      <c r="B50" s="14" t="n">
        <v>32154</v>
      </c>
      <c r="C50" s="14" t="n">
        <v>32133</v>
      </c>
      <c r="D50" s="14" t="n">
        <v>32134</v>
      </c>
      <c r="E50" s="14" t="n">
        <v>118</v>
      </c>
      <c r="F50" s="14" t="n">
        <v>785</v>
      </c>
    </row>
    <row r="51">
      <c r="A51" s="13" t="inlineStr">
        <is>
          <t>DOE</t>
        </is>
      </c>
      <c r="B51" s="13" t="n">
        <v>2962</v>
      </c>
      <c r="C51" s="13" t="n">
        <v>2962</v>
      </c>
      <c r="D51" s="13" t="n">
        <v>2962</v>
      </c>
      <c r="E51" s="13" t="n">
        <v>449.5</v>
      </c>
      <c r="F51" s="13" t="n">
        <v>5678.700000000002</v>
      </c>
    </row>
    <row r="52">
      <c r="A52" s="14" t="inlineStr">
        <is>
          <t>OOS</t>
        </is>
      </c>
      <c r="B52" s="14" t="n">
        <v>2948</v>
      </c>
      <c r="C52" s="14" t="n">
        <v>2911</v>
      </c>
      <c r="D52" s="14" t="n">
        <v>2911</v>
      </c>
      <c r="E52" s="14" t="n">
        <v>1066</v>
      </c>
      <c r="F52" s="14" t="n">
        <v>1934</v>
      </c>
    </row>
    <row r="53">
      <c r="A53" s="13" t="inlineStr">
        <is>
          <t>NYC311-PRD</t>
        </is>
      </c>
      <c r="B53" s="13" t="n">
        <v>371</v>
      </c>
      <c r="C53" s="13" t="n">
        <v>371</v>
      </c>
      <c r="D53" s="13" t="n">
        <v>371</v>
      </c>
      <c r="E53" s="13" t="n">
        <v>42</v>
      </c>
      <c r="F53" s="13" t="n">
        <v>541</v>
      </c>
    </row>
    <row r="54">
      <c r="A54" s="14" t="inlineStr">
        <is>
          <t>OTI</t>
        </is>
      </c>
      <c r="B54" s="14" t="n">
        <v>362</v>
      </c>
      <c r="C54" s="14" t="n">
        <v>343</v>
      </c>
      <c r="D54" s="14" t="n">
        <v>343</v>
      </c>
      <c r="E54" s="14" t="n">
        <v>356</v>
      </c>
      <c r="F54" s="14" t="n">
        <v>751.2</v>
      </c>
    </row>
    <row r="58">
      <c r="A58" t="inlineStr">
        <is>
          <t>推断</t>
        </is>
      </c>
    </row>
    <row r="59">
      <c r="A59" s="15" t="inlineStr">
        <is>
          <t>全市约 7 小时的中位关闭时间几乎完全是构成结果：NYPD 已关闭中位约 1 小时，去掉 NYPD 后中位升到约 64 小时。TLC/EDC/DOB 的已关闭中位以百至千小时计，且长尾更长；把它们和 NYPD 比“快慢”没有共同 SLA。未关闭占比从早期约 1% 升到 2026-08 的 16% 和 2026-09 的 41%，与观察窗变短同向，不能单独证明处理变慢。早期月份仍有约 1% 未关闭，说明存在长期未结案，不是所有工单都会在几个月内关闭。</t>
        </is>
      </c>
    </row>
    <row r="60"/>
    <row r="61"/>
    <row r="63">
      <c r="A63" s="18" t="inlineStr">
        <is>
          <t>未验证解释：各局目标处理时限、夜间值班、现场执法是否变化，无 SLA 表。</t>
        </is>
      </c>
    </row>
    <row r="64"/>
  </sheetData>
  <mergeCells count="4">
    <mergeCell ref="A59:F61"/>
    <mergeCell ref="A2:G2"/>
    <mergeCell ref="A1:G1"/>
    <mergeCell ref="A63:F6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8" customWidth="1" min="5" max="5"/>
    <col width="18" customWidth="1" min="6" max="6"/>
    <col width="55" customWidth="1" min="7" max="7"/>
  </cols>
  <sheetData>
    <row r="1">
      <c r="A1" s="1" t="inlineStr">
        <is>
          <t>Q5 类型名称切换：水务家族与铅试剂</t>
        </is>
      </c>
    </row>
    <row r="2">
      <c r="A2" s="2" t="inlineStr">
        <is>
          <t>若直接对单一 complaint_type 做同比，2026-08 的 Water System / Sewer 会显示为“归零”，同时 Water/Sewer Maintenance 会显示为“爆发”。下面用加总家族避免该误读。</t>
        </is>
      </c>
    </row>
    <row r="4">
      <c r="A4" t="inlineStr">
        <is>
          <t>事实：水务相关类型月度（单位=条）</t>
        </is>
      </c>
    </row>
    <row r="5">
      <c r="A5" s="4" t="inlineStr">
        <is>
          <t>年月</t>
        </is>
      </c>
      <c r="B5" s="4" t="inlineStr">
        <is>
          <t>Water System</t>
        </is>
      </c>
      <c r="C5" s="4" t="inlineStr">
        <is>
          <t>Water Maintenance</t>
        </is>
      </c>
      <c r="D5" s="4" t="inlineStr">
        <is>
          <t>Sewer</t>
        </is>
      </c>
      <c r="E5" s="4" t="inlineStr">
        <is>
          <t>Sewer Maintenance</t>
        </is>
      </c>
      <c r="F5" s="4" t="inlineStr">
        <is>
          <t>四类合计</t>
        </is>
      </c>
      <c r="G5" s="4" t="inlineStr">
        <is>
          <t>Lead</t>
        </is>
      </c>
    </row>
    <row r="6">
      <c r="A6" s="13" t="inlineStr">
        <is>
          <t>2024-09</t>
        </is>
      </c>
      <c r="B6" s="13" t="n">
        <v>3387</v>
      </c>
      <c r="C6" s="13" t="n">
        <v>0</v>
      </c>
      <c r="D6" s="13" t="n">
        <v>1362</v>
      </c>
      <c r="E6" s="13" t="n">
        <v>0</v>
      </c>
      <c r="F6" s="13" t="n">
        <v>4749</v>
      </c>
      <c r="G6" s="13" t="n">
        <v>785</v>
      </c>
    </row>
    <row r="7">
      <c r="A7" s="14" t="inlineStr">
        <is>
          <t>2024-10</t>
        </is>
      </c>
      <c r="B7" s="14" t="n">
        <v>4453</v>
      </c>
      <c r="C7" s="14" t="n">
        <v>1</v>
      </c>
      <c r="D7" s="14" t="n">
        <v>1680</v>
      </c>
      <c r="E7" s="14" t="n">
        <v>0</v>
      </c>
      <c r="F7" s="14" t="n">
        <v>6134</v>
      </c>
      <c r="G7" s="14" t="n">
        <v>5529</v>
      </c>
    </row>
    <row r="8">
      <c r="A8" s="13" t="inlineStr">
        <is>
          <t>2024-11</t>
        </is>
      </c>
      <c r="B8" s="13" t="n">
        <v>4835</v>
      </c>
      <c r="C8" s="13" t="n">
        <v>0</v>
      </c>
      <c r="D8" s="13" t="n">
        <v>1662</v>
      </c>
      <c r="E8" s="13" t="n">
        <v>0</v>
      </c>
      <c r="F8" s="13" t="n">
        <v>6497</v>
      </c>
      <c r="G8" s="13" t="n">
        <v>9103</v>
      </c>
    </row>
    <row r="9">
      <c r="A9" s="14" t="inlineStr">
        <is>
          <t>2024-12</t>
        </is>
      </c>
      <c r="B9" s="14" t="n">
        <v>5631</v>
      </c>
      <c r="C9" s="14" t="n">
        <v>1</v>
      </c>
      <c r="D9" s="14" t="n">
        <v>1858</v>
      </c>
      <c r="E9" s="14" t="n">
        <v>1</v>
      </c>
      <c r="F9" s="14" t="n">
        <v>7491</v>
      </c>
      <c r="G9" s="14" t="n">
        <v>2142</v>
      </c>
    </row>
    <row r="10">
      <c r="A10" s="13" t="inlineStr">
        <is>
          <t>2025-01</t>
        </is>
      </c>
      <c r="B10" s="13" t="n">
        <v>6670</v>
      </c>
      <c r="C10" s="13" t="n">
        <v>1</v>
      </c>
      <c r="D10" s="13" t="n">
        <v>1425</v>
      </c>
      <c r="E10" s="13" t="n">
        <v>0</v>
      </c>
      <c r="F10" s="13" t="n">
        <v>8096</v>
      </c>
      <c r="G10" s="13" t="n">
        <v>1563</v>
      </c>
    </row>
    <row r="11">
      <c r="A11" s="14" t="inlineStr">
        <is>
          <t>2025-02</t>
        </is>
      </c>
      <c r="B11" s="14" t="n">
        <v>5245</v>
      </c>
      <c r="C11" s="14" t="n">
        <v>2</v>
      </c>
      <c r="D11" s="14" t="n">
        <v>1604</v>
      </c>
      <c r="E11" s="14" t="n">
        <v>0</v>
      </c>
      <c r="F11" s="14" t="n">
        <v>6851</v>
      </c>
      <c r="G11" s="14" t="n">
        <v>1015</v>
      </c>
    </row>
    <row r="12">
      <c r="A12" s="13" t="inlineStr">
        <is>
          <t>2025-03</t>
        </is>
      </c>
      <c r="B12" s="13" t="n">
        <v>3979</v>
      </c>
      <c r="C12" s="13" t="n">
        <v>0</v>
      </c>
      <c r="D12" s="13" t="n">
        <v>2017</v>
      </c>
      <c r="E12" s="13" t="n">
        <v>0</v>
      </c>
      <c r="F12" s="13" t="n">
        <v>5996</v>
      </c>
      <c r="G12" s="13" t="n">
        <v>1081</v>
      </c>
    </row>
    <row r="13">
      <c r="A13" s="14" t="inlineStr">
        <is>
          <t>2025-04</t>
        </is>
      </c>
      <c r="B13" s="14" t="n">
        <v>3507</v>
      </c>
      <c r="C13" s="14" t="n">
        <v>0</v>
      </c>
      <c r="D13" s="14" t="n">
        <v>1741</v>
      </c>
      <c r="E13" s="14" t="n">
        <v>0</v>
      </c>
      <c r="F13" s="14" t="n">
        <v>5248</v>
      </c>
      <c r="G13" s="14" t="n">
        <v>875</v>
      </c>
    </row>
    <row r="14">
      <c r="A14" s="13" t="inlineStr">
        <is>
          <t>2025-05</t>
        </is>
      </c>
      <c r="B14" s="13" t="n">
        <v>3574</v>
      </c>
      <c r="C14" s="13" t="n">
        <v>0</v>
      </c>
      <c r="D14" s="13" t="n">
        <v>2502</v>
      </c>
      <c r="E14" s="13" t="n">
        <v>1</v>
      </c>
      <c r="F14" s="13" t="n">
        <v>6077</v>
      </c>
      <c r="G14" s="13" t="n">
        <v>1185</v>
      </c>
    </row>
    <row r="15">
      <c r="A15" s="14" t="inlineStr">
        <is>
          <t>2025-06</t>
        </is>
      </c>
      <c r="B15" s="14" t="n">
        <v>15194</v>
      </c>
      <c r="C15" s="14" t="n">
        <v>3</v>
      </c>
      <c r="D15" s="14" t="n">
        <v>2020</v>
      </c>
      <c r="E15" s="14" t="n">
        <v>3</v>
      </c>
      <c r="F15" s="14" t="n">
        <v>17220</v>
      </c>
      <c r="G15" s="14" t="n">
        <v>864</v>
      </c>
    </row>
    <row r="16">
      <c r="A16" s="13" t="inlineStr">
        <is>
          <t>2025-07</t>
        </is>
      </c>
      <c r="B16" s="13" t="n">
        <v>15103</v>
      </c>
      <c r="C16" s="13" t="n">
        <v>1</v>
      </c>
      <c r="D16" s="13" t="n">
        <v>2743</v>
      </c>
      <c r="E16" s="13" t="n">
        <v>2</v>
      </c>
      <c r="F16" s="13" t="n">
        <v>17849</v>
      </c>
      <c r="G16" s="13" t="n">
        <v>1486</v>
      </c>
    </row>
    <row r="17">
      <c r="A17" s="14" t="inlineStr">
        <is>
          <t>2025-08</t>
        </is>
      </c>
      <c r="B17" s="14" t="n">
        <v>7129</v>
      </c>
      <c r="C17" s="14" t="n">
        <v>0</v>
      </c>
      <c r="D17" s="14" t="n">
        <v>2477</v>
      </c>
      <c r="E17" s="14" t="n">
        <v>2</v>
      </c>
      <c r="F17" s="14" t="n">
        <v>9608</v>
      </c>
      <c r="G17" s="14" t="n">
        <v>2780</v>
      </c>
    </row>
    <row r="18">
      <c r="A18" s="13" t="inlineStr">
        <is>
          <t>2025-09</t>
        </is>
      </c>
      <c r="B18" s="13" t="n">
        <v>4196</v>
      </c>
      <c r="C18" s="13" t="n">
        <v>6</v>
      </c>
      <c r="D18" s="13" t="n">
        <v>1856</v>
      </c>
      <c r="E18" s="13" t="n">
        <v>5</v>
      </c>
      <c r="F18" s="13" t="n">
        <v>6063</v>
      </c>
      <c r="G18" s="13" t="n">
        <v>2461</v>
      </c>
    </row>
    <row r="19">
      <c r="A19" s="14" t="inlineStr">
        <is>
          <t>2025-10</t>
        </is>
      </c>
      <c r="B19" s="14" t="n">
        <v>5041</v>
      </c>
      <c r="C19" s="14" t="n">
        <v>3</v>
      </c>
      <c r="D19" s="14" t="n">
        <v>3562</v>
      </c>
      <c r="E19" s="14" t="n">
        <v>6</v>
      </c>
      <c r="F19" s="14" t="n">
        <v>8612</v>
      </c>
      <c r="G19" s="14" t="n">
        <v>2079</v>
      </c>
    </row>
    <row r="20">
      <c r="A20" s="13" t="inlineStr">
        <is>
          <t>2025-11</t>
        </is>
      </c>
      <c r="B20" s="13" t="n">
        <v>3656</v>
      </c>
      <c r="C20" s="13" t="n">
        <v>5</v>
      </c>
      <c r="D20" s="13" t="n">
        <v>2166</v>
      </c>
      <c r="E20" s="13" t="n">
        <v>1</v>
      </c>
      <c r="F20" s="13" t="n">
        <v>5828</v>
      </c>
      <c r="G20" s="13" t="n">
        <v>1929</v>
      </c>
    </row>
    <row r="21">
      <c r="A21" s="14" t="inlineStr">
        <is>
          <t>2025-12</t>
        </is>
      </c>
      <c r="B21" s="14" t="n">
        <v>4198</v>
      </c>
      <c r="C21" s="14" t="n">
        <v>5</v>
      </c>
      <c r="D21" s="14" t="n">
        <v>2003</v>
      </c>
      <c r="E21" s="14" t="n">
        <v>5</v>
      </c>
      <c r="F21" s="14" t="n">
        <v>6211</v>
      </c>
      <c r="G21" s="14" t="n">
        <v>1177</v>
      </c>
    </row>
    <row r="22">
      <c r="A22" s="13" t="inlineStr">
        <is>
          <t>2026-01</t>
        </is>
      </c>
      <c r="B22" s="13" t="n">
        <v>6308</v>
      </c>
      <c r="C22" s="13" t="n">
        <v>9</v>
      </c>
      <c r="D22" s="13" t="n">
        <v>1557</v>
      </c>
      <c r="E22" s="13" t="n">
        <v>4</v>
      </c>
      <c r="F22" s="13" t="n">
        <v>7878</v>
      </c>
      <c r="G22" s="13" t="n">
        <v>1116</v>
      </c>
    </row>
    <row r="23">
      <c r="A23" s="14" t="inlineStr">
        <is>
          <t>2026-02</t>
        </is>
      </c>
      <c r="B23" s="14" t="n">
        <v>7998</v>
      </c>
      <c r="C23" s="14" t="n">
        <v>18</v>
      </c>
      <c r="D23" s="14" t="n">
        <v>1785</v>
      </c>
      <c r="E23" s="14" t="n">
        <v>7</v>
      </c>
      <c r="F23" s="14" t="n">
        <v>9808</v>
      </c>
      <c r="G23" s="14" t="n">
        <v>700</v>
      </c>
    </row>
    <row r="24">
      <c r="A24" s="13" t="inlineStr">
        <is>
          <t>2026-03</t>
        </is>
      </c>
      <c r="B24" s="13" t="n">
        <v>5473</v>
      </c>
      <c r="C24" s="13" t="n">
        <v>40</v>
      </c>
      <c r="D24" s="13" t="n">
        <v>3079</v>
      </c>
      <c r="E24" s="13" t="n">
        <v>20</v>
      </c>
      <c r="F24" s="13" t="n">
        <v>8612</v>
      </c>
      <c r="G24" s="13" t="n">
        <v>844</v>
      </c>
    </row>
    <row r="25">
      <c r="A25" s="14" t="inlineStr">
        <is>
          <t>2026-04</t>
        </is>
      </c>
      <c r="B25" s="14" t="n">
        <v>5679</v>
      </c>
      <c r="C25" s="14" t="n">
        <v>44</v>
      </c>
      <c r="D25" s="14" t="n">
        <v>2019</v>
      </c>
      <c r="E25" s="14" t="n">
        <v>15</v>
      </c>
      <c r="F25" s="14" t="n">
        <v>7757</v>
      </c>
      <c r="G25" s="14" t="n">
        <v>755</v>
      </c>
    </row>
    <row r="26">
      <c r="A26" s="13" t="inlineStr">
        <is>
          <t>2026-05</t>
        </is>
      </c>
      <c r="B26" s="13" t="n">
        <v>6308</v>
      </c>
      <c r="C26" s="13" t="n">
        <v>114</v>
      </c>
      <c r="D26" s="13" t="n">
        <v>4422</v>
      </c>
      <c r="E26" s="13" t="n">
        <v>62</v>
      </c>
      <c r="F26" s="13" t="n">
        <v>10906</v>
      </c>
      <c r="G26" s="13" t="n">
        <v>1028</v>
      </c>
    </row>
    <row r="27">
      <c r="A27" s="14" t="inlineStr">
        <is>
          <t>2026-06</t>
        </is>
      </c>
      <c r="B27" s="14" t="n">
        <v>8911</v>
      </c>
      <c r="C27" s="14" t="n">
        <v>242</v>
      </c>
      <c r="D27" s="14" t="n">
        <v>2783</v>
      </c>
      <c r="E27" s="14" t="n">
        <v>110</v>
      </c>
      <c r="F27" s="14" t="n">
        <v>12046</v>
      </c>
      <c r="G27" s="14" t="n">
        <v>1272</v>
      </c>
    </row>
    <row r="28">
      <c r="A28" s="13" t="inlineStr">
        <is>
          <t>2026-07</t>
        </is>
      </c>
      <c r="B28" s="13" t="n">
        <v>16261</v>
      </c>
      <c r="C28" s="13" t="n">
        <v>1892</v>
      </c>
      <c r="D28" s="13" t="n">
        <v>3131</v>
      </c>
      <c r="E28" s="13" t="n">
        <v>1310</v>
      </c>
      <c r="F28" s="13" t="n">
        <v>22594</v>
      </c>
      <c r="G28" s="13" t="n">
        <v>1248</v>
      </c>
    </row>
    <row r="29">
      <c r="A29" s="14" t="inlineStr">
        <is>
          <t>2026-08</t>
        </is>
      </c>
      <c r="B29" s="14" t="n">
        <v>0</v>
      </c>
      <c r="C29" s="14" t="n">
        <v>8925</v>
      </c>
      <c r="D29" s="14" t="n">
        <v>0</v>
      </c>
      <c r="E29" s="14" t="n">
        <v>5060</v>
      </c>
      <c r="F29" s="14" t="n">
        <v>13985</v>
      </c>
      <c r="G29" s="14" t="n">
        <v>1505</v>
      </c>
    </row>
    <row r="30">
      <c r="A30" s="13" t="inlineStr">
        <is>
          <t>2026-09</t>
        </is>
      </c>
      <c r="B30" s="13" t="n">
        <v>0</v>
      </c>
      <c r="C30" s="13" t="n">
        <v>740</v>
      </c>
      <c r="D30" s="13" t="n">
        <v>0</v>
      </c>
      <c r="E30" s="13" t="n">
        <v>481</v>
      </c>
      <c r="F30" s="13" t="n">
        <v>1221</v>
      </c>
      <c r="G30" s="13" t="n">
        <v>242</v>
      </c>
    </row>
    <row r="50">
      <c r="A50" t="inlineStr">
        <is>
          <t>事实：Lead 描述字段切换（L10 名称在 2026-08 消失，Lead Kit 接续）</t>
        </is>
      </c>
    </row>
    <row r="51">
      <c r="A51" s="4" t="inlineStr">
        <is>
          <t>年月</t>
        </is>
      </c>
      <c r="B51" s="4" t="inlineStr">
        <is>
          <t>描述</t>
        </is>
      </c>
      <c r="C51" s="4" t="inlineStr">
        <is>
          <t>条数</t>
        </is>
      </c>
    </row>
    <row r="52">
      <c r="A52" s="13" t="inlineStr">
        <is>
          <t>2024-09</t>
        </is>
      </c>
      <c r="B52" s="13" t="inlineStr">
        <is>
          <t>Lead Kit Request (Residential) (L10)</t>
        </is>
      </c>
      <c r="C52" s="13" t="n">
        <v>785</v>
      </c>
    </row>
    <row r="53">
      <c r="A53" s="14" t="inlineStr">
        <is>
          <t>2024-10</t>
        </is>
      </c>
      <c r="B53" s="14" t="inlineStr">
        <is>
          <t>Lead Kit Request (Residential) (L10)</t>
        </is>
      </c>
      <c r="C53" s="14" t="n">
        <v>5529</v>
      </c>
    </row>
    <row r="54">
      <c r="A54" s="13" t="inlineStr">
        <is>
          <t>2024-11</t>
        </is>
      </c>
      <c r="B54" s="13" t="inlineStr">
        <is>
          <t>Lead Kit Request (Residential) (L10)</t>
        </is>
      </c>
      <c r="C54" s="13" t="n">
        <v>9103</v>
      </c>
    </row>
    <row r="55">
      <c r="A55" s="14" t="inlineStr">
        <is>
          <t>2024-12</t>
        </is>
      </c>
      <c r="B55" s="14" t="inlineStr">
        <is>
          <t>Lead Kit Request (Residential) (L10)</t>
        </is>
      </c>
      <c r="C55" s="14" t="n">
        <v>2142</v>
      </c>
    </row>
    <row r="56">
      <c r="A56" s="13" t="inlineStr">
        <is>
          <t>2025-01</t>
        </is>
      </c>
      <c r="B56" s="13" t="inlineStr">
        <is>
          <t>Lead Kit Request (Residential) (L10)</t>
        </is>
      </c>
      <c r="C56" s="13" t="n">
        <v>1563</v>
      </c>
    </row>
    <row r="57">
      <c r="A57" s="14" t="inlineStr">
        <is>
          <t>2025-02</t>
        </is>
      </c>
      <c r="B57" s="14" t="inlineStr">
        <is>
          <t>Lead Kit Request (Residential) (L10)</t>
        </is>
      </c>
      <c r="C57" s="14" t="n">
        <v>1015</v>
      </c>
    </row>
    <row r="58">
      <c r="A58" s="13" t="inlineStr">
        <is>
          <t>2025-03</t>
        </is>
      </c>
      <c r="B58" s="13" t="inlineStr">
        <is>
          <t>Lead Kit Request (Residential) (L10)</t>
        </is>
      </c>
      <c r="C58" s="13" t="n">
        <v>1081</v>
      </c>
    </row>
    <row r="59">
      <c r="A59" s="14" t="inlineStr">
        <is>
          <t>2025-04</t>
        </is>
      </c>
      <c r="B59" s="14" t="inlineStr">
        <is>
          <t>Lead Kit Request (Residential) (L10)</t>
        </is>
      </c>
      <c r="C59" s="14" t="n">
        <v>875</v>
      </c>
    </row>
    <row r="60">
      <c r="A60" s="13" t="inlineStr">
        <is>
          <t>2025-05</t>
        </is>
      </c>
      <c r="B60" s="13" t="inlineStr">
        <is>
          <t>Lead Kit Request (Residential) (L10)</t>
        </is>
      </c>
      <c r="C60" s="13" t="n">
        <v>1185</v>
      </c>
    </row>
    <row r="61">
      <c r="A61" s="14" t="inlineStr">
        <is>
          <t>2025-06</t>
        </is>
      </c>
      <c r="B61" s="14" t="inlineStr">
        <is>
          <t>Lead Kit Request (Residential) (L10)</t>
        </is>
      </c>
      <c r="C61" s="14" t="n">
        <v>864</v>
      </c>
    </row>
    <row r="62">
      <c r="A62" s="13" t="inlineStr">
        <is>
          <t>2025-07</t>
        </is>
      </c>
      <c r="B62" s="13" t="inlineStr">
        <is>
          <t>Lead Kit Request (Residential) (L10)</t>
        </is>
      </c>
      <c r="C62" s="13" t="n">
        <v>1486</v>
      </c>
    </row>
    <row r="63">
      <c r="A63" s="14" t="inlineStr">
        <is>
          <t>2025-08</t>
        </is>
      </c>
      <c r="B63" s="14" t="inlineStr">
        <is>
          <t>Lead Kit Request (Residential) (L10)</t>
        </is>
      </c>
      <c r="C63" s="14" t="n">
        <v>2780</v>
      </c>
    </row>
    <row r="64">
      <c r="A64" s="13" t="inlineStr">
        <is>
          <t>2025-09</t>
        </is>
      </c>
      <c r="B64" s="13" t="inlineStr">
        <is>
          <t>Lead Kit Request (Residential) (L10)</t>
        </is>
      </c>
      <c r="C64" s="13" t="n">
        <v>2461</v>
      </c>
    </row>
    <row r="65">
      <c r="A65" s="14" t="inlineStr">
        <is>
          <t>2025-10</t>
        </is>
      </c>
      <c r="B65" s="14" t="inlineStr">
        <is>
          <t>Lead Kit Request (Residential) (L10)</t>
        </is>
      </c>
      <c r="C65" s="14" t="n">
        <v>2079</v>
      </c>
    </row>
    <row r="66">
      <c r="A66" s="13" t="inlineStr">
        <is>
          <t>2025-11</t>
        </is>
      </c>
      <c r="B66" s="13" t="inlineStr">
        <is>
          <t>Lead Kit Request (Residential) (L10)</t>
        </is>
      </c>
      <c r="C66" s="13" t="n">
        <v>1929</v>
      </c>
    </row>
    <row r="67">
      <c r="A67" s="14" t="inlineStr">
        <is>
          <t>2025-12</t>
        </is>
      </c>
      <c r="B67" s="14" t="inlineStr">
        <is>
          <t>Lead Kit Request (Residential) (L10)</t>
        </is>
      </c>
      <c r="C67" s="14" t="n">
        <v>1177</v>
      </c>
    </row>
    <row r="68">
      <c r="A68" s="13" t="inlineStr">
        <is>
          <t>2026-01</t>
        </is>
      </c>
      <c r="B68" s="13" t="inlineStr">
        <is>
          <t>Lead Kit Request (Residential) (L10)</t>
        </is>
      </c>
      <c r="C68" s="13" t="n">
        <v>1116</v>
      </c>
    </row>
    <row r="69">
      <c r="A69" s="14" t="inlineStr">
        <is>
          <t>2026-02</t>
        </is>
      </c>
      <c r="B69" s="14" t="inlineStr">
        <is>
          <t>Lead Kit Request (Residential) (L10)</t>
        </is>
      </c>
      <c r="C69" s="14" t="n">
        <v>700</v>
      </c>
    </row>
    <row r="70">
      <c r="A70" s="13" t="inlineStr">
        <is>
          <t>2026-03</t>
        </is>
      </c>
      <c r="B70" s="13" t="inlineStr">
        <is>
          <t>Lead Kit Request (Residential) (L10)</t>
        </is>
      </c>
      <c r="C70" s="13" t="n">
        <v>844</v>
      </c>
    </row>
    <row r="71">
      <c r="A71" s="14" t="inlineStr">
        <is>
          <t>2026-04</t>
        </is>
      </c>
      <c r="B71" s="14" t="inlineStr">
        <is>
          <t>Lead Kit Request (Residential) (L10)</t>
        </is>
      </c>
      <c r="C71" s="14" t="n">
        <v>755</v>
      </c>
    </row>
    <row r="72">
      <c r="A72" s="13" t="inlineStr">
        <is>
          <t>2026-05</t>
        </is>
      </c>
      <c r="B72" s="13" t="inlineStr">
        <is>
          <t>Lead Kit Request (Residential) (L10)</t>
        </is>
      </c>
      <c r="C72" s="13" t="n">
        <v>1028</v>
      </c>
    </row>
    <row r="73">
      <c r="A73" s="14" t="inlineStr">
        <is>
          <t>2026-06</t>
        </is>
      </c>
      <c r="B73" s="14" t="inlineStr">
        <is>
          <t>Lead Kit</t>
        </is>
      </c>
      <c r="C73" s="14" t="n">
        <v>4</v>
      </c>
    </row>
    <row r="74">
      <c r="A74" s="13" t="inlineStr">
        <is>
          <t>2026-06</t>
        </is>
      </c>
      <c r="B74" s="13" t="inlineStr">
        <is>
          <t>Lead Kit Request (Residential) (L10)</t>
        </is>
      </c>
      <c r="C74" s="13" t="n">
        <v>1268</v>
      </c>
    </row>
    <row r="75">
      <c r="A75" s="14" t="inlineStr">
        <is>
          <t>2026-07</t>
        </is>
      </c>
      <c r="B75" s="14" t="inlineStr">
        <is>
          <t>Lead Kit</t>
        </is>
      </c>
      <c r="C75" s="14" t="n">
        <v>357</v>
      </c>
    </row>
    <row r="76">
      <c r="A76" s="13" t="inlineStr">
        <is>
          <t>2026-07</t>
        </is>
      </c>
      <c r="B76" s="13" t="inlineStr">
        <is>
          <t>Lead Kit Request (Residential) (L10)</t>
        </is>
      </c>
      <c r="C76" s="13" t="n">
        <v>891</v>
      </c>
    </row>
    <row r="77">
      <c r="A77" s="14" t="inlineStr">
        <is>
          <t>2026-08</t>
        </is>
      </c>
      <c r="B77" s="14" t="inlineStr">
        <is>
          <t>Lead Kit</t>
        </is>
      </c>
      <c r="C77" s="14" t="n">
        <v>1505</v>
      </c>
    </row>
    <row r="78">
      <c r="A78" s="13" t="inlineStr">
        <is>
          <t>2026-09</t>
        </is>
      </c>
      <c r="B78" s="13" t="inlineStr">
        <is>
          <t>Lead Kit</t>
        </is>
      </c>
      <c r="C78" s="13" t="n">
        <v>242</v>
      </c>
    </row>
    <row r="80">
      <c r="A80" t="inlineStr">
        <is>
          <t>事实：新出现机构 OOS</t>
        </is>
      </c>
    </row>
    <row r="81">
      <c r="A81" s="4" t="inlineStr">
        <is>
          <t>机构</t>
        </is>
      </c>
      <c r="B81" s="4" t="inlineStr">
        <is>
          <t>机构名</t>
        </is>
      </c>
      <c r="C81" s="4" t="inlineStr">
        <is>
          <t>类型</t>
        </is>
      </c>
      <c r="D81" s="4" t="inlineStr">
        <is>
          <t>条数</t>
        </is>
      </c>
      <c r="E81" s="4" t="inlineStr">
        <is>
          <t>最早月</t>
        </is>
      </c>
      <c r="F81" s="4" t="inlineStr">
        <is>
          <t>最晚月</t>
        </is>
      </c>
    </row>
    <row r="82">
      <c r="A82" s="13" t="inlineStr">
        <is>
          <t>OOS</t>
        </is>
      </c>
      <c r="B82" s="13" t="inlineStr">
        <is>
          <t>Office of the Sheriff</t>
        </is>
      </c>
      <c r="C82" s="13" t="inlineStr">
        <is>
          <t>Cannabis Retailer</t>
        </is>
      </c>
      <c r="D82" s="13" t="n">
        <v>4196</v>
      </c>
      <c r="E82" s="13" t="inlineStr">
        <is>
          <t>2025-09</t>
        </is>
      </c>
      <c r="F82" s="13" t="inlineStr">
        <is>
          <t>2026-09</t>
        </is>
      </c>
    </row>
    <row r="85">
      <c r="A85" t="inlineStr">
        <is>
          <t>推断</t>
        </is>
      </c>
    </row>
    <row r="86">
      <c r="A86" s="15" t="inlineStr">
        <is>
          <t>2026-08 起 Water System 与 Sewer 在本样本中为 0，同月 Water Maintenance 与 Sewer Maintenance 升至数千。四类合计在 2026-08 仍有 13,985 条，并非水务需求消失。2026-07 为并存过渡月。Lead 从 'Lead Kit Request (Residential) (L10)' 切到 'Lead Kit'：这是试剂申请类工单，2024-10/11 的高峰（5,529 / 9,103）会强烈影响 Lead 类型的同比，不能写成“铅污染事件增减”。OOS / Office of the Sheriff / Cannabis Retailer 自 2025-09 出现，量级约 4 千，对全市增量影响很小。</t>
        </is>
      </c>
    </row>
    <row r="87"/>
    <row r="88"/>
    <row r="90">
      <c r="A90" s="18" t="inlineStr">
        <is>
          <t>未验证解释：是否官方 taxonomy 发布、试剂发放活动、消防栓夏季开放政策，均无外部文件。</t>
        </is>
      </c>
    </row>
    <row r="91"/>
    <row r="93">
      <c r="A93" s="2" t="inlineStr">
        <is>
          <t>附录观察（非核心结论）：Drug Activity 在 2025-07/08 升至 6,038 / 5,447 后回落，未发现等量迁入其他 NYPD 类型。原因未验证。</t>
        </is>
      </c>
    </row>
    <row r="94"/>
  </sheetData>
  <mergeCells count="5">
    <mergeCell ref="A93:G94"/>
    <mergeCell ref="A1:G1"/>
    <mergeCell ref="A2:G2"/>
    <mergeCell ref="A86:G88"/>
    <mergeCell ref="A90:G9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方法、假设、限制</t>
        </is>
      </c>
    </row>
    <row r="3">
      <c r="A3" s="4" t="inlineStr">
        <is>
          <t>项目</t>
        </is>
      </c>
      <c r="B3" s="4" t="inlineStr">
        <is>
          <t>说明</t>
        </is>
      </c>
    </row>
    <row r="4" ht="36" customHeight="1">
      <c r="A4" s="8" t="inlineStr">
        <is>
          <t>记录粒度</t>
        </is>
      </c>
      <c r="B4" s="8" t="inlineStr">
        <is>
          <t>unique_key 全样本唯一，一行=一条服务请求。关闭说明含 duplicate 时，多行可能对应同一现场问题。</t>
        </is>
      </c>
    </row>
    <row r="5" ht="36" customHeight="1">
      <c r="A5" s="8" t="inlineStr">
        <is>
          <t>时间字段</t>
        </is>
      </c>
      <c r="B5" s="8" t="inlineStr">
        <is>
          <t>created_date / closed_date 以字符串存储，分析中用 try_cast 为 timestamp。无法解析的关闭时间视为缺失。</t>
        </is>
      </c>
    </row>
    <row r="6" ht="36" customHeight="1">
      <c r="A6" s="8" t="inlineStr">
        <is>
          <t>不完整月</t>
        </is>
      </c>
      <c r="B6" s="8" t="inlineStr">
        <is>
          <t>2024-09 自 7 日；2026-09 至 5 日 01:50:33。同比主结论不用这两月的总量。</t>
        </is>
      </c>
    </row>
    <row r="7" ht="36" customHeight="1">
      <c r="A7" s="8" t="inlineStr">
        <is>
          <t>可比窗口</t>
        </is>
      </c>
      <c r="B7" s="8" t="inlineStr">
        <is>
          <t>选择完整月 10–08 对齐，避免日历年 2024/2026 残缺。未做工作日调整。</t>
        </is>
      </c>
    </row>
    <row r="8" ht="36" customHeight="1">
      <c r="A8" s="8" t="inlineStr">
        <is>
          <t>供暖季</t>
        </is>
      </c>
      <c r="B8" s="8" t="inlineStr">
        <is>
          <t>用 10–04 创建月近似冬季供暖需求高峰，不是官方 heat season 法规窗口（常含 10-01 至 05-31）。</t>
        </is>
      </c>
    </row>
    <row r="9" ht="36" customHeight="1">
      <c r="A9" s="8" t="inlineStr">
        <is>
          <t>关闭中位数</t>
        </is>
      </c>
      <c r="B9" s="8" t="inlineStr">
        <is>
          <t>条件是已关闭；未关闭不计入。创建截止 2026-06-01，相对导出中出现的 2026-12-14 关闭记录仍可能不够覆盖超长工单。</t>
        </is>
      </c>
    </row>
    <row r="10" ht="36" customHeight="1">
      <c r="A10" s="8" t="inlineStr">
        <is>
          <t>duplicate 文案</t>
        </is>
      </c>
      <c r="B10" s="8" t="inlineStr">
        <is>
          <t>resolution_description ILIKE '%duplicate%' 是项目定义检查，不是 NYC 官方重复工单主键。</t>
        </is>
      </c>
    </row>
    <row r="11" ht="36" customHeight="1">
      <c r="A11" s="8" t="inlineStr">
        <is>
          <t>UNKNOWN 渠道</t>
        </is>
      </c>
      <c r="B11" s="8" t="inlineStr">
        <is>
          <t>字段值原样使用。不能从本数据证明 UNKNOWN=系统导入，只证明该渠道在 2026-03 坑洞上极度集中。</t>
        </is>
      </c>
    </row>
    <row r="12" ht="36" customHeight="1">
      <c r="A12" s="8" t="inlineStr">
        <is>
          <t>增量贡献</t>
        </is>
      </c>
      <c r="B12" s="8" t="inlineStr">
        <is>
          <t>互斥桶加总等于全部增量。机构表与类型表不要与互斥桶再相加。</t>
        </is>
      </c>
    </row>
    <row r="13" ht="36" customHeight="1">
      <c r="A13" s="8" t="inlineStr">
        <is>
          <t>负关闭时序</t>
        </is>
      </c>
      <c r="B13" s="8" t="inlineStr">
        <is>
          <t>closed_date 早于 created_date 共 1877 条，关闭时长计算已排除。</t>
        </is>
      </c>
    </row>
    <row r="14" ht="36" customHeight="1">
      <c r="A14" s="8" t="inlineStr">
        <is>
          <t>禁止的结论</t>
        </is>
      </c>
      <c r="B14" s="8" t="inlineStr">
        <is>
          <t>不得把描述性差异写成执法力度、居民素质、机构绩效或天气因果。</t>
        </is>
      </c>
    </row>
    <row r="15" ht="36" customHeight="1">
      <c r="A15" s="8" t="inlineStr">
        <is>
          <t>授权边界</t>
        </is>
      </c>
      <c r="B15" s="8" t="inlineStr">
        <is>
          <t>只用 D:\项目1\原始数据 与 D:\项目2\input\data_manifest.json；未使用天气或其他 NYC 表。</t>
        </is>
      </c>
    </row>
    <row r="17">
      <c r="A17" s="3" t="inlineStr">
        <is>
          <t>曾探索但未升为核心发现的方向</t>
        </is>
      </c>
    </row>
    <row r="18">
      <c r="A18" s="2" t="inlineStr">
        <is>
          <t>Drug Activity 夏季 2025 尖峰后下降；行政区份额差异（无人口分母）；噪声类总量大但跨年变化不如供暖/积雪/坑洞对增量的解释力强；EDC 直升机噪声类型随 EDC 量下降。这些保留在中间汇总，避免故事过多。</t>
        </is>
      </c>
    </row>
    <row r="19"/>
    <row r="20"/>
    <row r="22">
      <c r="A22" s="3" t="inlineStr">
        <is>
          <t>数字回查</t>
        </is>
      </c>
    </row>
    <row r="23">
      <c r="A23" t="inlineStr">
        <is>
          <t>全样本条数必须等于各月 n_created 之和，也等于各机构之和。可比窗口 A+B 不等于全样本（不含 2024-09、2025-09、2026-09）。</t>
        </is>
      </c>
    </row>
  </sheetData>
  <mergeCells count="2">
    <mergeCell ref="A23:B23"/>
    <mergeCell ref="A18:B20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t="inlineStr">
        <is>
          <t>可比窗口全部投诉类型（按增量绝对值排序）</t>
        </is>
      </c>
    </row>
    <row r="2">
      <c r="A2" s="4" t="inlineStr">
        <is>
          <t>投诉类型</t>
        </is>
      </c>
      <c r="B2" s="4" t="inlineStr">
        <is>
          <t>A期_2024-10至2025-08</t>
        </is>
      </c>
      <c r="C2" s="4" t="inlineStr">
        <is>
          <t>B期_2025-10至2026-08</t>
        </is>
      </c>
      <c r="D2" s="4" t="inlineStr">
        <is>
          <t>增量</t>
        </is>
      </c>
      <c r="E2" s="4" t="inlineStr">
        <is>
          <t>相对A期%</t>
        </is>
      </c>
    </row>
    <row r="3">
      <c r="A3" s="13" t="inlineStr">
        <is>
          <t>HEAT/HOT WATER</t>
        </is>
      </c>
      <c r="B3" s="13" t="n">
        <v>290581</v>
      </c>
      <c r="C3" s="13" t="n">
        <v>354225</v>
      </c>
      <c r="D3" s="13" t="n">
        <v>63644</v>
      </c>
      <c r="E3" s="13" t="n">
        <v>21.9</v>
      </c>
    </row>
    <row r="4">
      <c r="A4" s="14" t="inlineStr">
        <is>
          <t>Snow or Ice</t>
        </is>
      </c>
      <c r="B4" s="14" t="n">
        <v>8808</v>
      </c>
      <c r="C4" s="14" t="n">
        <v>63938</v>
      </c>
      <c r="D4" s="14" t="n">
        <v>55130</v>
      </c>
      <c r="E4" s="14" t="n">
        <v>625.91</v>
      </c>
    </row>
    <row r="5">
      <c r="A5" s="13" t="inlineStr">
        <is>
          <t>Illegal Parking</t>
        </is>
      </c>
      <c r="B5" s="13" t="n">
        <v>503051</v>
      </c>
      <c r="C5" s="13" t="n">
        <v>558006</v>
      </c>
      <c r="D5" s="13" t="n">
        <v>54955</v>
      </c>
      <c r="E5" s="13" t="n">
        <v>10.92</v>
      </c>
    </row>
    <row r="6">
      <c r="A6" s="14" t="inlineStr">
        <is>
          <t>Street Condition</t>
        </is>
      </c>
      <c r="B6" s="14" t="n">
        <v>64326</v>
      </c>
      <c r="C6" s="14" t="n">
        <v>112628</v>
      </c>
      <c r="D6" s="14" t="n">
        <v>48302</v>
      </c>
      <c r="E6" s="14" t="n">
        <v>75.09</v>
      </c>
    </row>
    <row r="7">
      <c r="A7" s="13" t="inlineStr">
        <is>
          <t>Blocked Driveway</t>
        </is>
      </c>
      <c r="B7" s="13" t="n">
        <v>154610</v>
      </c>
      <c r="C7" s="13" t="n">
        <v>178341</v>
      </c>
      <c r="D7" s="13" t="n">
        <v>23731</v>
      </c>
      <c r="E7" s="13" t="n">
        <v>15.35</v>
      </c>
    </row>
    <row r="8">
      <c r="A8" s="14" t="inlineStr">
        <is>
          <t>Drug Activity</t>
        </is>
      </c>
      <c r="B8" s="14" t="n">
        <v>27869</v>
      </c>
      <c r="C8" s="14" t="n">
        <v>8955</v>
      </c>
      <c r="D8" s="14" t="n">
        <v>-18914</v>
      </c>
      <c r="E8" s="14" t="n">
        <v>-67.87</v>
      </c>
    </row>
    <row r="9">
      <c r="A9" s="13" t="inlineStr">
        <is>
          <t>UNSANITARY CONDITION</t>
        </is>
      </c>
      <c r="B9" s="13" t="n">
        <v>104697</v>
      </c>
      <c r="C9" s="13" t="n">
        <v>122542</v>
      </c>
      <c r="D9" s="13" t="n">
        <v>17845</v>
      </c>
      <c r="E9" s="13" t="n">
        <v>17.04</v>
      </c>
    </row>
    <row r="10">
      <c r="A10" s="14" t="inlineStr">
        <is>
          <t>Damaged Tree</t>
        </is>
      </c>
      <c r="B10" s="14" t="n">
        <v>24306</v>
      </c>
      <c r="C10" s="14" t="n">
        <v>39803</v>
      </c>
      <c r="D10" s="14" t="n">
        <v>15497</v>
      </c>
      <c r="E10" s="14" t="n">
        <v>63.76</v>
      </c>
    </row>
    <row r="11">
      <c r="A11" s="13" t="inlineStr">
        <is>
          <t>PLUMBING</t>
        </is>
      </c>
      <c r="B11" s="13" t="n">
        <v>62476</v>
      </c>
      <c r="C11" s="13" t="n">
        <v>77795</v>
      </c>
      <c r="D11" s="13" t="n">
        <v>15319</v>
      </c>
      <c r="E11" s="13" t="n">
        <v>24.52</v>
      </c>
    </row>
    <row r="12">
      <c r="A12" s="14" t="inlineStr">
        <is>
          <t>Lead</t>
        </is>
      </c>
      <c r="B12" s="14" t="n">
        <v>27623</v>
      </c>
      <c r="C12" s="14" t="n">
        <v>13653</v>
      </c>
      <c r="D12" s="14" t="n">
        <v>-13970</v>
      </c>
      <c r="E12" s="14" t="n">
        <v>-50.57</v>
      </c>
    </row>
    <row r="13">
      <c r="A13" s="13" t="inlineStr">
        <is>
          <t>Water Maintenance</t>
        </is>
      </c>
      <c r="B13" s="13" t="n">
        <v>9</v>
      </c>
      <c r="C13" s="13" t="n">
        <v>11297</v>
      </c>
      <c r="D13" s="13" t="n">
        <v>11288</v>
      </c>
      <c r="E13" s="13" t="n">
        <v>125422.22</v>
      </c>
    </row>
    <row r="14">
      <c r="A14" s="14" t="inlineStr">
        <is>
          <t>GENERAL</t>
        </is>
      </c>
      <c r="B14" s="14" t="n">
        <v>29158</v>
      </c>
      <c r="C14" s="14" t="n">
        <v>39166</v>
      </c>
      <c r="D14" s="14" t="n">
        <v>10008</v>
      </c>
      <c r="E14" s="14" t="n">
        <v>34.32</v>
      </c>
    </row>
    <row r="15">
      <c r="A15" s="13" t="inlineStr">
        <is>
          <t>Traffic Signal Condition</t>
        </is>
      </c>
      <c r="B15" s="13" t="n">
        <v>44657</v>
      </c>
      <c r="C15" s="13" t="n">
        <v>54168</v>
      </c>
      <c r="D15" s="13" t="n">
        <v>9511</v>
      </c>
      <c r="E15" s="13" t="n">
        <v>21.3</v>
      </c>
    </row>
    <row r="16">
      <c r="A16" s="14" t="inlineStr">
        <is>
          <t>WATER LEAK</t>
        </is>
      </c>
      <c r="B16" s="14" t="n">
        <v>34224</v>
      </c>
      <c r="C16" s="14" t="n">
        <v>43364</v>
      </c>
      <c r="D16" s="14" t="n">
        <v>9140</v>
      </c>
      <c r="E16" s="14" t="n">
        <v>26.71</v>
      </c>
    </row>
    <row r="17">
      <c r="A17" s="13" t="inlineStr">
        <is>
          <t>Noise - Helicopter</t>
        </is>
      </c>
      <c r="B17" s="13" t="n">
        <v>21080</v>
      </c>
      <c r="C17" s="13" t="n">
        <v>12019</v>
      </c>
      <c r="D17" s="13" t="n">
        <v>-9061</v>
      </c>
      <c r="E17" s="13" t="n">
        <v>-42.98</v>
      </c>
    </row>
    <row r="18">
      <c r="A18" s="14" t="inlineStr">
        <is>
          <t>Rodent</t>
        </is>
      </c>
      <c r="B18" s="14" t="n">
        <v>31595</v>
      </c>
      <c r="C18" s="14" t="n">
        <v>22596</v>
      </c>
      <c r="D18" s="14" t="n">
        <v>-8999</v>
      </c>
      <c r="E18" s="14" t="n">
        <v>-28.48</v>
      </c>
    </row>
    <row r="19">
      <c r="A19" s="13" t="inlineStr">
        <is>
          <t>PAINT/PLASTER</t>
        </is>
      </c>
      <c r="B19" s="13" t="n">
        <v>53466</v>
      </c>
      <c r="C19" s="13" t="n">
        <v>61743</v>
      </c>
      <c r="D19" s="13" t="n">
        <v>8277</v>
      </c>
      <c r="E19" s="13" t="n">
        <v>15.48</v>
      </c>
    </row>
    <row r="20">
      <c r="A20" s="14" t="inlineStr">
        <is>
          <t>Missed Collection</t>
        </is>
      </c>
      <c r="B20" s="14" t="n">
        <v>40327</v>
      </c>
      <c r="C20" s="14" t="n">
        <v>32260</v>
      </c>
      <c r="D20" s="14" t="n">
        <v>-8067</v>
      </c>
      <c r="E20" s="14" t="n">
        <v>-20</v>
      </c>
    </row>
    <row r="21">
      <c r="A21" s="13" t="inlineStr">
        <is>
          <t>Derelict Vehicles</t>
        </is>
      </c>
      <c r="B21" s="13" t="n">
        <v>41210</v>
      </c>
      <c r="C21" s="13" t="n">
        <v>33264</v>
      </c>
      <c r="D21" s="13" t="n">
        <v>-7946</v>
      </c>
      <c r="E21" s="13" t="n">
        <v>-19.28</v>
      </c>
    </row>
    <row r="22">
      <c r="A22" s="14" t="inlineStr">
        <is>
          <t>DOOR/WINDOW</t>
        </is>
      </c>
      <c r="B22" s="14" t="n">
        <v>40937</v>
      </c>
      <c r="C22" s="14" t="n">
        <v>48663</v>
      </c>
      <c r="D22" s="14" t="n">
        <v>7726</v>
      </c>
      <c r="E22" s="14" t="n">
        <v>18.87</v>
      </c>
    </row>
    <row r="23">
      <c r="A23" s="13" t="inlineStr">
        <is>
          <t>Noise - Vehicle</t>
        </is>
      </c>
      <c r="B23" s="13" t="n">
        <v>38360</v>
      </c>
      <c r="C23" s="13" t="n">
        <v>46002</v>
      </c>
      <c r="D23" s="13" t="n">
        <v>7642</v>
      </c>
      <c r="E23" s="13" t="n">
        <v>19.92</v>
      </c>
    </row>
    <row r="24">
      <c r="A24" s="14" t="inlineStr">
        <is>
          <t>Dirty Condition</t>
        </is>
      </c>
      <c r="B24" s="14" t="n">
        <v>55031</v>
      </c>
      <c r="C24" s="14" t="n">
        <v>61769</v>
      </c>
      <c r="D24" s="14" t="n">
        <v>6738</v>
      </c>
      <c r="E24" s="14" t="n">
        <v>12.24</v>
      </c>
    </row>
    <row r="25">
      <c r="A25" s="13" t="inlineStr">
        <is>
          <t>Sewer Maintenance</t>
        </is>
      </c>
      <c r="B25" s="13" t="n">
        <v>9</v>
      </c>
      <c r="C25" s="13" t="n">
        <v>6600</v>
      </c>
      <c r="D25" s="13" t="n">
        <v>6591</v>
      </c>
      <c r="E25" s="13" t="n">
        <v>73233.33</v>
      </c>
    </row>
    <row r="26">
      <c r="A26" s="14" t="inlineStr">
        <is>
          <t>Water System</t>
        </is>
      </c>
      <c r="B26" s="14" t="n">
        <v>75320</v>
      </c>
      <c r="C26" s="14" t="n">
        <v>69833</v>
      </c>
      <c r="D26" s="14" t="n">
        <v>-5487</v>
      </c>
      <c r="E26" s="14" t="n">
        <v>-7.28</v>
      </c>
    </row>
    <row r="27">
      <c r="A27" s="13" t="inlineStr">
        <is>
          <t>ELECTRIC</t>
        </is>
      </c>
      <c r="B27" s="13" t="n">
        <v>27187</v>
      </c>
      <c r="C27" s="13" t="n">
        <v>32572</v>
      </c>
      <c r="D27" s="13" t="n">
        <v>5385</v>
      </c>
      <c r="E27" s="13" t="n">
        <v>19.81</v>
      </c>
    </row>
    <row r="28">
      <c r="A28" s="14" t="inlineStr">
        <is>
          <t>Noise - Commercial</t>
        </is>
      </c>
      <c r="B28" s="14" t="n">
        <v>59301</v>
      </c>
      <c r="C28" s="14" t="n">
        <v>54370</v>
      </c>
      <c r="D28" s="14" t="n">
        <v>-4931</v>
      </c>
      <c r="E28" s="14" t="n">
        <v>-8.32</v>
      </c>
    </row>
    <row r="29">
      <c r="A29" s="13" t="inlineStr">
        <is>
          <t>Vendor Enforcement</t>
        </is>
      </c>
      <c r="B29" s="13" t="n">
        <v>26778</v>
      </c>
      <c r="C29" s="13" t="n">
        <v>21999</v>
      </c>
      <c r="D29" s="13" t="n">
        <v>-4779</v>
      </c>
      <c r="E29" s="13" t="n">
        <v>-17.85</v>
      </c>
    </row>
    <row r="30">
      <c r="A30" s="14" t="inlineStr">
        <is>
          <t>Sewer</t>
        </is>
      </c>
      <c r="B30" s="14" t="n">
        <v>21729</v>
      </c>
      <c r="C30" s="14" t="n">
        <v>26507</v>
      </c>
      <c r="D30" s="14" t="n">
        <v>4778</v>
      </c>
      <c r="E30" s="14" t="n">
        <v>21.99</v>
      </c>
    </row>
    <row r="31">
      <c r="A31" s="13" t="inlineStr">
        <is>
          <t>Street Light Condition</t>
        </is>
      </c>
      <c r="B31" s="13" t="n">
        <v>28838</v>
      </c>
      <c r="C31" s="13" t="n">
        <v>33552</v>
      </c>
      <c r="D31" s="13" t="n">
        <v>4714</v>
      </c>
      <c r="E31" s="13" t="n">
        <v>16.35</v>
      </c>
    </row>
    <row r="32">
      <c r="A32" s="14" t="inlineStr">
        <is>
          <t>General Construction/Plumbing</t>
        </is>
      </c>
      <c r="B32" s="14" t="n">
        <v>31642</v>
      </c>
      <c r="C32" s="14" t="n">
        <v>36007</v>
      </c>
      <c r="D32" s="14" t="n">
        <v>4365</v>
      </c>
      <c r="E32" s="14" t="n">
        <v>13.79</v>
      </c>
    </row>
    <row r="33">
      <c r="A33" s="13" t="inlineStr">
        <is>
          <t>FLOORING/STAIRS</t>
        </is>
      </c>
      <c r="B33" s="13" t="n">
        <v>23949</v>
      </c>
      <c r="C33" s="13" t="n">
        <v>28143</v>
      </c>
      <c r="D33" s="13" t="n">
        <v>4194</v>
      </c>
      <c r="E33" s="13" t="n">
        <v>17.51</v>
      </c>
    </row>
    <row r="34">
      <c r="A34" s="14" t="inlineStr">
        <is>
          <t>Cannabis Retailer</t>
        </is>
      </c>
      <c r="B34" s="14" t="n">
        <v>0</v>
      </c>
      <c r="C34" s="14" t="n">
        <v>3958</v>
      </c>
      <c r="D34" s="14" t="n">
        <v>3958</v>
      </c>
      <c r="E34" s="14" t="n"/>
    </row>
    <row r="35">
      <c r="A35" s="13" t="inlineStr">
        <is>
          <t>Elevator</t>
        </is>
      </c>
      <c r="B35" s="13" t="n">
        <v>19773</v>
      </c>
      <c r="C35" s="13" t="n">
        <v>23650</v>
      </c>
      <c r="D35" s="13" t="n">
        <v>3877</v>
      </c>
      <c r="E35" s="13" t="n">
        <v>19.61</v>
      </c>
    </row>
    <row r="36">
      <c r="A36" s="14" t="inlineStr">
        <is>
          <t>Noise</t>
        </is>
      </c>
      <c r="B36" s="14" t="n">
        <v>50163</v>
      </c>
      <c r="C36" s="14" t="n">
        <v>54031</v>
      </c>
      <c r="D36" s="14" t="n">
        <v>3868</v>
      </c>
      <c r="E36" s="14" t="n">
        <v>7.71</v>
      </c>
    </row>
    <row r="37">
      <c r="A37" s="13" t="inlineStr">
        <is>
          <t>Maintenance or Facility</t>
        </is>
      </c>
      <c r="B37" s="13" t="n">
        <v>21590</v>
      </c>
      <c r="C37" s="13" t="n">
        <v>25422</v>
      </c>
      <c r="D37" s="13" t="n">
        <v>3832</v>
      </c>
      <c r="E37" s="13" t="n">
        <v>17.75</v>
      </c>
    </row>
    <row r="38">
      <c r="A38" s="14" t="inlineStr">
        <is>
          <t>Traffic</t>
        </is>
      </c>
      <c r="B38" s="14" t="n">
        <v>12020</v>
      </c>
      <c r="C38" s="14" t="n">
        <v>8249</v>
      </c>
      <c r="D38" s="14" t="n">
        <v>-3771</v>
      </c>
      <c r="E38" s="14" t="n">
        <v>-31.37</v>
      </c>
    </row>
    <row r="39">
      <c r="A39" s="13" t="inlineStr">
        <is>
          <t>Overgrown Tree/Branches</t>
        </is>
      </c>
      <c r="B39" s="13" t="n">
        <v>16595</v>
      </c>
      <c r="C39" s="13" t="n">
        <v>20343</v>
      </c>
      <c r="D39" s="13" t="n">
        <v>3748</v>
      </c>
      <c r="E39" s="13" t="n">
        <v>22.59</v>
      </c>
    </row>
    <row r="40">
      <c r="A40" s="14" t="inlineStr">
        <is>
          <t>Residential Disposal Complaint</t>
        </is>
      </c>
      <c r="B40" s="14" t="n">
        <v>15740</v>
      </c>
      <c r="C40" s="14" t="n">
        <v>12084</v>
      </c>
      <c r="D40" s="14" t="n">
        <v>-3656</v>
      </c>
      <c r="E40" s="14" t="n">
        <v>-23.23</v>
      </c>
    </row>
    <row r="41">
      <c r="A41" s="13" t="inlineStr">
        <is>
          <t>Building/Use</t>
        </is>
      </c>
      <c r="B41" s="13" t="n">
        <v>20174</v>
      </c>
      <c r="C41" s="13" t="n">
        <v>23792</v>
      </c>
      <c r="D41" s="13" t="n">
        <v>3618</v>
      </c>
      <c r="E41" s="13" t="n">
        <v>17.93</v>
      </c>
    </row>
    <row r="42">
      <c r="A42" s="14" t="inlineStr">
        <is>
          <t>Homeless Person Assistance</t>
        </is>
      </c>
      <c r="B42" s="14" t="n">
        <v>33965</v>
      </c>
      <c r="C42" s="14" t="n">
        <v>30529</v>
      </c>
      <c r="D42" s="14" t="n">
        <v>-3436</v>
      </c>
      <c r="E42" s="14" t="n">
        <v>-10.12</v>
      </c>
    </row>
    <row r="43">
      <c r="A43" s="13" t="inlineStr">
        <is>
          <t>Illegal Dumping</t>
        </is>
      </c>
      <c r="B43" s="13" t="n">
        <v>36432</v>
      </c>
      <c r="C43" s="13" t="n">
        <v>33295</v>
      </c>
      <c r="D43" s="13" t="n">
        <v>-3137</v>
      </c>
      <c r="E43" s="13" t="n">
        <v>-8.609999999999999</v>
      </c>
    </row>
    <row r="44">
      <c r="A44" s="14" t="inlineStr">
        <is>
          <t>APPLIANCE</t>
        </is>
      </c>
      <c r="B44" s="14" t="n">
        <v>20492</v>
      </c>
      <c r="C44" s="14" t="n">
        <v>23439</v>
      </c>
      <c r="D44" s="14" t="n">
        <v>2947</v>
      </c>
      <c r="E44" s="14" t="n">
        <v>14.38</v>
      </c>
    </row>
    <row r="45">
      <c r="A45" s="13" t="inlineStr">
        <is>
          <t>Graffiti</t>
        </is>
      </c>
      <c r="B45" s="13" t="n">
        <v>19153</v>
      </c>
      <c r="C45" s="13" t="n">
        <v>16301</v>
      </c>
      <c r="D45" s="13" t="n">
        <v>-2852</v>
      </c>
      <c r="E45" s="13" t="n">
        <v>-14.89</v>
      </c>
    </row>
    <row r="46">
      <c r="A46" s="14" t="inlineStr">
        <is>
          <t>Highway Condition</t>
        </is>
      </c>
      <c r="B46" s="14" t="n">
        <v>3353</v>
      </c>
      <c r="C46" s="14" t="n">
        <v>6061</v>
      </c>
      <c r="D46" s="14" t="n">
        <v>2708</v>
      </c>
      <c r="E46" s="14" t="n">
        <v>80.76000000000001</v>
      </c>
    </row>
    <row r="47">
      <c r="A47" s="13" t="inlineStr">
        <is>
          <t>Mobile Food Vendor</t>
        </is>
      </c>
      <c r="B47" s="13" t="n">
        <v>5293</v>
      </c>
      <c r="C47" s="13" t="n">
        <v>2645</v>
      </c>
      <c r="D47" s="13" t="n">
        <v>-2648</v>
      </c>
      <c r="E47" s="13" t="n">
        <v>-50.03</v>
      </c>
    </row>
    <row r="48">
      <c r="A48" s="14" t="inlineStr">
        <is>
          <t>Smoking or Vaping</t>
        </is>
      </c>
      <c r="B48" s="14" t="n">
        <v>5202</v>
      </c>
      <c r="C48" s="14" t="n">
        <v>7623</v>
      </c>
      <c r="D48" s="14" t="n">
        <v>2421</v>
      </c>
      <c r="E48" s="14" t="n">
        <v>46.54</v>
      </c>
    </row>
    <row r="49">
      <c r="A49" s="13" t="inlineStr">
        <is>
          <t>New Tree Request</t>
        </is>
      </c>
      <c r="B49" s="13" t="n">
        <v>2984</v>
      </c>
      <c r="C49" s="13" t="n">
        <v>699</v>
      </c>
      <c r="D49" s="13" t="n">
        <v>-2285</v>
      </c>
      <c r="E49" s="13" t="n">
        <v>-76.58</v>
      </c>
    </row>
    <row r="50">
      <c r="A50" s="14" t="inlineStr">
        <is>
          <t>Water Conservation</t>
        </is>
      </c>
      <c r="B50" s="14" t="n">
        <v>3824</v>
      </c>
      <c r="C50" s="14" t="n">
        <v>6096</v>
      </c>
      <c r="D50" s="14" t="n">
        <v>2272</v>
      </c>
      <c r="E50" s="14" t="n">
        <v>59.41</v>
      </c>
    </row>
    <row r="51">
      <c r="A51" s="13" t="inlineStr">
        <is>
          <t>Construction Safety Enforcement</t>
        </is>
      </c>
      <c r="B51" s="13" t="n">
        <v>1</v>
      </c>
      <c r="C51" s="13" t="n">
        <v>2112</v>
      </c>
      <c r="D51" s="13" t="n">
        <v>2111</v>
      </c>
      <c r="E51" s="13" t="n">
        <v>211100</v>
      </c>
    </row>
    <row r="52">
      <c r="A52" s="14" t="inlineStr">
        <is>
          <t>Indoor Air Quality</t>
        </is>
      </c>
      <c r="B52" s="14" t="n">
        <v>7738</v>
      </c>
      <c r="C52" s="14" t="n">
        <v>9690</v>
      </c>
      <c r="D52" s="14" t="n">
        <v>1952</v>
      </c>
      <c r="E52" s="14" t="n">
        <v>25.23</v>
      </c>
    </row>
    <row r="53">
      <c r="A53" s="13" t="inlineStr">
        <is>
          <t>Consumer Complaint</t>
        </is>
      </c>
      <c r="B53" s="13" t="n">
        <v>16692</v>
      </c>
      <c r="C53" s="13" t="n">
        <v>18609</v>
      </c>
      <c r="D53" s="13" t="n">
        <v>1917</v>
      </c>
      <c r="E53" s="13" t="n">
        <v>11.48</v>
      </c>
    </row>
    <row r="54">
      <c r="A54" s="14" t="inlineStr">
        <is>
          <t>Outdoor Dining</t>
        </is>
      </c>
      <c r="B54" s="14" t="n">
        <v>4800</v>
      </c>
      <c r="C54" s="14" t="n">
        <v>2925</v>
      </c>
      <c r="D54" s="14" t="n">
        <v>-1875</v>
      </c>
      <c r="E54" s="14" t="n">
        <v>-39.06</v>
      </c>
    </row>
    <row r="55">
      <c r="A55" s="13" t="inlineStr">
        <is>
          <t>Taxi Complaint</t>
        </is>
      </c>
      <c r="B55" s="13" t="n">
        <v>7798</v>
      </c>
      <c r="C55" s="13" t="n">
        <v>9629</v>
      </c>
      <c r="D55" s="13" t="n">
        <v>1831</v>
      </c>
      <c r="E55" s="13" t="n">
        <v>23.48</v>
      </c>
    </row>
    <row r="56">
      <c r="A56" s="14" t="inlineStr">
        <is>
          <t>Panhandling</t>
        </is>
      </c>
      <c r="B56" s="14" t="n">
        <v>11971</v>
      </c>
      <c r="C56" s="14" t="n">
        <v>10143</v>
      </c>
      <c r="D56" s="14" t="n">
        <v>-1828</v>
      </c>
      <c r="E56" s="14" t="n">
        <v>-15.27</v>
      </c>
    </row>
    <row r="57">
      <c r="A57" s="13" t="inlineStr">
        <is>
          <t>Obstruction</t>
        </is>
      </c>
      <c r="B57" s="13" t="n">
        <v>17613</v>
      </c>
      <c r="C57" s="13" t="n">
        <v>19412</v>
      </c>
      <c r="D57" s="13" t="n">
        <v>1799</v>
      </c>
      <c r="E57" s="13" t="n">
        <v>10.21</v>
      </c>
    </row>
    <row r="58">
      <c r="A58" s="14" t="inlineStr">
        <is>
          <t>SAFETY</t>
        </is>
      </c>
      <c r="B58" s="14" t="n">
        <v>11675</v>
      </c>
      <c r="C58" s="14" t="n">
        <v>13404</v>
      </c>
      <c r="D58" s="14" t="n">
        <v>1729</v>
      </c>
      <c r="E58" s="14" t="n">
        <v>14.81</v>
      </c>
    </row>
    <row r="59">
      <c r="A59" s="13" t="inlineStr">
        <is>
          <t>Bike/Roller/Skate</t>
        </is>
      </c>
      <c r="B59" s="13" t="n">
        <v>0</v>
      </c>
      <c r="C59" s="13" t="n">
        <v>1579</v>
      </c>
      <c r="D59" s="13" t="n">
        <v>1579</v>
      </c>
      <c r="E59" s="13" t="n"/>
    </row>
    <row r="60">
      <c r="A60" s="14" t="inlineStr">
        <is>
          <t>Abandoned Vehicle</t>
        </is>
      </c>
      <c r="B60" s="14" t="n">
        <v>63291</v>
      </c>
      <c r="C60" s="14" t="n">
        <v>64814</v>
      </c>
      <c r="D60" s="14" t="n">
        <v>1523</v>
      </c>
      <c r="E60" s="14" t="n">
        <v>2.41</v>
      </c>
    </row>
    <row r="61">
      <c r="A61" s="13" t="inlineStr">
        <is>
          <t>Food Establishment</t>
        </is>
      </c>
      <c r="B61" s="13" t="n">
        <v>11501</v>
      </c>
      <c r="C61" s="13" t="n">
        <v>12905</v>
      </c>
      <c r="D61" s="13" t="n">
        <v>1404</v>
      </c>
      <c r="E61" s="13" t="n">
        <v>12.21</v>
      </c>
    </row>
    <row r="62">
      <c r="A62" s="14" t="inlineStr">
        <is>
          <t>Bike/Roller/Skate Chronic</t>
        </is>
      </c>
      <c r="B62" s="14" t="n">
        <v>1473</v>
      </c>
      <c r="C62" s="14" t="n">
        <v>275</v>
      </c>
      <c r="D62" s="14" t="n">
        <v>-1198</v>
      </c>
      <c r="E62" s="14" t="n">
        <v>-81.33</v>
      </c>
    </row>
    <row r="63">
      <c r="A63" s="13" t="inlineStr">
        <is>
          <t>Noise - Park</t>
        </is>
      </c>
      <c r="B63" s="13" t="n">
        <v>8628</v>
      </c>
      <c r="C63" s="13" t="n">
        <v>7434</v>
      </c>
      <c r="D63" s="13" t="n">
        <v>-1194</v>
      </c>
      <c r="E63" s="13" t="n">
        <v>-13.84</v>
      </c>
    </row>
    <row r="64">
      <c r="A64" s="14" t="inlineStr">
        <is>
          <t>Animal-Abuse</t>
        </is>
      </c>
      <c r="B64" s="14" t="n">
        <v>9271</v>
      </c>
      <c r="C64" s="14" t="n">
        <v>10452</v>
      </c>
      <c r="D64" s="14" t="n">
        <v>1181</v>
      </c>
      <c r="E64" s="14" t="n">
        <v>12.74</v>
      </c>
    </row>
    <row r="65">
      <c r="A65" s="13" t="inlineStr">
        <is>
          <t>Noise - Residential</t>
        </is>
      </c>
      <c r="B65" s="13" t="n">
        <v>401847</v>
      </c>
      <c r="C65" s="13" t="n">
        <v>400829</v>
      </c>
      <c r="D65" s="13" t="n">
        <v>-1018</v>
      </c>
      <c r="E65" s="13" t="n">
        <v>-0.25</v>
      </c>
    </row>
    <row r="66">
      <c r="A66" s="14" t="inlineStr">
        <is>
          <t>Wood Pile Remaining</t>
        </is>
      </c>
      <c r="B66" s="14" t="n">
        <v>627</v>
      </c>
      <c r="C66" s="14" t="n">
        <v>1625</v>
      </c>
      <c r="D66" s="14" t="n">
        <v>998</v>
      </c>
      <c r="E66" s="14" t="n">
        <v>159.17</v>
      </c>
    </row>
    <row r="67">
      <c r="A67" s="13" t="inlineStr">
        <is>
          <t>Curb Condition</t>
        </is>
      </c>
      <c r="B67" s="13" t="n">
        <v>7162</v>
      </c>
      <c r="C67" s="13" t="n">
        <v>8070</v>
      </c>
      <c r="D67" s="13" t="n">
        <v>908</v>
      </c>
      <c r="E67" s="13" t="n">
        <v>12.68</v>
      </c>
    </row>
    <row r="68">
      <c r="A68" s="14" t="inlineStr">
        <is>
          <t>Violation of Park Rules</t>
        </is>
      </c>
      <c r="B68" s="14" t="n">
        <v>3508</v>
      </c>
      <c r="C68" s="14" t="n">
        <v>4394</v>
      </c>
      <c r="D68" s="14" t="n">
        <v>886</v>
      </c>
      <c r="E68" s="14" t="n">
        <v>25.26</v>
      </c>
    </row>
    <row r="69">
      <c r="A69" s="13" t="inlineStr">
        <is>
          <t>Boilers</t>
        </is>
      </c>
      <c r="B69" s="13" t="n">
        <v>3120</v>
      </c>
      <c r="C69" s="13" t="n">
        <v>3982</v>
      </c>
      <c r="D69" s="13" t="n">
        <v>862</v>
      </c>
      <c r="E69" s="13" t="n">
        <v>27.63</v>
      </c>
    </row>
    <row r="70">
      <c r="A70" s="14" t="inlineStr">
        <is>
          <t>Dead/Dying Tree</t>
        </is>
      </c>
      <c r="B70" s="14" t="n">
        <v>9298</v>
      </c>
      <c r="C70" s="14" t="n">
        <v>10149</v>
      </c>
      <c r="D70" s="14" t="n">
        <v>851</v>
      </c>
      <c r="E70" s="14" t="n">
        <v>9.15</v>
      </c>
    </row>
    <row r="71">
      <c r="A71" s="13" t="inlineStr">
        <is>
          <t>Sidewalk Condition</t>
        </is>
      </c>
      <c r="B71" s="13" t="n">
        <v>23054</v>
      </c>
      <c r="C71" s="13" t="n">
        <v>23864</v>
      </c>
      <c r="D71" s="13" t="n">
        <v>810</v>
      </c>
      <c r="E71" s="13" t="n">
        <v>3.51</v>
      </c>
    </row>
    <row r="72">
      <c r="A72" s="14" t="inlineStr">
        <is>
          <t>Plumbing</t>
        </is>
      </c>
      <c r="B72" s="14" t="n">
        <v>2706</v>
      </c>
      <c r="C72" s="14" t="n">
        <v>3512</v>
      </c>
      <c r="D72" s="14" t="n">
        <v>806</v>
      </c>
      <c r="E72" s="14" t="n">
        <v>29.79</v>
      </c>
    </row>
    <row r="73">
      <c r="A73" s="13" t="inlineStr">
        <is>
          <t>Bus Stop Shelter Complaint</t>
        </is>
      </c>
      <c r="B73" s="13" t="n">
        <v>1047</v>
      </c>
      <c r="C73" s="13" t="n">
        <v>1846</v>
      </c>
      <c r="D73" s="13" t="n">
        <v>799</v>
      </c>
      <c r="E73" s="13" t="n">
        <v>76.31</v>
      </c>
    </row>
    <row r="74">
      <c r="A74" s="14" t="inlineStr">
        <is>
          <t>Illegal Tree Damage</t>
        </is>
      </c>
      <c r="B74" s="14" t="n">
        <v>4657</v>
      </c>
      <c r="C74" s="14" t="n">
        <v>5379</v>
      </c>
      <c r="D74" s="14" t="n">
        <v>722</v>
      </c>
      <c r="E74" s="14" t="n">
        <v>15.5</v>
      </c>
    </row>
    <row r="75">
      <c r="A75" s="13" t="inlineStr">
        <is>
          <t>School Maintenance</t>
        </is>
      </c>
      <c r="B75" s="13" t="n">
        <v>1695</v>
      </c>
      <c r="C75" s="13" t="n">
        <v>1045</v>
      </c>
      <c r="D75" s="13" t="n">
        <v>-650</v>
      </c>
      <c r="E75" s="13" t="n">
        <v>-38.35</v>
      </c>
    </row>
    <row r="76">
      <c r="A76" s="14" t="inlineStr">
        <is>
          <t>Lost Property</t>
        </is>
      </c>
      <c r="B76" s="14" t="n">
        <v>5801</v>
      </c>
      <c r="C76" s="14" t="n">
        <v>6394</v>
      </c>
      <c r="D76" s="14" t="n">
        <v>593</v>
      </c>
      <c r="E76" s="14" t="n">
        <v>10.22</v>
      </c>
    </row>
    <row r="77">
      <c r="A77" s="13" t="inlineStr">
        <is>
          <t>Street Sign - Damaged</t>
        </is>
      </c>
      <c r="B77" s="13" t="n">
        <v>4436</v>
      </c>
      <c r="C77" s="13" t="n">
        <v>5006</v>
      </c>
      <c r="D77" s="13" t="n">
        <v>570</v>
      </c>
      <c r="E77" s="13" t="n">
        <v>12.85</v>
      </c>
    </row>
    <row r="78">
      <c r="A78" s="14" t="inlineStr">
        <is>
          <t>Air Quality</t>
        </is>
      </c>
      <c r="B78" s="14" t="n">
        <v>9000</v>
      </c>
      <c r="C78" s="14" t="n">
        <v>8484</v>
      </c>
      <c r="D78" s="14" t="n">
        <v>-516</v>
      </c>
      <c r="E78" s="14" t="n">
        <v>-5.73</v>
      </c>
    </row>
    <row r="79">
      <c r="A79" s="13" t="inlineStr">
        <is>
          <t>Non-Residential Heat</t>
        </is>
      </c>
      <c r="B79" s="13" t="n">
        <v>1104</v>
      </c>
      <c r="C79" s="13" t="n">
        <v>1603</v>
      </c>
      <c r="D79" s="13" t="n">
        <v>499</v>
      </c>
      <c r="E79" s="13" t="n">
        <v>45.2</v>
      </c>
    </row>
    <row r="80">
      <c r="A80" s="14" t="inlineStr">
        <is>
          <t>ELEVATOR</t>
        </is>
      </c>
      <c r="B80" s="14" t="n">
        <v>1424</v>
      </c>
      <c r="C80" s="14" t="n">
        <v>1921</v>
      </c>
      <c r="D80" s="14" t="n">
        <v>497</v>
      </c>
      <c r="E80" s="14" t="n">
        <v>34.9</v>
      </c>
    </row>
    <row r="81">
      <c r="A81" s="13" t="inlineStr">
        <is>
          <t>Commercial Disposal Complaint</t>
        </is>
      </c>
      <c r="B81" s="13" t="n">
        <v>1799</v>
      </c>
      <c r="C81" s="13" t="n">
        <v>1308</v>
      </c>
      <c r="D81" s="13" t="n">
        <v>-491</v>
      </c>
      <c r="E81" s="13" t="n">
        <v>-27.29</v>
      </c>
    </row>
    <row r="82">
      <c r="A82" s="14" t="inlineStr">
        <is>
          <t>Drinking</t>
        </is>
      </c>
      <c r="B82" s="14" t="n">
        <v>4364</v>
      </c>
      <c r="C82" s="14" t="n">
        <v>3892</v>
      </c>
      <c r="D82" s="14" t="n">
        <v>-472</v>
      </c>
      <c r="E82" s="14" t="n">
        <v>-10.82</v>
      </c>
    </row>
    <row r="83">
      <c r="A83" s="13" t="inlineStr">
        <is>
          <t>Unsanitary Animal Pvt Property</t>
        </is>
      </c>
      <c r="B83" s="13" t="n">
        <v>2368</v>
      </c>
      <c r="C83" s="13" t="n">
        <v>2810</v>
      </c>
      <c r="D83" s="13" t="n">
        <v>442</v>
      </c>
      <c r="E83" s="13" t="n">
        <v>18.67</v>
      </c>
    </row>
    <row r="84">
      <c r="A84" s="14" t="inlineStr">
        <is>
          <t>Electrical</t>
        </is>
      </c>
      <c r="B84" s="14" t="n">
        <v>1896</v>
      </c>
      <c r="C84" s="14" t="n">
        <v>2316</v>
      </c>
      <c r="D84" s="14" t="n">
        <v>420</v>
      </c>
      <c r="E84" s="14" t="n">
        <v>22.15</v>
      </c>
    </row>
    <row r="85">
      <c r="A85" s="13" t="inlineStr">
        <is>
          <t>Hazardous Material</t>
        </is>
      </c>
      <c r="B85" s="13" t="n">
        <v>0</v>
      </c>
      <c r="C85" s="13" t="n">
        <v>385</v>
      </c>
      <c r="D85" s="13" t="n">
        <v>385</v>
      </c>
      <c r="E85" s="13" t="n"/>
    </row>
    <row r="86">
      <c r="A86" s="14" t="inlineStr">
        <is>
          <t>Street Sign - Dangling</t>
        </is>
      </c>
      <c r="B86" s="14" t="n">
        <v>3401</v>
      </c>
      <c r="C86" s="14" t="n">
        <v>3760</v>
      </c>
      <c r="D86" s="14" t="n">
        <v>359</v>
      </c>
      <c r="E86" s="14" t="n">
        <v>10.56</v>
      </c>
    </row>
    <row r="87">
      <c r="A87" s="13" t="inlineStr">
        <is>
          <t>Hazardous Materials</t>
        </is>
      </c>
      <c r="B87" s="13" t="n">
        <v>2039</v>
      </c>
      <c r="C87" s="13" t="n">
        <v>1686</v>
      </c>
      <c r="D87" s="13" t="n">
        <v>-353</v>
      </c>
      <c r="E87" s="13" t="n">
        <v>-17.31</v>
      </c>
    </row>
    <row r="88">
      <c r="A88" s="14" t="inlineStr">
        <is>
          <t>Illegal Fireworks</t>
        </is>
      </c>
      <c r="B88" s="14" t="n">
        <v>11293</v>
      </c>
      <c r="C88" s="14" t="n">
        <v>10947</v>
      </c>
      <c r="D88" s="14" t="n">
        <v>-346</v>
      </c>
      <c r="E88" s="14" t="n">
        <v>-3.06</v>
      </c>
    </row>
    <row r="89">
      <c r="A89" s="13" t="inlineStr">
        <is>
          <t>Industrial Waste</t>
        </is>
      </c>
      <c r="B89" s="13" t="n">
        <v>721</v>
      </c>
      <c r="C89" s="13" t="n">
        <v>1038</v>
      </c>
      <c r="D89" s="13" t="n">
        <v>317</v>
      </c>
      <c r="E89" s="13" t="n">
        <v>43.97</v>
      </c>
    </row>
    <row r="90">
      <c r="A90" s="14" t="inlineStr">
        <is>
          <t>Emergency Response Team (ERT)</t>
        </is>
      </c>
      <c r="B90" s="14" t="n">
        <v>2870</v>
      </c>
      <c r="C90" s="14" t="n">
        <v>3183</v>
      </c>
      <c r="D90" s="14" t="n">
        <v>313</v>
      </c>
      <c r="E90" s="14" t="n">
        <v>10.91</v>
      </c>
    </row>
    <row r="91">
      <c r="A91" s="13" t="inlineStr">
        <is>
          <t>Urinating in Public</t>
        </is>
      </c>
      <c r="B91" s="13" t="n">
        <v>1160</v>
      </c>
      <c r="C91" s="13" t="n">
        <v>1470</v>
      </c>
      <c r="D91" s="13" t="n">
        <v>310</v>
      </c>
      <c r="E91" s="13" t="n">
        <v>26.72</v>
      </c>
    </row>
    <row r="92">
      <c r="A92" s="14" t="inlineStr">
        <is>
          <t>Noise - House of Worship</t>
        </is>
      </c>
      <c r="B92" s="14" t="n">
        <v>2385</v>
      </c>
      <c r="C92" s="14" t="n">
        <v>2688</v>
      </c>
      <c r="D92" s="14" t="n">
        <v>303</v>
      </c>
      <c r="E92" s="14" t="n">
        <v>12.7</v>
      </c>
    </row>
    <row r="93">
      <c r="A93" s="13" t="inlineStr">
        <is>
          <t>Dumpster Complaint</t>
        </is>
      </c>
      <c r="B93" s="13" t="n">
        <v>1703</v>
      </c>
      <c r="C93" s="13" t="n">
        <v>1977</v>
      </c>
      <c r="D93" s="13" t="n">
        <v>274</v>
      </c>
      <c r="E93" s="13" t="n">
        <v>16.09</v>
      </c>
    </row>
    <row r="94">
      <c r="A94" s="14" t="inlineStr">
        <is>
          <t>Broken Parking Meter</t>
        </is>
      </c>
      <c r="B94" s="14" t="n">
        <v>2787</v>
      </c>
      <c r="C94" s="14" t="n">
        <v>2522</v>
      </c>
      <c r="D94" s="14" t="n">
        <v>-265</v>
      </c>
      <c r="E94" s="14" t="n">
        <v>-9.51</v>
      </c>
    </row>
    <row r="95">
      <c r="A95" s="13" t="inlineStr">
        <is>
          <t>OUTSIDE BUILDING</t>
        </is>
      </c>
      <c r="B95" s="13" t="n">
        <v>807</v>
      </c>
      <c r="C95" s="13" t="n">
        <v>1041</v>
      </c>
      <c r="D95" s="13" t="n">
        <v>234</v>
      </c>
      <c r="E95" s="13" t="n">
        <v>29</v>
      </c>
    </row>
    <row r="96">
      <c r="A96" s="14" t="inlineStr">
        <is>
          <t>Street Sweeping Complaint</t>
        </is>
      </c>
      <c r="B96" s="14" t="n">
        <v>7072</v>
      </c>
      <c r="C96" s="14" t="n">
        <v>7305</v>
      </c>
      <c r="D96" s="14" t="n">
        <v>233</v>
      </c>
      <c r="E96" s="14" t="n">
        <v>3.29</v>
      </c>
    </row>
    <row r="97">
      <c r="A97" s="13" t="inlineStr">
        <is>
          <t>Bridge Condition</t>
        </is>
      </c>
      <c r="B97" s="13" t="n">
        <v>232</v>
      </c>
      <c r="C97" s="13" t="n">
        <v>451</v>
      </c>
      <c r="D97" s="13" t="n">
        <v>219</v>
      </c>
      <c r="E97" s="13" t="n">
        <v>94.40000000000001</v>
      </c>
    </row>
    <row r="98">
      <c r="A98" s="14" t="inlineStr">
        <is>
          <t>Street Sign - Missing</t>
        </is>
      </c>
      <c r="B98" s="14" t="n">
        <v>3000</v>
      </c>
      <c r="C98" s="14" t="n">
        <v>3213</v>
      </c>
      <c r="D98" s="14" t="n">
        <v>213</v>
      </c>
      <c r="E98" s="14" t="n">
        <v>7.1</v>
      </c>
    </row>
    <row r="99">
      <c r="A99" s="13" t="inlineStr">
        <is>
          <t>For Hire Vehicle Report</t>
        </is>
      </c>
      <c r="B99" s="13" t="n">
        <v>390</v>
      </c>
      <c r="C99" s="13" t="n">
        <v>597</v>
      </c>
      <c r="D99" s="13" t="n">
        <v>207</v>
      </c>
      <c r="E99" s="13" t="n">
        <v>53.08</v>
      </c>
    </row>
    <row r="100">
      <c r="A100" s="14" t="inlineStr">
        <is>
          <t>Asbestos</t>
        </is>
      </c>
      <c r="B100" s="14" t="n">
        <v>1296</v>
      </c>
      <c r="C100" s="14" t="n">
        <v>1497</v>
      </c>
      <c r="D100" s="14" t="n">
        <v>201</v>
      </c>
      <c r="E100" s="14" t="n">
        <v>15.51</v>
      </c>
    </row>
    <row r="101">
      <c r="A101" s="13" t="inlineStr">
        <is>
          <t>Standing Water</t>
        </is>
      </c>
      <c r="B101" s="13" t="n">
        <v>1142</v>
      </c>
      <c r="C101" s="13" t="n">
        <v>1328</v>
      </c>
      <c r="D101" s="13" t="n">
        <v>186</v>
      </c>
      <c r="E101" s="13" t="n">
        <v>16.29</v>
      </c>
    </row>
    <row r="102">
      <c r="A102" s="14" t="inlineStr">
        <is>
          <t>Mosquitoes</t>
        </is>
      </c>
      <c r="B102" s="14" t="n">
        <v>259</v>
      </c>
      <c r="C102" s="14" t="n">
        <v>441</v>
      </c>
      <c r="D102" s="14" t="n">
        <v>182</v>
      </c>
      <c r="E102" s="14" t="n">
        <v>70.27</v>
      </c>
    </row>
    <row r="103">
      <c r="A103" s="13" t="inlineStr">
        <is>
          <t>Abandoned Bike</t>
        </is>
      </c>
      <c r="B103" s="13" t="n">
        <v>2133</v>
      </c>
      <c r="C103" s="13" t="n">
        <v>1956</v>
      </c>
      <c r="D103" s="13" t="n">
        <v>-177</v>
      </c>
      <c r="E103" s="13" t="n">
        <v>-8.300000000000001</v>
      </c>
    </row>
    <row r="104">
      <c r="A104" s="14" t="inlineStr">
        <is>
          <t>Food Poisoning</t>
        </is>
      </c>
      <c r="B104" s="14" t="n">
        <v>3018</v>
      </c>
      <c r="C104" s="14" t="n">
        <v>2842</v>
      </c>
      <c r="D104" s="14" t="n">
        <v>-176</v>
      </c>
      <c r="E104" s="14" t="n">
        <v>-5.83</v>
      </c>
    </row>
    <row r="105">
      <c r="A105" s="13" t="inlineStr">
        <is>
          <t>Green Infrastructure</t>
        </is>
      </c>
      <c r="B105" s="13" t="n">
        <v>0</v>
      </c>
      <c r="C105" s="13" t="n">
        <v>174</v>
      </c>
      <c r="D105" s="13" t="n">
        <v>174</v>
      </c>
      <c r="E105" s="13" t="n"/>
    </row>
    <row r="106">
      <c r="A106" s="14" t="inlineStr">
        <is>
          <t>Encampment</t>
        </is>
      </c>
      <c r="B106" s="14" t="n">
        <v>42703</v>
      </c>
      <c r="C106" s="14" t="n">
        <v>42862</v>
      </c>
      <c r="D106" s="14" t="n">
        <v>159</v>
      </c>
      <c r="E106" s="14" t="n">
        <v>0.37</v>
      </c>
    </row>
    <row r="107">
      <c r="A107" s="13" t="inlineStr">
        <is>
          <t>Sanitation Worker or Vehicle Complaint</t>
        </is>
      </c>
      <c r="B107" s="13" t="n">
        <v>2844</v>
      </c>
      <c r="C107" s="13" t="n">
        <v>3001</v>
      </c>
      <c r="D107" s="13" t="n">
        <v>157</v>
      </c>
      <c r="E107" s="13" t="n">
        <v>5.52</v>
      </c>
    </row>
    <row r="108">
      <c r="A108" s="14" t="inlineStr">
        <is>
          <t>Indoor Sewage</t>
        </is>
      </c>
      <c r="B108" s="14" t="n">
        <v>479</v>
      </c>
      <c r="C108" s="14" t="n">
        <v>634</v>
      </c>
      <c r="D108" s="14" t="n">
        <v>155</v>
      </c>
      <c r="E108" s="14" t="n">
        <v>32.36</v>
      </c>
    </row>
    <row r="109">
      <c r="A109" s="13" t="inlineStr">
        <is>
          <t>E-Scooter</t>
        </is>
      </c>
      <c r="B109" s="13" t="n">
        <v>563</v>
      </c>
      <c r="C109" s="13" t="n">
        <v>410</v>
      </c>
      <c r="D109" s="13" t="n">
        <v>-153</v>
      </c>
      <c r="E109" s="13" t="n">
        <v>-27.18</v>
      </c>
    </row>
    <row r="110">
      <c r="A110" s="14" t="inlineStr">
        <is>
          <t>Special Operations</t>
        </is>
      </c>
      <c r="B110" s="14" t="n">
        <v>2</v>
      </c>
      <c r="C110" s="14" t="n">
        <v>155</v>
      </c>
      <c r="D110" s="14" t="n">
        <v>153</v>
      </c>
      <c r="E110" s="14" t="n">
        <v>7650</v>
      </c>
    </row>
    <row r="111">
      <c r="A111" s="13" t="inlineStr">
        <is>
          <t>Litter Basket Request</t>
        </is>
      </c>
      <c r="B111" s="13" t="n">
        <v>3701</v>
      </c>
      <c r="C111" s="13" t="n">
        <v>3549</v>
      </c>
      <c r="D111" s="13" t="n">
        <v>-152</v>
      </c>
      <c r="E111" s="13" t="n">
        <v>-4.11</v>
      </c>
    </row>
    <row r="112">
      <c r="A112" s="14" t="inlineStr">
        <is>
          <t>For Hire Vehicle Complaint</t>
        </is>
      </c>
      <c r="B112" s="14" t="n">
        <v>17944</v>
      </c>
      <c r="C112" s="14" t="n">
        <v>17799</v>
      </c>
      <c r="D112" s="14" t="n">
        <v>-145</v>
      </c>
      <c r="E112" s="14" t="n">
        <v>-0.8100000000000001</v>
      </c>
    </row>
    <row r="113">
      <c r="A113" s="13" t="inlineStr">
        <is>
          <t>Animal in a Park</t>
        </is>
      </c>
      <c r="B113" s="13" t="n">
        <v>5108</v>
      </c>
      <c r="C113" s="13" t="n">
        <v>5252</v>
      </c>
      <c r="D113" s="13" t="n">
        <v>144</v>
      </c>
      <c r="E113" s="13" t="n">
        <v>2.82</v>
      </c>
    </row>
    <row r="114">
      <c r="A114" s="14" t="inlineStr">
        <is>
          <t>Bike Rack</t>
        </is>
      </c>
      <c r="B114" s="14" t="n">
        <v>524</v>
      </c>
      <c r="C114" s="14" t="n">
        <v>665</v>
      </c>
      <c r="D114" s="14" t="n">
        <v>141</v>
      </c>
      <c r="E114" s="14" t="n">
        <v>26.91</v>
      </c>
    </row>
    <row r="115">
      <c r="A115" s="13" t="inlineStr">
        <is>
          <t>Root/Sewer/Sidewalk Condition</t>
        </is>
      </c>
      <c r="B115" s="13" t="n">
        <v>9253</v>
      </c>
      <c r="C115" s="13" t="n">
        <v>9114</v>
      </c>
      <c r="D115" s="13" t="n">
        <v>-139</v>
      </c>
      <c r="E115" s="13" t="n">
        <v>-1.5</v>
      </c>
    </row>
    <row r="116">
      <c r="A116" s="14" t="inlineStr">
        <is>
          <t>Real Time Enforcement</t>
        </is>
      </c>
      <c r="B116" s="14" t="n">
        <v>5586</v>
      </c>
      <c r="C116" s="14" t="n">
        <v>5719</v>
      </c>
      <c r="D116" s="14" t="n">
        <v>133</v>
      </c>
      <c r="E116" s="14" t="n">
        <v>2.38</v>
      </c>
    </row>
    <row r="117">
      <c r="A117" s="13" t="inlineStr">
        <is>
          <t>Pet Sale</t>
        </is>
      </c>
      <c r="B117" s="13" t="n">
        <v>102</v>
      </c>
      <c r="C117" s="13" t="n">
        <v>234</v>
      </c>
      <c r="D117" s="13" t="n">
        <v>132</v>
      </c>
      <c r="E117" s="13" t="n">
        <v>129.41</v>
      </c>
    </row>
    <row r="118">
      <c r="A118" s="14" t="inlineStr">
        <is>
          <t>Investigations and Discipline (IAD)</t>
        </is>
      </c>
      <c r="B118" s="14" t="n">
        <v>557</v>
      </c>
      <c r="C118" s="14" t="n">
        <v>682</v>
      </c>
      <c r="D118" s="14" t="n">
        <v>125</v>
      </c>
      <c r="E118" s="14" t="n">
        <v>22.44</v>
      </c>
    </row>
    <row r="119">
      <c r="A119" s="13" t="inlineStr">
        <is>
          <t>Non-Emergency Police Matter</t>
        </is>
      </c>
      <c r="B119" s="13" t="n">
        <v>22065</v>
      </c>
      <c r="C119" s="13" t="n">
        <v>22168</v>
      </c>
      <c r="D119" s="13" t="n">
        <v>103</v>
      </c>
      <c r="E119" s="13" t="n">
        <v>0.47</v>
      </c>
    </row>
    <row r="120">
      <c r="A120" s="14" t="inlineStr">
        <is>
          <t>Dead Animal</t>
        </is>
      </c>
      <c r="B120" s="14" t="n">
        <v>9603</v>
      </c>
      <c r="C120" s="14" t="n">
        <v>9705</v>
      </c>
      <c r="D120" s="14" t="n">
        <v>102</v>
      </c>
      <c r="E120" s="14" t="n">
        <v>1.06</v>
      </c>
    </row>
    <row r="121">
      <c r="A121" s="13" t="inlineStr">
        <is>
          <t>Uprooted Stump</t>
        </is>
      </c>
      <c r="B121" s="13" t="n">
        <v>240</v>
      </c>
      <c r="C121" s="13" t="n">
        <v>337</v>
      </c>
      <c r="D121" s="13" t="n">
        <v>97</v>
      </c>
      <c r="E121" s="13" t="n">
        <v>40.42</v>
      </c>
    </row>
    <row r="122">
      <c r="A122" s="14" t="inlineStr">
        <is>
          <t>Pet Shop</t>
        </is>
      </c>
      <c r="B122" s="14" t="n">
        <v>94</v>
      </c>
      <c r="C122" s="14" t="n">
        <v>0</v>
      </c>
      <c r="D122" s="14" t="n">
        <v>-94</v>
      </c>
      <c r="E122" s="14" t="n">
        <v>-100</v>
      </c>
    </row>
    <row r="123">
      <c r="A123" s="13" t="inlineStr">
        <is>
          <t>Harboring Bees/Wasps</t>
        </is>
      </c>
      <c r="B123" s="13" t="n">
        <v>426</v>
      </c>
      <c r="C123" s="13" t="n">
        <v>333</v>
      </c>
      <c r="D123" s="13" t="n">
        <v>-93</v>
      </c>
      <c r="E123" s="13" t="n">
        <v>-21.83</v>
      </c>
    </row>
    <row r="124">
      <c r="A124" s="14" t="inlineStr">
        <is>
          <t>Bus Stop Shelter Placement</t>
        </is>
      </c>
      <c r="B124" s="14" t="n">
        <v>199</v>
      </c>
      <c r="C124" s="14" t="n">
        <v>282</v>
      </c>
      <c r="D124" s="14" t="n">
        <v>83</v>
      </c>
      <c r="E124" s="14" t="n">
        <v>41.71</v>
      </c>
    </row>
    <row r="125">
      <c r="A125" s="13" t="inlineStr">
        <is>
          <t>Day Care</t>
        </is>
      </c>
      <c r="B125" s="13" t="n">
        <v>1461</v>
      </c>
      <c r="C125" s="13" t="n">
        <v>1543</v>
      </c>
      <c r="D125" s="13" t="n">
        <v>82</v>
      </c>
      <c r="E125" s="13" t="n">
        <v>5.61</v>
      </c>
    </row>
    <row r="126">
      <c r="A126" s="14" t="inlineStr">
        <is>
          <t>Water Quality</t>
        </is>
      </c>
      <c r="B126" s="14" t="n">
        <v>1208</v>
      </c>
      <c r="C126" s="14" t="n">
        <v>1131</v>
      </c>
      <c r="D126" s="14" t="n">
        <v>-77</v>
      </c>
      <c r="E126" s="14" t="n">
        <v>-6.37</v>
      </c>
    </row>
    <row r="127">
      <c r="A127" s="13" t="inlineStr">
        <is>
          <t>Special Projects Inspection Team (SPIT)</t>
        </is>
      </c>
      <c r="B127" s="13" t="n">
        <v>3558</v>
      </c>
      <c r="C127" s="13" t="n">
        <v>3635</v>
      </c>
      <c r="D127" s="13" t="n">
        <v>77</v>
      </c>
      <c r="E127" s="13" t="n">
        <v>2.16</v>
      </c>
    </row>
    <row r="128">
      <c r="A128" s="14" t="inlineStr">
        <is>
          <t>Unsanitary Pigeon Condition</t>
        </is>
      </c>
      <c r="B128" s="14" t="n">
        <v>1571</v>
      </c>
      <c r="C128" s="14" t="n">
        <v>1645</v>
      </c>
      <c r="D128" s="14" t="n">
        <v>74</v>
      </c>
      <c r="E128" s="14" t="n">
        <v>4.71</v>
      </c>
    </row>
    <row r="129">
      <c r="A129" s="13" t="inlineStr">
        <is>
          <t>LinkNYC</t>
        </is>
      </c>
      <c r="B129" s="13" t="n">
        <v>170</v>
      </c>
      <c r="C129" s="13" t="n">
        <v>234</v>
      </c>
      <c r="D129" s="13" t="n">
        <v>64</v>
      </c>
      <c r="E129" s="13" t="n">
        <v>37.65</v>
      </c>
    </row>
    <row r="130">
      <c r="A130" s="14" t="inlineStr">
        <is>
          <t>AHV Inspection Unit</t>
        </is>
      </c>
      <c r="B130" s="14" t="n">
        <v>30</v>
      </c>
      <c r="C130" s="14" t="n">
        <v>93</v>
      </c>
      <c r="D130" s="14" t="n">
        <v>63</v>
      </c>
      <c r="E130" s="14" t="n">
        <v>210</v>
      </c>
    </row>
    <row r="131">
      <c r="A131" s="13" t="inlineStr">
        <is>
          <t>Illegal Posting</t>
        </is>
      </c>
      <c r="B131" s="13" t="n">
        <v>5079</v>
      </c>
      <c r="C131" s="13" t="n">
        <v>5017</v>
      </c>
      <c r="D131" s="13" t="n">
        <v>-62</v>
      </c>
      <c r="E131" s="13" t="n">
        <v>-1.22</v>
      </c>
    </row>
    <row r="132">
      <c r="A132" s="14" t="inlineStr">
        <is>
          <t>Disorderly Youth</t>
        </is>
      </c>
      <c r="B132" s="14" t="n">
        <v>246</v>
      </c>
      <c r="C132" s="14" t="n">
        <v>185</v>
      </c>
      <c r="D132" s="14" t="n">
        <v>-61</v>
      </c>
      <c r="E132" s="14" t="n">
        <v>-24.8</v>
      </c>
    </row>
    <row r="133">
      <c r="A133" s="13" t="inlineStr">
        <is>
          <t>Taxi Report</t>
        </is>
      </c>
      <c r="B133" s="13" t="n">
        <v>687</v>
      </c>
      <c r="C133" s="13" t="n">
        <v>743</v>
      </c>
      <c r="D133" s="13" t="n">
        <v>56</v>
      </c>
      <c r="E133" s="13" t="n">
        <v>8.15</v>
      </c>
    </row>
    <row r="134">
      <c r="A134" s="14" t="inlineStr">
        <is>
          <t>Unleashed Dog</t>
        </is>
      </c>
      <c r="B134" s="14" t="n">
        <v>1614</v>
      </c>
      <c r="C134" s="14" t="n">
        <v>1659</v>
      </c>
      <c r="D134" s="14" t="n">
        <v>45</v>
      </c>
      <c r="E134" s="14" t="n">
        <v>2.79</v>
      </c>
    </row>
    <row r="135">
      <c r="A135" s="13" t="inlineStr">
        <is>
          <t>Noise - Street/Sidewalk</t>
        </is>
      </c>
      <c r="B135" s="13" t="n">
        <v>155344</v>
      </c>
      <c r="C135" s="13" t="n">
        <v>155301</v>
      </c>
      <c r="D135" s="13" t="n">
        <v>-43</v>
      </c>
      <c r="E135" s="13" t="n">
        <v>-0.03</v>
      </c>
    </row>
    <row r="136">
      <c r="A136" s="14" t="inlineStr">
        <is>
          <t>Construction Lead Dust</t>
        </is>
      </c>
      <c r="B136" s="14" t="n">
        <v>1207</v>
      </c>
      <c r="C136" s="14" t="n">
        <v>1250</v>
      </c>
      <c r="D136" s="14" t="n">
        <v>43</v>
      </c>
      <c r="E136" s="14" t="n">
        <v>3.56</v>
      </c>
    </row>
    <row r="137">
      <c r="A137" s="13" t="inlineStr">
        <is>
          <t>Litter Basket Complaint</t>
        </is>
      </c>
      <c r="B137" s="13" t="n">
        <v>1237</v>
      </c>
      <c r="C137" s="13" t="n">
        <v>1279</v>
      </c>
      <c r="D137" s="13" t="n">
        <v>42</v>
      </c>
      <c r="E137" s="13" t="n">
        <v>3.4</v>
      </c>
    </row>
    <row r="138">
      <c r="A138" s="14" t="inlineStr">
        <is>
          <t>Mold</t>
        </is>
      </c>
      <c r="B138" s="14" t="n">
        <v>371</v>
      </c>
      <c r="C138" s="14" t="n">
        <v>331</v>
      </c>
      <c r="D138" s="14" t="n">
        <v>-40</v>
      </c>
      <c r="E138" s="14" t="n">
        <v>-10.78</v>
      </c>
    </row>
    <row r="139">
      <c r="A139" s="13" t="inlineStr">
        <is>
          <t>Cooling Tower</t>
        </is>
      </c>
      <c r="B139" s="13" t="n">
        <v>28</v>
      </c>
      <c r="C139" s="13" t="n">
        <v>67</v>
      </c>
      <c r="D139" s="13" t="n">
        <v>39</v>
      </c>
      <c r="E139" s="13" t="n">
        <v>139.29</v>
      </c>
    </row>
    <row r="140">
      <c r="A140" s="14" t="inlineStr">
        <is>
          <t>Unspecified</t>
        </is>
      </c>
      <c r="B140" s="14" t="n">
        <v>39</v>
      </c>
      <c r="C140" s="14" t="n">
        <v>1</v>
      </c>
      <c r="D140" s="14" t="n">
        <v>-38</v>
      </c>
      <c r="E140" s="14" t="n">
        <v>-97.44</v>
      </c>
    </row>
    <row r="141">
      <c r="A141" s="13" t="inlineStr">
        <is>
          <t>Poison Ivy</t>
        </is>
      </c>
      <c r="B141" s="13" t="n">
        <v>118</v>
      </c>
      <c r="C141" s="13" t="n">
        <v>156</v>
      </c>
      <c r="D141" s="13" t="n">
        <v>38</v>
      </c>
      <c r="E141" s="13" t="n">
        <v>32.2</v>
      </c>
    </row>
    <row r="142">
      <c r="A142" s="14" t="inlineStr">
        <is>
          <t>Tattooing</t>
        </is>
      </c>
      <c r="B142" s="14" t="n">
        <v>183</v>
      </c>
      <c r="C142" s="14" t="n">
        <v>218</v>
      </c>
      <c r="D142" s="14" t="n">
        <v>35</v>
      </c>
      <c r="E142" s="14" t="n">
        <v>19.13</v>
      </c>
    </row>
    <row r="143">
      <c r="A143" s="13" t="inlineStr">
        <is>
          <t>Ferry Inquiry</t>
        </is>
      </c>
      <c r="B143" s="13" t="n">
        <v>330</v>
      </c>
      <c r="C143" s="13" t="n">
        <v>364</v>
      </c>
      <c r="D143" s="13" t="n">
        <v>34</v>
      </c>
      <c r="E143" s="13" t="n">
        <v>10.3</v>
      </c>
    </row>
    <row r="144">
      <c r="A144" s="14" t="inlineStr">
        <is>
          <t>Municipal Parking Facility</t>
        </is>
      </c>
      <c r="B144" s="14" t="n">
        <v>39</v>
      </c>
      <c r="C144" s="14" t="n">
        <v>72</v>
      </c>
      <c r="D144" s="14" t="n">
        <v>33</v>
      </c>
      <c r="E144" s="14" t="n">
        <v>84.62</v>
      </c>
    </row>
    <row r="145">
      <c r="A145" s="13" t="inlineStr">
        <is>
          <t>Tobacco or Non-Tobacco Sale</t>
        </is>
      </c>
      <c r="B145" s="13" t="n">
        <v>92</v>
      </c>
      <c r="C145" s="13" t="n">
        <v>125</v>
      </c>
      <c r="D145" s="13" t="n">
        <v>33</v>
      </c>
      <c r="E145" s="13" t="n">
        <v>35.87</v>
      </c>
    </row>
    <row r="146">
      <c r="A146" s="14" t="inlineStr">
        <is>
          <t>Bench</t>
        </is>
      </c>
      <c r="B146" s="14" t="n">
        <v>93</v>
      </c>
      <c r="C146" s="14" t="n">
        <v>124</v>
      </c>
      <c r="D146" s="14" t="n">
        <v>31</v>
      </c>
      <c r="E146" s="14" t="n">
        <v>33.33</v>
      </c>
    </row>
    <row r="147">
      <c r="A147" s="13" t="inlineStr">
        <is>
          <t>Lot Condition</t>
        </is>
      </c>
      <c r="B147" s="13" t="n">
        <v>1440</v>
      </c>
      <c r="C147" s="13" t="n">
        <v>1471</v>
      </c>
      <c r="D147" s="13" t="n">
        <v>31</v>
      </c>
      <c r="E147" s="13" t="n">
        <v>2.15</v>
      </c>
    </row>
    <row r="148">
      <c r="A148" s="14" t="inlineStr">
        <is>
          <t>Ferry Complaint</t>
        </is>
      </c>
      <c r="B148" s="14" t="n">
        <v>157</v>
      </c>
      <c r="C148" s="14" t="n">
        <v>186</v>
      </c>
      <c r="D148" s="14" t="n">
        <v>29</v>
      </c>
      <c r="E148" s="14" t="n">
        <v>18.47</v>
      </c>
    </row>
    <row r="149">
      <c r="A149" s="13" t="inlineStr">
        <is>
          <t>SNW</t>
        </is>
      </c>
      <c r="B149" s="13" t="n">
        <v>6</v>
      </c>
      <c r="C149" s="13" t="n">
        <v>33</v>
      </c>
      <c r="D149" s="13" t="n">
        <v>27</v>
      </c>
      <c r="E149" s="13" t="n">
        <v>450</v>
      </c>
    </row>
    <row r="150">
      <c r="A150" s="14" t="inlineStr">
        <is>
          <t>Building Drinking Water Tank</t>
        </is>
      </c>
      <c r="B150" s="14" t="n">
        <v>45</v>
      </c>
      <c r="C150" s="14" t="n">
        <v>70</v>
      </c>
      <c r="D150" s="14" t="n">
        <v>25</v>
      </c>
      <c r="E150" s="14" t="n">
        <v>55.56</v>
      </c>
    </row>
    <row r="151">
      <c r="A151" s="13" t="inlineStr">
        <is>
          <t>Posting Advertisement</t>
        </is>
      </c>
      <c r="B151" s="13" t="n">
        <v>141</v>
      </c>
      <c r="C151" s="13" t="n">
        <v>117</v>
      </c>
      <c r="D151" s="13" t="n">
        <v>-24</v>
      </c>
      <c r="E151" s="13" t="n">
        <v>-17.02</v>
      </c>
    </row>
    <row r="152">
      <c r="A152" s="14" t="inlineStr">
        <is>
          <t>Illegal Animal Kept as Pet</t>
        </is>
      </c>
      <c r="B152" s="14" t="n">
        <v>584</v>
      </c>
      <c r="C152" s="14" t="n">
        <v>560</v>
      </c>
      <c r="D152" s="14" t="n">
        <v>-24</v>
      </c>
      <c r="E152" s="14" t="n">
        <v>-4.11</v>
      </c>
    </row>
    <row r="153">
      <c r="A153" s="13" t="inlineStr">
        <is>
          <t>Scaffold Safety</t>
        </is>
      </c>
      <c r="B153" s="13" t="n">
        <v>154</v>
      </c>
      <c r="C153" s="13" t="n">
        <v>130</v>
      </c>
      <c r="D153" s="13" t="n">
        <v>-24</v>
      </c>
      <c r="E153" s="13" t="n">
        <v>-15.58</v>
      </c>
    </row>
    <row r="154">
      <c r="A154" s="14" t="inlineStr">
        <is>
          <t>Highway Sign - Damaged</t>
        </is>
      </c>
      <c r="B154" s="14" t="n">
        <v>92</v>
      </c>
      <c r="C154" s="14" t="n">
        <v>69</v>
      </c>
      <c r="D154" s="14" t="n">
        <v>-23</v>
      </c>
      <c r="E154" s="14" t="n">
        <v>-25</v>
      </c>
    </row>
    <row r="155">
      <c r="A155" s="13" t="inlineStr">
        <is>
          <t>Taxi Compliment</t>
        </is>
      </c>
      <c r="B155" s="13" t="n">
        <v>84</v>
      </c>
      <c r="C155" s="13" t="n">
        <v>106</v>
      </c>
      <c r="D155" s="13" t="n">
        <v>22</v>
      </c>
      <c r="E155" s="13" t="n">
        <v>26.19</v>
      </c>
    </row>
    <row r="156">
      <c r="A156" s="14" t="inlineStr">
        <is>
          <t>Public Toilet</t>
        </is>
      </c>
      <c r="B156" s="14" t="n">
        <v>35</v>
      </c>
      <c r="C156" s="14" t="n">
        <v>55</v>
      </c>
      <c r="D156" s="14" t="n">
        <v>20</v>
      </c>
      <c r="E156" s="14" t="n">
        <v>57.14</v>
      </c>
    </row>
    <row r="157">
      <c r="A157" s="13" t="inlineStr">
        <is>
          <t>Drinking Water</t>
        </is>
      </c>
      <c r="B157" s="13" t="n">
        <v>346</v>
      </c>
      <c r="C157" s="13" t="n">
        <v>326</v>
      </c>
      <c r="D157" s="13" t="n">
        <v>-20</v>
      </c>
      <c r="E157" s="13" t="n">
        <v>-5.78</v>
      </c>
    </row>
    <row r="158">
      <c r="A158" s="14" t="inlineStr">
        <is>
          <t>Incorrect Data</t>
        </is>
      </c>
      <c r="B158" s="14" t="n">
        <v>47</v>
      </c>
      <c r="C158" s="14" t="n">
        <v>27</v>
      </c>
      <c r="D158" s="14" t="n">
        <v>-20</v>
      </c>
      <c r="E158" s="14" t="n">
        <v>-42.55</v>
      </c>
    </row>
    <row r="159">
      <c r="A159" s="13" t="inlineStr">
        <is>
          <t>Illegal Animal Sold</t>
        </is>
      </c>
      <c r="B159" s="13" t="n">
        <v>127</v>
      </c>
      <c r="C159" s="13" t="n">
        <v>108</v>
      </c>
      <c r="D159" s="13" t="n">
        <v>-19</v>
      </c>
      <c r="E159" s="13" t="n">
        <v>-14.96</v>
      </c>
    </row>
    <row r="160">
      <c r="A160" s="14" t="inlineStr">
        <is>
          <t>Waste Water Treatment Plant</t>
        </is>
      </c>
      <c r="B160" s="14" t="n">
        <v>0</v>
      </c>
      <c r="C160" s="14" t="n">
        <v>18</v>
      </c>
      <c r="D160" s="14" t="n">
        <v>18</v>
      </c>
      <c r="E160" s="14" t="n"/>
    </row>
    <row r="161">
      <c r="A161" s="13" t="inlineStr">
        <is>
          <t>Found Property</t>
        </is>
      </c>
      <c r="B161" s="13" t="n">
        <v>87</v>
      </c>
      <c r="C161" s="13" t="n">
        <v>70</v>
      </c>
      <c r="D161" s="13" t="n">
        <v>-17</v>
      </c>
      <c r="E161" s="13" t="n">
        <v>-19.54</v>
      </c>
    </row>
    <row r="162">
      <c r="A162" s="14" t="inlineStr">
        <is>
          <t>Building Marshal's Office</t>
        </is>
      </c>
      <c r="B162" s="14" t="n">
        <v>2</v>
      </c>
      <c r="C162" s="14" t="n">
        <v>18</v>
      </c>
      <c r="D162" s="14" t="n">
        <v>16</v>
      </c>
      <c r="E162" s="14" t="n">
        <v>800</v>
      </c>
    </row>
    <row r="163">
      <c r="A163" s="13" t="inlineStr">
        <is>
          <t>Borough Office</t>
        </is>
      </c>
      <c r="B163" s="13" t="n">
        <v>32</v>
      </c>
      <c r="C163" s="13" t="n">
        <v>16</v>
      </c>
      <c r="D163" s="13" t="n">
        <v>-16</v>
      </c>
      <c r="E163" s="13" t="n">
        <v>-50</v>
      </c>
    </row>
    <row r="164">
      <c r="A164" s="14" t="inlineStr">
        <is>
          <t>Plant</t>
        </is>
      </c>
      <c r="B164" s="14" t="n">
        <v>210</v>
      </c>
      <c r="C164" s="14" t="n">
        <v>195</v>
      </c>
      <c r="D164" s="14" t="n">
        <v>-15</v>
      </c>
      <c r="E164" s="14" t="n">
        <v>-7.14</v>
      </c>
    </row>
    <row r="165">
      <c r="A165" s="13" t="inlineStr">
        <is>
          <t>Special Natural Area District (SNAD)</t>
        </is>
      </c>
      <c r="B165" s="13" t="n">
        <v>44</v>
      </c>
      <c r="C165" s="13" t="n">
        <v>32</v>
      </c>
      <c r="D165" s="13" t="n">
        <v>-12</v>
      </c>
      <c r="E165" s="13" t="n">
        <v>-27.27</v>
      </c>
    </row>
    <row r="166">
      <c r="A166" s="14" t="inlineStr">
        <is>
          <t>Window Guard</t>
        </is>
      </c>
      <c r="B166" s="14" t="n">
        <v>13</v>
      </c>
      <c r="C166" s="14" t="n">
        <v>25</v>
      </c>
      <c r="D166" s="14" t="n">
        <v>12</v>
      </c>
      <c r="E166" s="14" t="n">
        <v>92.31</v>
      </c>
    </row>
    <row r="167">
      <c r="A167" s="13" t="inlineStr">
        <is>
          <t>Recycling Basket Complaint</t>
        </is>
      </c>
      <c r="B167" s="13" t="n">
        <v>98</v>
      </c>
      <c r="C167" s="13" t="n">
        <v>87</v>
      </c>
      <c r="D167" s="13" t="n">
        <v>-11</v>
      </c>
      <c r="E167" s="13" t="n">
        <v>-11.22</v>
      </c>
    </row>
    <row r="168">
      <c r="A168" s="14" t="inlineStr">
        <is>
          <t>Cranes and Derricks</t>
        </is>
      </c>
      <c r="B168" s="14" t="n">
        <v>59</v>
      </c>
      <c r="C168" s="14" t="n">
        <v>69</v>
      </c>
      <c r="D168" s="14" t="n">
        <v>10</v>
      </c>
      <c r="E168" s="14" t="n">
        <v>16.95</v>
      </c>
    </row>
    <row r="169">
      <c r="A169" s="13" t="inlineStr">
        <is>
          <t>Green Taxi Complaint</t>
        </is>
      </c>
      <c r="B169" s="13" t="n">
        <v>362</v>
      </c>
      <c r="C169" s="13" t="n">
        <v>353</v>
      </c>
      <c r="D169" s="13" t="n">
        <v>-9</v>
      </c>
      <c r="E169" s="13" t="n">
        <v>-2.49</v>
      </c>
    </row>
    <row r="170">
      <c r="A170" s="14" t="inlineStr">
        <is>
          <t>Animal Facility - No Permit</t>
        </is>
      </c>
      <c r="B170" s="14" t="n">
        <v>101</v>
      </c>
      <c r="C170" s="14" t="n">
        <v>93</v>
      </c>
      <c r="D170" s="14" t="n">
        <v>-8</v>
      </c>
      <c r="E170" s="14" t="n">
        <v>-7.92</v>
      </c>
    </row>
    <row r="171">
      <c r="A171" s="13" t="inlineStr">
        <is>
          <t>Green Taxi Report</t>
        </is>
      </c>
      <c r="B171" s="13" t="n">
        <v>45</v>
      </c>
      <c r="C171" s="13" t="n">
        <v>38</v>
      </c>
      <c r="D171" s="13" t="n">
        <v>-7</v>
      </c>
      <c r="E171" s="13" t="n">
        <v>-15.56</v>
      </c>
    </row>
    <row r="172">
      <c r="A172" s="14" t="inlineStr">
        <is>
          <t>X-Ray Machine/Equipment</t>
        </is>
      </c>
      <c r="B172" s="14" t="n">
        <v>4</v>
      </c>
      <c r="C172" s="14" t="n">
        <v>10</v>
      </c>
      <c r="D172" s="14" t="n">
        <v>6</v>
      </c>
      <c r="E172" s="14" t="n">
        <v>150</v>
      </c>
    </row>
    <row r="173">
      <c r="A173" s="13" t="inlineStr">
        <is>
          <t>Beach/Pool/Sauna Complaint</t>
        </is>
      </c>
      <c r="B173" s="13" t="n">
        <v>229</v>
      </c>
      <c r="C173" s="13" t="n">
        <v>235</v>
      </c>
      <c r="D173" s="13" t="n">
        <v>6</v>
      </c>
      <c r="E173" s="13" t="n">
        <v>2.62</v>
      </c>
    </row>
    <row r="174">
      <c r="A174" s="14" t="inlineStr">
        <is>
          <t>Radioactive Material</t>
        </is>
      </c>
      <c r="B174" s="14" t="n">
        <v>17</v>
      </c>
      <c r="C174" s="14" t="n">
        <v>12</v>
      </c>
      <c r="D174" s="14" t="n">
        <v>-5</v>
      </c>
      <c r="E174" s="14" t="n">
        <v>-29.41</v>
      </c>
    </row>
    <row r="175">
      <c r="A175" s="13" t="inlineStr">
        <is>
          <t>Dry Weather Discharge</t>
        </is>
      </c>
      <c r="B175" s="13" t="n">
        <v>0</v>
      </c>
      <c r="C175" s="13" t="n">
        <v>5</v>
      </c>
      <c r="D175" s="13" t="n">
        <v>5</v>
      </c>
      <c r="E175" s="13" t="n"/>
    </row>
    <row r="176">
      <c r="A176" s="14" t="inlineStr">
        <is>
          <t>Tanning</t>
        </is>
      </c>
      <c r="B176" s="14" t="n">
        <v>3</v>
      </c>
      <c r="C176" s="14" t="n">
        <v>8</v>
      </c>
      <c r="D176" s="14" t="n">
        <v>5</v>
      </c>
      <c r="E176" s="14" t="n">
        <v>166.67</v>
      </c>
    </row>
    <row r="177">
      <c r="A177" s="13" t="inlineStr">
        <is>
          <t>Taxi Licensee Complaint</t>
        </is>
      </c>
      <c r="B177" s="13" t="n">
        <v>4</v>
      </c>
      <c r="C177" s="13" t="n">
        <v>9</v>
      </c>
      <c r="D177" s="13" t="n">
        <v>5</v>
      </c>
      <c r="E177" s="13" t="n">
        <v>125</v>
      </c>
    </row>
    <row r="178">
      <c r="A178" s="14" t="inlineStr">
        <is>
          <t>Tunnel Condition</t>
        </is>
      </c>
      <c r="B178" s="14" t="n">
        <v>1</v>
      </c>
      <c r="C178" s="14" t="n">
        <v>5</v>
      </c>
      <c r="D178" s="14" t="n">
        <v>4</v>
      </c>
      <c r="E178" s="14" t="n">
        <v>400</v>
      </c>
    </row>
    <row r="179">
      <c r="A179" s="13" t="inlineStr">
        <is>
          <t>Dept of Investigations</t>
        </is>
      </c>
      <c r="B179" s="13" t="n">
        <v>18</v>
      </c>
      <c r="C179" s="13" t="n">
        <v>22</v>
      </c>
      <c r="D179" s="13" t="n">
        <v>4</v>
      </c>
      <c r="E179" s="13" t="n">
        <v>22.22</v>
      </c>
    </row>
    <row r="180">
      <c r="A180" s="14" t="inlineStr">
        <is>
          <t>Institution Disposal Complaint</t>
        </is>
      </c>
      <c r="B180" s="14" t="n">
        <v>44</v>
      </c>
      <c r="C180" s="14" t="n">
        <v>41</v>
      </c>
      <c r="D180" s="14" t="n">
        <v>-3</v>
      </c>
      <c r="E180" s="14" t="n">
        <v>-6.82</v>
      </c>
    </row>
    <row r="181">
      <c r="A181" s="13" t="inlineStr">
        <is>
          <t>DEP Sidewalk Condition</t>
        </is>
      </c>
      <c r="B181" s="13" t="n">
        <v>1</v>
      </c>
      <c r="C181" s="13" t="n">
        <v>4</v>
      </c>
      <c r="D181" s="13" t="n">
        <v>3</v>
      </c>
      <c r="E181" s="13" t="n">
        <v>300</v>
      </c>
    </row>
    <row r="182">
      <c r="A182" s="14" t="inlineStr">
        <is>
          <t>Unsanitary Animal Facility</t>
        </is>
      </c>
      <c r="B182" s="14" t="n">
        <v>62</v>
      </c>
      <c r="C182" s="14" t="n">
        <v>65</v>
      </c>
      <c r="D182" s="14" t="n">
        <v>3</v>
      </c>
      <c r="E182" s="14" t="n">
        <v>4.84</v>
      </c>
    </row>
    <row r="183">
      <c r="A183" s="13" t="inlineStr">
        <is>
          <t>Wayfinding</t>
        </is>
      </c>
      <c r="B183" s="13" t="n">
        <v>21</v>
      </c>
      <c r="C183" s="13" t="n">
        <v>18</v>
      </c>
      <c r="D183" s="13" t="n">
        <v>-3</v>
      </c>
      <c r="E183" s="13" t="n">
        <v>-14.29</v>
      </c>
    </row>
    <row r="184">
      <c r="A184" s="14" t="inlineStr">
        <is>
          <t>Highway Sign - Missing</t>
        </is>
      </c>
      <c r="B184" s="14" t="n">
        <v>41</v>
      </c>
      <c r="C184" s="14" t="n">
        <v>38</v>
      </c>
      <c r="D184" s="14" t="n">
        <v>-3</v>
      </c>
      <c r="E184" s="14" t="n">
        <v>-7.32</v>
      </c>
    </row>
    <row r="185">
      <c r="A185" s="13" t="inlineStr">
        <is>
          <t>Smoking</t>
        </is>
      </c>
      <c r="B185" s="13" t="n">
        <v>2</v>
      </c>
      <c r="C185" s="13" t="n">
        <v>0</v>
      </c>
      <c r="D185" s="13" t="n">
        <v>-2</v>
      </c>
      <c r="E185" s="13" t="n">
        <v>-100</v>
      </c>
    </row>
    <row r="186">
      <c r="A186" s="14" t="inlineStr">
        <is>
          <t>Dispatched Taxi Complaint</t>
        </is>
      </c>
      <c r="B186" s="14" t="n">
        <v>2</v>
      </c>
      <c r="C186" s="14" t="n">
        <v>0</v>
      </c>
      <c r="D186" s="14" t="n">
        <v>-2</v>
      </c>
      <c r="E186" s="14" t="n">
        <v>-100</v>
      </c>
    </row>
    <row r="187">
      <c r="A187" s="13" t="inlineStr">
        <is>
          <t>DEP Highway Condition</t>
        </is>
      </c>
      <c r="B187" s="13" t="n">
        <v>3</v>
      </c>
      <c r="C187" s="13" t="n">
        <v>5</v>
      </c>
      <c r="D187" s="13" t="n">
        <v>2</v>
      </c>
      <c r="E187" s="13" t="n">
        <v>66.67</v>
      </c>
    </row>
    <row r="188">
      <c r="A188" s="14" t="inlineStr">
        <is>
          <t>Highway Sign - Dangling</t>
        </is>
      </c>
      <c r="B188" s="14" t="n">
        <v>19</v>
      </c>
      <c r="C188" s="14" t="n">
        <v>21</v>
      </c>
      <c r="D188" s="14" t="n">
        <v>2</v>
      </c>
      <c r="E188" s="14" t="n">
        <v>10.53</v>
      </c>
    </row>
    <row r="189">
      <c r="A189" s="13" t="inlineStr">
        <is>
          <t>Squeegee</t>
        </is>
      </c>
      <c r="B189" s="13" t="n">
        <v>4</v>
      </c>
      <c r="C189" s="13" t="n">
        <v>6</v>
      </c>
      <c r="D189" s="13" t="n">
        <v>2</v>
      </c>
      <c r="E189" s="13" t="n">
        <v>50</v>
      </c>
    </row>
    <row r="190">
      <c r="A190" s="14" t="inlineStr">
        <is>
          <t>FHV Licensee Complaint</t>
        </is>
      </c>
      <c r="B190" s="14" t="n">
        <v>5</v>
      </c>
      <c r="C190" s="14" t="n">
        <v>3</v>
      </c>
      <c r="D190" s="14" t="n">
        <v>-2</v>
      </c>
      <c r="E190" s="14" t="n">
        <v>-40</v>
      </c>
    </row>
    <row r="191">
      <c r="A191" s="13" t="inlineStr">
        <is>
          <t>Leaning Bar</t>
        </is>
      </c>
      <c r="B191" s="13" t="n">
        <v>2</v>
      </c>
      <c r="C191" s="13" t="n">
        <v>4</v>
      </c>
      <c r="D191" s="13" t="n">
        <v>2</v>
      </c>
      <c r="E191" s="13" t="n">
        <v>100</v>
      </c>
    </row>
    <row r="192">
      <c r="A192" s="14" t="inlineStr">
        <is>
          <t>Building Marshals office</t>
        </is>
      </c>
      <c r="B192" s="14" t="n">
        <v>0</v>
      </c>
      <c r="C192" s="14" t="n">
        <v>1</v>
      </c>
      <c r="D192" s="14" t="n">
        <v>1</v>
      </c>
      <c r="E192" s="14" t="n"/>
    </row>
    <row r="193">
      <c r="A193" s="13" t="inlineStr">
        <is>
          <t>Public Payphone Complaint</t>
        </is>
      </c>
      <c r="B193" s="13" t="n">
        <v>5</v>
      </c>
      <c r="C193" s="13" t="n">
        <v>4</v>
      </c>
      <c r="D193" s="13" t="n">
        <v>-1</v>
      </c>
      <c r="E193" s="13" t="n">
        <v>-20</v>
      </c>
    </row>
    <row r="194">
      <c r="A194" s="14" t="inlineStr">
        <is>
          <t>DEP Street Condition</t>
        </is>
      </c>
      <c r="B194" s="14" t="n">
        <v>12</v>
      </c>
      <c r="C194" s="14" t="n">
        <v>13</v>
      </c>
      <c r="D194" s="14" t="n">
        <v>1</v>
      </c>
      <c r="E194" s="14" t="n">
        <v>8.33</v>
      </c>
    </row>
    <row r="195">
      <c r="A195" s="13" t="inlineStr">
        <is>
          <t>ASBESTOS</t>
        </is>
      </c>
      <c r="B195" s="13" t="n">
        <v>1</v>
      </c>
      <c r="C195" s="13" t="n">
        <v>0</v>
      </c>
      <c r="D195" s="13" t="n">
        <v>-1</v>
      </c>
      <c r="E195" s="13" t="n">
        <v>-100</v>
      </c>
    </row>
    <row r="196">
      <c r="A196" s="14" t="inlineStr">
        <is>
          <t>Oil or Gas Spill</t>
        </is>
      </c>
      <c r="B196" s="14" t="n">
        <v>7</v>
      </c>
      <c r="C196" s="14" t="n">
        <v>8</v>
      </c>
      <c r="D196" s="14" t="n">
        <v>1</v>
      </c>
      <c r="E196" s="14" t="n">
        <v>14.29</v>
      </c>
    </row>
    <row r="197">
      <c r="A197" s="13" t="inlineStr">
        <is>
          <t>Safety</t>
        </is>
      </c>
      <c r="B197" s="13" t="n">
        <v>0</v>
      </c>
      <c r="C197" s="13" t="n">
        <v>1</v>
      </c>
      <c r="D197" s="13" t="n">
        <v>1</v>
      </c>
      <c r="E197" s="13" t="n"/>
    </row>
    <row r="198">
      <c r="A198" s="14" t="inlineStr">
        <is>
          <t>Facade Insp Safety Pgm</t>
        </is>
      </c>
      <c r="B198" s="14" t="n">
        <v>1</v>
      </c>
      <c r="C198" s="14" t="n">
        <v>0</v>
      </c>
      <c r="D198" s="14" t="n">
        <v>-1</v>
      </c>
      <c r="E198" s="14" t="n">
        <v>-100</v>
      </c>
    </row>
    <row r="199">
      <c r="A199" s="13" t="inlineStr">
        <is>
          <t>Peeling Paint</t>
        </is>
      </c>
      <c r="B199" s="13" t="n">
        <v>1</v>
      </c>
      <c r="C199" s="13" t="n">
        <v>0</v>
      </c>
      <c r="D199" s="13" t="n">
        <v>-1</v>
      </c>
      <c r="E199" s="13" t="n">
        <v>-100</v>
      </c>
    </row>
    <row r="200">
      <c r="A200" s="14" t="inlineStr">
        <is>
          <t>Building Condition</t>
        </is>
      </c>
      <c r="B200" s="14" t="n">
        <v>4</v>
      </c>
      <c r="C200" s="14" t="n">
        <v>3</v>
      </c>
      <c r="D200" s="14" t="n">
        <v>-1</v>
      </c>
      <c r="E200" s="14" t="n">
        <v>-25</v>
      </c>
    </row>
    <row r="201">
      <c r="A201" s="13" t="inlineStr">
        <is>
          <t>DSNY Internal</t>
        </is>
      </c>
      <c r="B201" s="13" t="n">
        <v>1</v>
      </c>
      <c r="C201" s="13" t="n">
        <v>2</v>
      </c>
      <c r="D201" s="13" t="n">
        <v>1</v>
      </c>
      <c r="E201" s="13" t="n">
        <v>100</v>
      </c>
    </row>
    <row r="202">
      <c r="A202" s="14" t="inlineStr">
        <is>
          <t>Lifeguard</t>
        </is>
      </c>
      <c r="B202" s="14" t="n">
        <v>31</v>
      </c>
      <c r="C202" s="14" t="n">
        <v>30</v>
      </c>
      <c r="D202" s="14" t="n">
        <v>-1</v>
      </c>
      <c r="E202" s="14" t="n">
        <v>-3.23</v>
      </c>
    </row>
    <row r="203">
      <c r="A203" s="13" t="inlineStr">
        <is>
          <t>Trapping Pigeon</t>
        </is>
      </c>
      <c r="B203" s="13" t="n">
        <v>0</v>
      </c>
      <c r="C203" s="13" t="n">
        <v>1</v>
      </c>
      <c r="D203" s="13" t="n">
        <v>1</v>
      </c>
      <c r="E203" s="13" t="n"/>
    </row>
    <row r="204">
      <c r="A204" s="14" t="inlineStr">
        <is>
          <t>Adopt-A-Basket</t>
        </is>
      </c>
      <c r="B204" s="14" t="n">
        <v>1</v>
      </c>
      <c r="C204" s="14" t="n">
        <v>0</v>
      </c>
      <c r="D204" s="14" t="n">
        <v>-1</v>
      </c>
      <c r="E204" s="14" t="n">
        <v>-100</v>
      </c>
    </row>
    <row r="205">
      <c r="A205" s="13" t="inlineStr">
        <is>
          <t>Calorie Labeling</t>
        </is>
      </c>
      <c r="B205" s="13" t="n">
        <v>7</v>
      </c>
      <c r="C205" s="13" t="n">
        <v>7</v>
      </c>
      <c r="D205" s="13" t="n">
        <v>0</v>
      </c>
      <c r="E205" s="13" t="n">
        <v>0</v>
      </c>
    </row>
    <row r="206">
      <c r="A206" s="14" t="inlineStr">
        <is>
          <t>BEST/Site Safety</t>
        </is>
      </c>
      <c r="B206" s="14" t="n">
        <v>455</v>
      </c>
      <c r="C206" s="14" t="n">
        <v>455</v>
      </c>
      <c r="D206" s="14" t="n">
        <v>0</v>
      </c>
      <c r="E206" s="14" t="n">
        <v>0</v>
      </c>
    </row>
    <row r="207">
      <c r="A207" s="13" t="inlineStr">
        <is>
          <t>Transfer Station Complaint</t>
        </is>
      </c>
      <c r="B207" s="13" t="n">
        <v>6</v>
      </c>
      <c r="C207" s="13" t="n">
        <v>6</v>
      </c>
      <c r="D207" s="13" t="n">
        <v>0</v>
      </c>
      <c r="E207" s="13" t="n">
        <v>0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切片</t>
        </is>
      </c>
      <c r="B1" s="4" t="inlineStr">
        <is>
          <t>条数</t>
        </is>
      </c>
      <c r="C1" s="4" t="inlineStr">
        <is>
          <t>说明含duplicate</t>
        </is>
      </c>
      <c r="D1" s="4" t="inlineStr">
        <is>
          <t>占比%</t>
        </is>
      </c>
    </row>
    <row r="2">
      <c r="A2" s="13" t="inlineStr">
        <is>
          <t>all records</t>
        </is>
      </c>
      <c r="B2" s="13" t="n">
        <v>7525498</v>
      </c>
      <c r="C2" s="13" t="n">
        <v>306574</v>
      </c>
      <c r="D2" s="13" t="n">
        <v>4.07</v>
      </c>
    </row>
    <row r="3">
      <c r="A3" s="14" t="inlineStr">
        <is>
          <t>HEAT/HOT WATER</t>
        </is>
      </c>
      <c r="B3" s="14" t="n">
        <v>651594</v>
      </c>
      <c r="C3" s="14" t="n">
        <v>190184</v>
      </c>
      <c r="D3" s="14" t="n">
        <v>29.19</v>
      </c>
    </row>
    <row r="4">
      <c r="A4" s="13" t="inlineStr">
        <is>
          <t>UNKNOWN-channel pothole</t>
        </is>
      </c>
      <c r="B4" s="13" t="n">
        <v>112029</v>
      </c>
      <c r="C4" s="13" t="n">
        <v>23223</v>
      </c>
      <c r="D4" s="13" t="n">
        <v>20.73</v>
      </c>
    </row>
    <row r="5">
      <c r="A5" s="14" t="inlineStr">
        <is>
          <t>Illegal Parking</t>
        </is>
      </c>
      <c r="B5" s="14" t="n">
        <v>1159053</v>
      </c>
      <c r="C5" s="14" t="n">
        <v>0</v>
      </c>
      <c r="D5" s="14" t="n">
        <v>0</v>
      </c>
    </row>
    <row r="6">
      <c r="A6" s="13" t="inlineStr">
        <is>
          <t>Noise - Residential</t>
        </is>
      </c>
      <c r="B6" s="13" t="n">
        <v>881548</v>
      </c>
      <c r="C6" s="13" t="n">
        <v>0</v>
      </c>
      <c r="D6" s="13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2026-09-17T06:06:05Z</dcterms:created>
  <dcterms:modified xmlns:dcterms="http://purl.org/dc/terms/" xmlns:xsi="http://www.w3.org/2001/XMLSchema-instance" xsi:type="dcterms:W3CDTF">2026-09-17T06:06:05Z</dcterms:modified>
</cp:coreProperties>
</file>