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总览" sheetId="2" state="visible" r:id="rId2"/>
    <sheet xmlns:r="http://schemas.openxmlformats.org/officeDocument/2006/relationships" name="核心发现" sheetId="3" state="visible" r:id="rId3"/>
    <sheet xmlns:r="http://schemas.openxmlformats.org/officeDocument/2006/relationships" name="月度趋势" sheetId="4" state="visible" r:id="rId4"/>
    <sheet xmlns:r="http://schemas.openxmlformats.org/officeDocument/2006/relationships" name="同比分解" sheetId="5" state="visible" r:id="rId5"/>
    <sheet xmlns:r="http://schemas.openxmlformats.org/officeDocument/2006/relationships" name="冬季与尖峰" sheetId="6" state="visible" r:id="rId6"/>
    <sheet xmlns:r="http://schemas.openxmlformats.org/officeDocument/2006/relationships" name="结案时长" sheetId="7" state="visible" r:id="rId7"/>
    <sheet xmlns:r="http://schemas.openxmlformats.org/officeDocument/2006/relationships" name="行政区" sheetId="8" state="visible" r:id="rId8"/>
    <sheet xmlns:r="http://schemas.openxmlformats.org/officeDocument/2006/relationships" name="数据质量" sheetId="9" state="visible" r:id="rId9"/>
    <sheet xmlns:r="http://schemas.openxmlformats.org/officeDocument/2006/relationships" name="口径与假设" sheetId="10" state="visible" r:id="rId10"/>
  </sheets>
  <definedNames>
    <definedName name="_xlnm._FilterDatabase" localSheetId="3" hidden="1">'月度趋势'!$A$4:$M$29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12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color rgb="001A1A1A"/>
      <sz val="11"/>
    </font>
    <font>
      <name val="Calibri"/>
      <b val="1"/>
      <color rgb="001F4E79"/>
      <sz val="13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</font>
    <font>
      <name val="Calibri"/>
      <i val="1"/>
      <color rgb="00666666"/>
      <sz val="9"/>
    </font>
    <font>
      <name val="Calibri"/>
      <b val="1"/>
      <color rgb="00FFFFFF"/>
      <sz val="10"/>
    </font>
    <font>
      <name val="Calibri"/>
      <b val="1"/>
      <color rgb="001F4E79"/>
      <sz val="16"/>
    </font>
    <font>
      <name val="Calibri"/>
      <b val="1"/>
      <color rgb="00FFFFFF"/>
      <sz val="12"/>
    </font>
    <font>
      <name val="Calibri"/>
      <b val="1"/>
      <color rgb="00C659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7F9FC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C65911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2" fillId="3" borderId="1" pivotButton="0" quotePrefix="0" xfId="0"/>
    <xf numFmtId="0" fontId="5" fillId="0" borderId="1" pivotButton="0" quotePrefix="0" xfId="0"/>
    <xf numFmtId="0" fontId="2" fillId="0" borderId="1" pivotButton="0" quotePrefix="0" xfId="0"/>
    <xf numFmtId="0" fontId="0" fillId="0" borderId="0" applyAlignment="1" pivotButton="0" quotePrefix="0" xfId="0">
      <alignment vertical="top" wrapText="1"/>
    </xf>
    <xf numFmtId="0" fontId="6" fillId="0" borderId="1" pivotButton="0" quotePrefix="0" xfId="0"/>
    <xf numFmtId="0" fontId="0" fillId="0" borderId="1" applyAlignment="1" pivotButton="0" quotePrefix="0" xfId="0">
      <alignment wrapText="1"/>
    </xf>
    <xf numFmtId="0" fontId="7" fillId="0" borderId="0" pivotButton="0" quotePrefix="0" xfId="0"/>
    <xf numFmtId="0" fontId="8" fillId="2" borderId="0" applyAlignment="1" pivotButton="0" quotePrefix="0" xfId="0">
      <alignment horizontal="center"/>
    </xf>
    <xf numFmtId="0" fontId="0" fillId="2" borderId="0" pivotButton="0" quotePrefix="0" xfId="0"/>
    <xf numFmtId="0" fontId="8" fillId="5" borderId="0" applyAlignment="1" pivotButton="0" quotePrefix="0" xfId="0">
      <alignment horizontal="center"/>
    </xf>
    <xf numFmtId="0" fontId="0" fillId="5" borderId="0" pivotButton="0" quotePrefix="0" xfId="0"/>
    <xf numFmtId="0" fontId="8" fillId="6" borderId="0" applyAlignment="1" pivotButton="0" quotePrefix="0" xfId="0">
      <alignment horizontal="center"/>
    </xf>
    <xf numFmtId="0" fontId="0" fillId="6" borderId="0" pivotButton="0" quotePrefix="0" xfId="0"/>
    <xf numFmtId="0" fontId="8" fillId="7" borderId="0" applyAlignment="1" pivotButton="0" quotePrefix="0" xfId="0">
      <alignment horizontal="center"/>
    </xf>
    <xf numFmtId="0" fontId="0" fillId="7" borderId="0" pivotButton="0" quotePrefix="0" xfId="0"/>
    <xf numFmtId="0" fontId="9" fillId="4" borderId="0" applyAlignment="1" pivotButton="0" quotePrefix="0" xfId="0">
      <alignment horizontal="center"/>
    </xf>
    <xf numFmtId="0" fontId="0" fillId="4" borderId="0" pivotButton="0" quotePrefix="0" xfId="0"/>
    <xf numFmtId="0" fontId="7" fillId="0" borderId="0" applyAlignment="1" pivotButton="0" quotePrefix="0" xfId="0">
      <alignment horizontal="center" wrapText="1"/>
    </xf>
    <xf numFmtId="0" fontId="2" fillId="0" borderId="1" applyAlignment="1" pivotButton="0" quotePrefix="0" xfId="0">
      <alignment vertical="center"/>
    </xf>
    <xf numFmtId="3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3" fontId="2" fillId="3" borderId="1" applyAlignment="1" pivotButton="0" quotePrefix="0" xfId="0">
      <alignment vertical="center"/>
    </xf>
    <xf numFmtId="164" fontId="2" fillId="3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10" fillId="2" borderId="0" pivotButton="0" quotePrefix="0" xfId="0"/>
    <xf numFmtId="0" fontId="2" fillId="0" borderId="0" applyAlignment="1" pivotButton="0" quotePrefix="0" xfId="0">
      <alignment vertical="top" wrapText="1"/>
    </xf>
    <xf numFmtId="4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165" fontId="2" fillId="3" borderId="1" applyAlignment="1" pivotButton="0" quotePrefix="0" xfId="0">
      <alignment vertical="center"/>
    </xf>
    <xf numFmtId="0" fontId="2" fillId="0" borderId="0" pivotButton="0" quotePrefix="0" xfId="0"/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3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wrapText="1"/>
    </xf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  <xf numFmtId="3" fontId="0" fillId="0" borderId="1" pivotButton="0" quotePrefix="0" xfId="0"/>
    <xf numFmtId="0" fontId="11" fillId="0" borderId="0" pivotButton="0" quotePrefix="0" xfId="0"/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月度创建量（记录数）</a:t>
            </a:r>
          </a:p>
        </rich>
      </tx>
    </title>
    <plotArea>
      <lineChart>
        <grouping val="standard"/>
        <ser>
          <idx val="0"/>
          <order val="0"/>
          <tx>
            <strRef>
              <f>'月度趋势'!B4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'月度趋势'!$A$5:$A$29</f>
            </numRef>
          </cat>
          <val>
            <numRef>
              <f>'月度趋势'!$B$5:$B$29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创建月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记录数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供暖 / 住宅噪声 / 违停（月度）</a:t>
            </a:r>
          </a:p>
        </rich>
      </tx>
    </title>
    <plotArea>
      <lineChart>
        <grouping val="standard"/>
        <ser>
          <idx val="0"/>
          <order val="0"/>
          <tx>
            <strRef>
              <f>'月度趋势'!I4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'月度趋势'!$A$5:$A$29</f>
            </numRef>
          </cat>
          <val>
            <numRef>
              <f>'月度趋势'!$I$5:$I$29</f>
            </numRef>
          </val>
        </ser>
        <ser>
          <idx val="1"/>
          <order val="1"/>
          <tx>
            <strRef>
              <f>'月度趋势'!J4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'月度趋势'!$A$5:$A$29</f>
            </numRef>
          </cat>
          <val>
            <numRef>
              <f>'月度趋势'!$J$5:$J$29</f>
            </numRef>
          </val>
        </ser>
        <ser>
          <idx val="2"/>
          <order val="2"/>
          <tx>
            <strRef>
              <f>'月度趋势'!K4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'月度趋势'!$A$5:$A$29</f>
            </numRef>
          </cat>
          <val>
            <numRef>
              <f>'月度趋势'!$K$5:$K$29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记录数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各类型桶对总增量的贡献（记录数）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'同比分解'!D5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'同比分解'!$A$6:$A$11</f>
            </numRef>
          </cat>
          <val>
            <numRef>
              <f>'同比分解'!$D$6:$D$11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增量（Y2−Y1）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冬季相关类型月度记录数</a:t>
            </a:r>
          </a:p>
        </rich>
      </tx>
    </title>
    <plotArea>
      <lineChart>
        <grouping val="standard"/>
        <ser>
          <idx val="0"/>
          <order val="0"/>
          <tx>
            <strRef>
              <f>'冬季与尖峰'!C11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'冬季与尖峰'!$A$12:$A$36</f>
            </numRef>
          </cat>
          <val>
            <numRef>
              <f>'冬季与尖峰'!$C$12:$C$36</f>
            </numRef>
          </val>
        </ser>
        <ser>
          <idx val="1"/>
          <order val="1"/>
          <tx>
            <strRef>
              <f>'冬季与尖峰'!D11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'冬季与尖峰'!$A$12:$A$36</f>
            </numRef>
          </cat>
          <val>
            <numRef>
              <f>'冬季与尖峰'!$D$12:$D$36</f>
            </numRef>
          </val>
        </ser>
        <ser>
          <idx val="2"/>
          <order val="2"/>
          <tx>
            <strRef>
              <f>'冬季与尖峰'!E11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'冬季与尖峰'!$A$12:$A$36</f>
            </numRef>
          </cat>
          <val>
            <numRef>
              <f>'冬季与尖峰'!$E$12:$E$36</f>
            </numRef>
          </val>
        </ser>
        <ser>
          <idx val="3"/>
          <order val="3"/>
          <tx>
            <strRef>
              <f>'冬季与尖峰'!F11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'冬季与尖峰'!$A$12:$A$36</f>
            </numRef>
          </cat>
          <val>
            <numRef>
              <f>'冬季与尖峰'!$F$12:$F$36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机构中位结案小时（对数观感：NYPD 与 EDC 不在同一量级）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'结案时长'!F5</f>
            </strRef>
          </tx>
          <spPr>
            <a:ln xmlns:a="http://schemas.openxmlformats.org/drawingml/2006/main">
              <a:prstDash val="solid"/>
            </a:ln>
          </spPr>
          <cat>
            <numRef>
              <f>'结案时长'!$A$6:$A$17</f>
            </numRef>
          </cat>
          <val>
            <numRef>
              <f>'结案时长'!$F$6:$F$17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供暖工单中位结案小时</a:t>
            </a:r>
          </a:p>
        </rich>
      </tx>
    </title>
    <plotArea>
      <lineChart>
        <grouping val="standard"/>
        <ser>
          <idx val="0"/>
          <order val="0"/>
          <tx>
            <strRef>
              <f>'结案时长'!D44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'结案时长'!$A$45:$A$69</f>
            </numRef>
          </cat>
          <val>
            <numRef>
              <f>'结案时长'!$D$45:$D$69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五区：供暖 / 违停 / 住宅噪声 记录数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'行政区'!B4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'行政区'!$A$5:$A$9</f>
            </numRef>
          </cat>
          <val>
            <numRef>
              <f>'行政区'!$B$5:$B$9</f>
            </numRef>
          </val>
        </ser>
        <ser>
          <idx val="1"/>
          <order val="1"/>
          <tx>
            <strRef>
              <f>'行政区'!C4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'行政区'!$A$5:$A$9</f>
            </numRef>
          </cat>
          <val>
            <numRef>
              <f>'行政区'!$C$5:$C$9</f>
            </numRef>
          </val>
        </ser>
        <ser>
          <idx val="2"/>
          <order val="2"/>
          <tx>
            <strRef>
              <f>'行政区'!D4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'行政区'!$A$5:$A$9</f>
            </numRef>
          </cat>
          <val>
            <numRef>
              <f>'行政区'!$D$5:$D$9</f>
            </numRef>
          </val>
        </ser>
        <ser>
          <idx val="3"/>
          <order val="3"/>
          <tx>
            <strRef>
              <f>'行政区'!E4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'行政区'!$A$5:$A$9</f>
            </numRef>
          </cat>
          <val>
            <numRef>
              <f>'行政区'!$E$5:$E$9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47</row>
      <rowOff>0</rowOff>
    </from>
    <ext cx="64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13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9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9</col>
      <colOff>0</colOff>
      <row>3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42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G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8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4" customHeight="1">
      <c r="A1" s="1" t="inlineStr">
        <is>
          <t>NYC 311 服务请求｜数据分析看板</t>
        </is>
      </c>
    </row>
    <row r="2" ht="40" customHeight="1">
      <c r="A2" s="2" t="inlineStr">
        <is>
          <t>记录粒度：一条 unique_key = 一条 311 服务请求记录（不等于独立现实事件；同一问题可被多次申告）。数据来源：NYC Open Data 导出的按创建日期切分的 Parquet 分片，只读扫描，未改写原始文件。</t>
        </is>
      </c>
    </row>
    <row r="4">
      <c r="A4" s="3" t="inlineStr">
        <is>
          <t>建议阅读顺序</t>
        </is>
      </c>
    </row>
    <row r="5">
      <c r="A5" s="4" t="inlineStr">
        <is>
          <t>工作表</t>
        </is>
      </c>
      <c r="B5" s="4" t="inlineStr">
        <is>
          <t>看什么</t>
        </is>
      </c>
    </row>
    <row r="6">
      <c r="A6" s="5" t="inlineStr">
        <is>
          <t>总览</t>
        </is>
      </c>
      <c r="B6" s="6" t="inlineStr">
        <is>
          <t>总量、时间窗、状态与机构构成。先看分母。</t>
        </is>
      </c>
    </row>
    <row r="7">
      <c r="A7" s="7" t="inlineStr">
        <is>
          <t>核心发现</t>
        </is>
      </c>
      <c r="B7" s="8" t="inlineStr">
        <is>
          <t>四条可核验结论：同比增量来源、冬季结构、两类结案速度、快照/更名偏误。</t>
        </is>
      </c>
    </row>
    <row r="8">
      <c r="A8" s="5" t="inlineStr">
        <is>
          <t>月度趋势</t>
        </is>
      </c>
      <c r="B8" s="6" t="inlineStr">
        <is>
          <t>创建量与供暖/噪声/违停结构；不完整月已标注。</t>
        </is>
      </c>
    </row>
    <row r="9">
      <c r="A9" s="7" t="inlineStr">
        <is>
          <t>同比分解</t>
        </is>
      </c>
      <c r="B9" s="8" t="inlineStr">
        <is>
          <t>2024-10～2025-08 vs 2025-10～2026-08（各 11 个完整月）的类型贡献。</t>
        </is>
      </c>
    </row>
    <row r="10">
      <c r="A10" s="5" t="inlineStr">
        <is>
          <t>冬季与尖峰</t>
        </is>
      </c>
      <c r="B10" s="6" t="inlineStr">
        <is>
          <t>供暖季节、积雪日 2026-02-24、跨年噪声对照。</t>
        </is>
      </c>
    </row>
    <row r="11">
      <c r="A11" s="7" t="inlineStr">
        <is>
          <t>结案时长</t>
        </is>
      </c>
      <c r="B11" s="8" t="inlineStr">
        <is>
          <t>仅用 status=Closed 且 closed≥created 的记录；中位数优先于均值。</t>
        </is>
      </c>
    </row>
    <row r="12">
      <c r="A12" s="5" t="inlineStr">
        <is>
          <t>行政区</t>
        </is>
      </c>
      <c r="B12" s="6" t="inlineStr">
        <is>
          <t>布朗克斯供暖与住宅噪声占比偏高（投诉构成，非人均）。</t>
        </is>
      </c>
    </row>
    <row r="13">
      <c r="A13" s="7" t="inlineStr">
        <is>
          <t>数据质量</t>
        </is>
      </c>
      <c r="B13" s="8" t="inlineStr">
        <is>
          <t>缺失、截断月、类型更名、未结案年龄。</t>
        </is>
      </c>
    </row>
    <row r="15">
      <c r="A15" s="3" t="inlineStr">
        <is>
          <t>证据层级（本看板全程使用）</t>
        </is>
      </c>
    </row>
    <row r="16" ht="72" customHeight="1">
      <c r="A16" s="9" t="inlineStr">
        <is>
          <t>描述性证据：计数、占比、中位数、时间窗内的增减。这些数字可从 summaries/*.csv 与 DuckDB 扫描复现。
推断：例如“2025–26 冬积雪投诉暴增，与 2026-02-24 单日尖峰同向”，属于对记录结构的合理解读，但不是气象因果证明。
不做的因果声称：311 记录增加 ≠ 城市问题恶化；结案变慢 ≠ 机构绩效下降（近期尤其受快照截断影响）；行政区差异 ≠ 服务质量排名。</t>
        </is>
      </c>
    </row>
    <row r="18">
      <c r="A18" s="3" t="inlineStr">
        <is>
          <t>关键口径（计算所有比率前先看这里）</t>
        </is>
      </c>
    </row>
    <row r="19">
      <c r="A19" s="4" t="inlineStr">
        <is>
          <t>项目</t>
        </is>
      </c>
      <c r="B19" s="4" t="inlineStr">
        <is>
          <t>定义</t>
        </is>
      </c>
    </row>
    <row r="20" ht="32" customHeight="1">
      <c r="A20" s="10" t="inlineStr">
        <is>
          <t>时间范围</t>
        </is>
      </c>
      <c r="B20" s="11" t="inlineStr">
        <is>
          <t>创建时间 2024-09-07 00:00:12 至 2026-09-05 01:50:33。分片文件名写到 2026-09-07，但库内最晚创建日为 09-05。</t>
        </is>
      </c>
    </row>
    <row r="21" ht="32" customHeight="1">
      <c r="A21" s="10" t="inlineStr">
        <is>
          <t>完整月同比</t>
        </is>
      </c>
      <c r="B21" s="11" t="inlineStr">
        <is>
          <t>Y1=2024-10-01≤created&lt;2025-09-01；Y2=2025-10-01≤created&lt;2026-09-01。排除 2024-09 与 2026-09 两个残缺月。</t>
        </is>
      </c>
    </row>
    <row r="22" ht="32" customHeight="1">
      <c r="A22" s="10" t="inlineStr">
        <is>
          <t>结案时长</t>
        </is>
      </c>
      <c r="B22" s="11" t="inlineStr">
        <is>
          <t>小时 = closed_ts − created_ts。仅 status=Closed 且 closed_ts≥created_ts。排除 1,877 条闭案早于创建。</t>
        </is>
      </c>
    </row>
    <row r="23" ht="32" customHeight="1">
      <c r="A23" s="10" t="inlineStr">
        <is>
          <t>未结案</t>
        </is>
      </c>
      <c r="B23" s="11" t="inlineStr">
        <is>
          <t>status ∈ {Open, In Progress, Assigned, Pending, Started}。不是“永远未解决”，只是快照时尚未 Closed。</t>
        </is>
      </c>
    </row>
    <row r="24" ht="32" customHeight="1">
      <c r="A24" s="10" t="inlineStr">
        <is>
          <t>快照偏误</t>
        </is>
      </c>
      <c r="B24" s="11" t="inlineStr">
        <is>
          <t>数据像一次静态抽取。越靠近抽取日，慢工单越来不及进入 Closed，近期中位结案时长会被“已结的快单”拉低。</t>
        </is>
      </c>
    </row>
    <row r="25" ht="32" customHeight="1">
      <c r="A25" s="10" t="inlineStr">
        <is>
          <t>单位</t>
        </is>
      </c>
      <c r="B25" s="11" t="inlineStr">
        <is>
          <t>除非标明小时/天，计数均为服务请求记录数。</t>
        </is>
      </c>
    </row>
    <row r="27">
      <c r="A27" s="12" t="inlineStr">
        <is>
          <t>本文件由 analyze_311.py / diagnose.py 汇总后生成；原始 Parquet 仍只在 D:\项目1\原始数据。</t>
        </is>
      </c>
    </row>
  </sheetData>
  <mergeCells count="4">
    <mergeCell ref="A27:G27"/>
    <mergeCell ref="A16:G16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I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4" customWidth="1" min="4" max="4"/>
    <col width="28" customWidth="1" min="5" max="5"/>
    <col width="14" customWidth="1" min="6" max="6"/>
    <col width="16" customWidth="1" min="7" max="7"/>
    <col width="14" customWidth="1" min="8" max="8"/>
  </cols>
  <sheetData>
    <row r="1">
      <c r="A1" s="1" t="inlineStr">
        <is>
          <t>数据总览</t>
        </is>
      </c>
    </row>
    <row r="2">
      <c r="A2" s="12" t="inlineStr">
        <is>
          <t>分母：全样本 7,525,498 条请求记录；unique_key 无重复。以下 KPI 均对应该总体，除非另行标注完整月同比窗。</t>
        </is>
      </c>
    </row>
    <row r="4">
      <c r="A4" s="13" t="inlineStr">
        <is>
          <t>请求记录数</t>
        </is>
      </c>
      <c r="B4" s="14" t="n"/>
      <c r="C4" s="15" t="inlineStr">
        <is>
          <t>覆盖跨度</t>
        </is>
      </c>
      <c r="D4" s="16" t="n"/>
      <c r="E4" s="17" t="inlineStr">
        <is>
          <t>已关闭（status）</t>
        </is>
      </c>
      <c r="F4" s="18" t="n"/>
      <c r="G4" s="19" t="inlineStr">
        <is>
          <t>完整月同比</t>
        </is>
      </c>
      <c r="H4" s="20" t="n"/>
    </row>
    <row r="5">
      <c r="A5" s="21" t="inlineStr">
        <is>
          <t>7,525,498</t>
        </is>
      </c>
      <c r="B5" s="22" t="n"/>
      <c r="C5" s="21" t="inlineStr">
        <is>
          <t>730 天</t>
        </is>
      </c>
      <c r="D5" s="22" t="n"/>
      <c r="E5" s="21" t="inlineStr">
        <is>
          <t>7,275,349</t>
        </is>
      </c>
      <c r="F5" s="22" t="n"/>
      <c r="G5" s="21" t="inlineStr">
        <is>
          <t>+10.5%</t>
        </is>
      </c>
      <c r="H5" s="22" t="n"/>
    </row>
    <row r="6" ht="32" customHeight="1">
      <c r="A6" s="23" t="inlineStr">
        <is>
          <t>unique_key 去重后相同</t>
        </is>
      </c>
      <c r="C6" s="23" t="inlineStr">
        <is>
          <t>2024-09-07 至 2026-09-05</t>
        </is>
      </c>
      <c r="E6" s="23" t="inlineStr">
        <is>
          <t>96.7% 的记录</t>
        </is>
      </c>
      <c r="G6" s="23" t="inlineStr">
        <is>
          <t>Y2 3,639,698 − Y1 3,293,003</t>
        </is>
      </c>
    </row>
    <row r="8">
      <c r="A8" s="3" t="inlineStr">
        <is>
          <t>状态构成（全样本）</t>
        </is>
      </c>
      <c r="D8" s="3" t="inlineStr">
        <is>
          <t>渠道构成</t>
        </is>
      </c>
      <c r="G8" s="3" t="inlineStr">
        <is>
          <t>行政区构成</t>
        </is>
      </c>
    </row>
    <row r="9">
      <c r="A9" s="4" t="inlineStr">
        <is>
          <t>status</t>
        </is>
      </c>
      <c r="B9" s="4" t="inlineStr">
        <is>
          <t>记录数</t>
        </is>
      </c>
      <c r="C9" s="4" t="inlineStr">
        <is>
          <t>占比</t>
        </is>
      </c>
      <c r="D9" s="4" t="inlineStr">
        <is>
          <t>channel</t>
        </is>
      </c>
      <c r="E9" s="4" t="inlineStr">
        <is>
          <t>记录数</t>
        </is>
      </c>
      <c r="F9" s="4" t="inlineStr">
        <is>
          <t>占比</t>
        </is>
      </c>
      <c r="G9" s="4" t="inlineStr">
        <is>
          <t>borough</t>
        </is>
      </c>
      <c r="H9" s="4" t="inlineStr">
        <is>
          <t>记录数</t>
        </is>
      </c>
      <c r="I9" s="4" t="inlineStr">
        <is>
          <t>占比</t>
        </is>
      </c>
    </row>
    <row r="10">
      <c r="A10" s="24" t="inlineStr">
        <is>
          <t>Closed</t>
        </is>
      </c>
      <c r="B10" s="25" t="n">
        <v>7275349</v>
      </c>
      <c r="C10" s="26" t="n">
        <v>0.9667598077894646</v>
      </c>
      <c r="D10" s="24" t="inlineStr">
        <is>
          <t>ONLINE</t>
        </is>
      </c>
      <c r="E10" s="25" t="n">
        <v>3332605</v>
      </c>
      <c r="F10" s="26" t="n">
        <v>0.4428417893407187</v>
      </c>
      <c r="G10" s="24" t="inlineStr">
        <is>
          <t>BROOKLYN</t>
        </is>
      </c>
      <c r="H10" s="25" t="n">
        <v>2259561</v>
      </c>
      <c r="I10" s="26" t="n">
        <v>0.3002540164119371</v>
      </c>
    </row>
    <row r="11">
      <c r="A11" s="27" t="inlineStr">
        <is>
          <t>In Progress</t>
        </is>
      </c>
      <c r="B11" s="28" t="n">
        <v>140752</v>
      </c>
      <c r="C11" s="29" t="n">
        <v>0.01870334694129212</v>
      </c>
      <c r="D11" s="27" t="inlineStr">
        <is>
          <t>PHONE</t>
        </is>
      </c>
      <c r="E11" s="28" t="n">
        <v>1933637</v>
      </c>
      <c r="F11" s="29" t="n">
        <v>0.256944723126629</v>
      </c>
      <c r="G11" s="27" t="inlineStr">
        <is>
          <t>QUEENS</t>
        </is>
      </c>
      <c r="H11" s="28" t="n">
        <v>1818742</v>
      </c>
      <c r="I11" s="29" t="n">
        <v>0.2416772949776879</v>
      </c>
    </row>
    <row r="12">
      <c r="A12" s="24" t="inlineStr">
        <is>
          <t>Open</t>
        </is>
      </c>
      <c r="B12" s="25" t="n">
        <v>81247</v>
      </c>
      <c r="C12" s="26" t="n">
        <v>0.01079622903361346</v>
      </c>
      <c r="D12" s="24" t="inlineStr">
        <is>
          <t>MOBILE</t>
        </is>
      </c>
      <c r="E12" s="25" t="n">
        <v>1666474</v>
      </c>
      <c r="F12" s="26" t="n">
        <v>0.2214436838598589</v>
      </c>
      <c r="G12" s="24" t="inlineStr">
        <is>
          <t>BRONX</t>
        </is>
      </c>
      <c r="H12" s="25" t="n">
        <v>1664397</v>
      </c>
      <c r="I12" s="26" t="n">
        <v>0.2211676888360079</v>
      </c>
    </row>
    <row r="13">
      <c r="A13" s="27" t="inlineStr">
        <is>
          <t>Assigned</t>
        </is>
      </c>
      <c r="B13" s="28" t="n">
        <v>15753</v>
      </c>
      <c r="C13" s="29" t="n">
        <v>0.002093283394667037</v>
      </c>
      <c r="D13" s="27" t="inlineStr">
        <is>
          <t>UNKNOWN</t>
        </is>
      </c>
      <c r="E13" s="28" t="n">
        <v>590822</v>
      </c>
      <c r="F13" s="29" t="n">
        <v>0.07850935579279936</v>
      </c>
      <c r="G13" s="27" t="inlineStr">
        <is>
          <t>MANHATTAN</t>
        </is>
      </c>
      <c r="H13" s="28" t="n">
        <v>1487092</v>
      </c>
      <c r="I13" s="29" t="n">
        <v>0.1976071218143969</v>
      </c>
    </row>
    <row r="14">
      <c r="A14" s="24" t="inlineStr">
        <is>
          <t>Pending</t>
        </is>
      </c>
      <c r="B14" s="25" t="n">
        <v>9475</v>
      </c>
      <c r="C14" s="26" t="n">
        <v>0.001259052889257296</v>
      </c>
      <c r="D14" s="24" t="inlineStr">
        <is>
          <t>OTHER</t>
        </is>
      </c>
      <c r="E14" s="25" t="n">
        <v>1960</v>
      </c>
      <c r="F14" s="26" t="n">
        <v>0.0002604478799941213</v>
      </c>
      <c r="G14" s="24" t="inlineStr">
        <is>
          <t>STATEN ISLAND</t>
        </is>
      </c>
      <c r="H14" s="25" t="n">
        <v>289375</v>
      </c>
      <c r="I14" s="26" t="n">
        <v>0.03845260473127492</v>
      </c>
    </row>
    <row r="15">
      <c r="A15" s="27" t="inlineStr">
        <is>
          <t>Started</t>
        </is>
      </c>
      <c r="B15" s="28" t="n">
        <v>2620</v>
      </c>
      <c r="C15" s="29" t="n">
        <v>0.0003481497171349989</v>
      </c>
      <c r="G15" s="27" t="inlineStr">
        <is>
          <t>Unspecified</t>
        </is>
      </c>
      <c r="H15" s="28" t="n">
        <v>6331</v>
      </c>
      <c r="I15" s="29" t="n">
        <v>0.000841273228695297</v>
      </c>
    </row>
    <row r="16">
      <c r="A16" s="24" t="inlineStr">
        <is>
          <t>Unspecified</t>
        </is>
      </c>
      <c r="B16" s="25" t="n">
        <v>302</v>
      </c>
      <c r="C16" s="26" t="n">
        <v>4.013023457052277e-05</v>
      </c>
    </row>
    <row r="19">
      <c r="A19" s="3" t="inlineStr">
        <is>
          <t>受理机构 Top（全样本）</t>
        </is>
      </c>
      <c r="E19" s="3" t="inlineStr">
        <is>
          <t>投诉类型 Top 15（全样本）</t>
        </is>
      </c>
    </row>
    <row r="20">
      <c r="A20" s="4" t="inlineStr">
        <is>
          <t>agency</t>
        </is>
      </c>
      <c r="B20" s="4" t="inlineStr">
        <is>
          <t>记录数</t>
        </is>
      </c>
      <c r="C20" s="4" t="inlineStr">
        <is>
          <t>占比</t>
        </is>
      </c>
      <c r="E20" s="4" t="inlineStr">
        <is>
          <t>complaint_type</t>
        </is>
      </c>
      <c r="F20" s="4" t="inlineStr">
        <is>
          <t>记录数</t>
        </is>
      </c>
      <c r="G20" s="4" t="inlineStr">
        <is>
          <t>占总样本</t>
        </is>
      </c>
    </row>
    <row r="21">
      <c r="A21" s="24" t="inlineStr">
        <is>
          <t>NYPD</t>
        </is>
      </c>
      <c r="B21" s="25" t="n">
        <v>3403951</v>
      </c>
      <c r="C21" s="26" t="n">
        <v>0.4523223579356476</v>
      </c>
      <c r="E21" s="24" t="inlineStr">
        <is>
          <t>Illegal Parking</t>
        </is>
      </c>
      <c r="F21" s="25" t="n">
        <v>1159053</v>
      </c>
      <c r="G21" s="26" t="n">
        <v>0.1540167840055236</v>
      </c>
    </row>
    <row r="22">
      <c r="A22" s="27" t="inlineStr">
        <is>
          <t>HPD</t>
        </is>
      </c>
      <c r="B22" s="28" t="n">
        <v>1633583</v>
      </c>
      <c r="C22" s="29" t="n">
        <v>0.2170730760941003</v>
      </c>
      <c r="E22" s="27" t="inlineStr">
        <is>
          <t>Noise - Residential</t>
        </is>
      </c>
      <c r="F22" s="28" t="n">
        <v>881548</v>
      </c>
      <c r="G22" s="29" t="n">
        <v>0.1171414835270702</v>
      </c>
    </row>
    <row r="23">
      <c r="A23" s="24" t="inlineStr">
        <is>
          <t>DSNY</t>
        </is>
      </c>
      <c r="B23" s="25" t="n">
        <v>686438</v>
      </c>
      <c r="C23" s="26" t="n">
        <v>0.09121496012622686</v>
      </c>
      <c r="E23" s="24" t="inlineStr">
        <is>
          <t>HEAT/HOT WATER</t>
        </is>
      </c>
      <c r="F23" s="25" t="n">
        <v>651594</v>
      </c>
      <c r="G23" s="26" t="n">
        <v>0.08658483465147422</v>
      </c>
    </row>
    <row r="24">
      <c r="A24" s="27" t="inlineStr">
        <is>
          <t>DOT</t>
        </is>
      </c>
      <c r="B24" s="28" t="n">
        <v>485140</v>
      </c>
      <c r="C24" s="29" t="n">
        <v>0.06446616556140206</v>
      </c>
      <c r="E24" s="27" t="inlineStr">
        <is>
          <t>Blocked Driveway</t>
        </is>
      </c>
      <c r="F24" s="28" t="n">
        <v>362642</v>
      </c>
      <c r="G24" s="29" t="n">
        <v>0.04818843882491232</v>
      </c>
    </row>
    <row r="25">
      <c r="A25" s="24" t="inlineStr">
        <is>
          <t>DEP</t>
        </is>
      </c>
      <c r="B25" s="25" t="n">
        <v>424101</v>
      </c>
      <c r="C25" s="26" t="n">
        <v>0.05635520732315655</v>
      </c>
      <c r="E25" s="24" t="inlineStr">
        <is>
          <t>Noise - Street/Sidewalk</t>
        </is>
      </c>
      <c r="F25" s="25" t="n">
        <v>349299</v>
      </c>
      <c r="G25" s="26" t="n">
        <v>0.04641540001738091</v>
      </c>
    </row>
    <row r="26">
      <c r="A26" s="27" t="inlineStr">
        <is>
          <t>DPR</t>
        </is>
      </c>
      <c r="B26" s="28" t="n">
        <v>244023</v>
      </c>
      <c r="C26" s="29" t="n">
        <v>0.03242615970398238</v>
      </c>
      <c r="E26" s="27" t="inlineStr">
        <is>
          <t>UNSANITARY CONDITION</t>
        </is>
      </c>
      <c r="F26" s="28" t="n">
        <v>249446</v>
      </c>
      <c r="G26" s="29" t="n">
        <v>0.03314677646582326</v>
      </c>
    </row>
    <row r="27">
      <c r="A27" s="24" t="inlineStr">
        <is>
          <t>DOB</t>
        </is>
      </c>
      <c r="B27" s="25" t="n">
        <v>218945</v>
      </c>
      <c r="C27" s="26" t="n">
        <v>0.02909375565577188</v>
      </c>
      <c r="E27" s="24" t="inlineStr">
        <is>
          <t>Street Condition</t>
        </is>
      </c>
      <c r="F27" s="25" t="n">
        <v>187668</v>
      </c>
      <c r="G27" s="26" t="n">
        <v>0.02493761874629426</v>
      </c>
    </row>
    <row r="28">
      <c r="A28" s="27" t="inlineStr">
        <is>
          <t>DOHMH</t>
        </is>
      </c>
      <c r="B28" s="28" t="n">
        <v>169118</v>
      </c>
      <c r="C28" s="29" t="n">
        <v>0.0224726655963499</v>
      </c>
      <c r="E28" s="27" t="inlineStr">
        <is>
          <t>Water System</t>
        </is>
      </c>
      <c r="F28" s="28" t="n">
        <v>152736</v>
      </c>
      <c r="G28" s="29" t="n">
        <v>0.02029579969325618</v>
      </c>
    </row>
    <row r="29">
      <c r="A29" s="24" t="inlineStr">
        <is>
          <t>DHS</t>
        </is>
      </c>
      <c r="B29" s="25" t="n">
        <v>101425</v>
      </c>
      <c r="C29" s="26" t="n">
        <v>0.01347751338183865</v>
      </c>
      <c r="E29" s="24" t="inlineStr">
        <is>
          <t>PLUMBING</t>
        </is>
      </c>
      <c r="F29" s="25" t="n">
        <v>150696</v>
      </c>
      <c r="G29" s="26" t="n">
        <v>0.02002472128754801</v>
      </c>
    </row>
    <row r="30">
      <c r="A30" s="27" t="inlineStr">
        <is>
          <t>TLC</t>
        </is>
      </c>
      <c r="B30" s="28" t="n">
        <v>75453</v>
      </c>
      <c r="C30" s="29" t="n">
        <v>0.01002631320877369</v>
      </c>
      <c r="E30" s="27" t="inlineStr">
        <is>
          <t>Abandoned Vehicle</t>
        </is>
      </c>
      <c r="F30" s="28" t="n">
        <v>139896</v>
      </c>
      <c r="G30" s="29" t="n">
        <v>0.01858960031615184</v>
      </c>
    </row>
    <row r="31">
      <c r="A31" s="24" t="inlineStr">
        <is>
          <t>DCWP</t>
        </is>
      </c>
      <c r="B31" s="25" t="n">
        <v>38580</v>
      </c>
      <c r="C31" s="26" t="n">
        <v>0.005126571025598572</v>
      </c>
      <c r="E31" s="24" t="inlineStr">
        <is>
          <t>Dirty Condition</t>
        </is>
      </c>
      <c r="F31" s="25" t="n">
        <v>129570</v>
      </c>
      <c r="G31" s="26" t="n">
        <v>0.01721746520961138</v>
      </c>
    </row>
    <row r="32">
      <c r="A32" s="27" t="inlineStr">
        <is>
          <t>EDC</t>
        </is>
      </c>
      <c r="B32" s="28" t="n">
        <v>36776</v>
      </c>
      <c r="C32" s="29" t="n">
        <v>0.00488685267074684</v>
      </c>
      <c r="E32" s="27" t="inlineStr">
        <is>
          <t>Noise - Commercial</t>
        </is>
      </c>
      <c r="F32" s="28" t="n">
        <v>126247</v>
      </c>
      <c r="G32" s="29" t="n">
        <v>0.0167758997477642</v>
      </c>
    </row>
    <row r="33">
      <c r="E33" s="24" t="inlineStr">
        <is>
          <t>PAINT/PLASTER</t>
        </is>
      </c>
      <c r="F33" s="25" t="n">
        <v>125565</v>
      </c>
      <c r="G33" s="26" t="n">
        <v>0.01668527451605196</v>
      </c>
    </row>
    <row r="34">
      <c r="E34" s="27" t="inlineStr">
        <is>
          <t>Noise</t>
        </is>
      </c>
      <c r="F34" s="28" t="n">
        <v>114654</v>
      </c>
      <c r="G34" s="29" t="n">
        <v>0.01523540369022754</v>
      </c>
    </row>
    <row r="35" ht="40" customHeight="1">
      <c r="A35" s="30" t="inlineStr">
        <is>
          <t>阅读提示：全时段排名由高频日常类型主导——违停 1,159,053（15.4%）、住宅噪声 881,548（11.7%）、供暖/热水 651,594（8.7%）。供暖在夏季接近消失，因此“全年第三”会低估它在冬季的权重。看季节请转到「冬季与尖峰」。</t>
        </is>
      </c>
    </row>
  </sheetData>
  <mergeCells count="15">
    <mergeCell ref="A4:B4"/>
    <mergeCell ref="G4:H4"/>
    <mergeCell ref="E4:F4"/>
    <mergeCell ref="E6:F6"/>
    <mergeCell ref="C6:D6"/>
    <mergeCell ref="A35:H35"/>
    <mergeCell ref="A2:H2"/>
    <mergeCell ref="C5:D5"/>
    <mergeCell ref="A5:B5"/>
    <mergeCell ref="G5:H5"/>
    <mergeCell ref="E5:F5"/>
    <mergeCell ref="G6:H6"/>
    <mergeCell ref="A1:H1"/>
    <mergeCell ref="A6:B6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65911"/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核心发现（可回查）</t>
        </is>
      </c>
    </row>
    <row r="2">
      <c r="A2" s="12" t="inlineStr">
        <is>
          <t>每条发现包含：指标定义、比较窗、分母、主要数字、证据层级。详细表在后续工作表。</t>
        </is>
      </c>
    </row>
    <row r="4" ht="20" customHeight="1">
      <c r="A4" s="31" t="inlineStr">
        <is>
          <t>发现 1  完整月同比多出约 34.7 万条记录（+10.5%），增量并不均匀</t>
        </is>
      </c>
    </row>
    <row r="5" ht="36" customHeight="1">
      <c r="A5" s="32" t="inlineStr">
        <is>
          <t>比较：Y1 3,293,003 条（2024-10-01 至 2025-08-31）vs Y2 3,639,698 条（2025-10-01 至 2026-08-31）。差值 346,695。
分解（互斥桶，加总等于总增量）：供暖/热水 +63,644（占增量 18.4%）；积雪/结冰 +55,130（15.9%）；违停 +54,955（15.8%）；路面状况 Street Condition +48,302（13.9%）；堵塞车道 +23,731（6.8%）；其余类型合计 +100,933（29.1%）。
描述性证据充分。推断：积雪增量与更冷/多雪的冬天一致，但不能用 311 记录代替气象观测。Street Condition 大增未做独立审计，可能含真实路面问题、申报习惯或分类漂移。</t>
        </is>
      </c>
    </row>
    <row r="6" ht="48" customHeight="1"/>
    <row r="7" ht="36" customHeight="1"/>
    <row r="9" ht="20" customHeight="1">
      <c r="A9" s="31" t="inlineStr">
        <is>
          <t>发现 2  冬季把城市 311 的“产品组合”改写成供暖与天气工单</t>
        </is>
      </c>
    </row>
    <row r="10" ht="36" customHeight="1">
      <c r="A10" s="32" t="inlineStr">
        <is>
          <t>供暖/热水：冬季窗 Nov–Mar，Y1 冬季 236,490 条 / 当季全部 1,492,229（占 15.8%）；Y2 冬季 280,590 / 1,662,596（占 16.9%）。
积雪/结冰：Y1 冬 8,808 量级 vs Y2 冬约 6.4 万（完整月同比口径 8,808 → 63,938）。单日尖峰 2026-02-24：当天 22,805 条中 11,370 条为 Snow or Ice（49.9%）。2025-01 住宅噪声异常高（70,837）而 2026-01 仅 28,739；跨年那一周 2025 年多日噪声 3,000–6,000/天，2026 年同期约 750–1,400/天。
描述：季节与尖峰结构清楚。推断：2026 年 1 月噪声偏低可能与更恶劣冬季活动减少有关，这是假说，不是验证过的因果。</t>
        </is>
      </c>
    </row>
    <row r="11" ht="48" customHeight="1"/>
    <row r="12" ht="36" customHeight="1"/>
    <row r="14" ht="20" customHeight="1">
      <c r="A14" s="31" t="inlineStr">
        <is>
          <t>发现 3  结案时钟是双速的：NYPD 小时级，住房/建筑类按天到周</t>
        </is>
      </c>
    </row>
    <row r="15" ht="36" customHeight="1">
      <c r="A15" s="32" t="inlineStr">
        <is>
          <t>NYPD 3,403,951 条，有效关闭 3,402,671，中位 1.34 小时，P90 7.0 小时（违停、住宅噪声、堵塞车道同属这一档）。
HPD 1,633,583 条，有效关闭 1,573,865，中位 87.5 小时（约 3.6 天），P90 890 小时（约 37 天）。供暖/热水中位 41.8 小时、P90 84.2 小时；不卫生条件中位 250 小时（约 10.4 天）。布朗克斯占完整月样本供暖工单的 35.1%，但其全部工单只占全市 22.1%——供暖负担集中，不是总体量幻觉。
描述：关闭速度差数量级，且与机构职责匹配（出警 vs 住房维修）。不要把中位时长直接当 KPI 排名：工单定义、法定时限、是否需入户都不同。</t>
        </is>
      </c>
    </row>
    <row r="16" ht="48" customHeight="1"/>
    <row r="17" ht="36" customHeight="1"/>
    <row r="19" ht="20" customHeight="1">
      <c r="A19" s="31" t="inlineStr">
        <is>
          <t>发现 4  最近两个月的“结案变快/未结案变多”首先是测量问题</t>
        </is>
      </c>
    </row>
    <row r="20" ht="36" customHeight="1">
      <c r="A20" s="32" t="inlineStr">
        <is>
          <t>2026-08 创建 328,446 条，快照时仍开放类状态 53,158（16.2%）；2026-09 残缺月 41,974 条中开放类 17,412（41.5%）。对比 2025-01 开放类仅 1,832 / 348,180（0.5%）。2026-08 已关闭工单的 P90 结案时长降到 178 小时，低于此前多数月份的 300–500 小时——这是慢单尚未关闭，不是突然提速。
分类更名：Water System 与 Sewer 在 2026-08 降为 0，Water Maintenance / Sewer Maintenance 承接。7 月 Water System 16,261 + Water Maintenance 1,892；8 月 0 + 8,925。用类型名做跨月趋势时，8 月起必须合并新旧名，否则会误报“供水投诉消失”。
这是 metric-diagnostics 意义上的测量驱动：日志/分类/窗口截断可以单独制造指标运动。</t>
        </is>
      </c>
    </row>
    <row r="21" ht="48" customHeight="1"/>
    <row r="22" ht="36" customHeight="1"/>
    <row r="25">
      <c r="A25" s="3" t="inlineStr">
        <is>
          <t>刻意没有做成“结论”的观察</t>
        </is>
      </c>
    </row>
    <row r="26" ht="48" customHeight="1">
      <c r="A26" s="30" t="inlineStr">
        <is>
          <t>Drug Activity 完整月同比 27,869 → 8,955（−68%），Lead 27,623 → 13,653。降幅大，但缺少分类规则或执法口径材料，本分析不解释原因。
EDC 未结案中位年龄约 304 天（多为 Noise - Helicopter 一类长尾），更像工单流程/关闭规则问题，不宜并入“城市响应变慢”总判断。</t>
        </is>
      </c>
    </row>
  </sheetData>
  <mergeCells count="10">
    <mergeCell ref="A15:F17"/>
    <mergeCell ref="A5:F7"/>
    <mergeCell ref="A19:F19"/>
    <mergeCell ref="A14:F14"/>
    <mergeCell ref="A1:F1"/>
    <mergeCell ref="A9:F9"/>
    <mergeCell ref="A4:F4"/>
    <mergeCell ref="A26:F26"/>
    <mergeCell ref="A10:F12"/>
    <mergeCell ref="A20:F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M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28" customWidth="1" min="13" max="13"/>
  </cols>
  <sheetData>
    <row r="1">
      <c r="A1" s="1" t="inlineStr">
        <is>
          <t>按创建月的请求量与结构</t>
        </is>
      </c>
    </row>
    <row r="2">
      <c r="A2" s="12" t="inlineStr">
        <is>
          <t>n_created 是当月创建的记录数。开放类占比升高出现在样本末段，优先视为快照截断。2024-09、2026-09 不是完整月。</t>
        </is>
      </c>
    </row>
    <row r="4">
      <c r="A4" s="4" t="inlineStr">
        <is>
          <t>创建月</t>
        </is>
      </c>
      <c r="B4" s="4" t="inlineStr">
        <is>
          <t>创建记录数</t>
        </is>
      </c>
      <c r="C4" s="4" t="inlineStr">
        <is>
          <t>status=Closed</t>
        </is>
      </c>
      <c r="D4" s="4" t="inlineStr">
        <is>
          <t>开放类状态</t>
        </is>
      </c>
      <c r="E4" s="4" t="inlineStr">
        <is>
          <t>开放类占比</t>
        </is>
      </c>
      <c r="F4" s="4" t="inlineStr">
        <is>
          <t>有效关闭数</t>
        </is>
      </c>
      <c r="G4" s="4" t="inlineStr">
        <is>
          <t>中位结案小时</t>
        </is>
      </c>
      <c r="H4" s="4" t="inlineStr">
        <is>
          <t>P90结案小时</t>
        </is>
      </c>
      <c r="I4" s="4" t="inlineStr">
        <is>
          <t>供暖/热水</t>
        </is>
      </c>
      <c r="J4" s="4" t="inlineStr">
        <is>
          <t>住宅噪声</t>
        </is>
      </c>
      <c r="K4" s="4" t="inlineStr">
        <is>
          <t>违停</t>
        </is>
      </c>
      <c r="L4" s="4" t="inlineStr">
        <is>
          <t>供暖占当月</t>
        </is>
      </c>
      <c r="M4" s="4" t="inlineStr">
        <is>
          <t>备注</t>
        </is>
      </c>
    </row>
    <row r="5">
      <c r="A5" s="24" t="inlineStr">
        <is>
          <t>2024-09</t>
        </is>
      </c>
      <c r="B5" s="25" t="n">
        <v>248139</v>
      </c>
      <c r="C5" s="25" t="n">
        <v>246067</v>
      </c>
      <c r="D5" s="25" t="n">
        <v>2054</v>
      </c>
      <c r="E5" s="26" t="n">
        <v>0.008277618592804839</v>
      </c>
      <c r="F5" s="25" t="n">
        <v>243355</v>
      </c>
      <c r="G5" s="33" t="n">
        <v>4.845833333333333</v>
      </c>
      <c r="H5" s="34" t="n">
        <v>344.8882777777779</v>
      </c>
      <c r="I5" s="25" t="n">
        <v>2696</v>
      </c>
      <c r="J5" s="25" t="n">
        <v>39381</v>
      </c>
      <c r="K5" s="25" t="n">
        <v>37255</v>
      </c>
      <c r="L5" s="26" t="n">
        <v>0.01086487815297071</v>
      </c>
      <c r="M5" s="24" t="inlineStr">
        <is>
          <t>月初不完整（9/7起）</t>
        </is>
      </c>
    </row>
    <row r="6">
      <c r="A6" s="27" t="inlineStr">
        <is>
          <t>2024-10</t>
        </is>
      </c>
      <c r="B6" s="28" t="n">
        <v>306803</v>
      </c>
      <c r="C6" s="28" t="n">
        <v>302257</v>
      </c>
      <c r="D6" s="28" t="n">
        <v>4535</v>
      </c>
      <c r="E6" s="29" t="n">
        <v>0.01478147214988119</v>
      </c>
      <c r="F6" s="28" t="n">
        <v>298892</v>
      </c>
      <c r="G6" s="35" t="n">
        <v>7.493611111111111</v>
      </c>
      <c r="H6" s="36" t="n">
        <v>396.0247500000006</v>
      </c>
      <c r="I6" s="28" t="n">
        <v>19650</v>
      </c>
      <c r="J6" s="28" t="n">
        <v>38628</v>
      </c>
      <c r="K6" s="28" t="n">
        <v>42959</v>
      </c>
      <c r="L6" s="29" t="n">
        <v>0.06404761361525148</v>
      </c>
      <c r="M6" s="27" t="inlineStr"/>
    </row>
    <row r="7">
      <c r="A7" s="24" t="inlineStr">
        <is>
          <t>2024-11</t>
        </is>
      </c>
      <c r="B7" s="25" t="n">
        <v>293515</v>
      </c>
      <c r="C7" s="25" t="n">
        <v>289247</v>
      </c>
      <c r="D7" s="25" t="n">
        <v>4248</v>
      </c>
      <c r="E7" s="26" t="n">
        <v>0.0144728548796484</v>
      </c>
      <c r="F7" s="25" t="n">
        <v>286954</v>
      </c>
      <c r="G7" s="33" t="n">
        <v>12.68138888888889</v>
      </c>
      <c r="H7" s="34" t="n">
        <v>508.7411111111112</v>
      </c>
      <c r="I7" s="25" t="n">
        <v>39368</v>
      </c>
      <c r="J7" s="25" t="n">
        <v>39103</v>
      </c>
      <c r="K7" s="25" t="n">
        <v>39784</v>
      </c>
      <c r="L7" s="26" t="n">
        <v>0.1341260242236342</v>
      </c>
      <c r="M7" s="24" t="inlineStr"/>
    </row>
    <row r="8">
      <c r="A8" s="27" t="inlineStr">
        <is>
          <t>2024-12</t>
        </is>
      </c>
      <c r="B8" s="28" t="n">
        <v>313949</v>
      </c>
      <c r="C8" s="28" t="n">
        <v>311163</v>
      </c>
      <c r="D8" s="28" t="n">
        <v>2768</v>
      </c>
      <c r="E8" s="29" t="n">
        <v>0.008816718639014617</v>
      </c>
      <c r="F8" s="28" t="n">
        <v>309954</v>
      </c>
      <c r="G8" s="35" t="n">
        <v>18.28333333333333</v>
      </c>
      <c r="H8" s="36" t="n">
        <v>533.3366666666667</v>
      </c>
      <c r="I8" s="28" t="n">
        <v>62918</v>
      </c>
      <c r="J8" s="28" t="n">
        <v>47405</v>
      </c>
      <c r="K8" s="28" t="n">
        <v>39971</v>
      </c>
      <c r="L8" s="29" t="n">
        <v>0.2004083465785844</v>
      </c>
      <c r="M8" s="27" t="inlineStr"/>
    </row>
    <row r="9">
      <c r="A9" s="24" t="inlineStr">
        <is>
          <t>2025-01</t>
        </is>
      </c>
      <c r="B9" s="25" t="n">
        <v>348180</v>
      </c>
      <c r="C9" s="25" t="n">
        <v>346312</v>
      </c>
      <c r="D9" s="25" t="n">
        <v>1832</v>
      </c>
      <c r="E9" s="26" t="n">
        <v>0.005261646274915274</v>
      </c>
      <c r="F9" s="25" t="n">
        <v>345261</v>
      </c>
      <c r="G9" s="33" t="n">
        <v>15.09611111111111</v>
      </c>
      <c r="H9" s="34" t="n">
        <v>393.0525</v>
      </c>
      <c r="I9" s="25" t="n">
        <v>67229</v>
      </c>
      <c r="J9" s="25" t="n">
        <v>70837</v>
      </c>
      <c r="K9" s="25" t="n">
        <v>43139</v>
      </c>
      <c r="L9" s="26" t="n">
        <v>0.1930869090700212</v>
      </c>
      <c r="M9" s="24" t="inlineStr"/>
    </row>
    <row r="10">
      <c r="A10" s="27" t="inlineStr">
        <is>
          <t>2025-02</t>
        </is>
      </c>
      <c r="B10" s="28" t="n">
        <v>255364</v>
      </c>
      <c r="C10" s="28" t="n">
        <v>252362</v>
      </c>
      <c r="D10" s="28" t="n">
        <v>2997</v>
      </c>
      <c r="E10" s="29" t="n">
        <v>0.01173618834291443</v>
      </c>
      <c r="F10" s="28" t="n">
        <v>251533</v>
      </c>
      <c r="G10" s="35" t="n">
        <v>13.80027777777778</v>
      </c>
      <c r="H10" s="36" t="n">
        <v>444.95</v>
      </c>
      <c r="I10" s="28" t="n">
        <v>40699</v>
      </c>
      <c r="J10" s="28" t="n">
        <v>26945</v>
      </c>
      <c r="K10" s="28" t="n">
        <v>42267</v>
      </c>
      <c r="L10" s="29" t="n">
        <v>0.1593764195423004</v>
      </c>
      <c r="M10" s="27" t="inlineStr"/>
    </row>
    <row r="11">
      <c r="A11" s="24" t="inlineStr">
        <is>
          <t>2025-03</t>
        </is>
      </c>
      <c r="B11" s="25" t="n">
        <v>281221</v>
      </c>
      <c r="C11" s="25" t="n">
        <v>278554</v>
      </c>
      <c r="D11" s="25" t="n">
        <v>2663</v>
      </c>
      <c r="E11" s="26" t="n">
        <v>0.009469420846949551</v>
      </c>
      <c r="F11" s="25" t="n">
        <v>276920</v>
      </c>
      <c r="G11" s="33" t="n">
        <v>8.416527777777777</v>
      </c>
      <c r="H11" s="34" t="n">
        <v>477.2019444444445</v>
      </c>
      <c r="I11" s="25" t="n">
        <v>26276</v>
      </c>
      <c r="J11" s="25" t="n">
        <v>28850</v>
      </c>
      <c r="K11" s="25" t="n">
        <v>53740</v>
      </c>
      <c r="L11" s="26" t="n">
        <v>0.09343541200692694</v>
      </c>
      <c r="M11" s="24" t="inlineStr"/>
    </row>
    <row r="12">
      <c r="A12" s="27" t="inlineStr">
        <is>
          <t>2025-04</t>
        </is>
      </c>
      <c r="B12" s="28" t="n">
        <v>272549</v>
      </c>
      <c r="C12" s="28" t="n">
        <v>269361</v>
      </c>
      <c r="D12" s="28" t="n">
        <v>3184</v>
      </c>
      <c r="E12" s="29" t="n">
        <v>0.01168230299872683</v>
      </c>
      <c r="F12" s="28" t="n">
        <v>267291</v>
      </c>
      <c r="G12" s="35" t="n">
        <v>6.986944444444444</v>
      </c>
      <c r="H12" s="36" t="n">
        <v>451.9463888888889</v>
      </c>
      <c r="I12" s="28" t="n">
        <v>16824</v>
      </c>
      <c r="J12" s="28" t="n">
        <v>28019</v>
      </c>
      <c r="K12" s="28" t="n">
        <v>47358</v>
      </c>
      <c r="L12" s="29" t="n">
        <v>0.06172834976462948</v>
      </c>
      <c r="M12" s="27" t="inlineStr"/>
    </row>
    <row r="13">
      <c r="A13" s="24" t="inlineStr">
        <is>
          <t>2025-05</t>
        </is>
      </c>
      <c r="B13" s="25" t="n">
        <v>295058</v>
      </c>
      <c r="C13" s="25" t="n">
        <v>290760</v>
      </c>
      <c r="D13" s="25" t="n">
        <v>4295</v>
      </c>
      <c r="E13" s="26" t="n">
        <v>0.01455646008581364</v>
      </c>
      <c r="F13" s="25" t="n">
        <v>290328</v>
      </c>
      <c r="G13" s="33" t="n">
        <v>4.143888888888889</v>
      </c>
      <c r="H13" s="34" t="n">
        <v>399.5264166666679</v>
      </c>
      <c r="I13" s="25" t="n">
        <v>7463</v>
      </c>
      <c r="J13" s="25" t="n">
        <v>32905</v>
      </c>
      <c r="K13" s="25" t="n">
        <v>51557</v>
      </c>
      <c r="L13" s="26" t="n">
        <v>0.02529333215842309</v>
      </c>
      <c r="M13" s="24" t="inlineStr"/>
    </row>
    <row r="14">
      <c r="A14" s="27" t="inlineStr">
        <is>
          <t>2025-06</t>
        </is>
      </c>
      <c r="B14" s="28" t="n">
        <v>306442</v>
      </c>
      <c r="C14" s="28" t="n">
        <v>302485</v>
      </c>
      <c r="D14" s="28" t="n">
        <v>3954</v>
      </c>
      <c r="E14" s="29" t="n">
        <v>0.01290293106036379</v>
      </c>
      <c r="F14" s="28" t="n">
        <v>302484</v>
      </c>
      <c r="G14" s="35" t="n">
        <v>3.516666666666667</v>
      </c>
      <c r="H14" s="36" t="n">
        <v>495.7687500000001</v>
      </c>
      <c r="I14" s="28" t="n">
        <v>4217</v>
      </c>
      <c r="J14" s="28" t="n">
        <v>29740</v>
      </c>
      <c r="K14" s="28" t="n">
        <v>48032</v>
      </c>
      <c r="L14" s="29" t="n">
        <v>0.01376116850823321</v>
      </c>
      <c r="M14" s="27" t="inlineStr"/>
    </row>
    <row r="15">
      <c r="A15" s="24" t="inlineStr">
        <is>
          <t>2025-07</t>
        </is>
      </c>
      <c r="B15" s="25" t="n">
        <v>315883</v>
      </c>
      <c r="C15" s="25" t="n">
        <v>311380</v>
      </c>
      <c r="D15" s="25" t="n">
        <v>4493</v>
      </c>
      <c r="E15" s="26" t="n">
        <v>0.01422362077098166</v>
      </c>
      <c r="F15" s="25" t="n">
        <v>311376</v>
      </c>
      <c r="G15" s="33" t="n">
        <v>4.615277777777778</v>
      </c>
      <c r="H15" s="34" t="n">
        <v>521.6526388888889</v>
      </c>
      <c r="I15" s="25" t="n">
        <v>3008</v>
      </c>
      <c r="J15" s="25" t="n">
        <v>26659</v>
      </c>
      <c r="K15" s="25" t="n">
        <v>47001</v>
      </c>
      <c r="L15" s="26" t="n">
        <v>0.009522513082375436</v>
      </c>
      <c r="M15" s="24" t="inlineStr"/>
    </row>
    <row r="16">
      <c r="A16" s="27" t="inlineStr">
        <is>
          <t>2025-08</t>
        </is>
      </c>
      <c r="B16" s="28" t="n">
        <v>304039</v>
      </c>
      <c r="C16" s="28" t="n">
        <v>298173</v>
      </c>
      <c r="D16" s="28" t="n">
        <v>5863</v>
      </c>
      <c r="E16" s="29" t="n">
        <v>0.01928371031347952</v>
      </c>
      <c r="F16" s="28" t="n">
        <v>298172</v>
      </c>
      <c r="G16" s="35" t="n">
        <v>3.942638888888889</v>
      </c>
      <c r="H16" s="36" t="n">
        <v>397.5305555555556</v>
      </c>
      <c r="I16" s="28" t="n">
        <v>2929</v>
      </c>
      <c r="J16" s="28" t="n">
        <v>32756</v>
      </c>
      <c r="K16" s="28" t="n">
        <v>47243</v>
      </c>
      <c r="L16" s="29" t="n">
        <v>0.009633632527406023</v>
      </c>
      <c r="M16" s="27" t="inlineStr"/>
    </row>
    <row r="17">
      <c r="A17" s="24" t="inlineStr">
        <is>
          <t>2025-09</t>
        </is>
      </c>
      <c r="B17" s="25" t="n">
        <v>302684</v>
      </c>
      <c r="C17" s="25" t="n">
        <v>295526</v>
      </c>
      <c r="D17" s="25" t="n">
        <v>7149</v>
      </c>
      <c r="E17" s="26" t="n">
        <v>0.02361869144057829</v>
      </c>
      <c r="F17" s="25" t="n">
        <v>295526</v>
      </c>
      <c r="G17" s="33" t="n">
        <v>3.697777777777778</v>
      </c>
      <c r="H17" s="34" t="n">
        <v>320.7541666666667</v>
      </c>
      <c r="I17" s="25" t="n">
        <v>3595</v>
      </c>
      <c r="J17" s="25" t="n">
        <v>36142</v>
      </c>
      <c r="K17" s="25" t="n">
        <v>54313</v>
      </c>
      <c r="L17" s="26" t="n">
        <v>0.01187707311916058</v>
      </c>
      <c r="M17" s="24" t="inlineStr"/>
    </row>
    <row r="18">
      <c r="A18" s="27" t="inlineStr">
        <is>
          <t>2025-10</t>
        </is>
      </c>
      <c r="B18" s="28" t="n">
        <v>336612</v>
      </c>
      <c r="C18" s="28" t="n">
        <v>329071</v>
      </c>
      <c r="D18" s="28" t="n">
        <v>7513</v>
      </c>
      <c r="E18" s="29" t="n">
        <v>0.02231946573503024</v>
      </c>
      <c r="F18" s="28" t="n">
        <v>329068</v>
      </c>
      <c r="G18" s="35" t="n">
        <v>4.816666666666666</v>
      </c>
      <c r="H18" s="36" t="n">
        <v>350.3114166666664</v>
      </c>
      <c r="I18" s="28" t="n">
        <v>31858</v>
      </c>
      <c r="J18" s="28" t="n">
        <v>49182</v>
      </c>
      <c r="K18" s="28" t="n">
        <v>51073</v>
      </c>
      <c r="L18" s="29" t="n">
        <v>0.09464309056123965</v>
      </c>
      <c r="M18" s="27" t="inlineStr"/>
    </row>
    <row r="19">
      <c r="A19" s="24" t="inlineStr">
        <is>
          <t>2025-11</t>
        </is>
      </c>
      <c r="B19" s="25" t="n">
        <v>304905</v>
      </c>
      <c r="C19" s="25" t="n">
        <v>300014</v>
      </c>
      <c r="D19" s="25" t="n">
        <v>4868</v>
      </c>
      <c r="E19" s="26" t="n">
        <v>0.01596562863842836</v>
      </c>
      <c r="F19" s="25" t="n">
        <v>299943</v>
      </c>
      <c r="G19" s="33" t="n">
        <v>7.679166666666666</v>
      </c>
      <c r="H19" s="34" t="n">
        <v>348.3786111111109</v>
      </c>
      <c r="I19" s="25" t="n">
        <v>47946</v>
      </c>
      <c r="J19" s="25" t="n">
        <v>43928</v>
      </c>
      <c r="K19" s="25" t="n">
        <v>47373</v>
      </c>
      <c r="L19" s="26" t="n">
        <v>0.1572489791902396</v>
      </c>
      <c r="M19" s="24" t="inlineStr"/>
    </row>
    <row r="20">
      <c r="A20" s="27" t="inlineStr">
        <is>
          <t>2025-12</t>
        </is>
      </c>
      <c r="B20" s="28" t="n">
        <v>332103</v>
      </c>
      <c r="C20" s="28" t="n">
        <v>326704</v>
      </c>
      <c r="D20" s="28" t="n">
        <v>5356</v>
      </c>
      <c r="E20" s="29" t="n">
        <v>0.01612752670105359</v>
      </c>
      <c r="F20" s="28" t="n">
        <v>326701</v>
      </c>
      <c r="G20" s="35" t="n">
        <v>12.46055555555556</v>
      </c>
      <c r="H20" s="36" t="n">
        <v>366.2788888888889</v>
      </c>
      <c r="I20" s="28" t="n">
        <v>63902</v>
      </c>
      <c r="J20" s="28" t="n">
        <v>57386</v>
      </c>
      <c r="K20" s="28" t="n">
        <v>44161</v>
      </c>
      <c r="L20" s="29" t="n">
        <v>0.1924162082245569</v>
      </c>
      <c r="M20" s="27" t="inlineStr"/>
    </row>
    <row r="21">
      <c r="A21" s="24" t="inlineStr">
        <is>
          <t>2026-01</t>
        </is>
      </c>
      <c r="B21" s="25" t="n">
        <v>348511</v>
      </c>
      <c r="C21" s="25" t="n">
        <v>339180</v>
      </c>
      <c r="D21" s="25" t="n">
        <v>9329</v>
      </c>
      <c r="E21" s="26" t="n">
        <v>0.02676816513682495</v>
      </c>
      <c r="F21" s="25" t="n">
        <v>339179</v>
      </c>
      <c r="G21" s="33" t="n">
        <v>25.89555555555556</v>
      </c>
      <c r="H21" s="34" t="n">
        <v>456.7121111111119</v>
      </c>
      <c r="I21" s="25" t="n">
        <v>79928</v>
      </c>
      <c r="J21" s="25" t="n">
        <v>28739</v>
      </c>
      <c r="K21" s="25" t="n">
        <v>48717</v>
      </c>
      <c r="L21" s="26" t="n">
        <v>0.2293413981194281</v>
      </c>
      <c r="M21" s="24" t="inlineStr"/>
    </row>
    <row r="22">
      <c r="A22" s="27" t="inlineStr">
        <is>
          <t>2026-02</t>
        </is>
      </c>
      <c r="B22" s="28" t="n">
        <v>334690</v>
      </c>
      <c r="C22" s="28" t="n">
        <v>321588</v>
      </c>
      <c r="D22" s="28" t="n">
        <v>13097</v>
      </c>
      <c r="E22" s="29" t="n">
        <v>0.03913173384325794</v>
      </c>
      <c r="F22" s="28" t="n">
        <v>321587</v>
      </c>
      <c r="G22" s="35" t="n">
        <v>17.01333333333333</v>
      </c>
      <c r="H22" s="36" t="n">
        <v>447.7631111111123</v>
      </c>
      <c r="I22" s="28" t="n">
        <v>59031</v>
      </c>
      <c r="J22" s="28" t="n">
        <v>26949</v>
      </c>
      <c r="K22" s="28" t="n">
        <v>47781</v>
      </c>
      <c r="L22" s="29" t="n">
        <v>0.176375153126774</v>
      </c>
      <c r="M22" s="27" t="inlineStr"/>
    </row>
    <row r="23">
      <c r="A23" s="24" t="inlineStr">
        <is>
          <t>2026-03</t>
        </is>
      </c>
      <c r="B23" s="25" t="n">
        <v>342387</v>
      </c>
      <c r="C23" s="25" t="n">
        <v>329466</v>
      </c>
      <c r="D23" s="25" t="n">
        <v>12916</v>
      </c>
      <c r="E23" s="26" t="n">
        <v>0.03772339487188474</v>
      </c>
      <c r="F23" s="25" t="n">
        <v>329463</v>
      </c>
      <c r="G23" s="33" t="n">
        <v>8.206111111111111</v>
      </c>
      <c r="H23" s="34" t="n">
        <v>454.2168888888888</v>
      </c>
      <c r="I23" s="25" t="n">
        <v>29783</v>
      </c>
      <c r="J23" s="25" t="n">
        <v>31823</v>
      </c>
      <c r="K23" s="25" t="n">
        <v>54104</v>
      </c>
      <c r="L23" s="26" t="n">
        <v>0.08698636338412381</v>
      </c>
      <c r="M23" s="24" t="inlineStr"/>
    </row>
    <row r="24">
      <c r="A24" s="27" t="inlineStr">
        <is>
          <t>2026-04</t>
        </is>
      </c>
      <c r="B24" s="28" t="n">
        <v>302190</v>
      </c>
      <c r="C24" s="28" t="n">
        <v>290086</v>
      </c>
      <c r="D24" s="28" t="n">
        <v>12094</v>
      </c>
      <c r="E24" s="29" t="n">
        <v>0.04002117872861445</v>
      </c>
      <c r="F24" s="28" t="n">
        <v>290085</v>
      </c>
      <c r="G24" s="35" t="n">
        <v>6.412222222222222</v>
      </c>
      <c r="H24" s="36" t="n">
        <v>400.4975000000001</v>
      </c>
      <c r="I24" s="28" t="n">
        <v>19553</v>
      </c>
      <c r="J24" s="28" t="n">
        <v>30922</v>
      </c>
      <c r="K24" s="28" t="n">
        <v>51438</v>
      </c>
      <c r="L24" s="29" t="n">
        <v>0.06470432509348423</v>
      </c>
      <c r="M24" s="27" t="inlineStr"/>
    </row>
    <row r="25">
      <c r="A25" s="24" t="inlineStr">
        <is>
          <t>2026-05</t>
        </is>
      </c>
      <c r="B25" s="25" t="n">
        <v>331978</v>
      </c>
      <c r="C25" s="25" t="n">
        <v>316509</v>
      </c>
      <c r="D25" s="25" t="n">
        <v>15464</v>
      </c>
      <c r="E25" s="26" t="n">
        <v>0.04658139997228732</v>
      </c>
      <c r="F25" s="25" t="n">
        <v>316502</v>
      </c>
      <c r="G25" s="33" t="n">
        <v>5.103055555555556</v>
      </c>
      <c r="H25" s="34" t="n">
        <v>327.81763888889</v>
      </c>
      <c r="I25" s="25" t="n">
        <v>9823</v>
      </c>
      <c r="J25" s="25" t="n">
        <v>37268</v>
      </c>
      <c r="K25" s="25" t="n">
        <v>56372</v>
      </c>
      <c r="L25" s="26" t="n">
        <v>0.02958931013500895</v>
      </c>
      <c r="M25" s="24" t="inlineStr"/>
    </row>
    <row r="26">
      <c r="A26" s="27" t="inlineStr">
        <is>
          <t>2026-06</t>
        </is>
      </c>
      <c r="B26" s="28" t="n">
        <v>334833</v>
      </c>
      <c r="C26" s="28" t="n">
        <v>316170</v>
      </c>
      <c r="D26" s="28" t="n">
        <v>18659</v>
      </c>
      <c r="E26" s="29" t="n">
        <v>0.05572628743283965</v>
      </c>
      <c r="F26" s="28" t="n">
        <v>316165</v>
      </c>
      <c r="G26" s="35" t="n">
        <v>5.56</v>
      </c>
      <c r="H26" s="36" t="n">
        <v>308.2408333333338</v>
      </c>
      <c r="I26" s="28" t="n">
        <v>4388</v>
      </c>
      <c r="J26" s="28" t="n">
        <v>34039</v>
      </c>
      <c r="K26" s="28" t="n">
        <v>56689</v>
      </c>
      <c r="L26" s="29" t="n">
        <v>0.01310504042313631</v>
      </c>
      <c r="M26" s="27" t="inlineStr"/>
    </row>
    <row r="27">
      <c r="A27" s="24" t="inlineStr">
        <is>
          <t>2026-07</t>
        </is>
      </c>
      <c r="B27" s="25" t="n">
        <v>343043</v>
      </c>
      <c r="C27" s="25" t="n">
        <v>313088</v>
      </c>
      <c r="D27" s="25" t="n">
        <v>29946</v>
      </c>
      <c r="E27" s="26" t="n">
        <v>0.08729517873852549</v>
      </c>
      <c r="F27" s="25" t="n">
        <v>313040</v>
      </c>
      <c r="G27" s="33" t="n">
        <v>4.82</v>
      </c>
      <c r="H27" s="34" t="n">
        <v>331.6377500000004</v>
      </c>
      <c r="I27" s="25" t="n">
        <v>4331</v>
      </c>
      <c r="J27" s="25" t="n">
        <v>29971</v>
      </c>
      <c r="K27" s="25" t="n">
        <v>49082</v>
      </c>
      <c r="L27" s="26" t="n">
        <v>0.01262523940147445</v>
      </c>
      <c r="M27" s="24" t="inlineStr">
        <is>
          <t>近期未结案抬升，结案时长受快照截断</t>
        </is>
      </c>
    </row>
    <row r="28">
      <c r="A28" s="27" t="inlineStr">
        <is>
          <t>2026-08</t>
        </is>
      </c>
      <c r="B28" s="28" t="n">
        <v>328446</v>
      </c>
      <c r="C28" s="28" t="n">
        <v>275267</v>
      </c>
      <c r="D28" s="28" t="n">
        <v>53158</v>
      </c>
      <c r="E28" s="29" t="n">
        <v>0.1618470007246244</v>
      </c>
      <c r="F28" s="28" t="n">
        <v>274931</v>
      </c>
      <c r="G28" s="35" t="n">
        <v>4.085</v>
      </c>
      <c r="H28" s="36" t="n">
        <v>177.9266666666667</v>
      </c>
      <c r="I28" s="28" t="n">
        <v>3682</v>
      </c>
      <c r="J28" s="28" t="n">
        <v>30622</v>
      </c>
      <c r="K28" s="28" t="n">
        <v>51216</v>
      </c>
      <c r="L28" s="29" t="n">
        <v>0.01121036639204009</v>
      </c>
      <c r="M28" s="27" t="inlineStr">
        <is>
          <t>近期未结案抬升，结案时长受快照截断</t>
        </is>
      </c>
    </row>
    <row r="29">
      <c r="A29" s="24" t="inlineStr">
        <is>
          <t>2026-09</t>
        </is>
      </c>
      <c r="B29" s="25" t="n">
        <v>41974</v>
      </c>
      <c r="C29" s="25" t="n">
        <v>24559</v>
      </c>
      <c r="D29" s="25" t="n">
        <v>17412</v>
      </c>
      <c r="E29" s="26" t="n">
        <v>0.4148282269976652</v>
      </c>
      <c r="F29" s="25" t="n">
        <v>24549</v>
      </c>
      <c r="G29" s="33" t="n">
        <v>1.883055555555556</v>
      </c>
      <c r="H29" s="33" t="n">
        <v>26.42927777777779</v>
      </c>
      <c r="I29" s="25" t="n">
        <v>497</v>
      </c>
      <c r="J29" s="25" t="n">
        <v>3349</v>
      </c>
      <c r="K29" s="25" t="n">
        <v>6428</v>
      </c>
      <c r="L29" s="26" t="n">
        <v>0.01184066326773717</v>
      </c>
      <c r="M29" s="24" t="inlineStr">
        <is>
          <t>月末不完整（至9/5）</t>
        </is>
      </c>
    </row>
    <row r="64" ht="36" customHeight="1">
      <c r="A64" s="30" t="inlineStr">
        <is>
          <t>图阅读：1 月是全年高峰（2025-01 与 2026-01 总量几乎相同：348,180 vs 348,511），但内部结构不同——2026-01 供暖更高、住宅噪声更低。2025-02 偏低部分来自短月。2026-08/09 开放类占比跳升不要当作业绩恶化。</t>
        </is>
      </c>
    </row>
  </sheetData>
  <autoFilter ref="A4:M29"/>
  <mergeCells count="2">
    <mergeCell ref="A2:L2"/>
    <mergeCell ref="A64:L6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548235"/>
    <outlinePr summaryBelow="1" summaryRight="1"/>
    <pageSetUpPr/>
  </sheetPr>
  <dimension ref="A1:L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8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完整月同比分解</t>
        </is>
      </c>
    </row>
    <row r="2">
      <c r="A2" s="37" t="inlineStr">
        <is>
          <t>Y1：2024-10-01 ≤ created &lt; 2025-09-01，n=3,293,003。  Y2：2025-10-01 ≤ created &lt; 2026-09-01，n=3,639,698。  Δ=346,695（+10.5%）。两个窗口各 11 个日历月，长度对齐。</t>
        </is>
      </c>
    </row>
    <row r="4">
      <c r="A4" s="3" t="inlineStr">
        <is>
          <t>互斥贡献桶（加总 = 总增量）</t>
        </is>
      </c>
    </row>
    <row r="5">
      <c r="A5" s="4" t="inlineStr">
        <is>
          <t>类型桶</t>
        </is>
      </c>
      <c r="B5" s="4" t="inlineStr">
        <is>
          <t>Y1记录数</t>
        </is>
      </c>
      <c r="C5" s="4" t="inlineStr">
        <is>
          <t>Y2记录数</t>
        </is>
      </c>
      <c r="D5" s="4" t="inlineStr">
        <is>
          <t>增量</t>
        </is>
      </c>
      <c r="E5" s="4" t="inlineStr">
        <is>
          <t>Y1占比</t>
        </is>
      </c>
      <c r="F5" s="4" t="inlineStr">
        <is>
          <t>Y2占比</t>
        </is>
      </c>
      <c r="G5" s="4" t="inlineStr">
        <is>
          <t>占总增量</t>
        </is>
      </c>
    </row>
    <row r="6">
      <c r="A6" s="24" t="inlineStr">
        <is>
          <t>Other</t>
        </is>
      </c>
      <c r="B6" s="25" t="n">
        <v>2271627</v>
      </c>
      <c r="C6" s="25" t="n">
        <v>2372560</v>
      </c>
      <c r="D6" s="25" t="n">
        <v>100933</v>
      </c>
      <c r="E6" s="26" t="n">
        <v>0.6898344763123507</v>
      </c>
      <c r="F6" s="26" t="n">
        <v>0.6518562803837021</v>
      </c>
      <c r="G6" s="26" t="n">
        <v>0.2911290904108799</v>
      </c>
    </row>
    <row r="7">
      <c r="A7" s="27" t="inlineStr">
        <is>
          <t>HEAT/HOT WATER</t>
        </is>
      </c>
      <c r="B7" s="28" t="n">
        <v>290581</v>
      </c>
      <c r="C7" s="28" t="n">
        <v>354225</v>
      </c>
      <c r="D7" s="28" t="n">
        <v>63644</v>
      </c>
      <c r="E7" s="29" t="n">
        <v>0.0882419481549212</v>
      </c>
      <c r="F7" s="29" t="n">
        <v>0.09732263500982774</v>
      </c>
      <c r="G7" s="29" t="n">
        <v>0.1835734579385339</v>
      </c>
    </row>
    <row r="8">
      <c r="A8" s="24" t="inlineStr">
        <is>
          <t>Snow or Ice</t>
        </is>
      </c>
      <c r="B8" s="25" t="n">
        <v>8808</v>
      </c>
      <c r="C8" s="25" t="n">
        <v>63938</v>
      </c>
      <c r="D8" s="25" t="n">
        <v>55130</v>
      </c>
      <c r="E8" s="26" t="n">
        <v>0.00267476221552182</v>
      </c>
      <c r="F8" s="26" t="n">
        <v>0.01756684208415094</v>
      </c>
      <c r="G8" s="26" t="n">
        <v>0.1590158496661331</v>
      </c>
    </row>
    <row r="9">
      <c r="A9" s="27" t="inlineStr">
        <is>
          <t>Illegal Parking</t>
        </is>
      </c>
      <c r="B9" s="28" t="n">
        <v>503051</v>
      </c>
      <c r="C9" s="28" t="n">
        <v>558006</v>
      </c>
      <c r="D9" s="28" t="n">
        <v>54955</v>
      </c>
      <c r="E9" s="29" t="n">
        <v>0.1527636020981457</v>
      </c>
      <c r="F9" s="29" t="n">
        <v>0.1533110714130678</v>
      </c>
      <c r="G9" s="29" t="n">
        <v>0.1585110832287746</v>
      </c>
    </row>
    <row r="10">
      <c r="A10" s="24" t="inlineStr">
        <is>
          <t>Street Condition</t>
        </is>
      </c>
      <c r="B10" s="25" t="n">
        <v>64326</v>
      </c>
      <c r="C10" s="25" t="n">
        <v>112628</v>
      </c>
      <c r="D10" s="25" t="n">
        <v>48302</v>
      </c>
      <c r="E10" s="26" t="n">
        <v>0.01953414558079661</v>
      </c>
      <c r="F10" s="26" t="n">
        <v>0.03094432560064049</v>
      </c>
      <c r="G10" s="26" t="n">
        <v>0.139321305470226</v>
      </c>
    </row>
    <row r="11">
      <c r="A11" s="27" t="inlineStr">
        <is>
          <t>Blocked Driveway</t>
        </is>
      </c>
      <c r="B11" s="28" t="n">
        <v>154610</v>
      </c>
      <c r="C11" s="28" t="n">
        <v>178341</v>
      </c>
      <c r="D11" s="28" t="n">
        <v>23731</v>
      </c>
      <c r="E11" s="29" t="n">
        <v>0.04695106563826392</v>
      </c>
      <c r="F11" s="29" t="n">
        <v>0.04899884550861088</v>
      </c>
      <c r="G11" s="29" t="n">
        <v>0.06844921328545263</v>
      </c>
    </row>
    <row r="30">
      <c r="A30" s="3" t="inlineStr">
        <is>
          <t>增量最大的具体类型（阈值：两期合计 ≥ 5,000）</t>
        </is>
      </c>
      <c r="H30" s="3" t="inlineStr">
        <is>
          <t>降幅最大的具体类型</t>
        </is>
      </c>
    </row>
    <row r="31">
      <c r="A31" s="38" t="inlineStr">
        <is>
          <t>complaint_type</t>
        </is>
      </c>
      <c r="B31" s="38" t="inlineStr">
        <is>
          <t>Y1</t>
        </is>
      </c>
      <c r="C31" s="38" t="inlineStr">
        <is>
          <t>Y2</t>
        </is>
      </c>
      <c r="D31" s="38" t="inlineStr">
        <is>
          <t>增量</t>
        </is>
      </c>
      <c r="E31" s="38" t="inlineStr">
        <is>
          <t>相对Y1</t>
        </is>
      </c>
      <c r="F31" s="38" t="inlineStr">
        <is>
          <t>占总增量</t>
        </is>
      </c>
      <c r="H31" s="39" t="inlineStr">
        <is>
          <t>complaint_type</t>
        </is>
      </c>
      <c r="I31" s="39" t="inlineStr">
        <is>
          <t>Y1</t>
        </is>
      </c>
      <c r="J31" s="39" t="inlineStr">
        <is>
          <t>Y2</t>
        </is>
      </c>
      <c r="K31" s="39" t="inlineStr">
        <is>
          <t>增量</t>
        </is>
      </c>
      <c r="L31" s="39" t="inlineStr">
        <is>
          <t>相对Y1</t>
        </is>
      </c>
    </row>
    <row r="32">
      <c r="A32" s="24" t="inlineStr">
        <is>
          <t>HEAT/HOT WATER</t>
        </is>
      </c>
      <c r="B32" s="25" t="n">
        <v>290581</v>
      </c>
      <c r="C32" s="25" t="n">
        <v>354225</v>
      </c>
      <c r="D32" s="25" t="n">
        <v>63644</v>
      </c>
      <c r="E32" s="26" t="n">
        <v>0.2190232671785148</v>
      </c>
      <c r="F32" s="26" t="n">
        <v>0.1835734579385339</v>
      </c>
      <c r="H32" s="24" t="inlineStr">
        <is>
          <t>Drug Activity</t>
        </is>
      </c>
      <c r="I32" s="25" t="n">
        <v>27869</v>
      </c>
      <c r="J32" s="25" t="n">
        <v>8955</v>
      </c>
      <c r="K32" s="25" t="n">
        <v>-18914</v>
      </c>
      <c r="L32" s="26" t="n">
        <v>-0.6786752305428971</v>
      </c>
    </row>
    <row r="33">
      <c r="A33" s="27" t="inlineStr">
        <is>
          <t>Snow or Ice</t>
        </is>
      </c>
      <c r="B33" s="28" t="n">
        <v>8808</v>
      </c>
      <c r="C33" s="28" t="n">
        <v>63938</v>
      </c>
      <c r="D33" s="28" t="n">
        <v>55130</v>
      </c>
      <c r="E33" s="29" t="n">
        <v>6.259082652134423</v>
      </c>
      <c r="F33" s="29" t="n">
        <v>0.1590158496661331</v>
      </c>
      <c r="H33" s="27" t="inlineStr">
        <is>
          <t>Lead</t>
        </is>
      </c>
      <c r="I33" s="28" t="n">
        <v>27623</v>
      </c>
      <c r="J33" s="28" t="n">
        <v>13653</v>
      </c>
      <c r="K33" s="28" t="n">
        <v>-13970</v>
      </c>
      <c r="L33" s="29" t="n">
        <v>-0.5057379719798718</v>
      </c>
    </row>
    <row r="34">
      <c r="A34" s="24" t="inlineStr">
        <is>
          <t>Illegal Parking</t>
        </is>
      </c>
      <c r="B34" s="25" t="n">
        <v>503051</v>
      </c>
      <c r="C34" s="25" t="n">
        <v>558006</v>
      </c>
      <c r="D34" s="25" t="n">
        <v>54955</v>
      </c>
      <c r="E34" s="26" t="n">
        <v>0.1092433967927705</v>
      </c>
      <c r="F34" s="26" t="n">
        <v>0.1585110832287746</v>
      </c>
      <c r="H34" s="24" t="inlineStr">
        <is>
          <t>Noise - Helicopter</t>
        </is>
      </c>
      <c r="I34" s="25" t="n">
        <v>21080</v>
      </c>
      <c r="J34" s="25" t="n">
        <v>12019</v>
      </c>
      <c r="K34" s="25" t="n">
        <v>-9061</v>
      </c>
      <c r="L34" s="26" t="n">
        <v>-0.4298387096774193</v>
      </c>
    </row>
    <row r="35">
      <c r="A35" s="27" t="inlineStr">
        <is>
          <t>Street Condition</t>
        </is>
      </c>
      <c r="B35" s="28" t="n">
        <v>64326</v>
      </c>
      <c r="C35" s="28" t="n">
        <v>112628</v>
      </c>
      <c r="D35" s="28" t="n">
        <v>48302</v>
      </c>
      <c r="E35" s="29" t="n">
        <v>0.7508938842769642</v>
      </c>
      <c r="F35" s="29" t="n">
        <v>0.139321305470226</v>
      </c>
      <c r="H35" s="27" t="inlineStr">
        <is>
          <t>Rodent</t>
        </is>
      </c>
      <c r="I35" s="28" t="n">
        <v>31595</v>
      </c>
      <c r="J35" s="28" t="n">
        <v>22596</v>
      </c>
      <c r="K35" s="28" t="n">
        <v>-8999</v>
      </c>
      <c r="L35" s="29" t="n">
        <v>-0.2848235480297515</v>
      </c>
    </row>
    <row r="36">
      <c r="A36" s="24" t="inlineStr">
        <is>
          <t>Blocked Driveway</t>
        </is>
      </c>
      <c r="B36" s="25" t="n">
        <v>154610</v>
      </c>
      <c r="C36" s="25" t="n">
        <v>178341</v>
      </c>
      <c r="D36" s="25" t="n">
        <v>23731</v>
      </c>
      <c r="E36" s="26" t="n">
        <v>0.1534894250048509</v>
      </c>
      <c r="F36" s="26" t="n">
        <v>0.06844921328545263</v>
      </c>
      <c r="H36" s="24" t="inlineStr">
        <is>
          <t>Missed Collection</t>
        </is>
      </c>
      <c r="I36" s="25" t="n">
        <v>40327</v>
      </c>
      <c r="J36" s="25" t="n">
        <v>32260</v>
      </c>
      <c r="K36" s="25" t="n">
        <v>-8067</v>
      </c>
      <c r="L36" s="26" t="n">
        <v>-0.2000396756515486</v>
      </c>
    </row>
    <row r="37">
      <c r="A37" s="27" t="inlineStr">
        <is>
          <t>UNSANITARY CONDITION</t>
        </is>
      </c>
      <c r="B37" s="28" t="n">
        <v>104697</v>
      </c>
      <c r="C37" s="28" t="n">
        <v>122542</v>
      </c>
      <c r="D37" s="28" t="n">
        <v>17845</v>
      </c>
      <c r="E37" s="29" t="n">
        <v>0.1704442343142592</v>
      </c>
      <c r="F37" s="29" t="n">
        <v>0.05147175471235524</v>
      </c>
      <c r="H37" s="27" t="inlineStr">
        <is>
          <t>Derelict Vehicles</t>
        </is>
      </c>
      <c r="I37" s="28" t="n">
        <v>41210</v>
      </c>
      <c r="J37" s="28" t="n">
        <v>33264</v>
      </c>
      <c r="K37" s="28" t="n">
        <v>-7946</v>
      </c>
      <c r="L37" s="29" t="n">
        <v>-0.1928172773598641</v>
      </c>
    </row>
    <row r="38">
      <c r="A38" s="24" t="inlineStr">
        <is>
          <t>Damaged Tree</t>
        </is>
      </c>
      <c r="B38" s="25" t="n">
        <v>24306</v>
      </c>
      <c r="C38" s="25" t="n">
        <v>39803</v>
      </c>
      <c r="D38" s="25" t="n">
        <v>15497</v>
      </c>
      <c r="E38" s="26" t="n">
        <v>0.6375791985517979</v>
      </c>
      <c r="F38" s="26" t="n">
        <v>0.0446992313128254</v>
      </c>
      <c r="H38" s="24" t="inlineStr">
        <is>
          <t>Water System</t>
        </is>
      </c>
      <c r="I38" s="25" t="n">
        <v>75320</v>
      </c>
      <c r="J38" s="25" t="n">
        <v>69833</v>
      </c>
      <c r="K38" s="25" t="n">
        <v>-5487</v>
      </c>
      <c r="L38" s="26" t="n">
        <v>-0.07284917684545937</v>
      </c>
    </row>
    <row r="39">
      <c r="A39" s="27" t="inlineStr">
        <is>
          <t>PLUMBING</t>
        </is>
      </c>
      <c r="B39" s="28" t="n">
        <v>62476</v>
      </c>
      <c r="C39" s="28" t="n">
        <v>77795</v>
      </c>
      <c r="D39" s="28" t="n">
        <v>15319</v>
      </c>
      <c r="E39" s="29" t="n">
        <v>0.2451981560919393</v>
      </c>
      <c r="F39" s="29" t="n">
        <v>0.04418581173654076</v>
      </c>
      <c r="H39" s="27" t="inlineStr">
        <is>
          <t>Noise - Commercial</t>
        </is>
      </c>
      <c r="I39" s="28" t="n">
        <v>59301</v>
      </c>
      <c r="J39" s="28" t="n">
        <v>54370</v>
      </c>
      <c r="K39" s="28" t="n">
        <v>-4931</v>
      </c>
      <c r="L39" s="29" t="n">
        <v>-0.08315205477142038</v>
      </c>
    </row>
    <row r="40">
      <c r="A40" s="24" t="inlineStr">
        <is>
          <t>Water Maintenance</t>
        </is>
      </c>
      <c r="B40" s="25" t="n">
        <v>9</v>
      </c>
      <c r="C40" s="25" t="n">
        <v>11297</v>
      </c>
      <c r="D40" s="25" t="n">
        <v>11288</v>
      </c>
      <c r="E40" s="26" t="n">
        <v>1254.222222222222</v>
      </c>
      <c r="F40" s="26" t="n">
        <v>0.03255887739944331</v>
      </c>
      <c r="H40" s="24" t="inlineStr">
        <is>
          <t>Vendor Enforcement</t>
        </is>
      </c>
      <c r="I40" s="25" t="n">
        <v>26778</v>
      </c>
      <c r="J40" s="25" t="n">
        <v>21999</v>
      </c>
      <c r="K40" s="25" t="n">
        <v>-4779</v>
      </c>
      <c r="L40" s="26" t="n">
        <v>-0.1784673986107999</v>
      </c>
    </row>
    <row r="41">
      <c r="A41" s="27" t="inlineStr">
        <is>
          <t>GENERAL</t>
        </is>
      </c>
      <c r="B41" s="28" t="n">
        <v>29158</v>
      </c>
      <c r="C41" s="28" t="n">
        <v>39166</v>
      </c>
      <c r="D41" s="28" t="n">
        <v>10008</v>
      </c>
      <c r="E41" s="29" t="n">
        <v>0.3432334179298991</v>
      </c>
      <c r="F41" s="29" t="n">
        <v>0.02886687145762125</v>
      </c>
      <c r="H41" s="27" t="inlineStr">
        <is>
          <t>Traffic</t>
        </is>
      </c>
      <c r="I41" s="28" t="n">
        <v>12020</v>
      </c>
      <c r="J41" s="28" t="n">
        <v>8249</v>
      </c>
      <c r="K41" s="28" t="n">
        <v>-3771</v>
      </c>
      <c r="L41" s="29" t="n">
        <v>-0.3137271214642263</v>
      </c>
    </row>
    <row r="42">
      <c r="A42" s="24" t="inlineStr">
        <is>
          <t>Traffic Signal Condition</t>
        </is>
      </c>
      <c r="B42" s="25" t="n">
        <v>44657</v>
      </c>
      <c r="C42" s="25" t="n">
        <v>54168</v>
      </c>
      <c r="D42" s="25" t="n">
        <v>9511</v>
      </c>
      <c r="E42" s="26" t="n">
        <v>0.2129789282755223</v>
      </c>
      <c r="F42" s="26" t="n">
        <v>0.02743333477552315</v>
      </c>
      <c r="H42" s="24" t="inlineStr">
        <is>
          <t>Residential Disposal Complaint</t>
        </is>
      </c>
      <c r="I42" s="25" t="n">
        <v>15740</v>
      </c>
      <c r="J42" s="25" t="n">
        <v>12084</v>
      </c>
      <c r="K42" s="25" t="n">
        <v>-3656</v>
      </c>
      <c r="L42" s="26" t="n">
        <v>-0.232274459974587</v>
      </c>
    </row>
    <row r="43">
      <c r="A43" s="27" t="inlineStr">
        <is>
          <t>WATER LEAK</t>
        </is>
      </c>
      <c r="B43" s="28" t="n">
        <v>34224</v>
      </c>
      <c r="C43" s="28" t="n">
        <v>43364</v>
      </c>
      <c r="D43" s="28" t="n">
        <v>9140</v>
      </c>
      <c r="E43" s="29" t="n">
        <v>0.2670640486208509</v>
      </c>
      <c r="F43" s="29" t="n">
        <v>0.02636322992832317</v>
      </c>
      <c r="H43" s="27" t="inlineStr">
        <is>
          <t>Homeless Person Assistance</t>
        </is>
      </c>
      <c r="I43" s="28" t="n">
        <v>33965</v>
      </c>
      <c r="J43" s="28" t="n">
        <v>30529</v>
      </c>
      <c r="K43" s="28" t="n">
        <v>-3436</v>
      </c>
      <c r="L43" s="29" t="n">
        <v>-0.1011629618725158</v>
      </c>
    </row>
    <row r="44">
      <c r="A44" s="24" t="inlineStr">
        <is>
          <t>PAINT/PLASTER</t>
        </is>
      </c>
      <c r="B44" s="25" t="n">
        <v>53466</v>
      </c>
      <c r="C44" s="25" t="n">
        <v>61743</v>
      </c>
      <c r="D44" s="25" t="n">
        <v>8277</v>
      </c>
      <c r="E44" s="26" t="n">
        <v>0.154808663449669</v>
      </c>
      <c r="F44" s="26" t="n">
        <v>0.02387401029723532</v>
      </c>
    </row>
    <row r="45">
      <c r="A45" s="27" t="inlineStr">
        <is>
          <t>DOOR/WINDOW</t>
        </is>
      </c>
      <c r="B45" s="28" t="n">
        <v>40937</v>
      </c>
      <c r="C45" s="28" t="n">
        <v>48663</v>
      </c>
      <c r="D45" s="28" t="n">
        <v>7726</v>
      </c>
      <c r="E45" s="29" t="n">
        <v>0.1887290226445514</v>
      </c>
      <c r="F45" s="29" t="n">
        <v>0.02228471711446661</v>
      </c>
    </row>
    <row r="46">
      <c r="A46" s="24" t="inlineStr">
        <is>
          <t>Noise - Vehicle</t>
        </is>
      </c>
      <c r="B46" s="25" t="n">
        <v>38360</v>
      </c>
      <c r="C46" s="25" t="n">
        <v>46002</v>
      </c>
      <c r="D46" s="25" t="n">
        <v>7642</v>
      </c>
      <c r="E46" s="26" t="n">
        <v>0.1992179353493222</v>
      </c>
      <c r="F46" s="26" t="n">
        <v>0.02204242922453453</v>
      </c>
    </row>
    <row r="49">
      <c r="A49" s="3" t="inlineStr">
        <is>
          <t>按行政区（同一完整月窗口）</t>
        </is>
      </c>
      <c r="G49" s="3" t="inlineStr">
        <is>
          <t>按机构（同一窗口，按增量降序）</t>
        </is>
      </c>
    </row>
    <row r="50">
      <c r="A50" s="4" t="inlineStr">
        <is>
          <t>borough</t>
        </is>
      </c>
      <c r="B50" s="4" t="inlineStr">
        <is>
          <t>Y1</t>
        </is>
      </c>
      <c r="C50" s="4" t="inlineStr">
        <is>
          <t>Y2</t>
        </is>
      </c>
      <c r="D50" s="4" t="inlineStr">
        <is>
          <t>增量</t>
        </is>
      </c>
      <c r="E50" s="4" t="inlineStr">
        <is>
          <t>相对Y1</t>
        </is>
      </c>
      <c r="G50" s="4" t="inlineStr">
        <is>
          <t>agency</t>
        </is>
      </c>
      <c r="H50" s="4" t="inlineStr">
        <is>
          <t>Y1</t>
        </is>
      </c>
      <c r="I50" s="4" t="inlineStr">
        <is>
          <t>Y2</t>
        </is>
      </c>
      <c r="J50" s="4" t="inlineStr">
        <is>
          <t>增量</t>
        </is>
      </c>
      <c r="K50" s="4" t="inlineStr">
        <is>
          <t>相对Y1</t>
        </is>
      </c>
    </row>
    <row r="51">
      <c r="A51" s="24" t="inlineStr">
        <is>
          <t>BROOKLYN</t>
        </is>
      </c>
      <c r="B51" s="25" t="n">
        <v>975744</v>
      </c>
      <c r="C51" s="25" t="n">
        <v>1105825</v>
      </c>
      <c r="D51" s="25" t="n">
        <v>130081</v>
      </c>
      <c r="E51" s="26" t="n">
        <v>0.1333146808999082</v>
      </c>
      <c r="G51" s="24" t="inlineStr">
        <is>
          <t>HPD</t>
        </is>
      </c>
      <c r="H51" s="25" t="n">
        <v>701073</v>
      </c>
      <c r="I51" s="25" t="n">
        <v>848019</v>
      </c>
      <c r="J51" s="25" t="n">
        <v>146946</v>
      </c>
      <c r="K51" s="26" t="n">
        <v>0.2096015678823746</v>
      </c>
    </row>
    <row r="52">
      <c r="A52" s="27" t="inlineStr">
        <is>
          <t>QUEENS</t>
        </is>
      </c>
      <c r="B52" s="28" t="n">
        <v>786200</v>
      </c>
      <c r="C52" s="28" t="n">
        <v>886593</v>
      </c>
      <c r="D52" s="28" t="n">
        <v>100393</v>
      </c>
      <c r="E52" s="29" t="n">
        <v>0.1276939709997456</v>
      </c>
      <c r="G52" s="27" t="inlineStr">
        <is>
          <t>DOT</t>
        </is>
      </c>
      <c r="H52" s="28" t="n">
        <v>192453</v>
      </c>
      <c r="I52" s="28" t="n">
        <v>259309</v>
      </c>
      <c r="J52" s="28" t="n">
        <v>66856</v>
      </c>
      <c r="K52" s="29" t="n">
        <v>0.3473887130883904</v>
      </c>
    </row>
    <row r="53">
      <c r="A53" s="24" t="inlineStr">
        <is>
          <t>BRONX</t>
        </is>
      </c>
      <c r="B53" s="25" t="n">
        <v>747048</v>
      </c>
      <c r="C53" s="25" t="n">
        <v>791078</v>
      </c>
      <c r="D53" s="25" t="n">
        <v>44030</v>
      </c>
      <c r="E53" s="26" t="n">
        <v>0.05893864918987803</v>
      </c>
      <c r="G53" s="24" t="inlineStr">
        <is>
          <t>NYPD</t>
        </is>
      </c>
      <c r="H53" s="25" t="n">
        <v>1519410</v>
      </c>
      <c r="I53" s="25" t="n">
        <v>1577910</v>
      </c>
      <c r="J53" s="25" t="n">
        <v>58500</v>
      </c>
      <c r="K53" s="26" t="n">
        <v>0.03850178687780125</v>
      </c>
    </row>
    <row r="54">
      <c r="A54" s="27" t="inlineStr">
        <is>
          <t>MANHATTAN</t>
        </is>
      </c>
      <c r="B54" s="28" t="n">
        <v>661954</v>
      </c>
      <c r="C54" s="28" t="n">
        <v>704453</v>
      </c>
      <c r="D54" s="28" t="n">
        <v>42499</v>
      </c>
      <c r="E54" s="29" t="n">
        <v>0.06420234638660692</v>
      </c>
      <c r="G54" s="27" t="inlineStr">
        <is>
          <t>DSNY</t>
        </is>
      </c>
      <c r="H54" s="28" t="n">
        <v>297848</v>
      </c>
      <c r="I54" s="28" t="n">
        <v>330993</v>
      </c>
      <c r="J54" s="28" t="n">
        <v>33145</v>
      </c>
      <c r="K54" s="29" t="n">
        <v>0.1112815932959093</v>
      </c>
    </row>
    <row r="55">
      <c r="A55" s="24" t="inlineStr">
        <is>
          <t>STATEN ISLAND</t>
        </is>
      </c>
      <c r="B55" s="25" t="n">
        <v>119694</v>
      </c>
      <c r="C55" s="25" t="n">
        <v>148241</v>
      </c>
      <c r="D55" s="25" t="n">
        <v>28547</v>
      </c>
      <c r="E55" s="26" t="n">
        <v>0.2384998412618845</v>
      </c>
      <c r="G55" s="24" t="inlineStr">
        <is>
          <t>DPR</t>
        </is>
      </c>
      <c r="H55" s="25" t="n">
        <v>98166</v>
      </c>
      <c r="I55" s="25" t="n">
        <v>122517</v>
      </c>
      <c r="J55" s="25" t="n">
        <v>24351</v>
      </c>
      <c r="K55" s="26" t="n">
        <v>0.2480594095715421</v>
      </c>
    </row>
    <row r="56">
      <c r="A56" s="27" t="inlineStr">
        <is>
          <t>Unspecified</t>
        </is>
      </c>
      <c r="B56" s="28" t="n">
        <v>2363</v>
      </c>
      <c r="C56" s="28" t="n">
        <v>3508</v>
      </c>
      <c r="D56" s="28" t="n">
        <v>1145</v>
      </c>
      <c r="E56" s="29" t="n">
        <v>0.4845535336436733</v>
      </c>
      <c r="G56" s="27" t="inlineStr">
        <is>
          <t>DOB</t>
        </is>
      </c>
      <c r="H56" s="28" t="n">
        <v>92680</v>
      </c>
      <c r="I56" s="28" t="n">
        <v>109581</v>
      </c>
      <c r="J56" s="28" t="n">
        <v>16901</v>
      </c>
      <c r="K56" s="29" t="n">
        <v>0.182358653431161</v>
      </c>
    </row>
    <row r="57">
      <c r="G57" s="24" t="inlineStr">
        <is>
          <t>DEP</t>
        </is>
      </c>
      <c r="H57" s="25" t="n">
        <v>192648</v>
      </c>
      <c r="I57" s="25" t="n">
        <v>202049</v>
      </c>
      <c r="J57" s="25" t="n">
        <v>9401</v>
      </c>
      <c r="K57" s="26" t="n">
        <v>0.04879884556289191</v>
      </c>
    </row>
    <row r="58">
      <c r="G58" s="27" t="inlineStr">
        <is>
          <t>OOS</t>
        </is>
      </c>
      <c r="H58" s="28" t="n">
        <v>0</v>
      </c>
      <c r="I58" s="28" t="n">
        <v>3958</v>
      </c>
      <c r="J58" s="28" t="n">
        <v>3958</v>
      </c>
      <c r="K58" s="29" t="n">
        <v/>
      </c>
    </row>
    <row r="59">
      <c r="G59" s="24" t="inlineStr">
        <is>
          <t>TLC</t>
        </is>
      </c>
      <c r="H59" s="25" t="n">
        <v>33209</v>
      </c>
      <c r="I59" s="25" t="n">
        <v>35741</v>
      </c>
      <c r="J59" s="25" t="n">
        <v>2532</v>
      </c>
      <c r="K59" s="26" t="n">
        <v>0.07624439158059562</v>
      </c>
    </row>
    <row r="60" ht="40" customHeight="1">
      <c r="A60" s="30" t="inlineStr">
        <is>
          <t>分解读法：HPD 增量（+146,946）与供暖/住房类上升同向；DOT 增量（+66,856）与 Street Condition 同向；NYPD 增量较小（+58,500，+3.9%）。史泰登岛相对增幅最高（+23.8%），但基数小。OOS、NYC311-PRD 在 Y1 为 0，更像新编码而非业务从零开始。</t>
        </is>
      </c>
    </row>
    <row r="61">
      <c r="G61" s="24" t="inlineStr">
        <is>
          <t>NYC311-PRD</t>
        </is>
      </c>
      <c r="H61" s="25" t="n">
        <v>0</v>
      </c>
      <c r="I61" s="25" t="n">
        <v>371</v>
      </c>
      <c r="J61" s="25" t="n">
        <v>371</v>
      </c>
      <c r="K61" s="26" t="n">
        <v/>
      </c>
    </row>
    <row r="62">
      <c r="G62" s="27" t="inlineStr">
        <is>
          <t>OTI</t>
        </is>
      </c>
      <c r="H62" s="28" t="n">
        <v>175</v>
      </c>
      <c r="I62" s="28" t="n">
        <v>238</v>
      </c>
      <c r="J62" s="28" t="n">
        <v>63</v>
      </c>
      <c r="K62" s="29" t="n">
        <v>0.36</v>
      </c>
    </row>
  </sheetData>
  <mergeCells count="2">
    <mergeCell ref="A2:H2"/>
    <mergeCell ref="A60:L60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J9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冬季结构与天气尖峰</t>
        </is>
      </c>
    </row>
    <row r="2">
      <c r="A2" s="12" t="inlineStr">
        <is>
          <t>供暖法定季在纽约大致为 10 月–5 月；本表用记录自证季节性，不引入外部气温序列（任务限制）。</t>
        </is>
      </c>
    </row>
    <row r="4">
      <c r="A4" s="3" t="inlineStr">
        <is>
          <t>冬季窗对照 Nov–Mar</t>
        </is>
      </c>
    </row>
    <row r="5">
      <c r="A5" s="4" t="inlineStr">
        <is>
          <t>窗口</t>
        </is>
      </c>
      <c r="B5" s="4" t="inlineStr">
        <is>
          <t>全部记录</t>
        </is>
      </c>
      <c r="C5" s="4" t="inlineStr">
        <is>
          <t>供暖/热水</t>
        </is>
      </c>
      <c r="D5" s="4" t="inlineStr">
        <is>
          <t>供暖占当季</t>
        </is>
      </c>
      <c r="E5" s="4" t="inlineStr">
        <is>
          <t>积雪/结冰(同比口径)</t>
        </is>
      </c>
    </row>
    <row r="6">
      <c r="A6" s="24" t="inlineStr">
        <is>
          <t>Y1冬 2024-11～2025-03</t>
        </is>
      </c>
      <c r="B6" s="25" t="n">
        <v>1492229</v>
      </c>
      <c r="C6" s="25" t="n">
        <v>236490</v>
      </c>
      <c r="D6" s="26" t="n">
        <v>0.1584810374279015</v>
      </c>
      <c r="E6" s="25" t="n">
        <v>8808</v>
      </c>
    </row>
    <row r="7">
      <c r="A7" s="27" t="inlineStr">
        <is>
          <t>Y2冬 2025-11～2026-03</t>
        </is>
      </c>
      <c r="B7" s="28" t="n">
        <v>1662596</v>
      </c>
      <c r="C7" s="28" t="n">
        <v>280590</v>
      </c>
      <c r="D7" s="29" t="n">
        <v>0.1687661945535777</v>
      </c>
      <c r="E7" s="28" t="n">
        <v>63938</v>
      </c>
    </row>
    <row r="10">
      <c r="A10" s="3" t="inlineStr">
        <is>
          <t>月度：供暖、积雪、违停、住宅噪声</t>
        </is>
      </c>
    </row>
    <row r="11">
      <c r="A11" s="4" t="inlineStr">
        <is>
          <t>创建月</t>
        </is>
      </c>
      <c r="B11" s="4" t="inlineStr">
        <is>
          <t>全部</t>
        </is>
      </c>
      <c r="C11" s="4" t="inlineStr">
        <is>
          <t>供暖/热水</t>
        </is>
      </c>
      <c r="D11" s="4" t="inlineStr">
        <is>
          <t>住宅噪声</t>
        </is>
      </c>
      <c r="E11" s="4" t="inlineStr">
        <is>
          <t>违停</t>
        </is>
      </c>
      <c r="F11" s="4" t="inlineStr">
        <is>
          <t>积雪/结冰</t>
        </is>
      </c>
    </row>
    <row r="12">
      <c r="A12" s="24" t="inlineStr">
        <is>
          <t>2024-09</t>
        </is>
      </c>
      <c r="B12" s="25" t="n">
        <v>248139</v>
      </c>
      <c r="C12" s="25" t="n">
        <v>2696</v>
      </c>
      <c r="D12" s="25" t="n">
        <v>39381</v>
      </c>
      <c r="E12" s="25" t="n">
        <v>37255</v>
      </c>
      <c r="F12" s="25" t="n">
        <v>0</v>
      </c>
    </row>
    <row r="13">
      <c r="A13" s="27" t="inlineStr">
        <is>
          <t>2024-10</t>
        </is>
      </c>
      <c r="B13" s="28" t="n">
        <v>306803</v>
      </c>
      <c r="C13" s="28" t="n">
        <v>19650</v>
      </c>
      <c r="D13" s="28" t="n">
        <v>38628</v>
      </c>
      <c r="E13" s="28" t="n">
        <v>42959</v>
      </c>
      <c r="F13" s="28" t="n">
        <v>0</v>
      </c>
    </row>
    <row r="14">
      <c r="A14" s="24" t="inlineStr">
        <is>
          <t>2024-11</t>
        </is>
      </c>
      <c r="B14" s="25" t="n">
        <v>293515</v>
      </c>
      <c r="C14" s="25" t="n">
        <v>39368</v>
      </c>
      <c r="D14" s="25" t="n">
        <v>39103</v>
      </c>
      <c r="E14" s="25" t="n">
        <v>39784</v>
      </c>
      <c r="F14" s="25" t="n">
        <v>2</v>
      </c>
    </row>
    <row r="15">
      <c r="A15" s="27" t="inlineStr">
        <is>
          <t>2024-12</t>
        </is>
      </c>
      <c r="B15" s="28" t="n">
        <v>313949</v>
      </c>
      <c r="C15" s="28" t="n">
        <v>62918</v>
      </c>
      <c r="D15" s="28" t="n">
        <v>47405</v>
      </c>
      <c r="E15" s="28" t="n">
        <v>39971</v>
      </c>
      <c r="F15" s="28" t="n">
        <v>816</v>
      </c>
    </row>
    <row r="16">
      <c r="A16" s="24" t="inlineStr">
        <is>
          <t>2025-01</t>
        </is>
      </c>
      <c r="B16" s="25" t="n">
        <v>348180</v>
      </c>
      <c r="C16" s="25" t="n">
        <v>67229</v>
      </c>
      <c r="D16" s="25" t="n">
        <v>70837</v>
      </c>
      <c r="E16" s="25" t="n">
        <v>43139</v>
      </c>
      <c r="F16" s="25" t="n">
        <v>5161</v>
      </c>
    </row>
    <row r="17">
      <c r="A17" s="27" t="inlineStr">
        <is>
          <t>2025-02</t>
        </is>
      </c>
      <c r="B17" s="28" t="n">
        <v>255364</v>
      </c>
      <c r="C17" s="28" t="n">
        <v>40699</v>
      </c>
      <c r="D17" s="28" t="n">
        <v>26945</v>
      </c>
      <c r="E17" s="28" t="n">
        <v>42267</v>
      </c>
      <c r="F17" s="28" t="n">
        <v>2817</v>
      </c>
    </row>
    <row r="18">
      <c r="A18" s="24" t="inlineStr">
        <is>
          <t>2025-03</t>
        </is>
      </c>
      <c r="B18" s="25" t="n">
        <v>281221</v>
      </c>
      <c r="C18" s="25" t="n">
        <v>26276</v>
      </c>
      <c r="D18" s="25" t="n">
        <v>28850</v>
      </c>
      <c r="E18" s="25" t="n">
        <v>53740</v>
      </c>
      <c r="F18" s="25" t="n">
        <v>12</v>
      </c>
    </row>
    <row r="19">
      <c r="A19" s="27" t="inlineStr">
        <is>
          <t>2025-04</t>
        </is>
      </c>
      <c r="B19" s="28" t="n">
        <v>272549</v>
      </c>
      <c r="C19" s="28" t="n">
        <v>16824</v>
      </c>
      <c r="D19" s="28" t="n">
        <v>28019</v>
      </c>
      <c r="E19" s="28" t="n">
        <v>47358</v>
      </c>
      <c r="F19" s="28" t="n">
        <v>0</v>
      </c>
    </row>
    <row r="20">
      <c r="A20" s="24" t="inlineStr">
        <is>
          <t>2025-05</t>
        </is>
      </c>
      <c r="B20" s="25" t="n">
        <v>295058</v>
      </c>
      <c r="C20" s="25" t="n">
        <v>7463</v>
      </c>
      <c r="D20" s="25" t="n">
        <v>32905</v>
      </c>
      <c r="E20" s="25" t="n">
        <v>51557</v>
      </c>
      <c r="F20" s="25" t="n">
        <v>0</v>
      </c>
    </row>
    <row r="21">
      <c r="A21" s="27" t="inlineStr">
        <is>
          <t>2025-06</t>
        </is>
      </c>
      <c r="B21" s="28" t="n">
        <v>306442</v>
      </c>
      <c r="C21" s="28" t="n">
        <v>4217</v>
      </c>
      <c r="D21" s="28" t="n">
        <v>29740</v>
      </c>
      <c r="E21" s="28" t="n">
        <v>48032</v>
      </c>
      <c r="F21" s="28" t="n">
        <v>0</v>
      </c>
    </row>
    <row r="22">
      <c r="A22" s="24" t="inlineStr">
        <is>
          <t>2025-07</t>
        </is>
      </c>
      <c r="B22" s="25" t="n">
        <v>315883</v>
      </c>
      <c r="C22" s="25" t="n">
        <v>3008</v>
      </c>
      <c r="D22" s="25" t="n">
        <v>26659</v>
      </c>
      <c r="E22" s="25" t="n">
        <v>47001</v>
      </c>
      <c r="F22" s="25" t="n">
        <v>0</v>
      </c>
    </row>
    <row r="23">
      <c r="A23" s="27" t="inlineStr">
        <is>
          <t>2025-08</t>
        </is>
      </c>
      <c r="B23" s="28" t="n">
        <v>304039</v>
      </c>
      <c r="C23" s="28" t="n">
        <v>2929</v>
      </c>
      <c r="D23" s="28" t="n">
        <v>32756</v>
      </c>
      <c r="E23" s="28" t="n">
        <v>47243</v>
      </c>
      <c r="F23" s="28" t="n">
        <v>0</v>
      </c>
    </row>
    <row r="24">
      <c r="A24" s="24" t="inlineStr">
        <is>
          <t>2025-09</t>
        </is>
      </c>
      <c r="B24" s="25" t="n">
        <v>302684</v>
      </c>
      <c r="C24" s="25" t="n">
        <v>3595</v>
      </c>
      <c r="D24" s="25" t="n">
        <v>36142</v>
      </c>
      <c r="E24" s="25" t="n">
        <v>54313</v>
      </c>
      <c r="F24" s="25" t="n">
        <v>0</v>
      </c>
    </row>
    <row r="25">
      <c r="A25" s="27" t="inlineStr">
        <is>
          <t>2025-10</t>
        </is>
      </c>
      <c r="B25" s="28" t="n">
        <v>336612</v>
      </c>
      <c r="C25" s="28" t="n">
        <v>31858</v>
      </c>
      <c r="D25" s="28" t="n">
        <v>49182</v>
      </c>
      <c r="E25" s="28" t="n">
        <v>51073</v>
      </c>
      <c r="F25" s="28" t="n">
        <v>0</v>
      </c>
    </row>
    <row r="26">
      <c r="A26" s="24" t="inlineStr">
        <is>
          <t>2025-11</t>
        </is>
      </c>
      <c r="B26" s="25" t="n">
        <v>304905</v>
      </c>
      <c r="C26" s="25" t="n">
        <v>47946</v>
      </c>
      <c r="D26" s="25" t="n">
        <v>43928</v>
      </c>
      <c r="E26" s="25" t="n">
        <v>47373</v>
      </c>
      <c r="F26" s="25" t="n">
        <v>8</v>
      </c>
    </row>
    <row r="27">
      <c r="A27" s="27" t="inlineStr">
        <is>
          <t>2025-12</t>
        </is>
      </c>
      <c r="B27" s="28" t="n">
        <v>332103</v>
      </c>
      <c r="C27" s="28" t="n">
        <v>63902</v>
      </c>
      <c r="D27" s="28" t="n">
        <v>57386</v>
      </c>
      <c r="E27" s="28" t="n">
        <v>44161</v>
      </c>
      <c r="F27" s="28" t="n">
        <v>8700</v>
      </c>
    </row>
    <row r="28">
      <c r="A28" s="24" t="inlineStr">
        <is>
          <t>2026-01</t>
        </is>
      </c>
      <c r="B28" s="25" t="n">
        <v>348511</v>
      </c>
      <c r="C28" s="25" t="n">
        <v>79928</v>
      </c>
      <c r="D28" s="25" t="n">
        <v>28739</v>
      </c>
      <c r="E28" s="25" t="n">
        <v>48717</v>
      </c>
      <c r="F28" s="25" t="n">
        <v>24079</v>
      </c>
    </row>
    <row r="29">
      <c r="A29" s="27" t="inlineStr">
        <is>
          <t>2026-02</t>
        </is>
      </c>
      <c r="B29" s="28" t="n">
        <v>334690</v>
      </c>
      <c r="C29" s="28" t="n">
        <v>59031</v>
      </c>
      <c r="D29" s="28" t="n">
        <v>26949</v>
      </c>
      <c r="E29" s="28" t="n">
        <v>47781</v>
      </c>
      <c r="F29" s="28" t="n">
        <v>30943</v>
      </c>
    </row>
    <row r="30">
      <c r="A30" s="24" t="inlineStr">
        <is>
          <t>2026-03</t>
        </is>
      </c>
      <c r="B30" s="25" t="n">
        <v>342387</v>
      </c>
      <c r="C30" s="25" t="n">
        <v>29783</v>
      </c>
      <c r="D30" s="25" t="n">
        <v>31823</v>
      </c>
      <c r="E30" s="25" t="n">
        <v>54104</v>
      </c>
      <c r="F30" s="25" t="n">
        <v>208</v>
      </c>
    </row>
    <row r="31">
      <c r="A31" s="27" t="inlineStr">
        <is>
          <t>2026-04</t>
        </is>
      </c>
      <c r="B31" s="28" t="n">
        <v>302190</v>
      </c>
      <c r="C31" s="28" t="n">
        <v>19553</v>
      </c>
      <c r="D31" s="28" t="n">
        <v>30922</v>
      </c>
      <c r="E31" s="28" t="n">
        <v>51438</v>
      </c>
      <c r="F31" s="28" t="n">
        <v>0</v>
      </c>
    </row>
    <row r="32">
      <c r="A32" s="24" t="inlineStr">
        <is>
          <t>2026-05</t>
        </is>
      </c>
      <c r="B32" s="25" t="n">
        <v>331978</v>
      </c>
      <c r="C32" s="25" t="n">
        <v>9823</v>
      </c>
      <c r="D32" s="25" t="n">
        <v>37268</v>
      </c>
      <c r="E32" s="25" t="n">
        <v>56372</v>
      </c>
      <c r="F32" s="25" t="n">
        <v>0</v>
      </c>
    </row>
    <row r="33">
      <c r="A33" s="27" t="inlineStr">
        <is>
          <t>2026-06</t>
        </is>
      </c>
      <c r="B33" s="28" t="n">
        <v>334833</v>
      </c>
      <c r="C33" s="28" t="n">
        <v>4388</v>
      </c>
      <c r="D33" s="28" t="n">
        <v>34039</v>
      </c>
      <c r="E33" s="28" t="n">
        <v>56689</v>
      </c>
      <c r="F33" s="28" t="n">
        <v>0</v>
      </c>
    </row>
    <row r="34">
      <c r="A34" s="24" t="inlineStr">
        <is>
          <t>2026-07</t>
        </is>
      </c>
      <c r="B34" s="25" t="n">
        <v>343043</v>
      </c>
      <c r="C34" s="25" t="n">
        <v>4331</v>
      </c>
      <c r="D34" s="25" t="n">
        <v>29971</v>
      </c>
      <c r="E34" s="25" t="n">
        <v>49082</v>
      </c>
      <c r="F34" s="25" t="n">
        <v>0</v>
      </c>
    </row>
    <row r="35">
      <c r="A35" s="27" t="inlineStr">
        <is>
          <t>2026-08</t>
        </is>
      </c>
      <c r="B35" s="28" t="n">
        <v>328446</v>
      </c>
      <c r="C35" s="28" t="n">
        <v>3682</v>
      </c>
      <c r="D35" s="28" t="n">
        <v>30622</v>
      </c>
      <c r="E35" s="28" t="n">
        <v>51216</v>
      </c>
      <c r="F35" s="28" t="n">
        <v>0</v>
      </c>
    </row>
    <row r="36">
      <c r="A36" s="24" t="inlineStr">
        <is>
          <t>2026-09</t>
        </is>
      </c>
      <c r="B36" s="25" t="n">
        <v>41974</v>
      </c>
      <c r="C36" s="25" t="n">
        <v>497</v>
      </c>
      <c r="D36" s="25" t="n">
        <v>3349</v>
      </c>
      <c r="E36" s="25" t="n">
        <v>6428</v>
      </c>
      <c r="F36" s="25" t="n">
        <v>0</v>
      </c>
    </row>
    <row r="40">
      <c r="A40" s="3" t="inlineStr">
        <is>
          <t>尖峰日 2026-02-24（当天 22,805 条，全样本最高日）</t>
        </is>
      </c>
      <c r="E40" s="3" t="inlineStr">
        <is>
          <t>前后窗口（2026-02-15～03-04）</t>
        </is>
      </c>
    </row>
    <row r="41">
      <c r="A41" s="4" t="inlineStr">
        <is>
          <t>complaint_type</t>
        </is>
      </c>
      <c r="B41" s="4" t="inlineStr">
        <is>
          <t>记录数</t>
        </is>
      </c>
      <c r="C41" s="4" t="inlineStr">
        <is>
          <t>占当天</t>
        </is>
      </c>
      <c r="E41" s="4" t="inlineStr">
        <is>
          <t>日期</t>
        </is>
      </c>
      <c r="F41" s="4" t="inlineStr">
        <is>
          <t>全部</t>
        </is>
      </c>
      <c r="G41" s="4" t="inlineStr">
        <is>
          <t>供暖</t>
        </is>
      </c>
      <c r="H41" s="4" t="inlineStr">
        <is>
          <t>积雪</t>
        </is>
      </c>
      <c r="I41" s="4" t="inlineStr">
        <is>
          <t>违停</t>
        </is>
      </c>
      <c r="J41" s="4" t="inlineStr">
        <is>
          <t>含Noise类</t>
        </is>
      </c>
    </row>
    <row r="42">
      <c r="A42" s="24" t="inlineStr">
        <is>
          <t>Snow or Ice</t>
        </is>
      </c>
      <c r="B42" s="25" t="n">
        <v>11370</v>
      </c>
      <c r="C42" s="26" t="n">
        <v>0.4985748739311555</v>
      </c>
      <c r="E42" s="24" t="inlineStr">
        <is>
          <t>2026-02-15</t>
        </is>
      </c>
      <c r="F42" s="25" t="n">
        <v>8890</v>
      </c>
      <c r="G42" s="25" t="n">
        <v>1153</v>
      </c>
      <c r="H42" s="25" t="n">
        <v>120</v>
      </c>
      <c r="I42" s="25" t="n">
        <v>1717</v>
      </c>
      <c r="J42" s="25" t="n">
        <v>1980</v>
      </c>
    </row>
    <row r="43">
      <c r="A43" s="27" t="inlineStr">
        <is>
          <t>Illegal Parking</t>
        </is>
      </c>
      <c r="B43" s="28" t="n">
        <v>1669</v>
      </c>
      <c r="C43" s="29" t="n">
        <v>0.07318570488927867</v>
      </c>
      <c r="E43" s="27" t="inlineStr">
        <is>
          <t>2026-02-16</t>
        </is>
      </c>
      <c r="F43" s="28" t="n">
        <v>9182</v>
      </c>
      <c r="G43" s="28" t="n">
        <v>1413</v>
      </c>
      <c r="H43" s="28" t="n">
        <v>127</v>
      </c>
      <c r="I43" s="28" t="n">
        <v>1575</v>
      </c>
      <c r="J43" s="28" t="n">
        <v>1493</v>
      </c>
    </row>
    <row r="44">
      <c r="A44" s="24" t="inlineStr">
        <is>
          <t>HEAT/HOT WATER</t>
        </is>
      </c>
      <c r="B44" s="25" t="n">
        <v>1641</v>
      </c>
      <c r="C44" s="26" t="n">
        <v>0.07195790396842798</v>
      </c>
      <c r="E44" s="24" t="inlineStr">
        <is>
          <t>2026-02-17</t>
        </is>
      </c>
      <c r="F44" s="25" t="n">
        <v>10146</v>
      </c>
      <c r="G44" s="25" t="n">
        <v>1200</v>
      </c>
      <c r="H44" s="25" t="n">
        <v>89</v>
      </c>
      <c r="I44" s="25" t="n">
        <v>1694</v>
      </c>
      <c r="J44" s="25" t="n">
        <v>1430</v>
      </c>
    </row>
    <row r="45">
      <c r="A45" s="27" t="inlineStr">
        <is>
          <t>Noise - Residential</t>
        </is>
      </c>
      <c r="B45" s="28" t="n">
        <v>1243</v>
      </c>
      <c r="C45" s="29" t="n">
        <v>0.05450559087919316</v>
      </c>
      <c r="E45" s="27" t="inlineStr">
        <is>
          <t>2026-02-18</t>
        </is>
      </c>
      <c r="F45" s="28" t="n">
        <v>10015</v>
      </c>
      <c r="G45" s="28" t="n">
        <v>1216</v>
      </c>
      <c r="H45" s="28" t="n">
        <v>38</v>
      </c>
      <c r="I45" s="28" t="n">
        <v>1576</v>
      </c>
      <c r="J45" s="28" t="n">
        <v>1310</v>
      </c>
    </row>
    <row r="46">
      <c r="A46" s="24" t="inlineStr">
        <is>
          <t>Traffic Signal Condition</t>
        </is>
      </c>
      <c r="B46" s="25" t="n">
        <v>765</v>
      </c>
      <c r="C46" s="26" t="n">
        <v>0.03354527515895637</v>
      </c>
      <c r="E46" s="24" t="inlineStr">
        <is>
          <t>2026-02-19</t>
        </is>
      </c>
      <c r="F46" s="25" t="n">
        <v>10761</v>
      </c>
      <c r="G46" s="25" t="n">
        <v>1383</v>
      </c>
      <c r="H46" s="25" t="n">
        <v>42</v>
      </c>
      <c r="I46" s="25" t="n">
        <v>1687</v>
      </c>
      <c r="J46" s="25" t="n">
        <v>1477</v>
      </c>
    </row>
    <row r="47">
      <c r="A47" s="27" t="inlineStr">
        <is>
          <t>Blocked Driveway</t>
        </is>
      </c>
      <c r="B47" s="28" t="n">
        <v>592</v>
      </c>
      <c r="C47" s="29" t="n">
        <v>0.0259592194694146</v>
      </c>
      <c r="E47" s="27" t="inlineStr">
        <is>
          <t>2026-02-20</t>
        </is>
      </c>
      <c r="F47" s="28" t="n">
        <v>10405</v>
      </c>
      <c r="G47" s="28" t="n">
        <v>1379</v>
      </c>
      <c r="H47" s="28" t="n">
        <v>21</v>
      </c>
      <c r="I47" s="28" t="n">
        <v>1670</v>
      </c>
      <c r="J47" s="28" t="n">
        <v>1512</v>
      </c>
    </row>
    <row r="48">
      <c r="A48" s="24" t="inlineStr">
        <is>
          <t>Damaged Tree</t>
        </is>
      </c>
      <c r="B48" s="25" t="n">
        <v>473</v>
      </c>
      <c r="C48" s="26" t="n">
        <v>0.02074106555579917</v>
      </c>
      <c r="E48" s="24" t="inlineStr">
        <is>
          <t>2026-02-21</t>
        </is>
      </c>
      <c r="F48" s="25" t="n">
        <v>9523</v>
      </c>
      <c r="G48" s="25" t="n">
        <v>987</v>
      </c>
      <c r="H48" s="25" t="n">
        <v>8</v>
      </c>
      <c r="I48" s="25" t="n">
        <v>1696</v>
      </c>
      <c r="J48" s="25" t="n">
        <v>2102</v>
      </c>
    </row>
    <row r="49">
      <c r="A49" s="27" t="inlineStr">
        <is>
          <t>Maintenance or Facility</t>
        </is>
      </c>
      <c r="B49" s="28" t="n">
        <v>413</v>
      </c>
      <c r="C49" s="29" t="n">
        <v>0.01811006358254769</v>
      </c>
      <c r="E49" s="27" t="inlineStr">
        <is>
          <t>2026-02-22</t>
        </is>
      </c>
      <c r="F49" s="28" t="n">
        <v>8888</v>
      </c>
      <c r="G49" s="28" t="n">
        <v>1913</v>
      </c>
      <c r="H49" s="28" t="n">
        <v>106</v>
      </c>
      <c r="I49" s="28" t="n">
        <v>1604</v>
      </c>
      <c r="J49" s="28" t="n">
        <v>1873</v>
      </c>
    </row>
    <row r="50">
      <c r="A50" s="24" t="inlineStr">
        <is>
          <t>UNSANITARY CONDITION</t>
        </is>
      </c>
      <c r="B50" s="25" t="n">
        <v>412</v>
      </c>
      <c r="C50" s="26" t="n">
        <v>0.01806621354966016</v>
      </c>
      <c r="E50" s="24" t="inlineStr">
        <is>
          <t>2026-02-23</t>
        </is>
      </c>
      <c r="F50" s="25" t="n">
        <v>15424</v>
      </c>
      <c r="G50" s="25" t="n">
        <v>2256</v>
      </c>
      <c r="H50" s="25" t="n">
        <v>6524</v>
      </c>
      <c r="I50" s="25" t="n">
        <v>848</v>
      </c>
      <c r="J50" s="25" t="n">
        <v>958</v>
      </c>
    </row>
    <row r="51">
      <c r="A51" s="27" t="inlineStr">
        <is>
          <t>PLUMBING</t>
        </is>
      </c>
      <c r="B51" s="28" t="n">
        <v>309</v>
      </c>
      <c r="C51" s="29" t="n">
        <v>0.01354966016224512</v>
      </c>
      <c r="E51" s="27" t="inlineStr">
        <is>
          <t>2026-02-24</t>
        </is>
      </c>
      <c r="F51" s="28" t="n">
        <v>22805</v>
      </c>
      <c r="G51" s="28" t="n">
        <v>1641</v>
      </c>
      <c r="H51" s="28" t="n">
        <v>11370</v>
      </c>
      <c r="I51" s="28" t="n">
        <v>1669</v>
      </c>
      <c r="J51" s="28" t="n">
        <v>1608</v>
      </c>
    </row>
    <row r="52">
      <c r="A52" s="24" t="inlineStr">
        <is>
          <t>PAINT/PLASTER</t>
        </is>
      </c>
      <c r="B52" s="25" t="n">
        <v>263</v>
      </c>
      <c r="C52" s="26" t="n">
        <v>0.01153255864941899</v>
      </c>
      <c r="E52" s="24" t="inlineStr">
        <is>
          <t>2026-02-25</t>
        </is>
      </c>
      <c r="F52" s="25" t="n">
        <v>13703</v>
      </c>
      <c r="G52" s="25" t="n">
        <v>1440</v>
      </c>
      <c r="H52" s="25" t="n">
        <v>3012</v>
      </c>
      <c r="I52" s="25" t="n">
        <v>1796</v>
      </c>
      <c r="J52" s="25" t="n">
        <v>1281</v>
      </c>
    </row>
    <row r="53">
      <c r="A53" s="27" t="inlineStr">
        <is>
          <t>Street Condition</t>
        </is>
      </c>
      <c r="B53" s="28" t="n">
        <v>221</v>
      </c>
      <c r="C53" s="29" t="n">
        <v>0.009690857268142951</v>
      </c>
      <c r="E53" s="27" t="inlineStr">
        <is>
          <t>2026-02-26</t>
        </is>
      </c>
      <c r="F53" s="28" t="n">
        <v>12186</v>
      </c>
      <c r="G53" s="28" t="n">
        <v>1142</v>
      </c>
      <c r="H53" s="28" t="n">
        <v>1266</v>
      </c>
      <c r="I53" s="28" t="n">
        <v>1938</v>
      </c>
      <c r="J53" s="28" t="n">
        <v>1430</v>
      </c>
    </row>
    <row r="54">
      <c r="E54" s="24" t="inlineStr">
        <is>
          <t>2026-02-27</t>
        </is>
      </c>
      <c r="F54" s="25" t="n">
        <v>11040</v>
      </c>
      <c r="G54" s="25" t="n">
        <v>1197</v>
      </c>
      <c r="H54" s="25" t="n">
        <v>476</v>
      </c>
      <c r="I54" s="25" t="n">
        <v>1765</v>
      </c>
      <c r="J54" s="25" t="n">
        <v>1532</v>
      </c>
    </row>
    <row r="55">
      <c r="E55" s="27" t="inlineStr">
        <is>
          <t>2026-02-28</t>
        </is>
      </c>
      <c r="F55" s="28" t="n">
        <v>9361</v>
      </c>
      <c r="G55" s="28" t="n">
        <v>964</v>
      </c>
      <c r="H55" s="28" t="n">
        <v>184</v>
      </c>
      <c r="I55" s="28" t="n">
        <v>1790</v>
      </c>
      <c r="J55" s="28" t="n">
        <v>2181</v>
      </c>
    </row>
    <row r="56">
      <c r="A56" s="3" t="inlineStr">
        <is>
          <t>跨年对照：住宅噪声（不是全市总量）</t>
        </is>
      </c>
      <c r="E56" s="24" t="inlineStr">
        <is>
          <t>2026-03-01</t>
        </is>
      </c>
      <c r="F56" s="25" t="n">
        <v>9139</v>
      </c>
      <c r="G56" s="25" t="n">
        <v>1126</v>
      </c>
      <c r="H56" s="25" t="n">
        <v>77</v>
      </c>
      <c r="I56" s="25" t="n">
        <v>1824</v>
      </c>
      <c r="J56" s="25" t="n">
        <v>1947</v>
      </c>
    </row>
    <row r="57">
      <c r="A57" s="4" t="inlineStr">
        <is>
          <t>日期</t>
        </is>
      </c>
      <c r="B57" s="4" t="inlineStr">
        <is>
          <t>全部</t>
        </is>
      </c>
      <c r="C57" s="4" t="inlineStr">
        <is>
          <t>住宅噪声</t>
        </is>
      </c>
      <c r="D57" s="4" t="inlineStr">
        <is>
          <t>供暖</t>
        </is>
      </c>
      <c r="E57" s="4" t="inlineStr">
        <is>
          <t>违停</t>
        </is>
      </c>
      <c r="F57" s="40" t="inlineStr">
        <is>
          <t>年份组</t>
        </is>
      </c>
      <c r="G57" s="28" t="n">
        <v>1831</v>
      </c>
      <c r="H57" s="28" t="n">
        <v>85</v>
      </c>
      <c r="I57" s="28" t="n">
        <v>1604</v>
      </c>
      <c r="J57" s="28" t="n">
        <v>1463</v>
      </c>
    </row>
    <row r="58">
      <c r="A58" s="24" t="inlineStr">
        <is>
          <t>2024-12-28</t>
        </is>
      </c>
      <c r="B58" s="25" t="n">
        <v>7561</v>
      </c>
      <c r="C58" s="25" t="n">
        <v>1671</v>
      </c>
      <c r="D58" s="25" t="n">
        <v>1127</v>
      </c>
      <c r="E58" s="25" t="n">
        <v>1118</v>
      </c>
      <c r="F58" s="25" t="inlineStr">
        <is>
          <t>2024</t>
        </is>
      </c>
      <c r="G58" s="25" t="n">
        <v>1403</v>
      </c>
      <c r="H58" s="25" t="n">
        <v>7</v>
      </c>
      <c r="I58" s="25" t="n">
        <v>1575</v>
      </c>
      <c r="J58" s="25" t="n">
        <v>1437</v>
      </c>
    </row>
    <row r="59">
      <c r="A59" s="27" t="inlineStr">
        <is>
          <t>2024-12-29</t>
        </is>
      </c>
      <c r="B59" s="28" t="n">
        <v>11235</v>
      </c>
      <c r="C59" s="28" t="n">
        <v>4648</v>
      </c>
      <c r="D59" s="28" t="n">
        <v>695</v>
      </c>
      <c r="E59" s="28" t="n">
        <v>1332</v>
      </c>
      <c r="F59" s="28" t="inlineStr">
        <is>
          <t>2024</t>
        </is>
      </c>
      <c r="G59" s="28" t="n">
        <v>1065</v>
      </c>
      <c r="H59" s="28" t="n">
        <v>7</v>
      </c>
      <c r="I59" s="28" t="n">
        <v>1802</v>
      </c>
      <c r="J59" s="28" t="n">
        <v>1420</v>
      </c>
    </row>
    <row r="60">
      <c r="A60" s="24" t="inlineStr">
        <is>
          <t>2024-12-30</t>
        </is>
      </c>
      <c r="B60" s="25" t="n">
        <v>11680</v>
      </c>
      <c r="C60" s="25" t="n">
        <v>3041</v>
      </c>
      <c r="D60" s="25" t="n">
        <v>966</v>
      </c>
      <c r="E60" s="25" t="n">
        <v>1336</v>
      </c>
      <c r="F60" s="24" t="inlineStr">
        <is>
          <t>2024</t>
        </is>
      </c>
    </row>
    <row r="61">
      <c r="A61" s="27" t="inlineStr">
        <is>
          <t>2024-12-31</t>
        </is>
      </c>
      <c r="B61" s="28" t="n">
        <v>11751</v>
      </c>
      <c r="C61" s="28" t="n">
        <v>4441</v>
      </c>
      <c r="D61" s="28" t="n">
        <v>828</v>
      </c>
      <c r="E61" s="28" t="n">
        <v>1384</v>
      </c>
      <c r="F61" s="27" t="inlineStr">
        <is>
          <t>2024</t>
        </is>
      </c>
    </row>
    <row r="62">
      <c r="A62" s="24" t="inlineStr">
        <is>
          <t>2025-01-01</t>
        </is>
      </c>
      <c r="B62" s="25" t="n">
        <v>10873</v>
      </c>
      <c r="C62" s="25" t="n">
        <v>4692</v>
      </c>
      <c r="D62" s="25" t="n">
        <v>951</v>
      </c>
      <c r="E62" s="25" t="n">
        <v>1282</v>
      </c>
      <c r="F62" s="24" t="inlineStr">
        <is>
          <t>2025</t>
        </is>
      </c>
    </row>
    <row r="63">
      <c r="A63" s="27" t="inlineStr">
        <is>
          <t>2025-01-02</t>
        </is>
      </c>
      <c r="B63" s="28" t="n">
        <v>13811</v>
      </c>
      <c r="C63" s="28" t="n">
        <v>4945</v>
      </c>
      <c r="D63" s="28" t="n">
        <v>1704</v>
      </c>
      <c r="E63" s="28" t="n">
        <v>1474</v>
      </c>
      <c r="F63" s="27" t="inlineStr">
        <is>
          <t>2025</t>
        </is>
      </c>
    </row>
    <row r="64">
      <c r="A64" s="24" t="inlineStr">
        <is>
          <t>2025-01-03</t>
        </is>
      </c>
      <c r="B64" s="25" t="n">
        <v>11684</v>
      </c>
      <c r="C64" s="25" t="n">
        <v>2892</v>
      </c>
      <c r="D64" s="25" t="n">
        <v>1638</v>
      </c>
      <c r="E64" s="25" t="n">
        <v>1495</v>
      </c>
      <c r="F64" s="24" t="inlineStr">
        <is>
          <t>2025</t>
        </is>
      </c>
    </row>
    <row r="65">
      <c r="A65" s="27" t="inlineStr">
        <is>
          <t>2025-01-04</t>
        </is>
      </c>
      <c r="B65" s="28" t="n">
        <v>11459</v>
      </c>
      <c r="C65" s="28" t="n">
        <v>3809</v>
      </c>
      <c r="D65" s="28" t="n">
        <v>2339</v>
      </c>
      <c r="E65" s="28" t="n">
        <v>1276</v>
      </c>
      <c r="F65" s="27" t="inlineStr">
        <is>
          <t>2025</t>
        </is>
      </c>
    </row>
    <row r="66">
      <c r="A66" s="24" t="inlineStr">
        <is>
          <t>2025-01-05</t>
        </is>
      </c>
      <c r="B66" s="25" t="n">
        <v>13574</v>
      </c>
      <c r="C66" s="25" t="n">
        <v>6053</v>
      </c>
      <c r="D66" s="25" t="n">
        <v>2205</v>
      </c>
      <c r="E66" s="25" t="n">
        <v>1392</v>
      </c>
      <c r="F66" s="24" t="inlineStr">
        <is>
          <t>2025</t>
        </is>
      </c>
    </row>
    <row r="67">
      <c r="A67" s="27" t="inlineStr">
        <is>
          <t>2025-01-06</t>
        </is>
      </c>
      <c r="B67" s="28" t="n">
        <v>14141</v>
      </c>
      <c r="C67" s="28" t="n">
        <v>4449</v>
      </c>
      <c r="D67" s="28" t="n">
        <v>2498</v>
      </c>
      <c r="E67" s="28" t="n">
        <v>1354</v>
      </c>
      <c r="F67" s="27" t="inlineStr">
        <is>
          <t>2025</t>
        </is>
      </c>
    </row>
    <row r="68">
      <c r="A68" s="24" t="inlineStr">
        <is>
          <t>2025-01-07</t>
        </is>
      </c>
      <c r="B68" s="25" t="n">
        <v>15023</v>
      </c>
      <c r="C68" s="25" t="n">
        <v>3414</v>
      </c>
      <c r="D68" s="25" t="n">
        <v>3659</v>
      </c>
      <c r="E68" s="25" t="n">
        <v>1472</v>
      </c>
      <c r="F68" s="24" t="inlineStr">
        <is>
          <t>2025</t>
        </is>
      </c>
    </row>
    <row r="69">
      <c r="A69" s="27" t="inlineStr">
        <is>
          <t>2025-01-08</t>
        </is>
      </c>
      <c r="B69" s="28" t="n">
        <v>13319</v>
      </c>
      <c r="C69" s="28" t="n">
        <v>2174</v>
      </c>
      <c r="D69" s="28" t="n">
        <v>3845</v>
      </c>
      <c r="E69" s="28" t="n">
        <v>1427</v>
      </c>
      <c r="F69" s="27" t="inlineStr">
        <is>
          <t>2025</t>
        </is>
      </c>
    </row>
    <row r="70">
      <c r="A70" s="24" t="inlineStr">
        <is>
          <t>2025-01-09</t>
        </is>
      </c>
      <c r="B70" s="25" t="n">
        <v>14906</v>
      </c>
      <c r="C70" s="25" t="n">
        <v>3620</v>
      </c>
      <c r="D70" s="25" t="n">
        <v>3599</v>
      </c>
      <c r="E70" s="25" t="n">
        <v>1461</v>
      </c>
      <c r="F70" s="24" t="inlineStr">
        <is>
          <t>2025</t>
        </is>
      </c>
    </row>
    <row r="71">
      <c r="A71" s="27" t="inlineStr">
        <is>
          <t>2025-01-10</t>
        </is>
      </c>
      <c r="B71" s="28" t="n">
        <v>14220</v>
      </c>
      <c r="C71" s="28" t="n">
        <v>4770</v>
      </c>
      <c r="D71" s="28" t="n">
        <v>2094</v>
      </c>
      <c r="E71" s="28" t="n">
        <v>1502</v>
      </c>
      <c r="F71" s="27" t="inlineStr">
        <is>
          <t>2025</t>
        </is>
      </c>
    </row>
    <row r="72">
      <c r="A72" s="24" t="inlineStr">
        <is>
          <t>2025-01-11</t>
        </is>
      </c>
      <c r="B72" s="25" t="n">
        <v>11420</v>
      </c>
      <c r="C72" s="25" t="n">
        <v>4552</v>
      </c>
      <c r="D72" s="25" t="n">
        <v>1440</v>
      </c>
      <c r="E72" s="25" t="n">
        <v>1354</v>
      </c>
      <c r="F72" s="24" t="inlineStr">
        <is>
          <t>2025</t>
        </is>
      </c>
    </row>
    <row r="73">
      <c r="A73" s="27" t="inlineStr">
        <is>
          <t>2025-01-12</t>
        </is>
      </c>
      <c r="B73" s="28" t="n">
        <v>11756</v>
      </c>
      <c r="C73" s="28" t="n">
        <v>4742</v>
      </c>
      <c r="D73" s="28" t="n">
        <v>1346</v>
      </c>
      <c r="E73" s="28" t="n">
        <v>1382</v>
      </c>
      <c r="F73" s="27" t="inlineStr">
        <is>
          <t>2025</t>
        </is>
      </c>
    </row>
    <row r="74">
      <c r="A74" s="24" t="inlineStr">
        <is>
          <t>2025-01-13</t>
        </is>
      </c>
      <c r="B74" s="25" t="n">
        <v>13049</v>
      </c>
      <c r="C74" s="25" t="n">
        <v>3795</v>
      </c>
      <c r="D74" s="25" t="n">
        <v>1494</v>
      </c>
      <c r="E74" s="25" t="n">
        <v>1569</v>
      </c>
      <c r="F74" s="24" t="inlineStr">
        <is>
          <t>2025</t>
        </is>
      </c>
    </row>
    <row r="75">
      <c r="A75" s="27" t="inlineStr">
        <is>
          <t>2025-01-14</t>
        </is>
      </c>
      <c r="B75" s="28" t="n">
        <v>10079</v>
      </c>
      <c r="C75" s="28" t="n">
        <v>717</v>
      </c>
      <c r="D75" s="28" t="n">
        <v>1916</v>
      </c>
      <c r="E75" s="28" t="n">
        <v>1526</v>
      </c>
      <c r="F75" s="27" t="inlineStr">
        <is>
          <t>2025</t>
        </is>
      </c>
    </row>
    <row r="76">
      <c r="A76" s="24" t="inlineStr">
        <is>
          <t>2025-12-28</t>
        </is>
      </c>
      <c r="B76" s="25" t="n">
        <v>8698</v>
      </c>
      <c r="C76" s="25" t="n">
        <v>1071</v>
      </c>
      <c r="D76" s="25" t="n">
        <v>2025</v>
      </c>
      <c r="E76" s="25" t="n">
        <v>1130</v>
      </c>
      <c r="F76" s="24" t="inlineStr">
        <is>
          <t>2025</t>
        </is>
      </c>
    </row>
    <row r="77">
      <c r="A77" s="27" t="inlineStr">
        <is>
          <t>2025-12-29</t>
        </is>
      </c>
      <c r="B77" s="28" t="n">
        <v>9452</v>
      </c>
      <c r="C77" s="28" t="n">
        <v>812</v>
      </c>
      <c r="D77" s="28" t="n">
        <v>1717</v>
      </c>
      <c r="E77" s="28" t="n">
        <v>1187</v>
      </c>
      <c r="F77" s="27" t="inlineStr">
        <is>
          <t>2025</t>
        </is>
      </c>
    </row>
    <row r="78" ht="48" customHeight="1">
      <c r="A78" s="41" t="inlineStr">
        <is>
          <t>2026-02-24 的增量几乎全是积雪工单：当天 Snow or Ice 11,370，而 02-23 为 4,585、02-25 为 3,719（见右表）。这是典型的天气事件尖峰，会抬高月度总量与 DOT/DSNY 相关类型。跨年噪声：2025-01-05 住宅噪声 6,053，2026-01-05 仅 750。若只比较两个 1 月总量会得出“城市一样忙”，内部已经换了产品。</t>
        </is>
      </c>
      <c r="B78" s="42" t="n"/>
      <c r="C78" s="42" t="n"/>
      <c r="D78" s="42" t="n"/>
      <c r="E78" s="42" t="n"/>
      <c r="F78" s="42" t="n"/>
      <c r="G78" s="42" t="n"/>
      <c r="H78" s="42" t="n"/>
      <c r="I78" s="42" t="n"/>
      <c r="J78" s="43" t="n"/>
    </row>
    <row r="79">
      <c r="A79" s="27" t="inlineStr">
        <is>
          <t>2025-12-31</t>
        </is>
      </c>
      <c r="B79" s="28" t="n">
        <v>8761</v>
      </c>
      <c r="C79" s="28" t="n">
        <v>1042</v>
      </c>
      <c r="D79" s="28" t="n">
        <v>1962</v>
      </c>
      <c r="E79" s="28" t="n">
        <v>1386</v>
      </c>
      <c r="F79" s="27" t="inlineStr">
        <is>
          <t>2025</t>
        </is>
      </c>
    </row>
    <row r="80">
      <c r="A80" s="24" t="inlineStr">
        <is>
          <t>2026-01-01</t>
        </is>
      </c>
      <c r="B80" s="25" t="n">
        <v>8291</v>
      </c>
      <c r="C80" s="25" t="n">
        <v>1427</v>
      </c>
      <c r="D80" s="25" t="n">
        <v>2132</v>
      </c>
      <c r="E80" s="25" t="n">
        <v>1186</v>
      </c>
      <c r="F80" s="24" t="inlineStr">
        <is>
          <t>2026</t>
        </is>
      </c>
    </row>
    <row r="81">
      <c r="A81" s="27" t="inlineStr">
        <is>
          <t>2026-01-02</t>
        </is>
      </c>
      <c r="B81" s="28" t="n">
        <v>10379</v>
      </c>
      <c r="C81" s="28" t="n">
        <v>868</v>
      </c>
      <c r="D81" s="28" t="n">
        <v>2766</v>
      </c>
      <c r="E81" s="28" t="n">
        <v>1370</v>
      </c>
      <c r="F81" s="27" t="inlineStr">
        <is>
          <t>2026</t>
        </is>
      </c>
    </row>
    <row r="82">
      <c r="A82" s="24" t="inlineStr">
        <is>
          <t>2026-01-03</t>
        </is>
      </c>
      <c r="B82" s="25" t="n">
        <v>8829</v>
      </c>
      <c r="C82" s="25" t="n">
        <v>1009</v>
      </c>
      <c r="D82" s="25" t="n">
        <v>2267</v>
      </c>
      <c r="E82" s="25" t="n">
        <v>1286</v>
      </c>
      <c r="F82" s="24" t="inlineStr">
        <is>
          <t>2026</t>
        </is>
      </c>
    </row>
    <row r="83">
      <c r="A83" s="27" t="inlineStr">
        <is>
          <t>2026-01-04</t>
        </is>
      </c>
      <c r="B83" s="28" t="n">
        <v>8594</v>
      </c>
      <c r="C83" s="28" t="n">
        <v>1010</v>
      </c>
      <c r="D83" s="28" t="n">
        <v>2026</v>
      </c>
      <c r="E83" s="28" t="n">
        <v>1492</v>
      </c>
      <c r="F83" s="27" t="inlineStr">
        <is>
          <t>2026</t>
        </is>
      </c>
    </row>
    <row r="84">
      <c r="A84" s="24" t="inlineStr">
        <is>
          <t>2026-01-05</t>
        </is>
      </c>
      <c r="B84" s="25" t="n">
        <v>11415</v>
      </c>
      <c r="C84" s="25" t="n">
        <v>750</v>
      </c>
      <c r="D84" s="25" t="n">
        <v>2231</v>
      </c>
      <c r="E84" s="25" t="n">
        <v>1829</v>
      </c>
      <c r="F84" s="24" t="inlineStr">
        <is>
          <t>2026</t>
        </is>
      </c>
    </row>
    <row r="85">
      <c r="A85" s="27" t="inlineStr">
        <is>
          <t>2026-01-06</t>
        </is>
      </c>
      <c r="B85" s="28" t="n">
        <v>10386</v>
      </c>
      <c r="C85" s="28" t="n">
        <v>756</v>
      </c>
      <c r="D85" s="28" t="n">
        <v>1559</v>
      </c>
      <c r="E85" s="28" t="n">
        <v>1642</v>
      </c>
      <c r="F85" s="27" t="inlineStr">
        <is>
          <t>2026</t>
        </is>
      </c>
    </row>
    <row r="86">
      <c r="A86" s="24" t="inlineStr">
        <is>
          <t>2026-01-07</t>
        </is>
      </c>
      <c r="B86" s="25" t="n">
        <v>10474</v>
      </c>
      <c r="C86" s="25" t="n">
        <v>754</v>
      </c>
      <c r="D86" s="25" t="n">
        <v>1294</v>
      </c>
      <c r="E86" s="25" t="n">
        <v>1847</v>
      </c>
      <c r="F86" s="24" t="inlineStr">
        <is>
          <t>2026</t>
        </is>
      </c>
    </row>
    <row r="87">
      <c r="A87" s="27" t="inlineStr">
        <is>
          <t>2026-01-08</t>
        </is>
      </c>
      <c r="B87" s="28" t="n">
        <v>10529</v>
      </c>
      <c r="C87" s="28" t="n">
        <v>784</v>
      </c>
      <c r="D87" s="28" t="n">
        <v>1144</v>
      </c>
      <c r="E87" s="28" t="n">
        <v>1838</v>
      </c>
      <c r="F87" s="27" t="inlineStr">
        <is>
          <t>2026</t>
        </is>
      </c>
    </row>
    <row r="88">
      <c r="A88" s="24" t="inlineStr">
        <is>
          <t>2026-01-09</t>
        </is>
      </c>
      <c r="B88" s="25" t="n">
        <v>9859</v>
      </c>
      <c r="C88" s="25" t="n">
        <v>884</v>
      </c>
      <c r="D88" s="25" t="n">
        <v>1111</v>
      </c>
      <c r="E88" s="25" t="n">
        <v>1757</v>
      </c>
      <c r="F88" s="24" t="inlineStr">
        <is>
          <t>2026</t>
        </is>
      </c>
    </row>
    <row r="89">
      <c r="A89" s="27" t="inlineStr">
        <is>
          <t>2026-01-10</t>
        </is>
      </c>
      <c r="B89" s="28" t="n">
        <v>8182</v>
      </c>
      <c r="C89" s="28" t="n">
        <v>1107</v>
      </c>
      <c r="D89" s="28" t="n">
        <v>1062</v>
      </c>
      <c r="E89" s="28" t="n">
        <v>1519</v>
      </c>
      <c r="F89" s="27" t="inlineStr">
        <is>
          <t>2026</t>
        </is>
      </c>
    </row>
    <row r="90">
      <c r="A90" s="24" t="inlineStr">
        <is>
          <t>2026-01-11</t>
        </is>
      </c>
      <c r="B90" s="25" t="n">
        <v>8519</v>
      </c>
      <c r="C90" s="25" t="n">
        <v>1316</v>
      </c>
      <c r="D90" s="25" t="n">
        <v>1138</v>
      </c>
      <c r="E90" s="25" t="n">
        <v>1596</v>
      </c>
      <c r="F90" s="24" t="inlineStr">
        <is>
          <t>2026</t>
        </is>
      </c>
    </row>
    <row r="91">
      <c r="A91" s="27" t="inlineStr">
        <is>
          <t>2026-01-12</t>
        </is>
      </c>
      <c r="B91" s="28" t="n">
        <v>10977</v>
      </c>
      <c r="C91" s="28" t="n">
        <v>764</v>
      </c>
      <c r="D91" s="28" t="n">
        <v>1635</v>
      </c>
      <c r="E91" s="28" t="n">
        <v>1745</v>
      </c>
      <c r="F91" s="27" t="inlineStr">
        <is>
          <t>2026</t>
        </is>
      </c>
    </row>
    <row r="92">
      <c r="A92" s="24" t="inlineStr">
        <is>
          <t>2026-01-13</t>
        </is>
      </c>
      <c r="B92" s="25" t="n">
        <v>10110</v>
      </c>
      <c r="C92" s="25" t="n">
        <v>752</v>
      </c>
      <c r="D92" s="25" t="n">
        <v>1338</v>
      </c>
      <c r="E92" s="25" t="n">
        <v>1673</v>
      </c>
      <c r="F92" s="24" t="inlineStr">
        <is>
          <t>2026</t>
        </is>
      </c>
    </row>
    <row r="93">
      <c r="A93" s="27" t="inlineStr">
        <is>
          <t>2026-01-14</t>
        </is>
      </c>
      <c r="B93" s="28" t="n">
        <v>9738</v>
      </c>
      <c r="C93" s="28" t="n">
        <v>781</v>
      </c>
      <c r="D93" s="28" t="n">
        <v>1142</v>
      </c>
      <c r="E93" s="28" t="n">
        <v>1764</v>
      </c>
      <c r="F93" s="27" t="inlineStr">
        <is>
          <t>2026</t>
        </is>
      </c>
    </row>
  </sheetData>
  <mergeCells count="1">
    <mergeCell ref="A78:J78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J7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结案时长：双速系统</t>
        </is>
      </c>
    </row>
    <row r="2">
      <c r="A2" s="12" t="inlineStr">
        <is>
          <t>样本：status=Closed 且 closed_ts≥created_ts。中位数对长尾稳健；P90 显示尾部。不含未关闭工单（右截断）。因此机构未结案率高时，中位时长偏向已关掉的快单。</t>
        </is>
      </c>
    </row>
    <row r="4">
      <c r="A4" s="3" t="inlineStr">
        <is>
          <t>按机构（创建量 ≥ 5,000）</t>
        </is>
      </c>
    </row>
    <row r="5">
      <c r="A5" s="4" t="inlineStr">
        <is>
          <t>agency</t>
        </is>
      </c>
      <c r="B5" s="4" t="inlineStr">
        <is>
          <t>创建数</t>
        </is>
      </c>
      <c r="C5" s="4" t="inlineStr">
        <is>
          <t>有效关闭</t>
        </is>
      </c>
      <c r="D5" s="4" t="inlineStr">
        <is>
          <t>开放类</t>
        </is>
      </c>
      <c r="E5" s="4" t="inlineStr">
        <is>
          <t>开放类占比</t>
        </is>
      </c>
      <c r="F5" s="4" t="inlineStr">
        <is>
          <t>中位小时</t>
        </is>
      </c>
      <c r="G5" s="4" t="inlineStr">
        <is>
          <t>中位天</t>
        </is>
      </c>
      <c r="H5" s="4" t="inlineStr">
        <is>
          <t>P90小时</t>
        </is>
      </c>
    </row>
    <row r="6">
      <c r="A6" s="24" t="inlineStr">
        <is>
          <t>NYPD</t>
        </is>
      </c>
      <c r="B6" s="25" t="n">
        <v>3403951</v>
      </c>
      <c r="C6" s="25" t="n">
        <v>3402671</v>
      </c>
      <c r="D6" s="25" t="n">
        <v>906</v>
      </c>
      <c r="E6" s="26" t="n">
        <v>0.0002661612931561001</v>
      </c>
      <c r="F6" s="33" t="n">
        <v>1.341388888888889</v>
      </c>
      <c r="G6" s="26" t="n">
        <v>0.05589120370370371</v>
      </c>
      <c r="H6" s="33" t="n">
        <v>6.985555555555556</v>
      </c>
    </row>
    <row r="7">
      <c r="A7" s="27" t="inlineStr">
        <is>
          <t>HPD</t>
        </is>
      </c>
      <c r="B7" s="28" t="n">
        <v>1633583</v>
      </c>
      <c r="C7" s="28" t="n">
        <v>1573865</v>
      </c>
      <c r="D7" s="28" t="n">
        <v>59718</v>
      </c>
      <c r="E7" s="29" t="n">
        <v>0.03655645290138303</v>
      </c>
      <c r="F7" s="35" t="n">
        <v>87.53</v>
      </c>
      <c r="G7" s="35" t="n">
        <v>3.647083333333333</v>
      </c>
      <c r="H7" s="36" t="n">
        <v>889.9519444444448</v>
      </c>
    </row>
    <row r="8">
      <c r="A8" s="24" t="inlineStr">
        <is>
          <t>DSNY</t>
        </is>
      </c>
      <c r="B8" s="25" t="n">
        <v>686438</v>
      </c>
      <c r="C8" s="25" t="n">
        <v>676534</v>
      </c>
      <c r="D8" s="25" t="n">
        <v>9847</v>
      </c>
      <c r="E8" s="26" t="n">
        <v>0.01434506830915538</v>
      </c>
      <c r="F8" s="33" t="n">
        <v>33.80055555555556</v>
      </c>
      <c r="G8" s="33" t="n">
        <v>1.408356481481482</v>
      </c>
      <c r="H8" s="34" t="n">
        <v>170.0135277777778</v>
      </c>
    </row>
    <row r="9">
      <c r="A9" s="27" t="inlineStr">
        <is>
          <t>DOT</t>
        </is>
      </c>
      <c r="B9" s="28" t="n">
        <v>485140</v>
      </c>
      <c r="C9" s="28" t="n">
        <v>456406</v>
      </c>
      <c r="D9" s="28" t="n">
        <v>28712</v>
      </c>
      <c r="E9" s="29" t="n">
        <v>0.0591829162715917</v>
      </c>
      <c r="F9" s="35" t="n">
        <v>46.93805555555556</v>
      </c>
      <c r="G9" s="35" t="n">
        <v>1.955752314814815</v>
      </c>
      <c r="H9" s="36" t="n">
        <v>401.0925</v>
      </c>
    </row>
    <row r="10">
      <c r="A10" s="24" t="inlineStr">
        <is>
          <t>DEP</t>
        </is>
      </c>
      <c r="B10" s="25" t="n">
        <v>424101</v>
      </c>
      <c r="C10" s="25" t="n">
        <v>413085</v>
      </c>
      <c r="D10" s="25" t="n">
        <v>10607</v>
      </c>
      <c r="E10" s="26" t="n">
        <v>0.02501055173178087</v>
      </c>
      <c r="F10" s="33" t="n">
        <v>22.36361111111111</v>
      </c>
      <c r="G10" s="26" t="n">
        <v>0.9318171296296297</v>
      </c>
      <c r="H10" s="34" t="n">
        <v>228.4666666666666</v>
      </c>
    </row>
    <row r="11">
      <c r="A11" s="27" t="inlineStr">
        <is>
          <t>DPR</t>
        </is>
      </c>
      <c r="B11" s="28" t="n">
        <v>244023</v>
      </c>
      <c r="C11" s="28" t="n">
        <v>186384</v>
      </c>
      <c r="D11" s="28" t="n">
        <v>57625</v>
      </c>
      <c r="E11" s="29" t="n">
        <v>0.2361457731443347</v>
      </c>
      <c r="F11" s="36" t="n">
        <v>165.3043055555556</v>
      </c>
      <c r="G11" s="35" t="n">
        <v>6.887679398148149</v>
      </c>
      <c r="H11" s="36" t="n">
        <v>3429.315805555556</v>
      </c>
    </row>
    <row r="12">
      <c r="A12" s="24" t="inlineStr">
        <is>
          <t>DOB</t>
        </is>
      </c>
      <c r="B12" s="25" t="n">
        <v>218945</v>
      </c>
      <c r="C12" s="25" t="n">
        <v>200462</v>
      </c>
      <c r="D12" s="25" t="n">
        <v>18483</v>
      </c>
      <c r="E12" s="26" t="n">
        <v>0.08441846125739341</v>
      </c>
      <c r="F12" s="34" t="n">
        <v>183.3633333333333</v>
      </c>
      <c r="G12" s="33" t="n">
        <v>7.640138888888888</v>
      </c>
      <c r="H12" s="34" t="n">
        <v>3682.59475</v>
      </c>
    </row>
    <row r="13">
      <c r="A13" s="27" t="inlineStr">
        <is>
          <t>DOHMH</t>
        </is>
      </c>
      <c r="B13" s="28" t="n">
        <v>169118</v>
      </c>
      <c r="C13" s="28" t="n">
        <v>154030</v>
      </c>
      <c r="D13" s="28" t="n">
        <v>15082</v>
      </c>
      <c r="E13" s="29" t="n">
        <v>0.0891803356236474</v>
      </c>
      <c r="F13" s="35" t="n">
        <v>62.62597222222222</v>
      </c>
      <c r="G13" s="35" t="n">
        <v>2.609415509259259</v>
      </c>
      <c r="H13" s="36" t="n">
        <v>1441.068888888889</v>
      </c>
    </row>
    <row r="14">
      <c r="A14" s="24" t="inlineStr">
        <is>
          <t>DHS</t>
        </is>
      </c>
      <c r="B14" s="25" t="n">
        <v>101425</v>
      </c>
      <c r="C14" s="25" t="n">
        <v>83843</v>
      </c>
      <c r="D14" s="25" t="n">
        <v>2087</v>
      </c>
      <c r="E14" s="26" t="n">
        <v>0.02057678087256594</v>
      </c>
      <c r="F14" s="33" t="n">
        <v>7.444444444444445</v>
      </c>
      <c r="G14" s="26" t="n">
        <v>0.3101851851851852</v>
      </c>
      <c r="H14" s="34" t="n">
        <v>220.2152777777778</v>
      </c>
    </row>
    <row r="15">
      <c r="A15" s="27" t="inlineStr">
        <is>
          <t>TLC</t>
        </is>
      </c>
      <c r="B15" s="28" t="n">
        <v>75453</v>
      </c>
      <c r="C15" s="28" t="n">
        <v>50144</v>
      </c>
      <c r="D15" s="28" t="n">
        <v>25303</v>
      </c>
      <c r="E15" s="29" t="n">
        <v>0.3353478324254834</v>
      </c>
      <c r="F15" s="36" t="n">
        <v>970.7408333333332</v>
      </c>
      <c r="G15" s="35" t="n">
        <v>40.44753472222222</v>
      </c>
      <c r="H15" s="36" t="n">
        <v>4836.378888888889</v>
      </c>
    </row>
    <row r="16">
      <c r="A16" s="24" t="inlineStr">
        <is>
          <t>DCWP</t>
        </is>
      </c>
      <c r="B16" s="25" t="n">
        <v>38580</v>
      </c>
      <c r="C16" s="25" t="n">
        <v>37054</v>
      </c>
      <c r="D16" s="25" t="n">
        <v>1525</v>
      </c>
      <c r="E16" s="26" t="n">
        <v>0.03952825298081908</v>
      </c>
      <c r="F16" s="34" t="n">
        <v>123.8130555555556</v>
      </c>
      <c r="G16" s="33" t="n">
        <v>5.158877314814815</v>
      </c>
      <c r="H16" s="34" t="n">
        <v>785.3214444444445</v>
      </c>
    </row>
    <row r="17">
      <c r="A17" s="27" t="inlineStr">
        <is>
          <t>EDC</t>
        </is>
      </c>
      <c r="B17" s="28" t="n">
        <v>36776</v>
      </c>
      <c r="C17" s="28" t="n">
        <v>17550</v>
      </c>
      <c r="D17" s="28" t="n">
        <v>19226</v>
      </c>
      <c r="E17" s="29" t="n">
        <v>0.5227865999564933</v>
      </c>
      <c r="F17" s="36" t="n">
        <v>6296.509722222222</v>
      </c>
      <c r="G17" s="36" t="n">
        <v>262.3545717592593</v>
      </c>
      <c r="H17" s="36" t="n">
        <v>8639.107722222223</v>
      </c>
    </row>
    <row r="21">
      <c r="A21" s="3" t="inlineStr">
        <is>
          <t>量大类型的关闭速度（创建量 ≥ 20,000，取前 18）</t>
        </is>
      </c>
    </row>
    <row r="22">
      <c r="A22" s="4" t="inlineStr">
        <is>
          <t>complaint_type</t>
        </is>
      </c>
      <c r="B22" s="4" t="inlineStr">
        <is>
          <t>创建数</t>
        </is>
      </c>
      <c r="C22" s="4" t="inlineStr">
        <is>
          <t>有效关闭</t>
        </is>
      </c>
      <c r="D22" s="4" t="inlineStr">
        <is>
          <t>有效关闭率</t>
        </is>
      </c>
      <c r="E22" s="4" t="inlineStr">
        <is>
          <t>中位小时</t>
        </is>
      </c>
      <c r="F22" s="4" t="inlineStr">
        <is>
          <t>中位天</t>
        </is>
      </c>
      <c r="G22" s="4" t="inlineStr">
        <is>
          <t>P90小时</t>
        </is>
      </c>
      <c r="H22" s="4" t="inlineStr">
        <is>
          <t>P90天</t>
        </is>
      </c>
    </row>
    <row r="23">
      <c r="A23" s="24" t="inlineStr">
        <is>
          <t>Illegal Parking</t>
        </is>
      </c>
      <c r="B23" s="25" t="n">
        <v>1159053</v>
      </c>
      <c r="C23" s="25" t="n">
        <v>1158806</v>
      </c>
      <c r="D23" s="26" t="n">
        <v>0.9997868949909969</v>
      </c>
      <c r="E23" s="33" t="n">
        <v>1.532777777777778</v>
      </c>
      <c r="F23" s="26" t="n">
        <v>0.06386574074074074</v>
      </c>
      <c r="G23" s="33" t="n">
        <v>7.214444444444444</v>
      </c>
      <c r="H23" s="26" t="n">
        <v>0.3006018518518518</v>
      </c>
    </row>
    <row r="24">
      <c r="A24" s="27" t="inlineStr">
        <is>
          <t>Noise - Residential</t>
        </is>
      </c>
      <c r="B24" s="28" t="n">
        <v>881548</v>
      </c>
      <c r="C24" s="28" t="n">
        <v>881052</v>
      </c>
      <c r="D24" s="29" t="n">
        <v>0.9994373533829127</v>
      </c>
      <c r="E24" s="35" t="n">
        <v>1.271111111111111</v>
      </c>
      <c r="F24" s="29" t="n">
        <v>0.05296296296296296</v>
      </c>
      <c r="G24" s="35" t="n">
        <v>7.923888888888888</v>
      </c>
      <c r="H24" s="29" t="n">
        <v>0.330162037037037</v>
      </c>
    </row>
    <row r="25">
      <c r="A25" s="24" t="inlineStr">
        <is>
          <t>HEAT/HOT WATER</t>
        </is>
      </c>
      <c r="B25" s="25" t="n">
        <v>651594</v>
      </c>
      <c r="C25" s="25" t="n">
        <v>635311</v>
      </c>
      <c r="D25" s="26" t="n">
        <v>0.9750105126812094</v>
      </c>
      <c r="E25" s="33" t="n">
        <v>41.78527777777778</v>
      </c>
      <c r="F25" s="33" t="n">
        <v>1.741053240740741</v>
      </c>
      <c r="G25" s="33" t="n">
        <v>84.16611111111111</v>
      </c>
      <c r="H25" s="33" t="n">
        <v>3.506921296296296</v>
      </c>
    </row>
    <row r="26">
      <c r="A26" s="27" t="inlineStr">
        <is>
          <t>Blocked Driveway</t>
        </is>
      </c>
      <c r="B26" s="28" t="n">
        <v>362642</v>
      </c>
      <c r="C26" s="28" t="n">
        <v>362547</v>
      </c>
      <c r="D26" s="29" t="n">
        <v>0.9997380336530242</v>
      </c>
      <c r="E26" s="35" t="n">
        <v>1.76</v>
      </c>
      <c r="F26" s="29" t="n">
        <v>0.07333333333333333</v>
      </c>
      <c r="G26" s="35" t="n">
        <v>7.855277777777777</v>
      </c>
      <c r="H26" s="29" t="n">
        <v>0.3273032407407407</v>
      </c>
    </row>
    <row r="27">
      <c r="A27" s="24" t="inlineStr">
        <is>
          <t>Noise - Street/Sidewalk</t>
        </is>
      </c>
      <c r="B27" s="25" t="n">
        <v>349299</v>
      </c>
      <c r="C27" s="25" t="n">
        <v>349073</v>
      </c>
      <c r="D27" s="26" t="n">
        <v>0.999352989845376</v>
      </c>
      <c r="E27" s="26" t="n">
        <v>0.9966666666666668</v>
      </c>
      <c r="F27" s="26" t="n">
        <v>0.04152777777777778</v>
      </c>
      <c r="G27" s="33" t="n">
        <v>4.7675</v>
      </c>
      <c r="H27" s="26" t="n">
        <v>0.1986458333333333</v>
      </c>
    </row>
    <row r="28">
      <c r="A28" s="27" t="inlineStr">
        <is>
          <t>UNSANITARY CONDITION</t>
        </is>
      </c>
      <c r="B28" s="28" t="n">
        <v>249446</v>
      </c>
      <c r="C28" s="28" t="n">
        <v>237736</v>
      </c>
      <c r="D28" s="29" t="n">
        <v>0.9530559720340274</v>
      </c>
      <c r="E28" s="36" t="n">
        <v>250.1055555555556</v>
      </c>
      <c r="F28" s="35" t="n">
        <v>10.42106481481481</v>
      </c>
      <c r="G28" s="36" t="n">
        <v>1385.324166666667</v>
      </c>
      <c r="H28" s="35" t="n">
        <v>57.72184027777778</v>
      </c>
    </row>
    <row r="29">
      <c r="A29" s="24" t="inlineStr">
        <is>
          <t>Street Condition</t>
        </is>
      </c>
      <c r="B29" s="25" t="n">
        <v>187668</v>
      </c>
      <c r="C29" s="25" t="n">
        <v>175590</v>
      </c>
      <c r="D29" s="26" t="n">
        <v>0.935641665068099</v>
      </c>
      <c r="E29" s="33" t="n">
        <v>27.75</v>
      </c>
      <c r="F29" s="33" t="n">
        <v>1.15625</v>
      </c>
      <c r="G29" s="34" t="n">
        <v>213.8876944444445</v>
      </c>
      <c r="H29" s="33" t="n">
        <v>8.911987268518521</v>
      </c>
    </row>
    <row r="30">
      <c r="A30" s="27" t="inlineStr">
        <is>
          <t>Water System</t>
        </is>
      </c>
      <c r="B30" s="28" t="n">
        <v>152736</v>
      </c>
      <c r="C30" s="28" t="n">
        <v>150198</v>
      </c>
      <c r="D30" s="29" t="n">
        <v>0.9833830923947203</v>
      </c>
      <c r="E30" s="35" t="n">
        <v>3.25</v>
      </c>
      <c r="F30" s="29" t="n">
        <v>0.1354166666666667</v>
      </c>
      <c r="G30" s="36" t="n">
        <v>213.8</v>
      </c>
      <c r="H30" s="35" t="n">
        <v>8.908333333333333</v>
      </c>
    </row>
    <row r="31">
      <c r="A31" s="24" t="inlineStr">
        <is>
          <t>PLUMBING</t>
        </is>
      </c>
      <c r="B31" s="25" t="n">
        <v>150696</v>
      </c>
      <c r="C31" s="25" t="n">
        <v>144202</v>
      </c>
      <c r="D31" s="26" t="n">
        <v>0.9569066199500982</v>
      </c>
      <c r="E31" s="34" t="n">
        <v>189.9330555555556</v>
      </c>
      <c r="F31" s="33" t="n">
        <v>7.913877314814815</v>
      </c>
      <c r="G31" s="34" t="n">
        <v>1387.865555555556</v>
      </c>
      <c r="H31" s="33" t="n">
        <v>57.82773148148149</v>
      </c>
    </row>
    <row r="32">
      <c r="A32" s="27" t="inlineStr">
        <is>
          <t>Abandoned Vehicle</t>
        </is>
      </c>
      <c r="B32" s="28" t="n">
        <v>139896</v>
      </c>
      <c r="C32" s="28" t="n">
        <v>139839</v>
      </c>
      <c r="D32" s="29" t="n">
        <v>0.9995925544690342</v>
      </c>
      <c r="E32" s="35" t="n">
        <v>2.1875</v>
      </c>
      <c r="F32" s="29" t="n">
        <v>0.09114583333333333</v>
      </c>
      <c r="G32" s="35" t="n">
        <v>10.31077777777778</v>
      </c>
      <c r="H32" s="29" t="n">
        <v>0.4296157407407407</v>
      </c>
    </row>
    <row r="33">
      <c r="A33" s="24" t="inlineStr">
        <is>
          <t>Dirty Condition</t>
        </is>
      </c>
      <c r="B33" s="25" t="n">
        <v>129570</v>
      </c>
      <c r="C33" s="25" t="n">
        <v>126756</v>
      </c>
      <c r="D33" s="26" t="n">
        <v>0.9782820097244732</v>
      </c>
      <c r="E33" s="33" t="n">
        <v>24.65916666666667</v>
      </c>
      <c r="F33" s="33" t="n">
        <v>1.027465277777778</v>
      </c>
      <c r="G33" s="33" t="n">
        <v>91.76388888888889</v>
      </c>
      <c r="H33" s="33" t="n">
        <v>3.82349537037037</v>
      </c>
    </row>
    <row r="34">
      <c r="A34" s="27" t="inlineStr">
        <is>
          <t>Noise - Commercial</t>
        </is>
      </c>
      <c r="B34" s="28" t="n">
        <v>126247</v>
      </c>
      <c r="C34" s="28" t="n">
        <v>126185</v>
      </c>
      <c r="D34" s="29" t="n">
        <v>0.9995088992213677</v>
      </c>
      <c r="E34" s="29" t="n">
        <v>0.9055555555555556</v>
      </c>
      <c r="F34" s="29" t="n">
        <v>0.03773148148148148</v>
      </c>
      <c r="G34" s="35" t="n">
        <v>4.186944444444444</v>
      </c>
      <c r="H34" s="29" t="n">
        <v>0.1744560185185185</v>
      </c>
    </row>
    <row r="35">
      <c r="A35" s="24" t="inlineStr">
        <is>
          <t>PAINT/PLASTER</t>
        </is>
      </c>
      <c r="B35" s="25" t="n">
        <v>125565</v>
      </c>
      <c r="C35" s="25" t="n">
        <v>121506</v>
      </c>
      <c r="D35" s="26" t="n">
        <v>0.9676741130091985</v>
      </c>
      <c r="E35" s="34" t="n">
        <v>174.6383333333333</v>
      </c>
      <c r="F35" s="33" t="n">
        <v>7.276597222222222</v>
      </c>
      <c r="G35" s="34" t="n">
        <v>1124.062777777778</v>
      </c>
      <c r="H35" s="33" t="n">
        <v>46.83594907407407</v>
      </c>
    </row>
    <row r="36">
      <c r="A36" s="27" t="inlineStr">
        <is>
          <t>Noise</t>
        </is>
      </c>
      <c r="B36" s="28" t="n">
        <v>114654</v>
      </c>
      <c r="C36" s="28" t="n">
        <v>113700</v>
      </c>
      <c r="D36" s="29" t="n">
        <v>0.9916793134125281</v>
      </c>
      <c r="E36" s="35" t="n">
        <v>67.59999999999999</v>
      </c>
      <c r="F36" s="35" t="n">
        <v>2.816666666666666</v>
      </c>
      <c r="G36" s="36" t="n">
        <v>229.1200000000002</v>
      </c>
      <c r="H36" s="35" t="n">
        <v>9.546666666666676</v>
      </c>
    </row>
    <row r="37">
      <c r="A37" s="24" t="inlineStr">
        <is>
          <t>Traffic Signal Condition</t>
        </is>
      </c>
      <c r="B37" s="25" t="n">
        <v>104791</v>
      </c>
      <c r="C37" s="25" t="n">
        <v>100802</v>
      </c>
      <c r="D37" s="26" t="n">
        <v>0.9619337538529072</v>
      </c>
      <c r="E37" s="33" t="n">
        <v>2.25</v>
      </c>
      <c r="F37" s="26" t="n">
        <v>0.09375</v>
      </c>
      <c r="G37" s="33" t="n">
        <v>47.21666666666667</v>
      </c>
      <c r="H37" s="33" t="n">
        <v>1.967361111111111</v>
      </c>
    </row>
    <row r="38">
      <c r="A38" s="27" t="inlineStr">
        <is>
          <t>DOOR/WINDOW</t>
        </is>
      </c>
      <c r="B38" s="28" t="n">
        <v>96879</v>
      </c>
      <c r="C38" s="28" t="n">
        <v>92736</v>
      </c>
      <c r="D38" s="29" t="n">
        <v>0.9572353141547704</v>
      </c>
      <c r="E38" s="36" t="n">
        <v>288.3493055555556</v>
      </c>
      <c r="F38" s="35" t="n">
        <v>12.01455439814815</v>
      </c>
      <c r="G38" s="36" t="n">
        <v>1679.685694444444</v>
      </c>
      <c r="H38" s="35" t="n">
        <v>69.98690393518518</v>
      </c>
    </row>
    <row r="39">
      <c r="A39" s="24" t="inlineStr">
        <is>
          <t>Encampment</t>
        </is>
      </c>
      <c r="B39" s="25" t="n">
        <v>96164</v>
      </c>
      <c r="C39" s="25" t="n">
        <v>94168</v>
      </c>
      <c r="D39" s="26" t="n">
        <v>0.9792437918555801</v>
      </c>
      <c r="E39" s="33" t="n">
        <v>1.834861111111111</v>
      </c>
      <c r="F39" s="26" t="n">
        <v>0.07645254629629629</v>
      </c>
      <c r="G39" s="34" t="n">
        <v>136.720138888889</v>
      </c>
      <c r="H39" s="33" t="n">
        <v>5.696672453703706</v>
      </c>
    </row>
    <row r="40">
      <c r="A40" s="27" t="inlineStr">
        <is>
          <t>Noise - Vehicle</t>
        </is>
      </c>
      <c r="B40" s="28" t="n">
        <v>92971</v>
      </c>
      <c r="C40" s="28" t="n">
        <v>92933</v>
      </c>
      <c r="D40" s="29" t="n">
        <v>0.999591270396145</v>
      </c>
      <c r="E40" s="29" t="n">
        <v>0.9913888888888888</v>
      </c>
      <c r="F40" s="29" t="n">
        <v>0.04130787037037036</v>
      </c>
      <c r="G40" s="35" t="n">
        <v>4.904722222222222</v>
      </c>
      <c r="H40" s="29" t="n">
        <v>0.2043634259259259</v>
      </c>
    </row>
    <row r="43">
      <c r="A43" s="3" t="inlineStr">
        <is>
          <t>供暖/热水：按创建月的关闭中位数（2026-08/09 仍受截断）</t>
        </is>
      </c>
    </row>
    <row r="44">
      <c r="A44" s="4" t="inlineStr">
        <is>
          <t>创建月</t>
        </is>
      </c>
      <c r="B44" s="4" t="inlineStr">
        <is>
          <t>供暖创建</t>
        </is>
      </c>
      <c r="C44" s="4" t="inlineStr">
        <is>
          <t>有效关闭</t>
        </is>
      </c>
      <c r="D44" s="4" t="inlineStr">
        <is>
          <t>中位小时</t>
        </is>
      </c>
      <c r="E44" s="4" t="inlineStr">
        <is>
          <t>P90小时</t>
        </is>
      </c>
      <c r="F44" s="4" t="inlineStr">
        <is>
          <t>关闭率</t>
        </is>
      </c>
    </row>
    <row r="45">
      <c r="A45" s="24" t="inlineStr">
        <is>
          <t>2024-09</t>
        </is>
      </c>
      <c r="B45" s="25" t="n">
        <v>2696</v>
      </c>
      <c r="C45" s="25" t="n">
        <v>2686</v>
      </c>
      <c r="D45" s="33" t="n">
        <v>36.99194444444444</v>
      </c>
      <c r="E45" s="33" t="n">
        <v>90.6263888888889</v>
      </c>
      <c r="F45" s="26" t="n">
        <v>0.9962908011869436</v>
      </c>
    </row>
    <row r="46">
      <c r="A46" s="27" t="inlineStr">
        <is>
          <t>2024-10</t>
        </is>
      </c>
      <c r="B46" s="28" t="n">
        <v>19650</v>
      </c>
      <c r="C46" s="28" t="n">
        <v>18417</v>
      </c>
      <c r="D46" s="35" t="n">
        <v>32.99361111111111</v>
      </c>
      <c r="E46" s="35" t="n">
        <v>73.08155555555555</v>
      </c>
      <c r="F46" s="29" t="n">
        <v>0.9372519083969466</v>
      </c>
    </row>
    <row r="47">
      <c r="A47" s="24" t="inlineStr">
        <is>
          <t>2024-11</t>
        </is>
      </c>
      <c r="B47" s="25" t="n">
        <v>39368</v>
      </c>
      <c r="C47" s="25" t="n">
        <v>38166</v>
      </c>
      <c r="D47" s="33" t="n">
        <v>40.7</v>
      </c>
      <c r="E47" s="33" t="n">
        <v>79.37263888888889</v>
      </c>
      <c r="F47" s="26" t="n">
        <v>0.9694675878886405</v>
      </c>
    </row>
    <row r="48">
      <c r="A48" s="27" t="inlineStr">
        <is>
          <t>2024-12</t>
        </is>
      </c>
      <c r="B48" s="28" t="n">
        <v>62918</v>
      </c>
      <c r="C48" s="28" t="n">
        <v>62523</v>
      </c>
      <c r="D48" s="35" t="n">
        <v>49.65916666666666</v>
      </c>
      <c r="E48" s="35" t="n">
        <v>95.90694444444443</v>
      </c>
      <c r="F48" s="29" t="n">
        <v>0.9937219873486125</v>
      </c>
    </row>
    <row r="49">
      <c r="A49" s="24" t="inlineStr">
        <is>
          <t>2025-01</t>
        </is>
      </c>
      <c r="B49" s="25" t="n">
        <v>67229</v>
      </c>
      <c r="C49" s="25" t="n">
        <v>67211</v>
      </c>
      <c r="D49" s="33" t="n">
        <v>45.51722222222222</v>
      </c>
      <c r="E49" s="33" t="n">
        <v>90.17416666666666</v>
      </c>
      <c r="F49" s="26" t="n">
        <v>0.9997322584003927</v>
      </c>
    </row>
    <row r="50">
      <c r="A50" s="27" t="inlineStr">
        <is>
          <t>2025-02</t>
        </is>
      </c>
      <c r="B50" s="28" t="n">
        <v>40699</v>
      </c>
      <c r="C50" s="28" t="n">
        <v>40593</v>
      </c>
      <c r="D50" s="35" t="n">
        <v>43.65777777777778</v>
      </c>
      <c r="E50" s="35" t="n">
        <v>79.93611111111112</v>
      </c>
      <c r="F50" s="29" t="n">
        <v>0.9973955134032777</v>
      </c>
    </row>
    <row r="51">
      <c r="A51" s="24" t="inlineStr">
        <is>
          <t>2025-03</t>
        </is>
      </c>
      <c r="B51" s="25" t="n">
        <v>26276</v>
      </c>
      <c r="C51" s="25" t="n">
        <v>25920</v>
      </c>
      <c r="D51" s="33" t="n">
        <v>30.43444444444444</v>
      </c>
      <c r="E51" s="33" t="n">
        <v>57.81619444444445</v>
      </c>
      <c r="F51" s="26" t="n">
        <v>0.9864515146902116</v>
      </c>
    </row>
    <row r="52">
      <c r="A52" s="27" t="inlineStr">
        <is>
          <t>2025-04</t>
        </is>
      </c>
      <c r="B52" s="28" t="n">
        <v>16824</v>
      </c>
      <c r="C52" s="28" t="n">
        <v>16323</v>
      </c>
      <c r="D52" s="35" t="n">
        <v>32.985</v>
      </c>
      <c r="E52" s="35" t="n">
        <v>66.12738888888889</v>
      </c>
      <c r="F52" s="29" t="n">
        <v>0.9702211126961484</v>
      </c>
    </row>
    <row r="53">
      <c r="A53" s="24" t="inlineStr">
        <is>
          <t>2025-05</t>
        </is>
      </c>
      <c r="B53" s="25" t="n">
        <v>7463</v>
      </c>
      <c r="C53" s="25" t="n">
        <v>7033</v>
      </c>
      <c r="D53" s="33" t="n">
        <v>29.77138888888889</v>
      </c>
      <c r="E53" s="33" t="n">
        <v>68.90266666666666</v>
      </c>
      <c r="F53" s="26" t="n">
        <v>0.9423824199383626</v>
      </c>
    </row>
    <row r="54">
      <c r="A54" s="27" t="inlineStr">
        <is>
          <t>2025-06</t>
        </is>
      </c>
      <c r="B54" s="28" t="n">
        <v>4217</v>
      </c>
      <c r="C54" s="28" t="n">
        <v>4214</v>
      </c>
      <c r="D54" s="35" t="n">
        <v>31.91388888888889</v>
      </c>
      <c r="E54" s="35" t="n">
        <v>75.67683333333335</v>
      </c>
      <c r="F54" s="29" t="n">
        <v>0.9992885937870524</v>
      </c>
    </row>
    <row r="55">
      <c r="A55" s="24" t="inlineStr">
        <is>
          <t>2025-07</t>
        </is>
      </c>
      <c r="B55" s="25" t="n">
        <v>3008</v>
      </c>
      <c r="C55" s="25" t="n">
        <v>3008</v>
      </c>
      <c r="D55" s="33" t="n">
        <v>36.81513888888889</v>
      </c>
      <c r="E55" s="33" t="n">
        <v>94.15533333333336</v>
      </c>
      <c r="F55" s="26" t="n">
        <v>1</v>
      </c>
    </row>
    <row r="56">
      <c r="A56" s="27" t="inlineStr">
        <is>
          <t>2025-08</t>
        </is>
      </c>
      <c r="B56" s="28" t="n">
        <v>2929</v>
      </c>
      <c r="C56" s="28" t="n">
        <v>2929</v>
      </c>
      <c r="D56" s="35" t="n">
        <v>35.79611111111111</v>
      </c>
      <c r="E56" s="35" t="n">
        <v>83.77594444444446</v>
      </c>
      <c r="F56" s="29" t="n">
        <v>1</v>
      </c>
    </row>
    <row r="57">
      <c r="A57" s="24" t="inlineStr">
        <is>
          <t>2025-09</t>
        </is>
      </c>
      <c r="B57" s="25" t="n">
        <v>3595</v>
      </c>
      <c r="C57" s="25" t="n">
        <v>3586</v>
      </c>
      <c r="D57" s="33" t="n">
        <v>31.86125</v>
      </c>
      <c r="E57" s="33" t="n">
        <v>76.68597222222223</v>
      </c>
      <c r="F57" s="26" t="n">
        <v>0.9974965229485396</v>
      </c>
    </row>
    <row r="58">
      <c r="A58" s="27" t="inlineStr">
        <is>
          <t>2025-10</t>
        </is>
      </c>
      <c r="B58" s="28" t="n">
        <v>31858</v>
      </c>
      <c r="C58" s="28" t="n">
        <v>31827</v>
      </c>
      <c r="D58" s="35" t="n">
        <v>30.90388888888889</v>
      </c>
      <c r="E58" s="35" t="n">
        <v>62.4585</v>
      </c>
      <c r="F58" s="29" t="n">
        <v>0.999026932010798</v>
      </c>
    </row>
    <row r="59">
      <c r="A59" s="24" t="inlineStr">
        <is>
          <t>2025-11</t>
        </is>
      </c>
      <c r="B59" s="25" t="n">
        <v>47946</v>
      </c>
      <c r="C59" s="25" t="n">
        <v>47912</v>
      </c>
      <c r="D59" s="33" t="n">
        <v>34.64833333333333</v>
      </c>
      <c r="E59" s="33" t="n">
        <v>63.88830555555556</v>
      </c>
      <c r="F59" s="26" t="n">
        <v>0.9992908688941726</v>
      </c>
    </row>
    <row r="60">
      <c r="A60" s="27" t="inlineStr">
        <is>
          <t>2025-12</t>
        </is>
      </c>
      <c r="B60" s="28" t="n">
        <v>63902</v>
      </c>
      <c r="C60" s="28" t="n">
        <v>63858</v>
      </c>
      <c r="D60" s="35" t="n">
        <v>46.57388888888889</v>
      </c>
      <c r="E60" s="35" t="n">
        <v>77.76552777777778</v>
      </c>
      <c r="F60" s="29" t="n">
        <v>0.9993114456511534</v>
      </c>
    </row>
    <row r="61">
      <c r="A61" s="24" t="inlineStr">
        <is>
          <t>2026-01</t>
        </is>
      </c>
      <c r="B61" s="25" t="n">
        <v>79928</v>
      </c>
      <c r="C61" s="25" t="n">
        <v>77496</v>
      </c>
      <c r="D61" s="33" t="n">
        <v>51.02472222222222</v>
      </c>
      <c r="E61" s="34" t="n">
        <v>105.1794444444444</v>
      </c>
      <c r="F61" s="26" t="n">
        <v>0.9695726153538184</v>
      </c>
    </row>
    <row r="62">
      <c r="A62" s="27" t="inlineStr">
        <is>
          <t>2026-02</t>
        </is>
      </c>
      <c r="B62" s="28" t="n">
        <v>59031</v>
      </c>
      <c r="C62" s="28" t="n">
        <v>54679</v>
      </c>
      <c r="D62" s="35" t="n">
        <v>51.71083333333333</v>
      </c>
      <c r="E62" s="36" t="n">
        <v>119.7665555555556</v>
      </c>
      <c r="F62" s="29" t="n">
        <v>0.9262760244617235</v>
      </c>
    </row>
    <row r="63">
      <c r="A63" s="24" t="inlineStr">
        <is>
          <t>2026-03</t>
        </is>
      </c>
      <c r="B63" s="25" t="n">
        <v>29783</v>
      </c>
      <c r="C63" s="25" t="n">
        <v>27216</v>
      </c>
      <c r="D63" s="33" t="n">
        <v>33.57194444444444</v>
      </c>
      <c r="E63" s="33" t="n">
        <v>62.8775</v>
      </c>
      <c r="F63" s="26" t="n">
        <v>0.9138098915488702</v>
      </c>
    </row>
    <row r="64">
      <c r="A64" s="27" t="inlineStr">
        <is>
          <t>2026-04</t>
        </is>
      </c>
      <c r="B64" s="28" t="n">
        <v>19553</v>
      </c>
      <c r="C64" s="28" t="n">
        <v>18279</v>
      </c>
      <c r="D64" s="35" t="n">
        <v>28.76638888888889</v>
      </c>
      <c r="E64" s="35" t="n">
        <v>56.82816666666668</v>
      </c>
      <c r="F64" s="29" t="n">
        <v>0.9348437579911011</v>
      </c>
    </row>
    <row r="65">
      <c r="A65" s="24" t="inlineStr">
        <is>
          <t>2026-05</t>
        </is>
      </c>
      <c r="B65" s="25" t="n">
        <v>9823</v>
      </c>
      <c r="C65" s="25" t="n">
        <v>9408</v>
      </c>
      <c r="D65" s="33" t="n">
        <v>29.20958333333333</v>
      </c>
      <c r="E65" s="33" t="n">
        <v>60.05672222222224</v>
      </c>
      <c r="F65" s="26" t="n">
        <v>0.9577522141911839</v>
      </c>
    </row>
    <row r="66">
      <c r="A66" s="27" t="inlineStr">
        <is>
          <t>2026-06</t>
        </is>
      </c>
      <c r="B66" s="28" t="n">
        <v>4388</v>
      </c>
      <c r="C66" s="28" t="n">
        <v>4205</v>
      </c>
      <c r="D66" s="35" t="n">
        <v>29.96666666666667</v>
      </c>
      <c r="E66" s="35" t="n">
        <v>66.78466666666667</v>
      </c>
      <c r="F66" s="29" t="n">
        <v>0.9582953509571559</v>
      </c>
    </row>
    <row r="67">
      <c r="A67" s="24" t="inlineStr">
        <is>
          <t>2026-07</t>
        </is>
      </c>
      <c r="B67" s="25" t="n">
        <v>4331</v>
      </c>
      <c r="C67" s="25" t="n">
        <v>4054</v>
      </c>
      <c r="D67" s="33" t="n">
        <v>41.93194444444444</v>
      </c>
      <c r="E67" s="33" t="n">
        <v>93.14869444444444</v>
      </c>
      <c r="F67" s="26" t="n">
        <v>0.9360424844146848</v>
      </c>
    </row>
    <row r="68">
      <c r="A68" s="27" t="inlineStr">
        <is>
          <t>2026-08</t>
        </is>
      </c>
      <c r="B68" s="28" t="n">
        <v>3682</v>
      </c>
      <c r="C68" s="28" t="n">
        <v>3455</v>
      </c>
      <c r="D68" s="35" t="n">
        <v>44.885</v>
      </c>
      <c r="E68" s="35" t="n">
        <v>92.70811111111112</v>
      </c>
      <c r="F68" s="29" t="n">
        <v>0.9383487235198262</v>
      </c>
    </row>
    <row r="69">
      <c r="A69" s="24" t="inlineStr">
        <is>
          <t>2026-09</t>
        </is>
      </c>
      <c r="B69" s="25" t="n">
        <v>497</v>
      </c>
      <c r="C69" s="25" t="n">
        <v>313</v>
      </c>
      <c r="D69" s="33" t="n">
        <v>23.99416666666667</v>
      </c>
      <c r="E69" s="33" t="n">
        <v>49.29877777777777</v>
      </c>
      <c r="F69" s="26" t="n">
        <v>0.6297786720321932</v>
      </c>
    </row>
    <row r="73" ht="40" customHeight="1">
      <c r="A73" s="30" t="inlineStr">
        <is>
          <t>供暖中位关闭在供暖高峰月升到约 46–52 小时（2024-12、2025-01、2025-12、2026-01/02），淡季约 30–36 小时。高峰期变慢与工单量上升同时发生，符合排队压力的描述，但没有现场作业数据，不能分离“更难修”与“人不够”。</t>
        </is>
      </c>
    </row>
  </sheetData>
  <mergeCells count="2">
    <mergeCell ref="A73:J73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548235"/>
    <outlinePr summaryBelow="1" summaryRight="1"/>
    <pageSetUpPr/>
  </sheetPr>
  <dimension ref="A1:J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行政区构成（完整月 2024-10-01～2026-08-31）</t>
        </is>
      </c>
    </row>
    <row r="2">
      <c r="A2" s="12" t="inlineStr">
        <is>
          <t>无人口分母，不做人均。Unspecified 已从本表排除。heat_share_city 是该区占全市供暖工单的份额。</t>
        </is>
      </c>
    </row>
    <row r="4">
      <c r="A4" s="4" t="inlineStr">
        <is>
          <t>borough</t>
        </is>
      </c>
      <c r="B4" s="4" t="inlineStr">
        <is>
          <t>供暖</t>
        </is>
      </c>
      <c r="C4" s="4" t="inlineStr">
        <is>
          <t>全部</t>
        </is>
      </c>
      <c r="D4" s="4" t="inlineStr">
        <is>
          <t>违停</t>
        </is>
      </c>
      <c r="E4" s="4" t="inlineStr">
        <is>
          <t>住宅噪声</t>
        </is>
      </c>
      <c r="F4" s="4" t="inlineStr">
        <is>
          <t>占全市工单</t>
        </is>
      </c>
      <c r="G4" s="4" t="inlineStr">
        <is>
          <t>区内供暖占比</t>
        </is>
      </c>
      <c r="H4" s="4" t="inlineStr">
        <is>
          <t>占全市供暖</t>
        </is>
      </c>
      <c r="I4" s="4" t="inlineStr">
        <is>
          <t>区内违停占比</t>
        </is>
      </c>
      <c r="J4" s="4" t="inlineStr">
        <is>
          <t>区内住宅噪声占比</t>
        </is>
      </c>
    </row>
    <row r="5">
      <c r="A5" s="24" t="inlineStr">
        <is>
          <t>BROOKLYN</t>
        </is>
      </c>
      <c r="B5" s="25" t="n">
        <v>173786</v>
      </c>
      <c r="C5" s="25" t="n">
        <v>2173129</v>
      </c>
      <c r="D5" s="25" t="n">
        <v>440181</v>
      </c>
      <c r="E5" s="25" t="n">
        <v>204446</v>
      </c>
      <c r="F5" s="26" t="n">
        <v>0.3006003211653913</v>
      </c>
      <c r="G5" s="26" t="n">
        <v>0.07997040212523049</v>
      </c>
      <c r="H5" s="26" t="n">
        <v>0.2680232387773578</v>
      </c>
      <c r="I5" s="26" t="n">
        <v>0.2025563139601929</v>
      </c>
      <c r="J5" s="26" t="n">
        <v>0.0940790905648031</v>
      </c>
    </row>
    <row r="6">
      <c r="A6" s="27" t="inlineStr">
        <is>
          <t>QUEENS</t>
        </is>
      </c>
      <c r="B6" s="28" t="n">
        <v>84967</v>
      </c>
      <c r="C6" s="28" t="n">
        <v>1750875</v>
      </c>
      <c r="D6" s="28" t="n">
        <v>348787</v>
      </c>
      <c r="E6" s="28" t="n">
        <v>145853</v>
      </c>
      <c r="F6" s="29" t="n">
        <v>0.2421915989895006</v>
      </c>
      <c r="G6" s="29" t="n">
        <v>0.04852830727493396</v>
      </c>
      <c r="H6" s="29" t="n">
        <v>0.1310412261585845</v>
      </c>
      <c r="I6" s="29" t="n">
        <v>0.1992072535160991</v>
      </c>
      <c r="J6" s="29" t="n">
        <v>0.08330291996858713</v>
      </c>
    </row>
    <row r="7">
      <c r="A7" s="24" t="inlineStr">
        <is>
          <t>BRONX</t>
        </is>
      </c>
      <c r="B7" s="25" t="n">
        <v>227371</v>
      </c>
      <c r="C7" s="25" t="n">
        <v>1598323</v>
      </c>
      <c r="D7" s="25" t="n">
        <v>164062</v>
      </c>
      <c r="E7" s="25" t="n">
        <v>342196</v>
      </c>
      <c r="F7" s="26" t="n">
        <v>0.2210896854839413</v>
      </c>
      <c r="G7" s="26" t="n">
        <v>0.1422559770459413</v>
      </c>
      <c r="H7" s="26" t="n">
        <v>0.3506652539562831</v>
      </c>
      <c r="I7" s="26" t="n">
        <v>0.1026463361911203</v>
      </c>
      <c r="J7" s="26" t="n">
        <v>0.2140969003136412</v>
      </c>
    </row>
    <row r="8">
      <c r="A8" s="27" t="inlineStr">
        <is>
          <t>MANHATTAN</t>
        </is>
      </c>
      <c r="B8" s="28" t="n">
        <v>155381</v>
      </c>
      <c r="C8" s="28" t="n">
        <v>1427542</v>
      </c>
      <c r="D8" s="28" t="n">
        <v>128904</v>
      </c>
      <c r="E8" s="28" t="n">
        <v>125741</v>
      </c>
      <c r="F8" s="29" t="n">
        <v>0.1974662266607666</v>
      </c>
      <c r="G8" s="29" t="n">
        <v>0.1088451338034187</v>
      </c>
      <c r="H8" s="29" t="n">
        <v>0.2396379389851002</v>
      </c>
      <c r="I8" s="29" t="n">
        <v>0.09029786864414498</v>
      </c>
      <c r="J8" s="29" t="n">
        <v>0.08808217201315267</v>
      </c>
    </row>
    <row r="9">
      <c r="A9" s="24" t="inlineStr">
        <is>
          <t>STATEN ISLAND</t>
        </is>
      </c>
      <c r="B9" s="25" t="n">
        <v>6894</v>
      </c>
      <c r="C9" s="25" t="n">
        <v>279428</v>
      </c>
      <c r="D9" s="25" t="n">
        <v>33399</v>
      </c>
      <c r="E9" s="25" t="n">
        <v>20549</v>
      </c>
      <c r="F9" s="26" t="n">
        <v>0.03865216770040019</v>
      </c>
      <c r="G9" s="26" t="n">
        <v>0.02467182959474355</v>
      </c>
      <c r="H9" s="26" t="n">
        <v>0.01063234212267446</v>
      </c>
      <c r="I9" s="26" t="n">
        <v>0.1195263180497302</v>
      </c>
      <c r="J9" s="26" t="n">
        <v>0.07353951644072891</v>
      </c>
    </row>
    <row r="28">
      <c r="A28" s="3" t="inlineStr">
        <is>
          <t>全样本行政区结案中位（受类型组合影响：布朗克斯噪声/供暖多，中位时长会被住房类拉长）</t>
        </is>
      </c>
    </row>
    <row r="29">
      <c r="A29" s="4" t="inlineStr">
        <is>
          <t>borough</t>
        </is>
      </c>
      <c r="B29" s="4" t="inlineStr">
        <is>
          <t>创建数</t>
        </is>
      </c>
      <c r="C29" s="4" t="inlineStr">
        <is>
          <t>有效关闭</t>
        </is>
      </c>
      <c r="D29" s="4" t="inlineStr">
        <is>
          <t>中位小时</t>
        </is>
      </c>
      <c r="E29" s="4" t="inlineStr">
        <is>
          <t>P90小时</t>
        </is>
      </c>
      <c r="F29" s="4" t="inlineStr">
        <is>
          <t>中位天</t>
        </is>
      </c>
    </row>
    <row r="30">
      <c r="A30" s="24" t="inlineStr">
        <is>
          <t>BROOKLYN</t>
        </is>
      </c>
      <c r="B30" s="25" t="n">
        <v>2259561</v>
      </c>
      <c r="C30" s="25" t="n">
        <v>2182422</v>
      </c>
      <c r="D30" s="33" t="n">
        <v>6.52</v>
      </c>
      <c r="E30" s="34" t="n">
        <v>371.174972222223</v>
      </c>
      <c r="F30" s="26" t="n">
        <v>0.2716666666666667</v>
      </c>
    </row>
    <row r="31">
      <c r="A31" s="27" t="inlineStr">
        <is>
          <t>QUEENS</t>
        </is>
      </c>
      <c r="B31" s="28" t="n">
        <v>1818742</v>
      </c>
      <c r="C31" s="28" t="n">
        <v>1745715</v>
      </c>
      <c r="D31" s="35" t="n">
        <v>4.570833333333334</v>
      </c>
      <c r="E31" s="36" t="n">
        <v>291.7038888888891</v>
      </c>
      <c r="F31" s="29" t="n">
        <v>0.1904513888888889</v>
      </c>
    </row>
    <row r="32">
      <c r="A32" s="24" t="inlineStr">
        <is>
          <t>BRONX</t>
        </is>
      </c>
      <c r="B32" s="25" t="n">
        <v>1664397</v>
      </c>
      <c r="C32" s="25" t="n">
        <v>1625256</v>
      </c>
      <c r="D32" s="33" t="n">
        <v>10.53944444444444</v>
      </c>
      <c r="E32" s="34" t="n">
        <v>364.9352777777778</v>
      </c>
      <c r="F32" s="26" t="n">
        <v>0.4391435185185185</v>
      </c>
    </row>
    <row r="33">
      <c r="A33" s="27" t="inlineStr">
        <is>
          <t>MANHATTAN</t>
        </is>
      </c>
      <c r="B33" s="28" t="n">
        <v>1487092</v>
      </c>
      <c r="C33" s="28" t="n">
        <v>1422019</v>
      </c>
      <c r="D33" s="35" t="n">
        <v>10.54527777777778</v>
      </c>
      <c r="E33" s="36" t="n">
        <v>574.1418333333334</v>
      </c>
      <c r="F33" s="29" t="n">
        <v>0.4393865740740742</v>
      </c>
    </row>
    <row r="34">
      <c r="A34" s="24" t="inlineStr">
        <is>
          <t>STATEN ISLAND</t>
        </is>
      </c>
      <c r="B34" s="25" t="n">
        <v>289375</v>
      </c>
      <c r="C34" s="25" t="n">
        <v>278554</v>
      </c>
      <c r="D34" s="33" t="n">
        <v>13.04361111111111</v>
      </c>
      <c r="E34" s="34" t="n">
        <v>290.785277777778</v>
      </c>
      <c r="F34" s="26" t="n">
        <v>0.5434837962962963</v>
      </c>
    </row>
    <row r="38">
      <c r="A38" s="3" t="inlineStr">
        <is>
          <t>星期结构（DuckDB dow：0=周日）</t>
        </is>
      </c>
    </row>
    <row r="39">
      <c r="A39" s="4" t="inlineStr">
        <is>
          <t>星期</t>
        </is>
      </c>
      <c r="B39" s="4" t="inlineStr">
        <is>
          <t>全部</t>
        </is>
      </c>
      <c r="C39" s="4" t="inlineStr">
        <is>
          <t>住宅噪声</t>
        </is>
      </c>
      <c r="D39" s="4" t="inlineStr">
        <is>
          <t>违停</t>
        </is>
      </c>
      <c r="E39" s="4" t="inlineStr">
        <is>
          <t>供暖</t>
        </is>
      </c>
    </row>
    <row r="40">
      <c r="A40" s="24" t="inlineStr">
        <is>
          <t>周日</t>
        </is>
      </c>
      <c r="B40" s="25" t="n">
        <v>1009123</v>
      </c>
      <c r="C40" s="25" t="n">
        <v>182385</v>
      </c>
      <c r="D40" s="25" t="n">
        <v>162090</v>
      </c>
      <c r="E40" s="25" t="n">
        <v>91908</v>
      </c>
    </row>
    <row r="41">
      <c r="A41" s="27" t="inlineStr">
        <is>
          <t>周一</t>
        </is>
      </c>
      <c r="B41" s="28" t="n">
        <v>1148117</v>
      </c>
      <c r="C41" s="28" t="n">
        <v>115989</v>
      </c>
      <c r="D41" s="28" t="n">
        <v>166678</v>
      </c>
      <c r="E41" s="28" t="n">
        <v>102039</v>
      </c>
    </row>
    <row r="42">
      <c r="A42" s="24" t="inlineStr">
        <is>
          <t>周二</t>
        </is>
      </c>
      <c r="B42" s="25" t="n">
        <v>1141458</v>
      </c>
      <c r="C42" s="25" t="n">
        <v>105564</v>
      </c>
      <c r="D42" s="25" t="n">
        <v>173708</v>
      </c>
      <c r="E42" s="25" t="n">
        <v>98765</v>
      </c>
    </row>
    <row r="43">
      <c r="A43" s="27" t="inlineStr">
        <is>
          <t>周三</t>
        </is>
      </c>
      <c r="B43" s="28" t="n">
        <v>1084833</v>
      </c>
      <c r="C43" s="28" t="n">
        <v>96305</v>
      </c>
      <c r="D43" s="28" t="n">
        <v>167155</v>
      </c>
      <c r="E43" s="28" t="n">
        <v>90387</v>
      </c>
    </row>
    <row r="44">
      <c r="A44" s="24" t="inlineStr">
        <is>
          <t>周四</t>
        </is>
      </c>
      <c r="B44" s="25" t="n">
        <v>1074354</v>
      </c>
      <c r="C44" s="25" t="n">
        <v>96048</v>
      </c>
      <c r="D44" s="25" t="n">
        <v>167539</v>
      </c>
      <c r="E44" s="25" t="n">
        <v>91172</v>
      </c>
    </row>
    <row r="45">
      <c r="A45" s="27" t="inlineStr">
        <is>
          <t>周五</t>
        </is>
      </c>
      <c r="B45" s="28" t="n">
        <v>1085159</v>
      </c>
      <c r="C45" s="28" t="n">
        <v>114218</v>
      </c>
      <c r="D45" s="28" t="n">
        <v>167570</v>
      </c>
      <c r="E45" s="28" t="n">
        <v>90973</v>
      </c>
    </row>
    <row r="46">
      <c r="A46" s="24" t="inlineStr">
        <is>
          <t>周六</t>
        </is>
      </c>
      <c r="B46" s="25" t="n">
        <v>982454</v>
      </c>
      <c r="C46" s="25" t="n">
        <v>171039</v>
      </c>
      <c r="D46" s="25" t="n">
        <v>154313</v>
      </c>
      <c r="E46" s="25" t="n">
        <v>86350</v>
      </c>
    </row>
    <row r="49" ht="48" customHeight="1">
      <c r="A49" s="30" t="inlineStr">
        <is>
          <t>布朗克斯：占全市工单 22.1%，却占全市供暖 35.1%、住宅噪声也明显高于其总体份额。布鲁克林/皇后：违停是区内第一产品。周末（六、日）住宅噪声约为工作日的 1.5–1.9 倍，违停则偏工作日。这是申告行为的时间节奏，不是“周末问题更严重”的因果证明。</t>
        </is>
      </c>
    </row>
  </sheetData>
  <mergeCells count="1">
    <mergeCell ref="A49:J49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833C0C"/>
    <outlinePr summaryBelow="1" summaryRight="1"/>
    <pageSetUpPr/>
  </sheetPr>
  <dimension ref="A1:K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36" customWidth="1" min="3" max="3"/>
    <col width="16" customWidth="1" min="4" max="4"/>
    <col width="14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哪些质量问题会改变结论</t>
        </is>
      </c>
    </row>
    <row r="3">
      <c r="A3" s="3" t="inlineStr">
        <is>
          <t>全样本质量计数</t>
        </is>
      </c>
    </row>
    <row r="4">
      <c r="A4" s="4" t="inlineStr">
        <is>
          <t>检查项</t>
        </is>
      </c>
      <c r="B4" s="4" t="inlineStr">
        <is>
          <t>计数</t>
        </is>
      </c>
      <c r="C4" s="4" t="inlineStr">
        <is>
          <t>对分析的影响</t>
        </is>
      </c>
    </row>
    <row r="5">
      <c r="A5" s="44" t="inlineStr">
        <is>
          <t>记录数</t>
        </is>
      </c>
      <c r="B5" s="45" t="n">
        <v>7525498</v>
      </c>
      <c r="C5" s="44" t="inlineStr">
        <is>
          <t>分母</t>
        </is>
      </c>
    </row>
    <row r="6">
      <c r="A6" s="44" t="inlineStr">
        <is>
          <t>unique_key 去重后</t>
        </is>
      </c>
      <c r="B6" s="45" t="n">
        <v>7525498</v>
      </c>
      <c r="C6" s="44" t="inlineStr">
        <is>
          <t>无重复主键，记录级分析可信</t>
        </is>
      </c>
    </row>
    <row r="7">
      <c r="A7" s="44" t="inlineStr">
        <is>
          <t>created 无法解析</t>
        </is>
      </c>
      <c r="B7" s="45" t="n">
        <v>0</v>
      </c>
      <c r="C7" s="44" t="inlineStr">
        <is>
          <t>为 0，时间窗可靠</t>
        </is>
      </c>
    </row>
    <row r="8">
      <c r="A8" s="44" t="inlineStr">
        <is>
          <t>agency / complaint_type 空</t>
        </is>
      </c>
      <c r="B8" s="45" t="n">
        <v>0</v>
      </c>
      <c r="C8" s="44" t="inlineStr">
        <is>
          <t>为 0</t>
        </is>
      </c>
    </row>
    <row r="9">
      <c r="A9" s="44" t="inlineStr">
        <is>
          <t>closed_ts 空</t>
        </is>
      </c>
      <c r="B9" s="45" t="n">
        <v>240304</v>
      </c>
      <c r="C9" s="44" t="inlineStr">
        <is>
          <t>约 3.2%；含未关闭与未填关闭时间</t>
        </is>
      </c>
    </row>
    <row r="10">
      <c r="A10" s="44" t="inlineStr">
        <is>
          <t>关闭早于创建</t>
        </is>
      </c>
      <c r="B10" s="45" t="n">
        <v>1877</v>
      </c>
      <c r="C10" s="44" t="inlineStr">
        <is>
          <t>0.025%，结案时长已排除</t>
        </is>
      </c>
    </row>
    <row r="11">
      <c r="A11" s="44" t="inlineStr">
        <is>
          <t>行政区 Unspecified/空</t>
        </is>
      </c>
      <c r="B11" s="45" t="n">
        <v>6331</v>
      </c>
      <c r="C11" s="44" t="inlineStr">
        <is>
          <t>0.08%，分区分析可忽略</t>
        </is>
      </c>
    </row>
    <row r="12">
      <c r="A12" s="44" t="inlineStr">
        <is>
          <t>渠道 UNKNOWN</t>
        </is>
      </c>
      <c r="B12" s="45" t="n">
        <v>590822</v>
      </c>
      <c r="C12" s="44" t="inlineStr">
        <is>
          <t>7.9%，渠道趋势需谨慎</t>
        </is>
      </c>
    </row>
    <row r="15">
      <c r="A15" s="3" t="inlineStr">
        <is>
          <t>会真正扭曲趋势的两件事</t>
        </is>
      </c>
    </row>
    <row r="16">
      <c r="A16" s="46" t="inlineStr">
        <is>
          <t>A. 快照截断（近期未结案）</t>
        </is>
      </c>
      <c r="F16" s="46" t="inlineStr">
        <is>
          <t>B. 2026-08 供水/下水道类型更名</t>
        </is>
      </c>
    </row>
    <row r="17">
      <c r="A17" s="4" t="inlineStr">
        <is>
          <t>agency</t>
        </is>
      </c>
      <c r="B17" s="4" t="inlineStr">
        <is>
          <t>开放类数量</t>
        </is>
      </c>
      <c r="C17" s="4" t="inlineStr">
        <is>
          <t>中位年龄(天)</t>
        </is>
      </c>
      <c r="D17" s="4" t="inlineStr">
        <is>
          <t>P90年龄(天)</t>
        </is>
      </c>
      <c r="F17" s="4" t="inlineStr">
        <is>
          <t>月</t>
        </is>
      </c>
      <c r="G17" s="4" t="inlineStr">
        <is>
          <t>Water System</t>
        </is>
      </c>
      <c r="H17" s="4" t="inlineStr">
        <is>
          <t>Water Maintenance</t>
        </is>
      </c>
      <c r="I17" s="4" t="inlineStr">
        <is>
          <t>Sewer</t>
        </is>
      </c>
      <c r="J17" s="4" t="inlineStr">
        <is>
          <t>Sewer Maintenance</t>
        </is>
      </c>
    </row>
    <row r="18">
      <c r="A18" s="24" t="inlineStr">
        <is>
          <t>HPD</t>
        </is>
      </c>
      <c r="B18" s="25" t="n">
        <v>59718</v>
      </c>
      <c r="C18" s="33" t="n">
        <v>46.17310185185185</v>
      </c>
      <c r="D18" s="34" t="n">
        <v>262.6063773148149</v>
      </c>
      <c r="F18" s="24" t="inlineStr">
        <is>
          <t>2024-09</t>
        </is>
      </c>
      <c r="G18" s="25" t="n">
        <v>3387</v>
      </c>
      <c r="H18" s="25" t="n">
        <v>0</v>
      </c>
      <c r="I18" s="25" t="n">
        <v>1362</v>
      </c>
      <c r="J18" s="25" t="n">
        <v>0</v>
      </c>
    </row>
    <row r="19">
      <c r="A19" s="27" t="inlineStr">
        <is>
          <t>DPR</t>
        </is>
      </c>
      <c r="B19" s="28" t="n">
        <v>57625</v>
      </c>
      <c r="C19" s="36" t="n">
        <v>102.5259722222222</v>
      </c>
      <c r="D19" s="36" t="n">
        <v>485.2673912037036</v>
      </c>
      <c r="F19" s="27" t="inlineStr">
        <is>
          <t>2024-10</t>
        </is>
      </c>
      <c r="G19" s="28" t="n">
        <v>4453</v>
      </c>
      <c r="H19" s="28" t="n">
        <v>1</v>
      </c>
      <c r="I19" s="28" t="n">
        <v>1680</v>
      </c>
      <c r="J19" s="28" t="n">
        <v>0</v>
      </c>
    </row>
    <row r="20">
      <c r="A20" s="24" t="inlineStr">
        <is>
          <t>DOT</t>
        </is>
      </c>
      <c r="B20" s="25" t="n">
        <v>28712</v>
      </c>
      <c r="C20" s="34" t="n">
        <v>152.6893923611111</v>
      </c>
      <c r="D20" s="34" t="n">
        <v>499.2442256944445</v>
      </c>
      <c r="F20" s="24" t="inlineStr">
        <is>
          <t>2024-11</t>
        </is>
      </c>
      <c r="G20" s="25" t="n">
        <v>4835</v>
      </c>
      <c r="H20" s="25" t="n">
        <v>0</v>
      </c>
      <c r="I20" s="25" t="n">
        <v>1662</v>
      </c>
      <c r="J20" s="25" t="n">
        <v>0</v>
      </c>
    </row>
    <row r="21">
      <c r="A21" s="27" t="inlineStr">
        <is>
          <t>TLC</t>
        </is>
      </c>
      <c r="B21" s="28" t="n">
        <v>25303</v>
      </c>
      <c r="C21" s="36" t="n">
        <v>161.6058333333333</v>
      </c>
      <c r="D21" s="36" t="n">
        <v>412.4125763888889</v>
      </c>
      <c r="F21" s="27" t="inlineStr">
        <is>
          <t>2024-12</t>
        </is>
      </c>
      <c r="G21" s="28" t="n">
        <v>5631</v>
      </c>
      <c r="H21" s="28" t="n">
        <v>1</v>
      </c>
      <c r="I21" s="28" t="n">
        <v>1858</v>
      </c>
      <c r="J21" s="28" t="n">
        <v>1</v>
      </c>
    </row>
    <row r="22">
      <c r="A22" s="24" t="inlineStr">
        <is>
          <t>EDC</t>
        </is>
      </c>
      <c r="B22" s="25" t="n">
        <v>19226</v>
      </c>
      <c r="C22" s="34" t="n">
        <v>303.6161631944444</v>
      </c>
      <c r="D22" s="34" t="n">
        <v>622.266394675926</v>
      </c>
      <c r="F22" s="24" t="inlineStr">
        <is>
          <t>2025-01</t>
        </is>
      </c>
      <c r="G22" s="25" t="n">
        <v>6670</v>
      </c>
      <c r="H22" s="25" t="n">
        <v>1</v>
      </c>
      <c r="I22" s="25" t="n">
        <v>1425</v>
      </c>
      <c r="J22" s="25" t="n">
        <v>0</v>
      </c>
    </row>
    <row r="23">
      <c r="A23" s="27" t="inlineStr">
        <is>
          <t>DOB</t>
        </is>
      </c>
      <c r="B23" s="28" t="n">
        <v>18483</v>
      </c>
      <c r="C23" s="35" t="n">
        <v>70.11809027777778</v>
      </c>
      <c r="D23" s="36" t="n">
        <v>390.0055162037033</v>
      </c>
      <c r="F23" s="27" t="inlineStr">
        <is>
          <t>2025-02</t>
        </is>
      </c>
      <c r="G23" s="28" t="n">
        <v>5245</v>
      </c>
      <c r="H23" s="28" t="n">
        <v>2</v>
      </c>
      <c r="I23" s="28" t="n">
        <v>1604</v>
      </c>
      <c r="J23" s="28" t="n">
        <v>0</v>
      </c>
    </row>
    <row r="24">
      <c r="A24" s="24" t="inlineStr">
        <is>
          <t>DOHMH</t>
        </is>
      </c>
      <c r="B24" s="25" t="n">
        <v>15082</v>
      </c>
      <c r="C24" s="33" t="n">
        <v>57.27492476851852</v>
      </c>
      <c r="D24" s="34" t="n">
        <v>568.1891273148148</v>
      </c>
      <c r="F24" s="24" t="inlineStr">
        <is>
          <t>2025-03</t>
        </is>
      </c>
      <c r="G24" s="25" t="n">
        <v>3979</v>
      </c>
      <c r="H24" s="25" t="n">
        <v>0</v>
      </c>
      <c r="I24" s="25" t="n">
        <v>2017</v>
      </c>
      <c r="J24" s="25" t="n">
        <v>0</v>
      </c>
    </row>
    <row r="25">
      <c r="A25" s="27" t="inlineStr">
        <is>
          <t>DEP</t>
        </is>
      </c>
      <c r="B25" s="28" t="n">
        <v>10607</v>
      </c>
      <c r="C25" s="35" t="n">
        <v>75.16736111111111</v>
      </c>
      <c r="D25" s="36" t="n">
        <v>591.3661111111111</v>
      </c>
      <c r="F25" s="27" t="inlineStr">
        <is>
          <t>2025-04</t>
        </is>
      </c>
      <c r="G25" s="28" t="n">
        <v>3507</v>
      </c>
      <c r="H25" s="28" t="n">
        <v>0</v>
      </c>
      <c r="I25" s="28" t="n">
        <v>1741</v>
      </c>
      <c r="J25" s="28" t="n">
        <v>0</v>
      </c>
    </row>
    <row r="26">
      <c r="A26" s="24" t="inlineStr">
        <is>
          <t>DSNY</t>
        </is>
      </c>
      <c r="B26" s="25" t="n">
        <v>9847</v>
      </c>
      <c r="C26" s="34" t="n">
        <v>123.7775</v>
      </c>
      <c r="D26" s="34" t="n">
        <v>481.1529305555555</v>
      </c>
      <c r="F26" s="24" t="inlineStr">
        <is>
          <t>2025-05</t>
        </is>
      </c>
      <c r="G26" s="25" t="n">
        <v>3574</v>
      </c>
      <c r="H26" s="25" t="n">
        <v>0</v>
      </c>
      <c r="I26" s="25" t="n">
        <v>2502</v>
      </c>
      <c r="J26" s="25" t="n">
        <v>1</v>
      </c>
    </row>
    <row r="27">
      <c r="A27" s="27" t="inlineStr">
        <is>
          <t>DHS</t>
        </is>
      </c>
      <c r="B27" s="28" t="n">
        <v>2087</v>
      </c>
      <c r="C27" s="35" t="n">
        <v>60.57474537037037</v>
      </c>
      <c r="D27" s="36" t="n">
        <v>122.3292777777778</v>
      </c>
      <c r="F27" s="27" t="inlineStr">
        <is>
          <t>2025-06</t>
        </is>
      </c>
      <c r="G27" s="28" t="n">
        <v>15194</v>
      </c>
      <c r="H27" s="28" t="n">
        <v>3</v>
      </c>
      <c r="I27" s="28" t="n">
        <v>2020</v>
      </c>
      <c r="J27" s="28" t="n">
        <v>3</v>
      </c>
    </row>
    <row r="28">
      <c r="A28" s="24" t="inlineStr">
        <is>
          <t>DCWP</t>
        </is>
      </c>
      <c r="B28" s="25" t="n">
        <v>1525</v>
      </c>
      <c r="C28" s="33" t="n">
        <v>19.35001157407408</v>
      </c>
      <c r="D28" s="33" t="n">
        <v>38.36374305555557</v>
      </c>
      <c r="F28" s="24" t="inlineStr">
        <is>
          <t>2025-07</t>
        </is>
      </c>
      <c r="G28" s="25" t="n">
        <v>15103</v>
      </c>
      <c r="H28" s="25" t="n">
        <v>1</v>
      </c>
      <c r="I28" s="25" t="n">
        <v>2743</v>
      </c>
      <c r="J28" s="25" t="n">
        <v>2</v>
      </c>
    </row>
    <row r="29">
      <c r="A29" s="27" t="inlineStr">
        <is>
          <t>NYPD</t>
        </is>
      </c>
      <c r="B29" s="28" t="n">
        <v>906</v>
      </c>
      <c r="C29" s="35" t="n">
        <v>57.17262731481482</v>
      </c>
      <c r="D29" s="35" t="n">
        <v>57.45103009259259</v>
      </c>
      <c r="F29" s="27" t="inlineStr">
        <is>
          <t>2025-08</t>
        </is>
      </c>
      <c r="G29" s="28" t="n">
        <v>7129</v>
      </c>
      <c r="H29" s="28" t="n">
        <v>0</v>
      </c>
      <c r="I29" s="28" t="n">
        <v>2477</v>
      </c>
      <c r="J29" s="28" t="n">
        <v>2</v>
      </c>
    </row>
    <row r="30">
      <c r="A30" s="24" t="inlineStr">
        <is>
          <t>OOS</t>
        </is>
      </c>
      <c r="B30" s="25" t="n">
        <v>708</v>
      </c>
      <c r="C30" s="33" t="n">
        <v>40.49501736111111</v>
      </c>
      <c r="D30" s="33" t="n">
        <v>89.52007870370372</v>
      </c>
      <c r="F30" s="24" t="inlineStr">
        <is>
          <t>2025-09</t>
        </is>
      </c>
      <c r="G30" s="25" t="n">
        <v>4196</v>
      </c>
      <c r="H30" s="25" t="n">
        <v>6</v>
      </c>
      <c r="I30" s="25" t="n">
        <v>1856</v>
      </c>
      <c r="J30" s="25" t="n">
        <v>5</v>
      </c>
    </row>
    <row r="31">
      <c r="F31" s="27" t="inlineStr">
        <is>
          <t>2025-10</t>
        </is>
      </c>
      <c r="G31" s="28" t="n">
        <v>5041</v>
      </c>
      <c r="H31" s="28" t="n">
        <v>3</v>
      </c>
      <c r="I31" s="28" t="n">
        <v>3562</v>
      </c>
      <c r="J31" s="28" t="n">
        <v>6</v>
      </c>
    </row>
    <row r="32">
      <c r="F32" s="24" t="inlineStr">
        <is>
          <t>2025-11</t>
        </is>
      </c>
      <c r="G32" s="25" t="n">
        <v>3656</v>
      </c>
      <c r="H32" s="25" t="n">
        <v>5</v>
      </c>
      <c r="I32" s="25" t="n">
        <v>2166</v>
      </c>
      <c r="J32" s="25" t="n">
        <v>1</v>
      </c>
    </row>
    <row r="33" ht="40" customHeight="1">
      <c r="A33" s="30" t="inlineStr">
        <is>
          <t>实务规则：1）比较关闭速度不要用 2026-07 以后的创建月。2）做 Water/Sewer 趋势时从 2026-08 起合并新旧类型名。3）2024-09 与 2026-09 不得进入月环比。4）渠道 UNKNOWN 在 2026-03 跳到 47,359，渠道份额序列从该月起不稳定。</t>
        </is>
      </c>
    </row>
    <row r="34">
      <c r="F34" s="24" t="inlineStr">
        <is>
          <t>2026-01</t>
        </is>
      </c>
      <c r="G34" s="25" t="n">
        <v>6308</v>
      </c>
      <c r="H34" s="25" t="n">
        <v>9</v>
      </c>
      <c r="I34" s="25" t="n">
        <v>1557</v>
      </c>
      <c r="J34" s="25" t="n">
        <v>4</v>
      </c>
    </row>
    <row r="35">
      <c r="A35" s="3" t="inlineStr">
        <is>
          <t>分片行数（应与月度 n_created 一致；2024-09 / 2026-09 为残缺分片）</t>
        </is>
      </c>
      <c r="F35" s="27" t="inlineStr">
        <is>
          <t>2026-02</t>
        </is>
      </c>
      <c r="G35" s="28" t="n">
        <v>7998</v>
      </c>
      <c r="H35" s="28" t="n">
        <v>18</v>
      </c>
      <c r="I35" s="28" t="n">
        <v>1785</v>
      </c>
      <c r="J35" s="28" t="n">
        <v>7</v>
      </c>
    </row>
    <row r="36">
      <c r="A36" s="4" t="inlineStr">
        <is>
          <t>parquet 分片</t>
        </is>
      </c>
      <c r="B36" s="4" t="inlineStr">
        <is>
          <t>行数</t>
        </is>
      </c>
      <c r="F36" s="24" t="inlineStr">
        <is>
          <t>2026-03</t>
        </is>
      </c>
      <c r="G36" s="25" t="n">
        <v>5473</v>
      </c>
      <c r="H36" s="25" t="n">
        <v>40</v>
      </c>
      <c r="I36" s="25" t="n">
        <v>3079</v>
      </c>
      <c r="J36" s="25" t="n">
        <v>20</v>
      </c>
    </row>
    <row r="37">
      <c r="A37" s="24" t="inlineStr">
        <is>
          <t>created_date=2024-09-07_to_2024-10-01.parquet</t>
        </is>
      </c>
      <c r="B37" s="25" t="n">
        <v>248139</v>
      </c>
      <c r="F37" s="27" t="inlineStr">
        <is>
          <t>2026-04</t>
        </is>
      </c>
      <c r="G37" s="28" t="n">
        <v>5679</v>
      </c>
      <c r="H37" s="28" t="n">
        <v>44</v>
      </c>
      <c r="I37" s="28" t="n">
        <v>2019</v>
      </c>
      <c r="J37" s="28" t="n">
        <v>15</v>
      </c>
    </row>
    <row r="38">
      <c r="A38" s="27" t="inlineStr">
        <is>
          <t>created_date=2024-10-01_to_2024-11-01.parquet</t>
        </is>
      </c>
      <c r="B38" s="28" t="n">
        <v>306803</v>
      </c>
      <c r="F38" s="24" t="inlineStr">
        <is>
          <t>2026-05</t>
        </is>
      </c>
      <c r="G38" s="25" t="n">
        <v>6308</v>
      </c>
      <c r="H38" s="25" t="n">
        <v>114</v>
      </c>
      <c r="I38" s="25" t="n">
        <v>4422</v>
      </c>
      <c r="J38" s="25" t="n">
        <v>62</v>
      </c>
    </row>
    <row r="39">
      <c r="A39" s="24" t="inlineStr">
        <is>
          <t>created_date=2024-11-01_to_2024-12-01.parquet</t>
        </is>
      </c>
      <c r="B39" s="25" t="n">
        <v>293515</v>
      </c>
      <c r="F39" s="27" t="inlineStr">
        <is>
          <t>2026-06</t>
        </is>
      </c>
      <c r="G39" s="28" t="n">
        <v>8911</v>
      </c>
      <c r="H39" s="28" t="n">
        <v>242</v>
      </c>
      <c r="I39" s="28" t="n">
        <v>2783</v>
      </c>
      <c r="J39" s="28" t="n">
        <v>110</v>
      </c>
    </row>
    <row r="40">
      <c r="A40" s="27" t="inlineStr">
        <is>
          <t>created_date=2024-12-01_to_2025-01-01.parquet</t>
        </is>
      </c>
      <c r="B40" s="28" t="n">
        <v>313949</v>
      </c>
      <c r="F40" s="24" t="inlineStr">
        <is>
          <t>2026-07</t>
        </is>
      </c>
      <c r="G40" s="25" t="n">
        <v>16261</v>
      </c>
      <c r="H40" s="25" t="n">
        <v>1892</v>
      </c>
      <c r="I40" s="25" t="n">
        <v>3131</v>
      </c>
      <c r="J40" s="25" t="n">
        <v>1310</v>
      </c>
    </row>
    <row r="41">
      <c r="A41" s="24" t="inlineStr">
        <is>
          <t>created_date=2025-01-01_to_2025-02-01.parquet</t>
        </is>
      </c>
      <c r="B41" s="25" t="n">
        <v>348180</v>
      </c>
      <c r="F41" s="27" t="inlineStr">
        <is>
          <t>2026-08</t>
        </is>
      </c>
      <c r="G41" s="28" t="n">
        <v>0</v>
      </c>
      <c r="H41" s="28" t="n">
        <v>8925</v>
      </c>
      <c r="I41" s="28" t="n">
        <v>0</v>
      </c>
      <c r="J41" s="28" t="n">
        <v>5060</v>
      </c>
    </row>
    <row r="42">
      <c r="A42" s="27" t="inlineStr">
        <is>
          <t>created_date=2025-02-01_to_2025-03-01.parquet</t>
        </is>
      </c>
      <c r="B42" s="28" t="n">
        <v>255364</v>
      </c>
      <c r="F42" s="24" t="inlineStr">
        <is>
          <t>2026-09</t>
        </is>
      </c>
      <c r="G42" s="25" t="n">
        <v>0</v>
      </c>
      <c r="H42" s="25" t="n">
        <v>740</v>
      </c>
      <c r="I42" s="25" t="n">
        <v>0</v>
      </c>
      <c r="J42" s="25" t="n">
        <v>481</v>
      </c>
    </row>
    <row r="43">
      <c r="A43" s="24" t="inlineStr">
        <is>
          <t>created_date=2025-03-01_to_2025-04-01.parquet</t>
        </is>
      </c>
      <c r="B43" s="25" t="n">
        <v>281221</v>
      </c>
    </row>
    <row r="44">
      <c r="A44" s="27" t="inlineStr">
        <is>
          <t>created_date=2025-04-01_to_2025-05-01.parquet</t>
        </is>
      </c>
      <c r="B44" s="28" t="n">
        <v>272549</v>
      </c>
    </row>
    <row r="45">
      <c r="A45" s="24" t="inlineStr">
        <is>
          <t>created_date=2025-05-01_to_2025-06-01.parquet</t>
        </is>
      </c>
      <c r="B45" s="25" t="n">
        <v>295058</v>
      </c>
    </row>
    <row r="46">
      <c r="A46" s="27" t="inlineStr">
        <is>
          <t>created_date=2025-06-01_to_2025-07-01.parquet</t>
        </is>
      </c>
      <c r="B46" s="28" t="n">
        <v>306442</v>
      </c>
    </row>
    <row r="47">
      <c r="A47" s="24" t="inlineStr">
        <is>
          <t>created_date=2025-07-01_to_2025-08-01.parquet</t>
        </is>
      </c>
      <c r="B47" s="25" t="n">
        <v>315883</v>
      </c>
    </row>
    <row r="48">
      <c r="A48" s="27" t="inlineStr">
        <is>
          <t>created_date=2025-08-01_to_2025-09-01.parquet</t>
        </is>
      </c>
      <c r="B48" s="28" t="n">
        <v>304039</v>
      </c>
    </row>
    <row r="49">
      <c r="A49" s="24" t="inlineStr">
        <is>
          <t>created_date=2025-09-01_to_2025-10-01.parquet</t>
        </is>
      </c>
      <c r="B49" s="25" t="n">
        <v>302684</v>
      </c>
    </row>
    <row r="50">
      <c r="A50" s="27" t="inlineStr">
        <is>
          <t>created_date=2025-10-01_to_2025-11-01.parquet</t>
        </is>
      </c>
      <c r="B50" s="28" t="n">
        <v>336612</v>
      </c>
    </row>
    <row r="51">
      <c r="A51" s="24" t="inlineStr">
        <is>
          <t>created_date=2025-11-01_to_2025-12-01.parquet</t>
        </is>
      </c>
      <c r="B51" s="25" t="n">
        <v>304905</v>
      </c>
    </row>
    <row r="52">
      <c r="A52" s="27" t="inlineStr">
        <is>
          <t>created_date=2025-12-01_to_2026-01-01.parquet</t>
        </is>
      </c>
      <c r="B52" s="28" t="n">
        <v>332103</v>
      </c>
    </row>
    <row r="53">
      <c r="A53" s="24" t="inlineStr">
        <is>
          <t>created_date=2026-01-01_to_2026-02-01.parquet</t>
        </is>
      </c>
      <c r="B53" s="25" t="n">
        <v>348511</v>
      </c>
    </row>
    <row r="54">
      <c r="A54" s="27" t="inlineStr">
        <is>
          <t>created_date=2026-02-01_to_2026-03-01.parquet</t>
        </is>
      </c>
      <c r="B54" s="28" t="n">
        <v>334690</v>
      </c>
    </row>
    <row r="55">
      <c r="A55" s="24" t="inlineStr">
        <is>
          <t>created_date=2026-03-01_to_2026-04-01.parquet</t>
        </is>
      </c>
      <c r="B55" s="25" t="n">
        <v>342387</v>
      </c>
    </row>
    <row r="56">
      <c r="A56" s="27" t="inlineStr">
        <is>
          <t>created_date=2026-04-01_to_2026-05-01.parquet</t>
        </is>
      </c>
      <c r="B56" s="28" t="n">
        <v>302190</v>
      </c>
    </row>
    <row r="57">
      <c r="A57" s="24" t="inlineStr">
        <is>
          <t>created_date=2026-05-01_to_2026-06-01.parquet</t>
        </is>
      </c>
      <c r="B57" s="25" t="n">
        <v>331978</v>
      </c>
    </row>
    <row r="58">
      <c r="A58" s="27" t="inlineStr">
        <is>
          <t>created_date=2026-06-01_to_2026-07-01.parquet</t>
        </is>
      </c>
      <c r="B58" s="28" t="n">
        <v>334833</v>
      </c>
    </row>
    <row r="59">
      <c r="A59" s="24" t="inlineStr">
        <is>
          <t>created_date=2026-07-01_to_2026-08-01.parquet</t>
        </is>
      </c>
      <c r="B59" s="25" t="n">
        <v>343043</v>
      </c>
    </row>
    <row r="60">
      <c r="A60" s="27" t="inlineStr">
        <is>
          <t>created_date=2026-08-01_to_2026-09-01.parquet</t>
        </is>
      </c>
      <c r="B60" s="28" t="n">
        <v>328446</v>
      </c>
    </row>
    <row r="61">
      <c r="A61" s="24" t="inlineStr">
        <is>
          <t>created_date=2026-09-01_to_2026-09-07.parquet</t>
        </is>
      </c>
      <c r="B61" s="25" t="n">
        <v>41974</v>
      </c>
    </row>
  </sheetData>
  <mergeCells count="1">
    <mergeCell ref="A33:K3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F7F7F"/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2" customWidth="1" min="4" max="4"/>
    <col width="18" customWidth="1" min="5" max="5"/>
    <col width="18" customWidth="1" min="6" max="6"/>
  </cols>
  <sheetData>
    <row r="1">
      <c r="A1" s="1" t="inlineStr">
        <is>
          <t>口径、假设、复现</t>
        </is>
      </c>
    </row>
    <row r="3">
      <c r="A3" s="3" t="inlineStr">
        <is>
          <t>最小假设</t>
        </is>
      </c>
    </row>
    <row r="4" ht="32" customHeight="1">
      <c r="A4" s="30" t="inlineStr">
        <is>
          <t>1. 抽取时点按最后分片命名取 2026-09-07；库内最大创建时间为 2026-09-05 01:50:33。未结案年龄按 2026-09-07 计算，差一两天不改变排序。</t>
        </is>
      </c>
    </row>
    <row r="5" ht="32" customHeight="1">
      <c r="A5" s="30" t="inlineStr">
        <is>
          <t>2. 开放类 = Open/In Progress/Assigned/Pending/Started。Unspecified（302 条）不计入开放也不计入关闭。</t>
        </is>
      </c>
    </row>
    <row r="6" ht="32" customHeight="1">
      <c r="A6" s="30" t="inlineStr">
        <is>
          <t>3. 完整月同比不用日历年，而用各 11 个月的对齐窗口，避免残缺月和“是否含 9 月”争议。</t>
        </is>
      </c>
    </row>
    <row r="7" ht="32" customHeight="1">
      <c r="A7" s="30" t="inlineStr">
        <is>
          <t>4. 不引入人口、气温、执法编制等外部数据（任务仅授权原始 311 与 input 清单）。因此没有人均、没有天气回归。</t>
        </is>
      </c>
    </row>
    <row r="8" ht="32" customHeight="1">
      <c r="A8" s="30" t="inlineStr">
        <is>
          <t>5. 同一 unique_key 只出现一次；无法在本数据中识别“同一公寓的重复供暖投诉是否同一事件”。计数始终是请求记录。</t>
        </is>
      </c>
    </row>
    <row r="9" ht="32" customHeight="1">
      <c r="A9" s="30" t="inlineStr">
        <is>
          <t>6. 中文说明中的机构中文名仅作阅读辅助：HPD=住房保护，NYPD=警察，DSNY=卫生，DOT=交通，DEP=环保，DPR=公园。分析键仍是原始英文代码。</t>
        </is>
      </c>
    </row>
    <row r="11">
      <c r="A11" s="3" t="inlineStr">
        <is>
          <t>复现</t>
        </is>
      </c>
    </row>
    <row r="12" ht="64" customHeight="1">
      <c r="A12" s="30" t="inlineStr">
        <is>
          <t>1. python analyze_311.py  → summaries/*.csv
2. python diagnose.py     → summaries/diag_*.csv
3. python build_excel.py  → 最终成果.xlsx
原始文件只读自 D:\项目1\原始数据；DuckDB read_parquet 扫描，不落原始副本。</t>
        </is>
      </c>
    </row>
    <row r="14">
      <c r="A14" s="3" t="inlineStr">
        <is>
          <t>关键数字核对清单（生成后应仍成立）</t>
        </is>
      </c>
    </row>
    <row r="15">
      <c r="A15" s="4" t="inlineStr">
        <is>
          <t>项目</t>
        </is>
      </c>
      <c r="B15" s="4" t="inlineStr">
        <is>
          <t>本次计算</t>
        </is>
      </c>
      <c r="C15" s="4" t="inlineStr">
        <is>
          <t>预期锚点</t>
        </is>
      </c>
      <c r="D15" s="4" t="inlineStr">
        <is>
          <t>一致?</t>
        </is>
      </c>
    </row>
    <row r="16">
      <c r="A16" s="44" t="inlineStr">
        <is>
          <t>全样本记录</t>
        </is>
      </c>
      <c r="B16" s="45" t="n">
        <v>7525498</v>
      </c>
      <c r="C16" s="45" t="n">
        <v>7525498</v>
      </c>
      <c r="D16" s="47" t="inlineStr">
        <is>
          <t>是</t>
        </is>
      </c>
    </row>
    <row r="17">
      <c r="A17" s="44" t="inlineStr">
        <is>
          <t>Y1 完整月</t>
        </is>
      </c>
      <c r="B17" s="45" t="n">
        <v>3293003</v>
      </c>
      <c r="C17" s="45" t="n">
        <v>3293003</v>
      </c>
      <c r="D17" s="47" t="inlineStr">
        <is>
          <t>是</t>
        </is>
      </c>
    </row>
    <row r="18">
      <c r="A18" s="44" t="inlineStr">
        <is>
          <t>Y2 完整月</t>
        </is>
      </c>
      <c r="B18" s="45" t="n">
        <v>3639698</v>
      </c>
      <c r="C18" s="45" t="n">
        <v>3639698</v>
      </c>
      <c r="D18" s="47" t="inlineStr">
        <is>
          <t>是</t>
        </is>
      </c>
    </row>
    <row r="19">
      <c r="A19" s="44" t="inlineStr">
        <is>
          <t>分片行数合计</t>
        </is>
      </c>
      <c r="B19" s="45" t="n">
        <v>7525498</v>
      </c>
      <c r="C19" s="45" t="n">
        <v>7525498</v>
      </c>
      <c r="D19" s="47" t="inlineStr">
        <is>
          <t>是</t>
        </is>
      </c>
    </row>
  </sheetData>
  <mergeCells count="7">
    <mergeCell ref="A5:F5"/>
    <mergeCell ref="A9:F9"/>
    <mergeCell ref="A8:F8"/>
    <mergeCell ref="A6:F6"/>
    <mergeCell ref="A12:F12"/>
    <mergeCell ref="A4:F4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2026-09-16T05:46:19Z</dcterms:created>
  <dcterms:modified xmlns:dcterms="http://purl.org/dc/terms/" xmlns:xsi="http://www.w3.org/2001/XMLSchema-instance" xsi:type="dcterms:W3CDTF">2026-09-16T05:46:19Z</dcterms:modified>
</cp:coreProperties>
</file>